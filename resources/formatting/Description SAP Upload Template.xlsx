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000_alle\PPS\13 Projekte\Pytomatom\Demand Forecast\"/>
    </mc:Choice>
  </mc:AlternateContent>
  <xr:revisionPtr revIDLastSave="0" documentId="13_ncr:1_{D6137049-EB7C-4EAD-AB7B-70F6408A434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Sheet1!$A$1:$AX$4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F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tc={86CDA835-6434-4083-B2D3-00166C2A1CD5}</author>
    <author>tc={9AC84433-4C3B-406C-8886-D8B00F385618}</author>
    <author>tc={256ADA95-7062-4FE9-83EC-380FF3E32B15}</author>
    <author>tc={F0989B7B-2DE7-410C-95B1-76155472A5D6}</author>
    <author>tc={2081B008-DFF7-4965-811A-26496A92BEEC}</author>
    <author>tc={A7F07572-E98B-4C2D-972A-A43A45812553}</author>
  </authors>
  <commentList>
    <comment ref="A2" authorId="0" shapeId="0" xr:uid="{86CDA835-6434-4083-B2D3-00166C2A1CD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Wird aus Stammdaten / "000MSTR_DATA..." entnommen, 002er Version</t>
      </text>
    </comment>
    <comment ref="C2" authorId="1" shapeId="0" xr:uid="{9AC84433-4C3B-406C-8886-D8B00F3856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Immer gleichbleibend
Antwort:
    mit Anca klären</t>
      </text>
    </comment>
    <comment ref="D2" authorId="2" shapeId="0" xr:uid="{256ADA95-7062-4FE9-83EC-380FF3E32B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“Version” column is in fact the number of the month. The example here was taken from a forecast for month May, so the version is 05.</t>
      </text>
    </comment>
    <comment ref="E2" authorId="3" shapeId="0" xr:uid="{F0989B7B-2DE7-410C-95B1-76155472A5D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Immer gleichbleibend</t>
      </text>
    </comment>
    <comment ref="G2" authorId="4" shapeId="0" xr:uid="{2081B008-DFF7-4965-811A-26496A92BEE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Immer gleichbleibend</t>
      </text>
    </comment>
    <comment ref="C10" authorId="5" shapeId="0" xr:uid="{A7F07572-E98B-4C2D-972A-A43A4581255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dfData["DATE"].Categorical.unique() * 4 # x4 weil Anzahl in Wochen</t>
      </text>
    </comment>
  </commentList>
</comments>
</file>

<file path=xl/sharedStrings.xml><?xml version="1.0" encoding="utf-8"?>
<sst xmlns="http://schemas.openxmlformats.org/spreadsheetml/2006/main" count="22" uniqueCount="19">
  <si>
    <t>Material</t>
  </si>
  <si>
    <t>Plant</t>
  </si>
  <si>
    <t>Reqmt type</t>
  </si>
  <si>
    <t>Version</t>
  </si>
  <si>
    <t>Active</t>
  </si>
  <si>
    <t>Type</t>
  </si>
  <si>
    <t>Unit</t>
  </si>
  <si>
    <t>X</t>
  </si>
  <si>
    <t>05</t>
  </si>
  <si>
    <t>VSF</t>
  </si>
  <si>
    <t>Customer</t>
  </si>
  <si>
    <t>Date</t>
  </si>
  <si>
    <t>Volumen</t>
  </si>
  <si>
    <t>Split</t>
  </si>
  <si>
    <t>100004Q03T2250x3210T10530010</t>
  </si>
  <si>
    <t>G048</t>
  </si>
  <si>
    <t>GingerCode = Artikel</t>
  </si>
  <si>
    <t>M2</t>
  </si>
  <si>
    <t>==&gt; Auf Monatsbasis hochladen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</si>
</sst>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Segoe UI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49" fontId="1" fillId="0" borderId="0" xfId="1" applyNumberFormat="1"/>
    <xf numFmtId="1" fontId="1" fillId="0" borderId="0" xfId="1" applyNumberFormat="1"/>
    <xf numFmtId="1" fontId="0" fillId="0" borderId="0" xfId="0" applyNumberFormat="1"/>
    <xf numFmtId="0" fontId="0" fillId="2" borderId="0" xfId="0" applyFill="1"/>
    <xf numFmtId="0" fontId="1" fillId="2" borderId="0" xfId="1" applyFill="1" applyAlignment="1">
      <alignment horizontal="left"/>
    </xf>
    <xf numFmtId="0" fontId="0" fillId="3" borderId="0" xfId="0" applyFill="1"/>
    <xf numFmtId="0" fontId="0" fillId="4" borderId="0" xfId="0" applyFill="1"/>
    <xf numFmtId="1" fontId="1" fillId="4" borderId="0" xfId="1" applyNumberFormat="1" applyFill="1"/>
    <xf numFmtId="0" fontId="0" fillId="5" borderId="0" xfId="0" applyFill="1"/>
    <xf numFmtId="0" fontId="1" fillId="5" borderId="0" xfId="1" applyFill="1" applyAlignment="1">
      <alignment horizontal="left"/>
    </xf>
    <xf numFmtId="0" fontId="1" fillId="6" borderId="0" xfId="1" applyFill="1" applyAlignment="1">
      <alignment horizontal="left"/>
    </xf>
    <xf numFmtId="0" fontId="3" fillId="0" borderId="0" xfId="1" applyFont="1" applyAlignment="1">
      <alignment horizontal="left"/>
    </xf>
    <xf numFmtId="0" fontId="0" fillId="0" borderId="0" xfId="0" quotePrefix="1"/>
  </cellXfs>
  <cellStyles count="2">
    <cellStyle name="Normal 2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836543</xdr:colOff>
      <xdr:row>2</xdr:row>
      <xdr:rowOff>8283</xdr:rowOff>
    </xdr:from>
    <xdr:to>
      <xdr:col>1</xdr:col>
      <xdr:colOff>604631</xdr:colOff>
      <xdr:row>7</xdr:row>
      <xdr:rowOff>132522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6DEB7923-7724-7DFE-85FC-E49E52971628}"/>
            </a:ext>
          </a:extLst>
        </xdr:cNvPr>
        <xdr:cNvCxnSpPr/>
      </xdr:nvCxnSpPr>
      <xdr:spPr>
        <a:xfrm flipH="1" flipV="1">
          <a:off x="836543" y="364435"/>
          <a:ext cx="1035327" cy="10767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0</xdr:row>
      <xdr:rowOff>107674</xdr:rowOff>
    </xdr:from>
    <xdr:to>
      <xdr:col>6</xdr:col>
      <xdr:colOff>91108</xdr:colOff>
      <xdr:row>7</xdr:row>
      <xdr:rowOff>157370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C8631E7C-6677-4B98-BB6C-7475624466AF}"/>
            </a:ext>
          </a:extLst>
        </xdr:cNvPr>
        <xdr:cNvCxnSpPr/>
      </xdr:nvCxnSpPr>
      <xdr:spPr>
        <a:xfrm flipV="1">
          <a:off x="2857500" y="107674"/>
          <a:ext cx="2493065" cy="1358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409161</xdr:colOff>
      <xdr:row>2</xdr:row>
      <xdr:rowOff>8283</xdr:rowOff>
    </xdr:from>
    <xdr:to>
      <xdr:col>7</xdr:col>
      <xdr:colOff>298174</xdr:colOff>
      <xdr:row>8</xdr:row>
      <xdr:rowOff>44726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E3C8BD58-F218-4D65-9430-57DDCFB665E3}"/>
            </a:ext>
          </a:extLst>
        </xdr:cNvPr>
        <xdr:cNvCxnSpPr/>
      </xdr:nvCxnSpPr>
      <xdr:spPr>
        <a:xfrm flipV="1">
          <a:off x="3639378" y="364435"/>
          <a:ext cx="2216426" cy="11794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629478</xdr:colOff>
      <xdr:row>2</xdr:row>
      <xdr:rowOff>74544</xdr:rowOff>
    </xdr:from>
    <xdr:to>
      <xdr:col>5</xdr:col>
      <xdr:colOff>364435</xdr:colOff>
      <xdr:row>7</xdr:row>
      <xdr:rowOff>91109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2911A268-5774-4251-A1CC-BC69BC4FB8F2}"/>
            </a:ext>
          </a:extLst>
        </xdr:cNvPr>
        <xdr:cNvCxnSpPr/>
      </xdr:nvCxnSpPr>
      <xdr:spPr>
        <a:xfrm flipH="1" flipV="1">
          <a:off x="1896717" y="430696"/>
          <a:ext cx="2849218" cy="969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745435</xdr:colOff>
      <xdr:row>2</xdr:row>
      <xdr:rowOff>107674</xdr:rowOff>
    </xdr:from>
    <xdr:to>
      <xdr:col>11</xdr:col>
      <xdr:colOff>571500</xdr:colOff>
      <xdr:row>10</xdr:row>
      <xdr:rowOff>144117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1C943A91-BDDB-4669-A377-ADADD9E0CA3F}"/>
            </a:ext>
          </a:extLst>
        </xdr:cNvPr>
        <xdr:cNvCxnSpPr/>
      </xdr:nvCxnSpPr>
      <xdr:spPr>
        <a:xfrm flipV="1">
          <a:off x="3221935" y="463826"/>
          <a:ext cx="5358848" cy="15604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uchs, Alexander" id="{D9144B81-00A6-4DD4-9D7F-AC072BD01D92}" userId="S::Alexander.Fuchs@saint-gobain.com::5c31cc19-d963-4c01-aa3c-8ffc13fb6ea7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3-06-07T12:02:46.09" personId="{D9144B81-00A6-4DD4-9D7F-AC072BD01D92}" id="{86CDA835-6434-4083-B2D3-00166C2A1CD5}">
    <text>Wird aus Stammdaten / "000MSTR_DATA..." entnommen, 002er Version</text>
  </threadedComment>
  <threadedComment ref="C2" dT="2023-06-07T11:23:25.09" personId="{D9144B81-00A6-4DD4-9D7F-AC072BD01D92}" id="{9AC84433-4C3B-406C-8886-D8B00F385618}">
    <text>Immer gleichbleibend</text>
  </threadedComment>
  <threadedComment ref="C2" dT="2023-06-07T12:03:00.33" personId="{D9144B81-00A6-4DD4-9D7F-AC072BD01D92}" id="{EB579F10-15D1-4373-B7C4-6A74D46841B2}" parentId="{9AC84433-4C3B-406C-8886-D8B00F385618}">
    <text>mit Anca klären</text>
  </threadedComment>
  <threadedComment ref="D2" dT="2023-06-07T11:28:06.91" personId="{D9144B81-00A6-4DD4-9D7F-AC072BD01D92}" id="{256ADA95-7062-4FE9-83EC-380FF3E32B15}">
    <text>“Version” column is in fact the number of the month. The example here was taken from a forecast for month May, so the version is 05.</text>
  </threadedComment>
  <threadedComment ref="E2" dT="2023-06-07T11:27:57.73" personId="{D9144B81-00A6-4DD4-9D7F-AC072BD01D92}" id="{F0989B7B-2DE7-410C-95B1-76155472A5D6}">
    <text>Immer gleichbleibend</text>
  </threadedComment>
  <threadedComment ref="G2" dT="2023-06-07T11:33:55.67" personId="{D9144B81-00A6-4DD4-9D7F-AC072BD01D92}" id="{2081B008-DFF7-4965-811A-26496A92BEEC}">
    <text>Immer gleichbleibend</text>
  </threadedComment>
  <threadedComment ref="C10" dT="2023-06-07T12:07:10.78" personId="{D9144B81-00A6-4DD4-9D7F-AC072BD01D92}" id="{A7F07572-E98B-4C2D-972A-A43A45812553}">
    <text>dfData["DATE"].Categorical.unique() * 4 # x4 weil Anzahl in Wochen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"/>
  <sheetViews>
    <sheetView tabSelected="1" zoomScale="115" zoomScaleNormal="115" workbookViewId="0">
      <selection activeCell="F10" sqref="F10"/>
    </sheetView>
  </sheetViews>
  <sheetFormatPr baseColWidth="10" defaultColWidth="9.140625" defaultRowHeight="15" x14ac:dyDescent="0.25"/>
  <cols>
    <col min="1" max="1" width="19" customWidth="1"/>
    <col min="2" max="2" width="18.140625" customWidth="1"/>
    <col min="3" max="3" width="11.28515625" customWidth="1"/>
    <col min="4" max="4" width="9.28515625" bestFit="1" customWidth="1"/>
    <col min="5" max="5" width="8" bestFit="1" customWidth="1"/>
    <col min="6" max="6" width="13.140625" customWidth="1"/>
    <col min="7" max="7" width="4.42578125" customWidth="1"/>
    <col min="8" max="16" width="9.140625" style="5"/>
  </cols>
  <sheetData>
    <row r="1" spans="1:50" s="2" customFormat="1" ht="12.75" x14ac:dyDescent="0.2">
      <c r="A1" s="7" t="s">
        <v>0</v>
      </c>
      <c r="B1" s="1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" t="s">
        <v>6</v>
      </c>
      <c r="H1" s="14">
        <v>1</v>
      </c>
      <c r="I1" s="14">
        <v>2</v>
      </c>
      <c r="J1" s="14">
        <v>3</v>
      </c>
      <c r="K1" s="14">
        <v>4</v>
      </c>
      <c r="L1" s="1">
        <v>5</v>
      </c>
      <c r="M1" s="1">
        <v>6</v>
      </c>
      <c r="N1" s="1">
        <v>7</v>
      </c>
      <c r="O1" s="1">
        <v>8</v>
      </c>
      <c r="P1" s="1">
        <v>9</v>
      </c>
      <c r="Q1" s="1">
        <v>10</v>
      </c>
      <c r="R1" s="1">
        <v>11</v>
      </c>
      <c r="S1" s="1">
        <v>12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s="2" customFormat="1" x14ac:dyDescent="0.25">
      <c r="A2" s="2">
        <v>1000071799</v>
      </c>
      <c r="B2" s="2" t="str">
        <f>+F10</f>
        <v>G048</v>
      </c>
      <c r="C2" s="2" t="s">
        <v>9</v>
      </c>
      <c r="D2" s="3" t="s">
        <v>8</v>
      </c>
      <c r="E2" s="2" t="s">
        <v>7</v>
      </c>
      <c r="F2" s="2" t="str">
        <f>B2&amp;"_CLE"</f>
        <v>G048_CLE</v>
      </c>
      <c r="G2" t="s">
        <v>17</v>
      </c>
      <c r="H2" s="10">
        <v>56.75</v>
      </c>
      <c r="I2" s="10">
        <v>56.75</v>
      </c>
      <c r="J2" s="10">
        <v>56.75</v>
      </c>
      <c r="K2" s="10">
        <v>56.75</v>
      </c>
      <c r="L2" s="4">
        <v>57.5</v>
      </c>
      <c r="M2" s="4">
        <v>57.5</v>
      </c>
      <c r="N2" s="4">
        <v>57.5</v>
      </c>
      <c r="O2" s="4">
        <v>57.5</v>
      </c>
      <c r="P2" s="4">
        <v>53.076187499999996</v>
      </c>
      <c r="Q2" s="4">
        <v>53.076187499999996</v>
      </c>
      <c r="R2" s="4">
        <v>53.076187500000003</v>
      </c>
      <c r="S2" s="4">
        <v>53.076187500000003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s="2" customFormat="1" x14ac:dyDescent="0.25">
      <c r="D3" s="3"/>
      <c r="G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s="2" customFormat="1" x14ac:dyDescent="0.25">
      <c r="D4" s="3"/>
      <c r="G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9" spans="1:50" x14ac:dyDescent="0.25">
      <c r="A9" t="s">
        <v>10</v>
      </c>
      <c r="B9" s="6" t="s">
        <v>16</v>
      </c>
      <c r="C9" s="8" t="s">
        <v>11</v>
      </c>
      <c r="D9" s="9" t="s">
        <v>12</v>
      </c>
      <c r="E9" t="s">
        <v>13</v>
      </c>
      <c r="F9" s="11" t="s">
        <v>1</v>
      </c>
    </row>
    <row r="10" spans="1:50" x14ac:dyDescent="0.25">
      <c r="A10">
        <v>101160</v>
      </c>
      <c r="B10" t="s">
        <v>14</v>
      </c>
      <c r="C10">
        <v>4.2023000000000001</v>
      </c>
      <c r="D10">
        <v>227</v>
      </c>
      <c r="E10">
        <v>0.48754790425300598</v>
      </c>
      <c r="F10" t="s">
        <v>15</v>
      </c>
    </row>
    <row r="11" spans="1:50" x14ac:dyDescent="0.25">
      <c r="A11">
        <v>101160</v>
      </c>
      <c r="B11" t="s">
        <v>14</v>
      </c>
      <c r="C11">
        <v>5.2023000000000001</v>
      </c>
      <c r="D11">
        <v>230</v>
      </c>
      <c r="E11">
        <v>0.48754790425300598</v>
      </c>
      <c r="F11" t="s">
        <v>15</v>
      </c>
    </row>
    <row r="12" spans="1:50" x14ac:dyDescent="0.25">
      <c r="C12" s="15" t="s">
        <v>18</v>
      </c>
    </row>
  </sheetData>
  <autoFilter ref="A1:AX4" xr:uid="{00000000-0001-0000-0000-000000000000}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Manea, Anca</dc:creator>
  <cp:lastModifiedBy>Fuchs, Alexander</cp:lastModifiedBy>
  <dcterms:created xsi:type="dcterms:W3CDTF">2021-10-29T13:06:39Z</dcterms:created>
  <dcterms:modified xsi:type="dcterms:W3CDTF">2023-06-07T12:21:20Z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Enabled">
    <vt:lpwstr>true</vt:lpwstr>
  </property>
  <property fmtid="{D5CDD505-2E9C-101B-9397-08002B2CF9AE}" pid="3" name="MSIP_Label_ced06422-c515-4a4e-a1f2-e6a0c0200eae_SetDate">
    <vt:lpwstr>2021-10-29T13:06:40Z</vt:lpwstr>
  </property>
  <property fmtid="{D5CDD505-2E9C-101B-9397-08002B2CF9AE}" pid="4" name="MSIP_Label_ced06422-c515-4a4e-a1f2-e6a0c0200eae_Method">
    <vt:lpwstr>Standard</vt:lpwstr>
  </property>
  <property fmtid="{D5CDD505-2E9C-101B-9397-08002B2CF9AE}" pid="5" name="MSIP_Label_ced06422-c515-4a4e-a1f2-e6a0c0200eae_Name">
    <vt:lpwstr>Unclassifed</vt:lpwstr>
  </property>
  <property fmtid="{D5CDD505-2E9C-101B-9397-08002B2CF9AE}" pid="6" name="MSIP_Label_ced06422-c515-4a4e-a1f2-e6a0c0200eae_SiteId">
    <vt:lpwstr>e339bd4b-2e3b-4035-a452-2112d502f2ff</vt:lpwstr>
  </property>
  <property fmtid="{D5CDD505-2E9C-101B-9397-08002B2CF9AE}" pid="7" name="MSIP_Label_ced06422-c515-4a4e-a1f2-e6a0c0200eae_ActionId">
    <vt:lpwstr>bcbddcc3-a381-4eb1-9c84-30db1b1b0b05</vt:lpwstr>
  </property>
  <property fmtid="{D5CDD505-2E9C-101B-9397-08002B2CF9AE}" pid="8" name="MSIP_Label_ced06422-c515-4a4e-a1f2-e6a0c0200eae_ContentBits">
    <vt:lpwstr>0</vt:lpwstr>
  </property>
</Properties>
</file>