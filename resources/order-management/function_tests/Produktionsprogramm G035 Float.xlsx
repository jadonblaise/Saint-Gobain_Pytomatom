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1705696\source\pytomatom\resources\order-management\function_tests\"/>
    </mc:Choice>
  </mc:AlternateContent>
  <xr:revisionPtr revIDLastSave="0" documentId="13_ncr:1_{3688BC9C-2BF7-4AB2-A582-7A183E7780D5}" xr6:coauthVersionLast="45" xr6:coauthVersionMax="45" xr10:uidLastSave="{00000000-0000-0000-0000-000000000000}"/>
  <bookViews>
    <workbookView xWindow="22932" yWindow="-108" windowWidth="23256" windowHeight="13176" xr2:uid="{EE68F7A2-A466-44D1-9FCB-873622F5D652}"/>
  </bookViews>
  <sheets>
    <sheet name="Planu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204" i="1" l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K199" i="1" l="1"/>
  <c r="K200" i="1" s="1"/>
  <c r="I199" i="1"/>
  <c r="I200" i="1" s="1"/>
  <c r="I201" i="1" s="1"/>
  <c r="I202" i="1" s="1"/>
  <c r="I203" i="1" s="1"/>
  <c r="I204" i="1" s="1"/>
  <c r="L198" i="1"/>
  <c r="I193" i="1"/>
  <c r="I194" i="1" s="1"/>
  <c r="I195" i="1" s="1"/>
  <c r="I196" i="1" s="1"/>
  <c r="I197" i="1" s="1"/>
  <c r="L192" i="1"/>
  <c r="K192" i="1"/>
  <c r="K193" i="1" s="1"/>
  <c r="I192" i="1"/>
  <c r="L191" i="1"/>
  <c r="K186" i="1"/>
  <c r="K187" i="1" s="1"/>
  <c r="I186" i="1"/>
  <c r="I187" i="1" s="1"/>
  <c r="I188" i="1" s="1"/>
  <c r="I189" i="1" s="1"/>
  <c r="I190" i="1" s="1"/>
  <c r="L185" i="1"/>
  <c r="K185" i="1"/>
  <c r="I185" i="1"/>
  <c r="L184" i="1"/>
  <c r="K178" i="1"/>
  <c r="K179" i="1" s="1"/>
  <c r="I178" i="1"/>
  <c r="I179" i="1" s="1"/>
  <c r="I180" i="1" s="1"/>
  <c r="I181" i="1" s="1"/>
  <c r="I182" i="1" s="1"/>
  <c r="I183" i="1" s="1"/>
  <c r="L177" i="1"/>
  <c r="K172" i="1"/>
  <c r="K173" i="1" s="1"/>
  <c r="I172" i="1"/>
  <c r="I173" i="1" s="1"/>
  <c r="I174" i="1" s="1"/>
  <c r="I175" i="1" s="1"/>
  <c r="I176" i="1" s="1"/>
  <c r="L171" i="1"/>
  <c r="K171" i="1"/>
  <c r="I171" i="1"/>
  <c r="L170" i="1"/>
  <c r="K165" i="1"/>
  <c r="K166" i="1" s="1"/>
  <c r="K164" i="1"/>
  <c r="L164" i="1" s="1"/>
  <c r="I164" i="1"/>
  <c r="I165" i="1" s="1"/>
  <c r="L163" i="1"/>
  <c r="K157" i="1"/>
  <c r="K158" i="1" s="1"/>
  <c r="I157" i="1"/>
  <c r="I158" i="1" s="1"/>
  <c r="I159" i="1" s="1"/>
  <c r="I160" i="1" s="1"/>
  <c r="I161" i="1" s="1"/>
  <c r="I162" i="1" s="1"/>
  <c r="L156" i="1"/>
  <c r="K151" i="1"/>
  <c r="K152" i="1" s="1"/>
  <c r="I151" i="1"/>
  <c r="I152" i="1" s="1"/>
  <c r="I153" i="1" s="1"/>
  <c r="I154" i="1" s="1"/>
  <c r="I155" i="1" s="1"/>
  <c r="K150" i="1"/>
  <c r="L150" i="1" s="1"/>
  <c r="I150" i="1"/>
  <c r="L149" i="1"/>
  <c r="A149" i="1"/>
  <c r="A156" i="1" s="1"/>
  <c r="A163" i="1" s="1"/>
  <c r="A170" i="1" s="1"/>
  <c r="A177" i="1" s="1"/>
  <c r="A184" i="1" s="1"/>
  <c r="A191" i="1" s="1"/>
  <c r="A198" i="1" s="1"/>
  <c r="K143" i="1"/>
  <c r="K144" i="1" s="1"/>
  <c r="I143" i="1"/>
  <c r="I144" i="1" s="1"/>
  <c r="I145" i="1" s="1"/>
  <c r="I146" i="1" s="1"/>
  <c r="I147" i="1" s="1"/>
  <c r="I148" i="1" s="1"/>
  <c r="B143" i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L142" i="1"/>
  <c r="B142" i="1"/>
  <c r="A142" i="1"/>
  <c r="K137" i="1"/>
  <c r="K138" i="1" s="1"/>
  <c r="I137" i="1"/>
  <c r="I138" i="1" s="1"/>
  <c r="I139" i="1" s="1"/>
  <c r="I140" i="1" s="1"/>
  <c r="I141" i="1" s="1"/>
  <c r="L136" i="1"/>
  <c r="K136" i="1"/>
  <c r="I136" i="1"/>
  <c r="L135" i="1"/>
  <c r="K129" i="1"/>
  <c r="K130" i="1" s="1"/>
  <c r="I129" i="1"/>
  <c r="I130" i="1" s="1"/>
  <c r="I131" i="1" s="1"/>
  <c r="I132" i="1" s="1"/>
  <c r="I133" i="1" s="1"/>
  <c r="I134" i="1" s="1"/>
  <c r="L128" i="1"/>
  <c r="K123" i="1"/>
  <c r="K124" i="1" s="1"/>
  <c r="I123" i="1"/>
  <c r="I124" i="1" s="1"/>
  <c r="I125" i="1" s="1"/>
  <c r="I126" i="1" s="1"/>
  <c r="I127" i="1" s="1"/>
  <c r="L122" i="1"/>
  <c r="K122" i="1"/>
  <c r="I122" i="1"/>
  <c r="L121" i="1"/>
  <c r="K116" i="1"/>
  <c r="L116" i="1" s="1"/>
  <c r="K115" i="1"/>
  <c r="I115" i="1"/>
  <c r="I116" i="1" s="1"/>
  <c r="I117" i="1" s="1"/>
  <c r="I118" i="1" s="1"/>
  <c r="I119" i="1" s="1"/>
  <c r="I120" i="1" s="1"/>
  <c r="L114" i="1"/>
  <c r="K108" i="1"/>
  <c r="K109" i="1" s="1"/>
  <c r="I108" i="1"/>
  <c r="I109" i="1" s="1"/>
  <c r="I110" i="1" s="1"/>
  <c r="I111" i="1" s="1"/>
  <c r="I112" i="1" s="1"/>
  <c r="I113" i="1" s="1"/>
  <c r="L107" i="1"/>
  <c r="K102" i="1"/>
  <c r="K103" i="1" s="1"/>
  <c r="I102" i="1"/>
  <c r="I103" i="1" s="1"/>
  <c r="I104" i="1" s="1"/>
  <c r="I105" i="1" s="1"/>
  <c r="I106" i="1" s="1"/>
  <c r="K101" i="1"/>
  <c r="L101" i="1" s="1"/>
  <c r="I101" i="1"/>
  <c r="L100" i="1"/>
  <c r="K94" i="1"/>
  <c r="K95" i="1" s="1"/>
  <c r="I94" i="1"/>
  <c r="I95" i="1" s="1"/>
  <c r="I96" i="1" s="1"/>
  <c r="I97" i="1" s="1"/>
  <c r="I98" i="1" s="1"/>
  <c r="I99" i="1" s="1"/>
  <c r="L93" i="1"/>
  <c r="I88" i="1"/>
  <c r="I89" i="1" s="1"/>
  <c r="I90" i="1" s="1"/>
  <c r="I91" i="1" s="1"/>
  <c r="I92" i="1" s="1"/>
  <c r="K87" i="1"/>
  <c r="K88" i="1" s="1"/>
  <c r="I87" i="1"/>
  <c r="L86" i="1"/>
  <c r="K81" i="1"/>
  <c r="K82" i="1" s="1"/>
  <c r="I81" i="1"/>
  <c r="I82" i="1" s="1"/>
  <c r="I83" i="1" s="1"/>
  <c r="I84" i="1" s="1"/>
  <c r="I85" i="1" s="1"/>
  <c r="L80" i="1"/>
  <c r="K80" i="1"/>
  <c r="I80" i="1"/>
  <c r="L79" i="1"/>
  <c r="B79" i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A79" i="1"/>
  <c r="A86" i="1" s="1"/>
  <c r="A93" i="1" s="1"/>
  <c r="A100" i="1" s="1"/>
  <c r="A107" i="1" s="1"/>
  <c r="A114" i="1" s="1"/>
  <c r="A121" i="1" s="1"/>
  <c r="A128" i="1" s="1"/>
  <c r="A135" i="1" s="1"/>
  <c r="B16" i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A16" i="1"/>
  <c r="A23" i="1" s="1"/>
  <c r="A30" i="1" s="1"/>
  <c r="A37" i="1" s="1"/>
  <c r="A44" i="1" s="1"/>
  <c r="A51" i="1" s="1"/>
  <c r="A58" i="1" s="1"/>
  <c r="A65" i="1" s="1"/>
  <c r="A72" i="1" s="1"/>
  <c r="B9" i="1"/>
  <c r="B10" i="1" s="1"/>
  <c r="B11" i="1" s="1"/>
  <c r="B12" i="1" s="1"/>
  <c r="B13" i="1" s="1"/>
  <c r="B14" i="1" s="1"/>
  <c r="B15" i="1" s="1"/>
  <c r="I74" i="1"/>
  <c r="I75" i="1" s="1"/>
  <c r="I76" i="1" s="1"/>
  <c r="I77" i="1" s="1"/>
  <c r="I78" i="1" s="1"/>
  <c r="L73" i="1"/>
  <c r="K73" i="1"/>
  <c r="K74" i="1" s="1"/>
  <c r="I73" i="1"/>
  <c r="L72" i="1"/>
  <c r="K67" i="1"/>
  <c r="K68" i="1" s="1"/>
  <c r="I67" i="1"/>
  <c r="I68" i="1" s="1"/>
  <c r="I69" i="1" s="1"/>
  <c r="I70" i="1" s="1"/>
  <c r="I71" i="1" s="1"/>
  <c r="K66" i="1"/>
  <c r="L66" i="1" s="1"/>
  <c r="I66" i="1"/>
  <c r="L65" i="1"/>
  <c r="K60" i="1"/>
  <c r="K61" i="1" s="1"/>
  <c r="I60" i="1"/>
  <c r="I61" i="1" s="1"/>
  <c r="I62" i="1" s="1"/>
  <c r="I63" i="1" s="1"/>
  <c r="I64" i="1" s="1"/>
  <c r="K59" i="1"/>
  <c r="L59" i="1" s="1"/>
  <c r="I59" i="1"/>
  <c r="L58" i="1"/>
  <c r="K53" i="1"/>
  <c r="L53" i="1" s="1"/>
  <c r="K52" i="1"/>
  <c r="L52" i="1" s="1"/>
  <c r="I52" i="1"/>
  <c r="I53" i="1" s="1"/>
  <c r="I54" i="1" s="1"/>
  <c r="I55" i="1" s="1"/>
  <c r="I56" i="1" s="1"/>
  <c r="I57" i="1" s="1"/>
  <c r="L51" i="1"/>
  <c r="K46" i="1"/>
  <c r="K47" i="1" s="1"/>
  <c r="K45" i="1"/>
  <c r="L45" i="1" s="1"/>
  <c r="I45" i="1"/>
  <c r="I46" i="1" s="1"/>
  <c r="I47" i="1" s="1"/>
  <c r="I48" i="1" s="1"/>
  <c r="I49" i="1" s="1"/>
  <c r="I50" i="1" s="1"/>
  <c r="L44" i="1"/>
  <c r="A9" i="1"/>
  <c r="K39" i="1"/>
  <c r="K40" i="1" s="1"/>
  <c r="K38" i="1"/>
  <c r="L38" i="1" s="1"/>
  <c r="I38" i="1"/>
  <c r="I39" i="1" s="1"/>
  <c r="I40" i="1" s="1"/>
  <c r="I41" i="1" s="1"/>
  <c r="I42" i="1" s="1"/>
  <c r="I43" i="1" s="1"/>
  <c r="L37" i="1"/>
  <c r="K32" i="1"/>
  <c r="K33" i="1" s="1"/>
  <c r="I32" i="1"/>
  <c r="I33" i="1" s="1"/>
  <c r="I34" i="1" s="1"/>
  <c r="I35" i="1" s="1"/>
  <c r="I36" i="1" s="1"/>
  <c r="K31" i="1"/>
  <c r="L31" i="1" s="1"/>
  <c r="I31" i="1"/>
  <c r="L30" i="1"/>
  <c r="K25" i="1"/>
  <c r="K26" i="1" s="1"/>
  <c r="K24" i="1"/>
  <c r="L24" i="1" s="1"/>
  <c r="I24" i="1"/>
  <c r="I25" i="1" s="1"/>
  <c r="I26" i="1" s="1"/>
  <c r="I27" i="1" s="1"/>
  <c r="I28" i="1" s="1"/>
  <c r="I29" i="1" s="1"/>
  <c r="L23" i="1"/>
  <c r="K17" i="1"/>
  <c r="K18" i="1" s="1"/>
  <c r="I17" i="1"/>
  <c r="I18" i="1" s="1"/>
  <c r="I19" i="1" s="1"/>
  <c r="I20" i="1" s="1"/>
  <c r="I21" i="1" s="1"/>
  <c r="I22" i="1" s="1"/>
  <c r="L16" i="1"/>
  <c r="K10" i="1"/>
  <c r="K11" i="1" s="1"/>
  <c r="I10" i="1"/>
  <c r="I11" i="1" s="1"/>
  <c r="I12" i="1" s="1"/>
  <c r="I13" i="1" s="1"/>
  <c r="I14" i="1" s="1"/>
  <c r="I15" i="1" s="1"/>
  <c r="L9" i="1"/>
  <c r="L8" i="1"/>
  <c r="L7" i="1"/>
  <c r="L6" i="1"/>
  <c r="L5" i="1"/>
  <c r="L4" i="1"/>
  <c r="L3" i="1"/>
  <c r="K8" i="1"/>
  <c r="K7" i="1"/>
  <c r="K6" i="1"/>
  <c r="K5" i="1"/>
  <c r="K4" i="1"/>
  <c r="K3" i="1"/>
  <c r="I3" i="1"/>
  <c r="I4" i="1" s="1"/>
  <c r="I5" i="1" s="1"/>
  <c r="I6" i="1" s="1"/>
  <c r="I7" i="1" s="1"/>
  <c r="I8" i="1" s="1"/>
  <c r="L2" i="1"/>
  <c r="B4" i="1"/>
  <c r="B5" i="1" s="1"/>
  <c r="B6" i="1" s="1"/>
  <c r="B7" i="1" s="1"/>
  <c r="B8" i="1" s="1"/>
  <c r="B3" i="1"/>
  <c r="L152" i="1" l="1"/>
  <c r="K153" i="1"/>
  <c r="L179" i="1"/>
  <c r="K180" i="1"/>
  <c r="K194" i="1"/>
  <c r="L193" i="1"/>
  <c r="L200" i="1"/>
  <c r="K201" i="1"/>
  <c r="K167" i="1"/>
  <c r="L144" i="1"/>
  <c r="K145" i="1"/>
  <c r="L187" i="1"/>
  <c r="K188" i="1"/>
  <c r="K159" i="1"/>
  <c r="L158" i="1"/>
  <c r="I166" i="1"/>
  <c r="I167" i="1" s="1"/>
  <c r="I168" i="1" s="1"/>
  <c r="I169" i="1" s="1"/>
  <c r="L165" i="1"/>
  <c r="L173" i="1"/>
  <c r="K174" i="1"/>
  <c r="L157" i="1"/>
  <c r="L186" i="1"/>
  <c r="L151" i="1"/>
  <c r="L178" i="1"/>
  <c r="L143" i="1"/>
  <c r="L172" i="1"/>
  <c r="L199" i="1"/>
  <c r="L103" i="1"/>
  <c r="K104" i="1"/>
  <c r="L130" i="1"/>
  <c r="K131" i="1"/>
  <c r="K89" i="1"/>
  <c r="L88" i="1"/>
  <c r="L95" i="1"/>
  <c r="K96" i="1"/>
  <c r="L109" i="1"/>
  <c r="K110" i="1"/>
  <c r="L138" i="1"/>
  <c r="K139" i="1"/>
  <c r="L82" i="1"/>
  <c r="K83" i="1"/>
  <c r="L124" i="1"/>
  <c r="K125" i="1"/>
  <c r="L87" i="1"/>
  <c r="L81" i="1"/>
  <c r="L137" i="1"/>
  <c r="L102" i="1"/>
  <c r="L129" i="1"/>
  <c r="L94" i="1"/>
  <c r="K117" i="1"/>
  <c r="L123" i="1"/>
  <c r="L108" i="1"/>
  <c r="L115" i="1"/>
  <c r="K75" i="1"/>
  <c r="L74" i="1"/>
  <c r="L68" i="1"/>
  <c r="K69" i="1"/>
  <c r="L67" i="1"/>
  <c r="K62" i="1"/>
  <c r="L61" i="1"/>
  <c r="L60" i="1"/>
  <c r="K54" i="1"/>
  <c r="L47" i="1"/>
  <c r="K48" i="1"/>
  <c r="L46" i="1"/>
  <c r="L40" i="1"/>
  <c r="K41" i="1"/>
  <c r="L39" i="1"/>
  <c r="L33" i="1"/>
  <c r="K34" i="1"/>
  <c r="L32" i="1"/>
  <c r="L26" i="1"/>
  <c r="K27" i="1"/>
  <c r="L25" i="1"/>
  <c r="K19" i="1"/>
  <c r="L18" i="1"/>
  <c r="L17" i="1"/>
  <c r="L11" i="1"/>
  <c r="K12" i="1"/>
  <c r="L10" i="1"/>
  <c r="L167" i="1" l="1"/>
  <c r="K168" i="1"/>
  <c r="K202" i="1"/>
  <c r="L201" i="1"/>
  <c r="K160" i="1"/>
  <c r="L159" i="1"/>
  <c r="K189" i="1"/>
  <c r="L188" i="1"/>
  <c r="L194" i="1"/>
  <c r="K195" i="1"/>
  <c r="K175" i="1"/>
  <c r="L174" i="1"/>
  <c r="K146" i="1"/>
  <c r="L145" i="1"/>
  <c r="K181" i="1"/>
  <c r="L180" i="1"/>
  <c r="L166" i="1"/>
  <c r="K154" i="1"/>
  <c r="L153" i="1"/>
  <c r="K132" i="1"/>
  <c r="L131" i="1"/>
  <c r="K105" i="1"/>
  <c r="L104" i="1"/>
  <c r="K97" i="1"/>
  <c r="L96" i="1"/>
  <c r="K118" i="1"/>
  <c r="L117" i="1"/>
  <c r="K140" i="1"/>
  <c r="L139" i="1"/>
  <c r="K111" i="1"/>
  <c r="L110" i="1"/>
  <c r="K126" i="1"/>
  <c r="L125" i="1"/>
  <c r="K84" i="1"/>
  <c r="L83" i="1"/>
  <c r="L89" i="1"/>
  <c r="K90" i="1"/>
  <c r="K76" i="1"/>
  <c r="L75" i="1"/>
  <c r="K70" i="1"/>
  <c r="L69" i="1"/>
  <c r="K63" i="1"/>
  <c r="L62" i="1"/>
  <c r="L54" i="1"/>
  <c r="K55" i="1"/>
  <c r="K49" i="1"/>
  <c r="L48" i="1"/>
  <c r="K42" i="1"/>
  <c r="L41" i="1"/>
  <c r="K35" i="1"/>
  <c r="L34" i="1"/>
  <c r="K28" i="1"/>
  <c r="L27" i="1"/>
  <c r="K20" i="1"/>
  <c r="L19" i="1"/>
  <c r="K13" i="1"/>
  <c r="L12" i="1"/>
  <c r="L181" i="1" l="1"/>
  <c r="K182" i="1"/>
  <c r="K190" i="1"/>
  <c r="L190" i="1" s="1"/>
  <c r="L189" i="1"/>
  <c r="K196" i="1"/>
  <c r="L195" i="1"/>
  <c r="L146" i="1"/>
  <c r="K147" i="1"/>
  <c r="L160" i="1"/>
  <c r="K161" i="1"/>
  <c r="L154" i="1"/>
  <c r="K155" i="1"/>
  <c r="L155" i="1" s="1"/>
  <c r="K169" i="1"/>
  <c r="L169" i="1" s="1"/>
  <c r="L168" i="1"/>
  <c r="L175" i="1"/>
  <c r="K176" i="1"/>
  <c r="L176" i="1" s="1"/>
  <c r="L202" i="1"/>
  <c r="K203" i="1"/>
  <c r="L105" i="1"/>
  <c r="K106" i="1"/>
  <c r="L106" i="1" s="1"/>
  <c r="L140" i="1"/>
  <c r="K141" i="1"/>
  <c r="L141" i="1" s="1"/>
  <c r="L132" i="1"/>
  <c r="K133" i="1"/>
  <c r="L111" i="1"/>
  <c r="K112" i="1"/>
  <c r="K91" i="1"/>
  <c r="L90" i="1"/>
  <c r="L84" i="1"/>
  <c r="K85" i="1"/>
  <c r="L85" i="1" s="1"/>
  <c r="K119" i="1"/>
  <c r="L118" i="1"/>
  <c r="K127" i="1"/>
  <c r="L127" i="1" s="1"/>
  <c r="L126" i="1"/>
  <c r="L97" i="1"/>
  <c r="K98" i="1"/>
  <c r="K77" i="1"/>
  <c r="L76" i="1"/>
  <c r="L70" i="1"/>
  <c r="K71" i="1"/>
  <c r="L71" i="1" s="1"/>
  <c r="L63" i="1"/>
  <c r="K64" i="1"/>
  <c r="L64" i="1" s="1"/>
  <c r="L55" i="1"/>
  <c r="K56" i="1"/>
  <c r="L49" i="1"/>
  <c r="K50" i="1"/>
  <c r="L50" i="1" s="1"/>
  <c r="L42" i="1"/>
  <c r="K43" i="1"/>
  <c r="L43" i="1" s="1"/>
  <c r="L35" i="1"/>
  <c r="K36" i="1"/>
  <c r="L36" i="1" s="1"/>
  <c r="L28" i="1"/>
  <c r="K29" i="1"/>
  <c r="L29" i="1" s="1"/>
  <c r="L20" i="1"/>
  <c r="K21" i="1"/>
  <c r="L13" i="1"/>
  <c r="K14" i="1"/>
  <c r="L196" i="1" l="1"/>
  <c r="K197" i="1"/>
  <c r="L197" i="1" s="1"/>
  <c r="K204" i="1"/>
  <c r="L204" i="1" s="1"/>
  <c r="L203" i="1"/>
  <c r="K162" i="1"/>
  <c r="L162" i="1" s="1"/>
  <c r="L161" i="1"/>
  <c r="K183" i="1"/>
  <c r="L183" i="1" s="1"/>
  <c r="L182" i="1"/>
  <c r="K148" i="1"/>
  <c r="L148" i="1" s="1"/>
  <c r="L147" i="1"/>
  <c r="K99" i="1"/>
  <c r="L99" i="1" s="1"/>
  <c r="L98" i="1"/>
  <c r="L91" i="1"/>
  <c r="K92" i="1"/>
  <c r="L92" i="1" s="1"/>
  <c r="K113" i="1"/>
  <c r="L113" i="1" s="1"/>
  <c r="L112" i="1"/>
  <c r="K134" i="1"/>
  <c r="L134" i="1" s="1"/>
  <c r="L133" i="1"/>
  <c r="K120" i="1"/>
  <c r="L120" i="1" s="1"/>
  <c r="L119" i="1"/>
  <c r="K78" i="1"/>
  <c r="L78" i="1" s="1"/>
  <c r="L77" i="1"/>
  <c r="L56" i="1"/>
  <c r="K57" i="1"/>
  <c r="L57" i="1" s="1"/>
  <c r="K22" i="1"/>
  <c r="L22" i="1" s="1"/>
  <c r="L21" i="1"/>
  <c r="K15" i="1"/>
  <c r="L15" i="1" s="1"/>
  <c r="L14" i="1"/>
</calcChain>
</file>

<file path=xl/sharedStrings.xml><?xml version="1.0" encoding="utf-8"?>
<sst xmlns="http://schemas.openxmlformats.org/spreadsheetml/2006/main" count="722" uniqueCount="31">
  <si>
    <t>Week</t>
  </si>
  <si>
    <t>Date</t>
  </si>
  <si>
    <t>day</t>
  </si>
  <si>
    <t>Tint</t>
  </si>
  <si>
    <t>Thickness</t>
  </si>
  <si>
    <t>Thickness mm</t>
  </si>
  <si>
    <t>Max pull</t>
  </si>
  <si>
    <t>Gross pull</t>
  </si>
  <si>
    <t>Adjusted pull</t>
  </si>
  <si>
    <t>Yield</t>
  </si>
  <si>
    <t>Net pull</t>
  </si>
  <si>
    <t>Off-line yield, breakage, WH</t>
  </si>
  <si>
    <t>Available
for Sales</t>
  </si>
  <si>
    <t>Comment</t>
  </si>
  <si>
    <t>Absprache bis hierhin erfolgt</t>
  </si>
  <si>
    <t>PLC</t>
  </si>
  <si>
    <t>Montag</t>
  </si>
  <si>
    <t>Porz</t>
  </si>
  <si>
    <t>Diamant</t>
  </si>
  <si>
    <t>Dienstag</t>
  </si>
  <si>
    <t>x</t>
  </si>
  <si>
    <t>Mittwoch</t>
  </si>
  <si>
    <t>Transition</t>
  </si>
  <si>
    <t>Donnerstag</t>
  </si>
  <si>
    <t>Freitag</t>
  </si>
  <si>
    <t>Samstag</t>
  </si>
  <si>
    <t>Sonntag</t>
  </si>
  <si>
    <t>Plant</t>
  </si>
  <si>
    <t>Key</t>
  </si>
  <si>
    <t>Year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</si>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</sst>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7]d/\ mmm/;@"/>
    <numFmt numFmtId="165" formatCode="yyyy/mm/dd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8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theme="0" tint="-0.14999847407452621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indexed="64"/>
      </top>
      <bottom style="thin">
        <color rgb="FFD9D9D9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/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medium">
        <color indexed="64"/>
      </bottom>
      <diagonal/>
    </border>
    <border>
      <left/>
      <right style="thin">
        <color rgb="FFD9D9D9"/>
      </right>
      <top style="medium">
        <color indexed="64"/>
      </top>
      <bottom style="thin">
        <color rgb="FFD9D9D9"/>
      </bottom>
      <diagonal/>
    </border>
    <border>
      <left style="thin">
        <color rgb="FFD9D9D9"/>
      </left>
      <right style="medium">
        <color indexed="64"/>
      </right>
      <top style="medium">
        <color indexed="64"/>
      </top>
      <bottom style="thin">
        <color rgb="FFD9D9D9"/>
      </bottom>
      <diagonal/>
    </border>
    <border>
      <left style="medium">
        <color indexed="64"/>
      </left>
      <right style="thin">
        <color rgb="FFD9D9D9"/>
      </right>
      <top style="medium">
        <color indexed="64"/>
      </top>
      <bottom style="thin">
        <color rgb="FFD9D9D9"/>
      </bottom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9" fontId="3" fillId="2" borderId="2" xfId="1" applyFont="1" applyFill="1" applyBorder="1" applyAlignment="1">
      <alignment horizontal="center" vertical="center" wrapText="1"/>
    </xf>
    <xf numFmtId="1" fontId="3" fillId="2" borderId="2" xfId="0" applyNumberFormat="1" applyFont="1" applyFill="1" applyBorder="1" applyAlignment="1">
      <alignment horizontal="center" vertical="center" wrapText="1"/>
    </xf>
    <xf numFmtId="3" fontId="3" fillId="2" borderId="3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8" fillId="0" borderId="8" xfId="0" applyFont="1" applyBorder="1"/>
    <xf numFmtId="0" fontId="0" fillId="0" borderId="8" xfId="0" applyBorder="1"/>
    <xf numFmtId="0" fontId="0" fillId="0" borderId="0" xfId="0" applyAlignment="1">
      <alignment horizontal="center" vertical="center"/>
    </xf>
    <xf numFmtId="0" fontId="6" fillId="0" borderId="10" xfId="0" applyFont="1" applyBorder="1"/>
    <xf numFmtId="10" fontId="6" fillId="0" borderId="10" xfId="0" applyNumberFormat="1" applyFont="1" applyBorder="1"/>
    <xf numFmtId="3" fontId="6" fillId="0" borderId="11" xfId="0" applyNumberFormat="1" applyFont="1" applyBorder="1"/>
    <xf numFmtId="0" fontId="7" fillId="0" borderId="10" xfId="0" applyFont="1" applyBorder="1" applyAlignment="1">
      <alignment horizontal="center" vertical="center"/>
    </xf>
    <xf numFmtId="0" fontId="2" fillId="4" borderId="5" xfId="0" applyFont="1" applyFill="1" applyBorder="1"/>
    <xf numFmtId="0" fontId="6" fillId="5" borderId="10" xfId="0" applyFont="1" applyFill="1" applyBorder="1"/>
    <xf numFmtId="0" fontId="7" fillId="5" borderId="10" xfId="0" applyFont="1" applyFill="1" applyBorder="1" applyAlignment="1">
      <alignment horizontal="center" vertical="center"/>
    </xf>
    <xf numFmtId="0" fontId="2" fillId="4" borderId="14" xfId="0" applyFont="1" applyFill="1" applyBorder="1"/>
    <xf numFmtId="0" fontId="6" fillId="5" borderId="15" xfId="0" applyFont="1" applyFill="1" applyBorder="1"/>
    <xf numFmtId="0" fontId="7" fillId="5" borderId="15" xfId="0" applyFont="1" applyFill="1" applyBorder="1" applyAlignment="1">
      <alignment horizontal="center" vertical="center"/>
    </xf>
    <xf numFmtId="0" fontId="6" fillId="0" borderId="7" xfId="0" applyFont="1" applyBorder="1"/>
    <xf numFmtId="10" fontId="6" fillId="0" borderId="7" xfId="0" applyNumberFormat="1" applyFont="1" applyBorder="1"/>
    <xf numFmtId="3" fontId="6" fillId="0" borderId="18" xfId="0" applyNumberFormat="1" applyFont="1" applyBorder="1"/>
    <xf numFmtId="0" fontId="9" fillId="6" borderId="8" xfId="0" applyFont="1" applyFill="1" applyBorder="1" applyAlignment="1">
      <alignment horizontal="left" vertical="top" wrapText="1"/>
    </xf>
    <xf numFmtId="0" fontId="10" fillId="6" borderId="8" xfId="0" applyFont="1" applyFill="1" applyBorder="1" applyAlignment="1">
      <alignment horizontal="left" vertical="top" wrapText="1"/>
    </xf>
    <xf numFmtId="9" fontId="10" fillId="6" borderId="8" xfId="1" applyFont="1" applyFill="1" applyBorder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10" fontId="6" fillId="7" borderId="10" xfId="0" applyNumberFormat="1" applyFont="1" applyFill="1" applyBorder="1"/>
    <xf numFmtId="0" fontId="6" fillId="8" borderId="10" xfId="0" applyFont="1" applyFill="1" applyBorder="1"/>
    <xf numFmtId="10" fontId="6" fillId="7" borderId="15" xfId="0" applyNumberFormat="1" applyFont="1" applyFill="1" applyBorder="1"/>
    <xf numFmtId="165" fontId="6" fillId="4" borderId="19" xfId="0" applyNumberFormat="1" applyFont="1" applyFill="1" applyBorder="1"/>
    <xf numFmtId="165" fontId="6" fillId="4" borderId="20" xfId="0" applyNumberFormat="1" applyFont="1" applyFill="1" applyBorder="1"/>
    <xf numFmtId="165" fontId="6" fillId="4" borderId="13" xfId="0" applyNumberFormat="1" applyFont="1" applyFill="1" applyBorder="1"/>
    <xf numFmtId="0" fontId="6" fillId="8" borderId="15" xfId="0" applyFont="1" applyFill="1" applyBorder="1"/>
    <xf numFmtId="0" fontId="6" fillId="9" borderId="17" xfId="0" applyFont="1" applyFill="1" applyBorder="1"/>
    <xf numFmtId="0" fontId="6" fillId="9" borderId="7" xfId="0" applyFont="1" applyFill="1" applyBorder="1"/>
    <xf numFmtId="0" fontId="6" fillId="10" borderId="7" xfId="0" applyFont="1" applyFill="1" applyBorder="1"/>
    <xf numFmtId="0" fontId="6" fillId="9" borderId="5" xfId="0" applyFont="1" applyFill="1" applyBorder="1"/>
    <xf numFmtId="0" fontId="6" fillId="9" borderId="10" xfId="0" applyFont="1" applyFill="1" applyBorder="1"/>
    <xf numFmtId="0" fontId="6" fillId="10" borderId="6" xfId="0" applyFont="1" applyFill="1" applyBorder="1"/>
    <xf numFmtId="10" fontId="6" fillId="9" borderId="7" xfId="0" applyNumberFormat="1" applyFont="1" applyFill="1" applyBorder="1"/>
    <xf numFmtId="10" fontId="6" fillId="9" borderId="10" xfId="0" applyNumberFormat="1" applyFont="1" applyFill="1" applyBorder="1"/>
    <xf numFmtId="3" fontId="6" fillId="8" borderId="11" xfId="0" applyNumberFormat="1" applyFont="1" applyFill="1" applyBorder="1"/>
    <xf numFmtId="3" fontId="6" fillId="8" borderId="16" xfId="0" applyNumberFormat="1" applyFont="1" applyFill="1" applyBorder="1"/>
    <xf numFmtId="0" fontId="5" fillId="0" borderId="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6" fillId="7" borderId="10" xfId="0" applyFont="1" applyFill="1" applyBorder="1"/>
    <xf numFmtId="0" fontId="6" fillId="7" borderId="15" xfId="0" applyFont="1" applyFill="1" applyBorder="1"/>
  </cellXfs>
  <cellStyles count="2">
    <cellStyle name="Normal" xfId="0" builtinId="0"/>
    <cellStyle name="Percent" xfId="1" builtinId="5"/>
  </cellStyles>
  <dxfs count="6">
    <dxf>
      <fill>
        <patternFill>
          <bgColor rgb="FFFFFFCC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ill>
        <patternFill>
          <bgColor rgb="FFFFFFCC"/>
        </patternFill>
      </fill>
    </dxf>
    <dxf>
      <font>
        <color theme="0" tint="-0.1499679555650502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3BE7D-3A25-445F-B248-653C17F9C6A4}">
  <dimension ref="A1:AG204"/>
  <sheetViews>
    <sheetView tabSelected="1" workbookViewId="0">
      <selection activeCell="G141" sqref="F2:G141"/>
    </sheetView>
  </sheetViews>
  <sheetFormatPr defaultRowHeight="14.4" x14ac:dyDescent="0.3"/>
  <cols>
    <col min="2" max="2" width="12" customWidth="1"/>
    <col min="3" max="3" width="10.33203125" bestFit="1" customWidth="1"/>
    <col min="4" max="4" width="4.5546875" bestFit="1" customWidth="1"/>
    <col min="5" max="5" width="9.109375" bestFit="1" customWidth="1"/>
  </cols>
  <sheetData>
    <row r="1" spans="1:33" ht="48.6" thickBot="1" x14ac:dyDescent="0.35">
      <c r="A1" s="1" t="s">
        <v>0</v>
      </c>
      <c r="B1" s="2" t="s">
        <v>1</v>
      </c>
      <c r="C1" s="3" t="s">
        <v>2</v>
      </c>
      <c r="D1" s="3" t="s">
        <v>27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4" t="s">
        <v>9</v>
      </c>
      <c r="L1" s="5" t="s">
        <v>10</v>
      </c>
      <c r="M1" s="3" t="s">
        <v>11</v>
      </c>
      <c r="N1" s="6" t="s">
        <v>12</v>
      </c>
      <c r="O1" s="7" t="s">
        <v>13</v>
      </c>
      <c r="P1" s="26" t="s">
        <v>28</v>
      </c>
      <c r="Q1" s="27" t="s">
        <v>27</v>
      </c>
      <c r="R1" s="27" t="s">
        <v>29</v>
      </c>
      <c r="S1" s="27" t="s">
        <v>3</v>
      </c>
      <c r="T1" s="27" t="s">
        <v>4</v>
      </c>
      <c r="U1" s="27" t="s">
        <v>6</v>
      </c>
      <c r="V1" s="27" t="s">
        <v>7</v>
      </c>
      <c r="W1" s="27" t="s">
        <v>8</v>
      </c>
      <c r="X1" s="28" t="s">
        <v>9</v>
      </c>
      <c r="Y1" s="27" t="s">
        <v>10</v>
      </c>
      <c r="Z1" s="27" t="s">
        <v>11</v>
      </c>
      <c r="AA1" s="27" t="s">
        <v>12</v>
      </c>
      <c r="AC1" s="29" t="s">
        <v>27</v>
      </c>
      <c r="AD1" s="29" t="s">
        <v>3</v>
      </c>
      <c r="AE1" s="29" t="s">
        <v>4</v>
      </c>
      <c r="AF1" s="29" t="s">
        <v>5</v>
      </c>
      <c r="AG1" s="8" t="s">
        <v>14</v>
      </c>
    </row>
    <row r="2" spans="1:33" x14ac:dyDescent="0.3">
      <c r="A2" s="47">
        <v>1</v>
      </c>
      <c r="B2" s="33">
        <v>45292</v>
      </c>
      <c r="C2" s="37" t="s">
        <v>16</v>
      </c>
      <c r="D2" s="38" t="s">
        <v>17</v>
      </c>
      <c r="E2" s="39" t="s">
        <v>15</v>
      </c>
      <c r="F2" s="38"/>
      <c r="G2" s="38">
        <v>3.9</v>
      </c>
      <c r="H2" s="23"/>
      <c r="I2" s="23">
        <v>800</v>
      </c>
      <c r="J2" s="23">
        <v>0</v>
      </c>
      <c r="K2" s="24">
        <v>0.85</v>
      </c>
      <c r="L2" s="23">
        <f t="shared" ref="L2:L65" si="0">IF(J2&lt;&gt;0,J2,I2)*K2</f>
        <v>680</v>
      </c>
      <c r="M2" s="24"/>
      <c r="N2" s="25">
        <f>L2*(1-M2)</f>
        <v>680</v>
      </c>
      <c r="O2" s="9" t="s">
        <v>30</v>
      </c>
      <c r="P2" s="10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G2" s="12"/>
    </row>
    <row r="3" spans="1:33" x14ac:dyDescent="0.3">
      <c r="A3" s="48"/>
      <c r="B3" s="34">
        <f>B2+1</f>
        <v>45293</v>
      </c>
      <c r="C3" s="40" t="s">
        <v>19</v>
      </c>
      <c r="D3" s="41" t="s">
        <v>17</v>
      </c>
      <c r="E3" s="42" t="s">
        <v>15</v>
      </c>
      <c r="F3" s="41"/>
      <c r="G3" s="41">
        <v>3.9</v>
      </c>
      <c r="H3" s="13"/>
      <c r="I3" s="13">
        <f t="shared" ref="I3:I8" si="1">I2</f>
        <v>800</v>
      </c>
      <c r="J3" s="13">
        <v>0</v>
      </c>
      <c r="K3" s="14">
        <f t="shared" ref="K3:K8" si="2">K2</f>
        <v>0.85</v>
      </c>
      <c r="L3" s="13">
        <f t="shared" si="0"/>
        <v>680</v>
      </c>
      <c r="M3" s="14"/>
      <c r="N3" s="15">
        <f>L3*(1-M3)</f>
        <v>680</v>
      </c>
      <c r="O3" s="16" t="s">
        <v>30</v>
      </c>
      <c r="P3" s="10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G3" s="12" t="s">
        <v>20</v>
      </c>
    </row>
    <row r="4" spans="1:33" x14ac:dyDescent="0.3">
      <c r="A4" s="48"/>
      <c r="B4" s="34">
        <f t="shared" ref="B4:B8" si="3">B3+1</f>
        <v>45294</v>
      </c>
      <c r="C4" s="40" t="s">
        <v>21</v>
      </c>
      <c r="D4" s="41" t="s">
        <v>17</v>
      </c>
      <c r="E4" s="41" t="s">
        <v>15</v>
      </c>
      <c r="F4" s="41"/>
      <c r="G4" s="41">
        <v>3.9</v>
      </c>
      <c r="H4" s="13"/>
      <c r="I4" s="13">
        <f t="shared" si="1"/>
        <v>800</v>
      </c>
      <c r="J4" s="13">
        <v>0</v>
      </c>
      <c r="K4" s="14">
        <f t="shared" si="2"/>
        <v>0.85</v>
      </c>
      <c r="L4" s="13">
        <f t="shared" si="0"/>
        <v>680</v>
      </c>
      <c r="M4" s="14"/>
      <c r="N4" s="15">
        <f t="shared" ref="N4:N8" si="4">L4*(1-M4)</f>
        <v>680</v>
      </c>
      <c r="O4" s="16" t="s">
        <v>30</v>
      </c>
      <c r="P4" s="10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G4" s="12"/>
    </row>
    <row r="5" spans="1:33" x14ac:dyDescent="0.3">
      <c r="A5" s="48"/>
      <c r="B5" s="34">
        <f t="shared" si="3"/>
        <v>45295</v>
      </c>
      <c r="C5" s="40" t="s">
        <v>23</v>
      </c>
      <c r="D5" s="41" t="s">
        <v>17</v>
      </c>
      <c r="E5" s="41" t="s">
        <v>15</v>
      </c>
      <c r="F5" s="41"/>
      <c r="G5" s="41">
        <v>3.9</v>
      </c>
      <c r="H5" s="13"/>
      <c r="I5" s="13">
        <f t="shared" si="1"/>
        <v>800</v>
      </c>
      <c r="J5" s="13">
        <v>0</v>
      </c>
      <c r="K5" s="14">
        <f t="shared" si="2"/>
        <v>0.85</v>
      </c>
      <c r="L5" s="13">
        <f t="shared" si="0"/>
        <v>680</v>
      </c>
      <c r="M5" s="14"/>
      <c r="N5" s="15">
        <f t="shared" si="4"/>
        <v>680</v>
      </c>
      <c r="O5" s="16" t="s">
        <v>30</v>
      </c>
      <c r="P5" s="10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G5" s="12"/>
    </row>
    <row r="6" spans="1:33" x14ac:dyDescent="0.3">
      <c r="A6" s="48"/>
      <c r="B6" s="34">
        <f t="shared" si="3"/>
        <v>45296</v>
      </c>
      <c r="C6" s="40" t="s">
        <v>24</v>
      </c>
      <c r="D6" s="41" t="s">
        <v>17</v>
      </c>
      <c r="E6" s="41" t="s">
        <v>15</v>
      </c>
      <c r="F6" s="41"/>
      <c r="G6" s="41">
        <v>3.9</v>
      </c>
      <c r="H6" s="13"/>
      <c r="I6" s="13">
        <f t="shared" si="1"/>
        <v>800</v>
      </c>
      <c r="J6" s="13">
        <v>0</v>
      </c>
      <c r="K6" s="14">
        <f t="shared" si="2"/>
        <v>0.85</v>
      </c>
      <c r="L6" s="13">
        <f t="shared" si="0"/>
        <v>680</v>
      </c>
      <c r="M6" s="14"/>
      <c r="N6" s="15">
        <f t="shared" si="4"/>
        <v>680</v>
      </c>
      <c r="O6" s="16" t="s">
        <v>30</v>
      </c>
      <c r="P6" s="10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G6" s="12"/>
    </row>
    <row r="7" spans="1:33" x14ac:dyDescent="0.3">
      <c r="A7" s="48"/>
      <c r="B7" s="34">
        <f t="shared" si="3"/>
        <v>45297</v>
      </c>
      <c r="C7" s="17" t="s">
        <v>25</v>
      </c>
      <c r="D7" s="18" t="s">
        <v>17</v>
      </c>
      <c r="E7" s="18" t="s">
        <v>15</v>
      </c>
      <c r="F7" s="18"/>
      <c r="G7" s="18">
        <v>3.9</v>
      </c>
      <c r="H7" s="18"/>
      <c r="I7" s="18">
        <f t="shared" si="1"/>
        <v>800</v>
      </c>
      <c r="J7" s="18">
        <v>0</v>
      </c>
      <c r="K7" s="30">
        <f t="shared" si="2"/>
        <v>0.85</v>
      </c>
      <c r="L7" s="31">
        <f t="shared" si="0"/>
        <v>680</v>
      </c>
      <c r="M7" s="30"/>
      <c r="N7" s="45">
        <f t="shared" si="4"/>
        <v>680</v>
      </c>
      <c r="O7" s="19" t="s">
        <v>30</v>
      </c>
      <c r="P7" s="10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G7" s="12"/>
    </row>
    <row r="8" spans="1:33" ht="15" thickBot="1" x14ac:dyDescent="0.35">
      <c r="A8" s="49"/>
      <c r="B8" s="35">
        <f t="shared" si="3"/>
        <v>45298</v>
      </c>
      <c r="C8" s="20" t="s">
        <v>26</v>
      </c>
      <c r="D8" s="21" t="s">
        <v>17</v>
      </c>
      <c r="E8" s="21" t="s">
        <v>15</v>
      </c>
      <c r="F8" s="21"/>
      <c r="G8" s="21">
        <v>3.9</v>
      </c>
      <c r="H8" s="21"/>
      <c r="I8" s="21">
        <f t="shared" si="1"/>
        <v>800</v>
      </c>
      <c r="J8" s="21">
        <v>0</v>
      </c>
      <c r="K8" s="32">
        <f t="shared" si="2"/>
        <v>0.85</v>
      </c>
      <c r="L8" s="36">
        <f t="shared" si="0"/>
        <v>680</v>
      </c>
      <c r="M8" s="32"/>
      <c r="N8" s="45">
        <f t="shared" si="4"/>
        <v>680</v>
      </c>
      <c r="O8" s="22" t="s">
        <v>30</v>
      </c>
      <c r="P8" s="10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G8" s="12"/>
    </row>
    <row r="9" spans="1:33" x14ac:dyDescent="0.3">
      <c r="A9" s="47">
        <f>A2+1</f>
        <v>2</v>
      </c>
      <c r="B9" s="33">
        <f>B8+1</f>
        <v>45299</v>
      </c>
      <c r="C9" s="37" t="s">
        <v>16</v>
      </c>
      <c r="D9" s="38" t="s">
        <v>17</v>
      </c>
      <c r="E9" s="39" t="s">
        <v>15</v>
      </c>
      <c r="F9" s="38"/>
      <c r="G9" s="38">
        <v>3.9</v>
      </c>
      <c r="H9" s="38"/>
      <c r="I9" s="38">
        <v>800</v>
      </c>
      <c r="J9" s="38">
        <v>0</v>
      </c>
      <c r="K9" s="43">
        <v>0.85</v>
      </c>
      <c r="L9" s="38">
        <f t="shared" si="0"/>
        <v>680</v>
      </c>
      <c r="M9" s="43"/>
      <c r="N9" s="25">
        <f>L9*(1-M9)</f>
        <v>680</v>
      </c>
      <c r="O9" s="9" t="s">
        <v>30</v>
      </c>
      <c r="P9" s="10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G9" s="12"/>
    </row>
    <row r="10" spans="1:33" x14ac:dyDescent="0.3">
      <c r="A10" s="48"/>
      <c r="B10" s="34">
        <f>B9+1</f>
        <v>45300</v>
      </c>
      <c r="C10" s="40" t="s">
        <v>19</v>
      </c>
      <c r="D10" s="41" t="s">
        <v>17</v>
      </c>
      <c r="E10" s="42" t="s">
        <v>15</v>
      </c>
      <c r="F10" s="41"/>
      <c r="G10" s="41">
        <v>3.9</v>
      </c>
      <c r="H10" s="41"/>
      <c r="I10" s="41">
        <f t="shared" ref="I10:I15" si="5">I9</f>
        <v>800</v>
      </c>
      <c r="J10" s="41">
        <v>0</v>
      </c>
      <c r="K10" s="44">
        <f t="shared" ref="K10:K15" si="6">K9</f>
        <v>0.85</v>
      </c>
      <c r="L10" s="41">
        <f t="shared" si="0"/>
        <v>680</v>
      </c>
      <c r="M10" s="44"/>
      <c r="N10" s="15">
        <f>L10*(1-M10)</f>
        <v>680</v>
      </c>
      <c r="O10" s="16" t="s">
        <v>30</v>
      </c>
      <c r="P10" s="10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G10" s="12" t="s">
        <v>20</v>
      </c>
    </row>
    <row r="11" spans="1:33" x14ac:dyDescent="0.3">
      <c r="A11" s="48"/>
      <c r="B11" s="34">
        <f t="shared" ref="B11:B17" si="7">B10+1</f>
        <v>45301</v>
      </c>
      <c r="C11" s="40" t="s">
        <v>21</v>
      </c>
      <c r="D11" s="41" t="s">
        <v>17</v>
      </c>
      <c r="E11" s="41" t="s">
        <v>15</v>
      </c>
      <c r="F11" s="41"/>
      <c r="G11" s="41">
        <v>3.9</v>
      </c>
      <c r="H11" s="41"/>
      <c r="I11" s="41">
        <f t="shared" si="5"/>
        <v>800</v>
      </c>
      <c r="J11" s="41">
        <v>0</v>
      </c>
      <c r="K11" s="44">
        <f t="shared" si="6"/>
        <v>0.85</v>
      </c>
      <c r="L11" s="41">
        <f t="shared" si="0"/>
        <v>680</v>
      </c>
      <c r="M11" s="44"/>
      <c r="N11" s="15">
        <f t="shared" ref="N11:N15" si="8">L11*(1-M11)</f>
        <v>680</v>
      </c>
      <c r="O11" s="16" t="s">
        <v>30</v>
      </c>
      <c r="P11" s="10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G11" s="12"/>
    </row>
    <row r="12" spans="1:33" x14ac:dyDescent="0.3">
      <c r="A12" s="48"/>
      <c r="B12" s="34">
        <f t="shared" si="7"/>
        <v>45302</v>
      </c>
      <c r="C12" s="40" t="s">
        <v>23</v>
      </c>
      <c r="D12" s="41" t="s">
        <v>17</v>
      </c>
      <c r="E12" s="41" t="s">
        <v>15</v>
      </c>
      <c r="F12" s="41"/>
      <c r="G12" s="41">
        <v>3.9</v>
      </c>
      <c r="H12" s="41"/>
      <c r="I12" s="41">
        <f t="shared" si="5"/>
        <v>800</v>
      </c>
      <c r="J12" s="41">
        <v>0</v>
      </c>
      <c r="K12" s="44">
        <f t="shared" si="6"/>
        <v>0.85</v>
      </c>
      <c r="L12" s="41">
        <f t="shared" si="0"/>
        <v>680</v>
      </c>
      <c r="M12" s="44"/>
      <c r="N12" s="15">
        <f t="shared" si="8"/>
        <v>680</v>
      </c>
      <c r="O12" s="16" t="s">
        <v>30</v>
      </c>
      <c r="P12" s="10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G12" s="12"/>
    </row>
    <row r="13" spans="1:33" x14ac:dyDescent="0.3">
      <c r="A13" s="48"/>
      <c r="B13" s="34">
        <f t="shared" si="7"/>
        <v>45303</v>
      </c>
      <c r="C13" s="40" t="s">
        <v>24</v>
      </c>
      <c r="D13" s="41" t="s">
        <v>17</v>
      </c>
      <c r="E13" s="41" t="s">
        <v>15</v>
      </c>
      <c r="F13" s="41"/>
      <c r="G13" s="41">
        <v>3.9</v>
      </c>
      <c r="H13" s="41"/>
      <c r="I13" s="41">
        <f t="shared" si="5"/>
        <v>800</v>
      </c>
      <c r="J13" s="41">
        <v>0</v>
      </c>
      <c r="K13" s="44">
        <f t="shared" si="6"/>
        <v>0.85</v>
      </c>
      <c r="L13" s="41">
        <f t="shared" si="0"/>
        <v>680</v>
      </c>
      <c r="M13" s="44"/>
      <c r="N13" s="15">
        <f t="shared" si="8"/>
        <v>680</v>
      </c>
      <c r="O13" s="16" t="s">
        <v>30</v>
      </c>
      <c r="P13" s="10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G13" s="12"/>
    </row>
    <row r="14" spans="1:33" x14ac:dyDescent="0.3">
      <c r="A14" s="48"/>
      <c r="B14" s="34">
        <f t="shared" si="7"/>
        <v>45304</v>
      </c>
      <c r="C14" s="17" t="s">
        <v>25</v>
      </c>
      <c r="D14" s="18" t="s">
        <v>17</v>
      </c>
      <c r="E14" s="18" t="s">
        <v>15</v>
      </c>
      <c r="F14" s="18"/>
      <c r="G14" s="18">
        <v>3.9</v>
      </c>
      <c r="H14" s="18"/>
      <c r="I14" s="18">
        <f t="shared" si="5"/>
        <v>800</v>
      </c>
      <c r="J14" s="18">
        <v>0</v>
      </c>
      <c r="K14" s="30">
        <f t="shared" si="6"/>
        <v>0.85</v>
      </c>
      <c r="L14" s="31">
        <f t="shared" si="0"/>
        <v>680</v>
      </c>
      <c r="M14" s="30"/>
      <c r="N14" s="45">
        <f t="shared" si="8"/>
        <v>680</v>
      </c>
      <c r="O14" s="19" t="s">
        <v>30</v>
      </c>
      <c r="P14" s="10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G14" s="12"/>
    </row>
    <row r="15" spans="1:33" ht="15" thickBot="1" x14ac:dyDescent="0.35">
      <c r="A15" s="49"/>
      <c r="B15" s="35">
        <f t="shared" si="7"/>
        <v>45305</v>
      </c>
      <c r="C15" s="20" t="s">
        <v>26</v>
      </c>
      <c r="D15" s="21" t="s">
        <v>17</v>
      </c>
      <c r="E15" s="21" t="s">
        <v>15</v>
      </c>
      <c r="F15" s="21"/>
      <c r="G15" s="21">
        <v>3.9</v>
      </c>
      <c r="H15" s="21"/>
      <c r="I15" s="21">
        <f t="shared" si="5"/>
        <v>800</v>
      </c>
      <c r="J15" s="21">
        <v>0</v>
      </c>
      <c r="K15" s="32">
        <f t="shared" si="6"/>
        <v>0.85</v>
      </c>
      <c r="L15" s="36">
        <f t="shared" si="0"/>
        <v>680</v>
      </c>
      <c r="M15" s="32"/>
      <c r="N15" s="45">
        <f t="shared" si="8"/>
        <v>680</v>
      </c>
      <c r="O15" s="22" t="s">
        <v>30</v>
      </c>
      <c r="P15" s="10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G15" s="12"/>
    </row>
    <row r="16" spans="1:33" x14ac:dyDescent="0.3">
      <c r="A16" s="47">
        <f t="shared" ref="A16" si="9">A9+1</f>
        <v>3</v>
      </c>
      <c r="B16" s="33">
        <f t="shared" si="7"/>
        <v>45306</v>
      </c>
      <c r="C16" s="37" t="s">
        <v>16</v>
      </c>
      <c r="D16" s="38" t="s">
        <v>17</v>
      </c>
      <c r="E16" s="39" t="s">
        <v>15</v>
      </c>
      <c r="F16" s="38"/>
      <c r="G16" s="38">
        <v>3.9</v>
      </c>
      <c r="H16" s="38"/>
      <c r="I16" s="38">
        <v>800</v>
      </c>
      <c r="J16" s="38">
        <v>0</v>
      </c>
      <c r="K16" s="43">
        <v>0.85</v>
      </c>
      <c r="L16" s="38">
        <f t="shared" si="0"/>
        <v>680</v>
      </c>
      <c r="M16" s="43"/>
      <c r="N16" s="25">
        <f>L16*(1-M16)</f>
        <v>680</v>
      </c>
      <c r="O16" s="9" t="s">
        <v>30</v>
      </c>
      <c r="P16" s="10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G16" s="12"/>
    </row>
    <row r="17" spans="1:33" x14ac:dyDescent="0.3">
      <c r="A17" s="48"/>
      <c r="B17" s="34">
        <f t="shared" si="7"/>
        <v>45307</v>
      </c>
      <c r="C17" s="40" t="s">
        <v>19</v>
      </c>
      <c r="D17" s="41" t="s">
        <v>17</v>
      </c>
      <c r="E17" s="42" t="s">
        <v>15</v>
      </c>
      <c r="F17" s="41"/>
      <c r="G17" s="41">
        <v>3.9</v>
      </c>
      <c r="H17" s="41"/>
      <c r="I17" s="41">
        <f t="shared" ref="I17:I22" si="10">I16</f>
        <v>800</v>
      </c>
      <c r="J17" s="41">
        <v>0</v>
      </c>
      <c r="K17" s="44">
        <f t="shared" ref="K17:K22" si="11">K16</f>
        <v>0.85</v>
      </c>
      <c r="L17" s="41">
        <f t="shared" si="0"/>
        <v>680</v>
      </c>
      <c r="M17" s="44"/>
      <c r="N17" s="15">
        <f>L17*(1-M17)</f>
        <v>680</v>
      </c>
      <c r="O17" s="16" t="s">
        <v>30</v>
      </c>
      <c r="P17" s="10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G17" s="12" t="s">
        <v>20</v>
      </c>
    </row>
    <row r="18" spans="1:33" x14ac:dyDescent="0.3">
      <c r="A18" s="48"/>
      <c r="B18" s="34">
        <f t="shared" ref="B18:B80" si="12">B17+1</f>
        <v>45308</v>
      </c>
      <c r="C18" s="40" t="s">
        <v>21</v>
      </c>
      <c r="D18" s="41" t="s">
        <v>17</v>
      </c>
      <c r="E18" s="41" t="s">
        <v>15</v>
      </c>
      <c r="F18" s="41"/>
      <c r="G18" s="41">
        <v>3.9</v>
      </c>
      <c r="H18" s="41"/>
      <c r="I18" s="41">
        <f t="shared" si="10"/>
        <v>800</v>
      </c>
      <c r="J18" s="41">
        <v>0</v>
      </c>
      <c r="K18" s="44">
        <f t="shared" si="11"/>
        <v>0.85</v>
      </c>
      <c r="L18" s="41">
        <f t="shared" si="0"/>
        <v>680</v>
      </c>
      <c r="M18" s="44"/>
      <c r="N18" s="15">
        <f t="shared" ref="N18:N22" si="13">L18*(1-M18)</f>
        <v>680</v>
      </c>
      <c r="O18" s="16" t="s">
        <v>30</v>
      </c>
      <c r="P18" s="10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G18" s="12"/>
    </row>
    <row r="19" spans="1:33" x14ac:dyDescent="0.3">
      <c r="A19" s="48"/>
      <c r="B19" s="34">
        <f t="shared" si="12"/>
        <v>45309</v>
      </c>
      <c r="C19" s="40" t="s">
        <v>23</v>
      </c>
      <c r="D19" s="41" t="s">
        <v>17</v>
      </c>
      <c r="E19" s="41" t="s">
        <v>15</v>
      </c>
      <c r="F19" s="41"/>
      <c r="G19" s="41">
        <v>3.9</v>
      </c>
      <c r="H19" s="41"/>
      <c r="I19" s="41">
        <f t="shared" si="10"/>
        <v>800</v>
      </c>
      <c r="J19" s="41">
        <v>0</v>
      </c>
      <c r="K19" s="44">
        <f t="shared" si="11"/>
        <v>0.85</v>
      </c>
      <c r="L19" s="41">
        <f t="shared" si="0"/>
        <v>680</v>
      </c>
      <c r="M19" s="44"/>
      <c r="N19" s="15">
        <f t="shared" si="13"/>
        <v>680</v>
      </c>
      <c r="O19" s="16" t="s">
        <v>30</v>
      </c>
      <c r="P19" s="10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G19" s="12"/>
    </row>
    <row r="20" spans="1:33" x14ac:dyDescent="0.3">
      <c r="A20" s="48"/>
      <c r="B20" s="34">
        <f t="shared" si="12"/>
        <v>45310</v>
      </c>
      <c r="C20" s="40" t="s">
        <v>24</v>
      </c>
      <c r="D20" s="41" t="s">
        <v>17</v>
      </c>
      <c r="E20" s="41" t="s">
        <v>15</v>
      </c>
      <c r="F20" s="41"/>
      <c r="G20" s="41">
        <v>3.9</v>
      </c>
      <c r="H20" s="41"/>
      <c r="I20" s="41">
        <f t="shared" si="10"/>
        <v>800</v>
      </c>
      <c r="J20" s="41">
        <v>0</v>
      </c>
      <c r="K20" s="44">
        <f t="shared" si="11"/>
        <v>0.85</v>
      </c>
      <c r="L20" s="41">
        <f t="shared" si="0"/>
        <v>680</v>
      </c>
      <c r="M20" s="44"/>
      <c r="N20" s="15">
        <f t="shared" si="13"/>
        <v>680</v>
      </c>
      <c r="O20" s="16" t="s">
        <v>30</v>
      </c>
      <c r="P20" s="10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G20" s="12"/>
    </row>
    <row r="21" spans="1:33" x14ac:dyDescent="0.3">
      <c r="A21" s="48"/>
      <c r="B21" s="34">
        <f t="shared" si="12"/>
        <v>45311</v>
      </c>
      <c r="C21" s="17" t="s">
        <v>25</v>
      </c>
      <c r="D21" s="18" t="s">
        <v>17</v>
      </c>
      <c r="E21" s="18" t="s">
        <v>15</v>
      </c>
      <c r="F21" s="18"/>
      <c r="G21" s="18">
        <v>3.9</v>
      </c>
      <c r="H21" s="18"/>
      <c r="I21" s="18">
        <f t="shared" si="10"/>
        <v>800</v>
      </c>
      <c r="J21" s="18">
        <v>0</v>
      </c>
      <c r="K21" s="30">
        <f t="shared" si="11"/>
        <v>0.85</v>
      </c>
      <c r="L21" s="31">
        <f t="shared" si="0"/>
        <v>680</v>
      </c>
      <c r="M21" s="30"/>
      <c r="N21" s="45">
        <f t="shared" si="13"/>
        <v>680</v>
      </c>
      <c r="O21" s="19" t="s">
        <v>30</v>
      </c>
      <c r="P21" s="10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G21" s="12"/>
    </row>
    <row r="22" spans="1:33" ht="15" thickBot="1" x14ac:dyDescent="0.35">
      <c r="A22" s="49"/>
      <c r="B22" s="35">
        <f t="shared" si="12"/>
        <v>45312</v>
      </c>
      <c r="C22" s="20" t="s">
        <v>26</v>
      </c>
      <c r="D22" s="21" t="s">
        <v>17</v>
      </c>
      <c r="E22" s="21" t="s">
        <v>15</v>
      </c>
      <c r="F22" s="21"/>
      <c r="G22" s="21">
        <v>3.9</v>
      </c>
      <c r="H22" s="21"/>
      <c r="I22" s="21">
        <f t="shared" si="10"/>
        <v>800</v>
      </c>
      <c r="J22" s="21">
        <v>0</v>
      </c>
      <c r="K22" s="32">
        <f t="shared" si="11"/>
        <v>0.85</v>
      </c>
      <c r="L22" s="36">
        <f t="shared" si="0"/>
        <v>680</v>
      </c>
      <c r="M22" s="32"/>
      <c r="N22" s="45">
        <f t="shared" si="13"/>
        <v>680</v>
      </c>
      <c r="O22" s="22" t="s">
        <v>30</v>
      </c>
      <c r="P22" s="10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G22" s="12"/>
    </row>
    <row r="23" spans="1:33" x14ac:dyDescent="0.3">
      <c r="A23" s="47">
        <f t="shared" ref="A23" si="14">A16+1</f>
        <v>4</v>
      </c>
      <c r="B23" s="33">
        <f t="shared" si="12"/>
        <v>45313</v>
      </c>
      <c r="C23" s="37" t="s">
        <v>16</v>
      </c>
      <c r="D23" s="38" t="s">
        <v>17</v>
      </c>
      <c r="E23" s="39" t="s">
        <v>15</v>
      </c>
      <c r="F23" s="38"/>
      <c r="G23" s="38">
        <v>4.9000000000000004</v>
      </c>
      <c r="H23" s="38"/>
      <c r="I23" s="38">
        <v>800</v>
      </c>
      <c r="J23" s="38">
        <v>0</v>
      </c>
      <c r="K23" s="43">
        <v>0.85</v>
      </c>
      <c r="L23" s="38">
        <f t="shared" si="0"/>
        <v>680</v>
      </c>
      <c r="M23" s="43"/>
      <c r="N23" s="25">
        <f>L23*(1-M23)</f>
        <v>680</v>
      </c>
      <c r="O23" s="9" t="s">
        <v>30</v>
      </c>
      <c r="P23" s="10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G23" s="12"/>
    </row>
    <row r="24" spans="1:33" x14ac:dyDescent="0.3">
      <c r="A24" s="48"/>
      <c r="B24" s="34">
        <f t="shared" si="12"/>
        <v>45314</v>
      </c>
      <c r="C24" s="40" t="s">
        <v>19</v>
      </c>
      <c r="D24" s="41" t="s">
        <v>17</v>
      </c>
      <c r="E24" s="42" t="s">
        <v>15</v>
      </c>
      <c r="F24" s="41"/>
      <c r="G24" s="41">
        <v>4.9000000000000004</v>
      </c>
      <c r="H24" s="41"/>
      <c r="I24" s="41">
        <f t="shared" ref="I24:I29" si="15">I23</f>
        <v>800</v>
      </c>
      <c r="J24" s="41">
        <v>0</v>
      </c>
      <c r="K24" s="44">
        <f t="shared" ref="K24:K29" si="16">K23</f>
        <v>0.85</v>
      </c>
      <c r="L24" s="41">
        <f t="shared" si="0"/>
        <v>680</v>
      </c>
      <c r="M24" s="44"/>
      <c r="N24" s="15">
        <f>L24*(1-M24)</f>
        <v>680</v>
      </c>
      <c r="O24" s="16" t="s">
        <v>30</v>
      </c>
      <c r="P24" s="10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G24" s="12" t="s">
        <v>20</v>
      </c>
    </row>
    <row r="25" spans="1:33" x14ac:dyDescent="0.3">
      <c r="A25" s="48"/>
      <c r="B25" s="34">
        <f t="shared" si="12"/>
        <v>45315</v>
      </c>
      <c r="C25" s="40" t="s">
        <v>21</v>
      </c>
      <c r="D25" s="41" t="s">
        <v>17</v>
      </c>
      <c r="E25" s="41" t="s">
        <v>15</v>
      </c>
      <c r="F25" s="41"/>
      <c r="G25" s="41">
        <v>4.9000000000000004</v>
      </c>
      <c r="H25" s="41"/>
      <c r="I25" s="41">
        <f t="shared" si="15"/>
        <v>800</v>
      </c>
      <c r="J25" s="41">
        <v>0</v>
      </c>
      <c r="K25" s="44">
        <f t="shared" si="16"/>
        <v>0.85</v>
      </c>
      <c r="L25" s="41">
        <f t="shared" si="0"/>
        <v>680</v>
      </c>
      <c r="M25" s="44"/>
      <c r="N25" s="15">
        <f t="shared" ref="N25:N88" si="17">L25*(1-M25)</f>
        <v>680</v>
      </c>
      <c r="O25" s="16" t="s">
        <v>30</v>
      </c>
      <c r="P25" s="10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G25" s="12"/>
    </row>
    <row r="26" spans="1:33" x14ac:dyDescent="0.3">
      <c r="A26" s="48"/>
      <c r="B26" s="34">
        <f t="shared" si="12"/>
        <v>45316</v>
      </c>
      <c r="C26" s="40" t="s">
        <v>23</v>
      </c>
      <c r="D26" s="41" t="s">
        <v>17</v>
      </c>
      <c r="E26" s="41" t="s">
        <v>15</v>
      </c>
      <c r="F26" s="41"/>
      <c r="G26" s="41">
        <v>4.9000000000000004</v>
      </c>
      <c r="H26" s="41"/>
      <c r="I26" s="41">
        <f t="shared" si="15"/>
        <v>800</v>
      </c>
      <c r="J26" s="41">
        <v>0</v>
      </c>
      <c r="K26" s="44">
        <f t="shared" si="16"/>
        <v>0.85</v>
      </c>
      <c r="L26" s="41">
        <f t="shared" si="0"/>
        <v>680</v>
      </c>
      <c r="M26" s="44"/>
      <c r="N26" s="15">
        <f t="shared" si="17"/>
        <v>680</v>
      </c>
      <c r="O26" s="16" t="s">
        <v>30</v>
      </c>
      <c r="P26" s="10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G26" s="12"/>
    </row>
    <row r="27" spans="1:33" x14ac:dyDescent="0.3">
      <c r="A27" s="48"/>
      <c r="B27" s="34">
        <f t="shared" si="12"/>
        <v>45317</v>
      </c>
      <c r="C27" s="40" t="s">
        <v>24</v>
      </c>
      <c r="D27" s="41" t="s">
        <v>17</v>
      </c>
      <c r="E27" s="41" t="s">
        <v>15</v>
      </c>
      <c r="F27" s="41"/>
      <c r="G27" s="41">
        <v>4.9000000000000004</v>
      </c>
      <c r="H27" s="41"/>
      <c r="I27" s="41">
        <f t="shared" si="15"/>
        <v>800</v>
      </c>
      <c r="J27" s="41">
        <v>0</v>
      </c>
      <c r="K27" s="44">
        <f t="shared" si="16"/>
        <v>0.85</v>
      </c>
      <c r="L27" s="41">
        <f t="shared" si="0"/>
        <v>680</v>
      </c>
      <c r="M27" s="44"/>
      <c r="N27" s="15">
        <f t="shared" si="17"/>
        <v>680</v>
      </c>
      <c r="O27" s="16" t="s">
        <v>30</v>
      </c>
      <c r="P27" s="10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G27" s="12"/>
    </row>
    <row r="28" spans="1:33" x14ac:dyDescent="0.3">
      <c r="A28" s="48"/>
      <c r="B28" s="34">
        <f t="shared" si="12"/>
        <v>45318</v>
      </c>
      <c r="C28" s="17" t="s">
        <v>25</v>
      </c>
      <c r="D28" s="18" t="s">
        <v>17</v>
      </c>
      <c r="E28" s="18" t="s">
        <v>15</v>
      </c>
      <c r="F28" s="18"/>
      <c r="G28" s="18">
        <v>4.9000000000000004</v>
      </c>
      <c r="H28" s="18"/>
      <c r="I28" s="18">
        <f t="shared" si="15"/>
        <v>800</v>
      </c>
      <c r="J28" s="18">
        <v>0</v>
      </c>
      <c r="K28" s="30">
        <f t="shared" si="16"/>
        <v>0.85</v>
      </c>
      <c r="L28" s="31">
        <f t="shared" si="0"/>
        <v>680</v>
      </c>
      <c r="M28" s="30"/>
      <c r="N28" s="45">
        <f t="shared" si="17"/>
        <v>680</v>
      </c>
      <c r="O28" s="19" t="s">
        <v>30</v>
      </c>
      <c r="P28" s="10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G28" s="12"/>
    </row>
    <row r="29" spans="1:33" ht="15" thickBot="1" x14ac:dyDescent="0.35">
      <c r="A29" s="49"/>
      <c r="B29" s="35">
        <f t="shared" si="12"/>
        <v>45319</v>
      </c>
      <c r="C29" s="20" t="s">
        <v>26</v>
      </c>
      <c r="D29" s="21" t="s">
        <v>17</v>
      </c>
      <c r="E29" s="21" t="s">
        <v>15</v>
      </c>
      <c r="F29" s="21"/>
      <c r="G29" s="21">
        <v>4.9000000000000004</v>
      </c>
      <c r="H29" s="21"/>
      <c r="I29" s="21">
        <f t="shared" si="15"/>
        <v>800</v>
      </c>
      <c r="J29" s="21">
        <v>0</v>
      </c>
      <c r="K29" s="32">
        <f t="shared" si="16"/>
        <v>0.85</v>
      </c>
      <c r="L29" s="36">
        <f t="shared" si="0"/>
        <v>680</v>
      </c>
      <c r="M29" s="32"/>
      <c r="N29" s="45">
        <f t="shared" si="17"/>
        <v>680</v>
      </c>
      <c r="O29" s="22" t="s">
        <v>30</v>
      </c>
      <c r="P29" s="10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G29" s="12"/>
    </row>
    <row r="30" spans="1:33" x14ac:dyDescent="0.3">
      <c r="A30" s="47">
        <f t="shared" ref="A30" si="18">A23+1</f>
        <v>5</v>
      </c>
      <c r="B30" s="33">
        <f t="shared" si="12"/>
        <v>45320</v>
      </c>
      <c r="C30" s="37" t="s">
        <v>16</v>
      </c>
      <c r="D30" s="38" t="s">
        <v>17</v>
      </c>
      <c r="E30" s="39" t="s">
        <v>15</v>
      </c>
      <c r="F30" s="38"/>
      <c r="G30" s="38">
        <v>5.9</v>
      </c>
      <c r="H30" s="38"/>
      <c r="I30" s="38">
        <v>800</v>
      </c>
      <c r="J30" s="38">
        <v>0</v>
      </c>
      <c r="K30" s="43">
        <v>0.85</v>
      </c>
      <c r="L30" s="38">
        <f t="shared" si="0"/>
        <v>680</v>
      </c>
      <c r="M30" s="43"/>
      <c r="N30" s="25">
        <f t="shared" si="17"/>
        <v>680</v>
      </c>
      <c r="O30" s="9" t="s">
        <v>30</v>
      </c>
    </row>
    <row r="31" spans="1:33" x14ac:dyDescent="0.3">
      <c r="A31" s="48"/>
      <c r="B31" s="34">
        <f t="shared" si="12"/>
        <v>45321</v>
      </c>
      <c r="C31" s="40" t="s">
        <v>19</v>
      </c>
      <c r="D31" s="41" t="s">
        <v>17</v>
      </c>
      <c r="E31" s="42" t="s">
        <v>15</v>
      </c>
      <c r="F31" s="41"/>
      <c r="G31" s="41">
        <v>5.9</v>
      </c>
      <c r="H31" s="41"/>
      <c r="I31" s="41">
        <f t="shared" ref="I31:I36" si="19">I30</f>
        <v>800</v>
      </c>
      <c r="J31" s="41">
        <v>0</v>
      </c>
      <c r="K31" s="44">
        <f t="shared" ref="K31:K36" si="20">K30</f>
        <v>0.85</v>
      </c>
      <c r="L31" s="41">
        <f t="shared" si="0"/>
        <v>680</v>
      </c>
      <c r="M31" s="44"/>
      <c r="N31" s="15">
        <f t="shared" si="17"/>
        <v>680</v>
      </c>
      <c r="O31" s="16" t="s">
        <v>30</v>
      </c>
    </row>
    <row r="32" spans="1:33" x14ac:dyDescent="0.3">
      <c r="A32" s="48"/>
      <c r="B32" s="34">
        <f t="shared" si="12"/>
        <v>45322</v>
      </c>
      <c r="C32" s="40" t="s">
        <v>21</v>
      </c>
      <c r="D32" s="41" t="s">
        <v>17</v>
      </c>
      <c r="E32" s="41" t="s">
        <v>15</v>
      </c>
      <c r="F32" s="41"/>
      <c r="G32" s="41">
        <v>5.9</v>
      </c>
      <c r="H32" s="41"/>
      <c r="I32" s="41">
        <f t="shared" si="19"/>
        <v>800</v>
      </c>
      <c r="J32" s="41">
        <v>0</v>
      </c>
      <c r="K32" s="44">
        <f t="shared" si="20"/>
        <v>0.85</v>
      </c>
      <c r="L32" s="41">
        <f t="shared" si="0"/>
        <v>680</v>
      </c>
      <c r="M32" s="44"/>
      <c r="N32" s="15">
        <f t="shared" si="17"/>
        <v>680</v>
      </c>
      <c r="O32" s="16" t="s">
        <v>30</v>
      </c>
    </row>
    <row r="33" spans="1:15" x14ac:dyDescent="0.3">
      <c r="A33" s="48"/>
      <c r="B33" s="34">
        <f t="shared" si="12"/>
        <v>45323</v>
      </c>
      <c r="C33" s="40" t="s">
        <v>23</v>
      </c>
      <c r="D33" s="41" t="s">
        <v>17</v>
      </c>
      <c r="E33" s="41" t="s">
        <v>15</v>
      </c>
      <c r="F33" s="41"/>
      <c r="G33" s="41">
        <v>5.9</v>
      </c>
      <c r="H33" s="41"/>
      <c r="I33" s="41">
        <f t="shared" si="19"/>
        <v>800</v>
      </c>
      <c r="J33" s="41">
        <v>0</v>
      </c>
      <c r="K33" s="44">
        <f t="shared" si="20"/>
        <v>0.85</v>
      </c>
      <c r="L33" s="41">
        <f t="shared" si="0"/>
        <v>680</v>
      </c>
      <c r="M33" s="44"/>
      <c r="N33" s="15">
        <f t="shared" si="17"/>
        <v>680</v>
      </c>
      <c r="O33" s="16" t="s">
        <v>30</v>
      </c>
    </row>
    <row r="34" spans="1:15" x14ac:dyDescent="0.3">
      <c r="A34" s="48"/>
      <c r="B34" s="34">
        <f t="shared" si="12"/>
        <v>45324</v>
      </c>
      <c r="C34" s="40" t="s">
        <v>24</v>
      </c>
      <c r="D34" s="41" t="s">
        <v>17</v>
      </c>
      <c r="E34" s="41" t="s">
        <v>15</v>
      </c>
      <c r="F34" s="41"/>
      <c r="G34" s="41">
        <v>5.9</v>
      </c>
      <c r="H34" s="41"/>
      <c r="I34" s="41">
        <f t="shared" si="19"/>
        <v>800</v>
      </c>
      <c r="J34" s="41">
        <v>0</v>
      </c>
      <c r="K34" s="44">
        <f t="shared" si="20"/>
        <v>0.85</v>
      </c>
      <c r="L34" s="41">
        <f t="shared" si="0"/>
        <v>680</v>
      </c>
      <c r="M34" s="44"/>
      <c r="N34" s="15">
        <f t="shared" si="17"/>
        <v>680</v>
      </c>
      <c r="O34" s="16" t="s">
        <v>30</v>
      </c>
    </row>
    <row r="35" spans="1:15" x14ac:dyDescent="0.3">
      <c r="A35" s="48"/>
      <c r="B35" s="34">
        <f t="shared" si="12"/>
        <v>45325</v>
      </c>
      <c r="C35" s="17" t="s">
        <v>25</v>
      </c>
      <c r="D35" s="18" t="s">
        <v>17</v>
      </c>
      <c r="E35" s="18" t="s">
        <v>15</v>
      </c>
      <c r="F35" s="18"/>
      <c r="G35" s="18">
        <v>5.9</v>
      </c>
      <c r="H35" s="18"/>
      <c r="I35" s="18">
        <f t="shared" si="19"/>
        <v>800</v>
      </c>
      <c r="J35" s="18">
        <v>0</v>
      </c>
      <c r="K35" s="30">
        <f t="shared" si="20"/>
        <v>0.85</v>
      </c>
      <c r="L35" s="31">
        <f t="shared" si="0"/>
        <v>680</v>
      </c>
      <c r="M35" s="30"/>
      <c r="N35" s="45">
        <f t="shared" si="17"/>
        <v>680</v>
      </c>
      <c r="O35" s="19" t="s">
        <v>30</v>
      </c>
    </row>
    <row r="36" spans="1:15" ht="15" thickBot="1" x14ac:dyDescent="0.35">
      <c r="A36" s="49"/>
      <c r="B36" s="35">
        <f t="shared" si="12"/>
        <v>45326</v>
      </c>
      <c r="C36" s="20" t="s">
        <v>26</v>
      </c>
      <c r="D36" s="21" t="s">
        <v>17</v>
      </c>
      <c r="E36" s="21" t="s">
        <v>15</v>
      </c>
      <c r="F36" s="21"/>
      <c r="G36" s="21">
        <v>5.9</v>
      </c>
      <c r="H36" s="21"/>
      <c r="I36" s="21">
        <f t="shared" si="19"/>
        <v>800</v>
      </c>
      <c r="J36" s="21">
        <v>0</v>
      </c>
      <c r="K36" s="32">
        <f t="shared" si="20"/>
        <v>0.85</v>
      </c>
      <c r="L36" s="36">
        <f t="shared" si="0"/>
        <v>680</v>
      </c>
      <c r="M36" s="32"/>
      <c r="N36" s="45">
        <f t="shared" si="17"/>
        <v>680</v>
      </c>
      <c r="O36" s="22" t="s">
        <v>30</v>
      </c>
    </row>
    <row r="37" spans="1:15" x14ac:dyDescent="0.3">
      <c r="A37" s="47">
        <f t="shared" ref="A37" si="21">A30+1</f>
        <v>6</v>
      </c>
      <c r="B37" s="33">
        <f t="shared" si="12"/>
        <v>45327</v>
      </c>
      <c r="C37" s="37" t="s">
        <v>16</v>
      </c>
      <c r="D37" s="38" t="s">
        <v>17</v>
      </c>
      <c r="E37" s="39" t="s">
        <v>15</v>
      </c>
      <c r="F37" s="38"/>
      <c r="G37" s="38">
        <v>8</v>
      </c>
      <c r="H37" s="38"/>
      <c r="I37" s="38">
        <v>800</v>
      </c>
      <c r="J37" s="38">
        <v>0</v>
      </c>
      <c r="K37" s="43">
        <v>0.85</v>
      </c>
      <c r="L37" s="38">
        <f t="shared" si="0"/>
        <v>680</v>
      </c>
      <c r="M37" s="43"/>
      <c r="N37" s="25">
        <f t="shared" si="17"/>
        <v>680</v>
      </c>
      <c r="O37" s="9" t="s">
        <v>30</v>
      </c>
    </row>
    <row r="38" spans="1:15" x14ac:dyDescent="0.3">
      <c r="A38" s="48"/>
      <c r="B38" s="34">
        <f t="shared" si="12"/>
        <v>45328</v>
      </c>
      <c r="C38" s="40" t="s">
        <v>19</v>
      </c>
      <c r="D38" s="41" t="s">
        <v>17</v>
      </c>
      <c r="E38" s="42" t="s">
        <v>15</v>
      </c>
      <c r="F38" s="41"/>
      <c r="G38" s="41">
        <v>8</v>
      </c>
      <c r="H38" s="41"/>
      <c r="I38" s="41">
        <f t="shared" ref="I38:I43" si="22">I37</f>
        <v>800</v>
      </c>
      <c r="J38" s="41">
        <v>0</v>
      </c>
      <c r="K38" s="44">
        <f t="shared" ref="K38:K43" si="23">K37</f>
        <v>0.85</v>
      </c>
      <c r="L38" s="41">
        <f t="shared" si="0"/>
        <v>680</v>
      </c>
      <c r="M38" s="44"/>
      <c r="N38" s="15">
        <f t="shared" si="17"/>
        <v>680</v>
      </c>
      <c r="O38" s="16" t="s">
        <v>30</v>
      </c>
    </row>
    <row r="39" spans="1:15" x14ac:dyDescent="0.3">
      <c r="A39" s="48"/>
      <c r="B39" s="34">
        <f t="shared" si="12"/>
        <v>45329</v>
      </c>
      <c r="C39" s="40" t="s">
        <v>21</v>
      </c>
      <c r="D39" s="41" t="s">
        <v>17</v>
      </c>
      <c r="E39" s="41" t="s">
        <v>15</v>
      </c>
      <c r="F39" s="41"/>
      <c r="G39" s="41">
        <v>8</v>
      </c>
      <c r="H39" s="41"/>
      <c r="I39" s="41">
        <f t="shared" si="22"/>
        <v>800</v>
      </c>
      <c r="J39" s="41">
        <v>0</v>
      </c>
      <c r="K39" s="44">
        <f t="shared" si="23"/>
        <v>0.85</v>
      </c>
      <c r="L39" s="41">
        <f t="shared" si="0"/>
        <v>680</v>
      </c>
      <c r="M39" s="44"/>
      <c r="N39" s="15">
        <f t="shared" si="17"/>
        <v>680</v>
      </c>
      <c r="O39" s="16" t="s">
        <v>30</v>
      </c>
    </row>
    <row r="40" spans="1:15" x14ac:dyDescent="0.3">
      <c r="A40" s="48"/>
      <c r="B40" s="34">
        <f t="shared" si="12"/>
        <v>45330</v>
      </c>
      <c r="C40" s="40" t="s">
        <v>23</v>
      </c>
      <c r="D40" s="41" t="s">
        <v>17</v>
      </c>
      <c r="E40" s="41" t="s">
        <v>15</v>
      </c>
      <c r="F40" s="41"/>
      <c r="G40" s="41">
        <v>8</v>
      </c>
      <c r="H40" s="41"/>
      <c r="I40" s="41">
        <f t="shared" si="22"/>
        <v>800</v>
      </c>
      <c r="J40" s="41">
        <v>0</v>
      </c>
      <c r="K40" s="44">
        <f t="shared" si="23"/>
        <v>0.85</v>
      </c>
      <c r="L40" s="41">
        <f t="shared" si="0"/>
        <v>680</v>
      </c>
      <c r="M40" s="44"/>
      <c r="N40" s="15">
        <f t="shared" si="17"/>
        <v>680</v>
      </c>
      <c r="O40" s="16" t="s">
        <v>30</v>
      </c>
    </row>
    <row r="41" spans="1:15" x14ac:dyDescent="0.3">
      <c r="A41" s="48"/>
      <c r="B41" s="34">
        <f t="shared" si="12"/>
        <v>45331</v>
      </c>
      <c r="C41" s="40" t="s">
        <v>24</v>
      </c>
      <c r="D41" s="41" t="s">
        <v>17</v>
      </c>
      <c r="E41" s="41" t="s">
        <v>15</v>
      </c>
      <c r="F41" s="41"/>
      <c r="G41" s="41">
        <v>8</v>
      </c>
      <c r="H41" s="41"/>
      <c r="I41" s="41">
        <f t="shared" si="22"/>
        <v>800</v>
      </c>
      <c r="J41" s="41">
        <v>0</v>
      </c>
      <c r="K41" s="44">
        <f t="shared" si="23"/>
        <v>0.85</v>
      </c>
      <c r="L41" s="41">
        <f t="shared" si="0"/>
        <v>680</v>
      </c>
      <c r="M41" s="44"/>
      <c r="N41" s="15">
        <f t="shared" si="17"/>
        <v>680</v>
      </c>
      <c r="O41" s="16" t="s">
        <v>30</v>
      </c>
    </row>
    <row r="42" spans="1:15" x14ac:dyDescent="0.3">
      <c r="A42" s="48"/>
      <c r="B42" s="34">
        <f t="shared" si="12"/>
        <v>45332</v>
      </c>
      <c r="C42" s="17" t="s">
        <v>25</v>
      </c>
      <c r="D42" s="18" t="s">
        <v>17</v>
      </c>
      <c r="E42" s="18" t="s">
        <v>15</v>
      </c>
      <c r="F42" s="18"/>
      <c r="G42" s="18">
        <v>8</v>
      </c>
      <c r="H42" s="18"/>
      <c r="I42" s="18">
        <f t="shared" si="22"/>
        <v>800</v>
      </c>
      <c r="J42" s="18">
        <v>0</v>
      </c>
      <c r="K42" s="30">
        <f t="shared" si="23"/>
        <v>0.85</v>
      </c>
      <c r="L42" s="31">
        <f t="shared" si="0"/>
        <v>680</v>
      </c>
      <c r="M42" s="30"/>
      <c r="N42" s="45">
        <f t="shared" si="17"/>
        <v>680</v>
      </c>
      <c r="O42" s="19" t="s">
        <v>30</v>
      </c>
    </row>
    <row r="43" spans="1:15" ht="15" thickBot="1" x14ac:dyDescent="0.35">
      <c r="A43" s="49"/>
      <c r="B43" s="35">
        <f t="shared" si="12"/>
        <v>45333</v>
      </c>
      <c r="C43" s="20" t="s">
        <v>26</v>
      </c>
      <c r="D43" s="21" t="s">
        <v>17</v>
      </c>
      <c r="E43" s="21" t="s">
        <v>15</v>
      </c>
      <c r="F43" s="21"/>
      <c r="G43" s="21">
        <v>8</v>
      </c>
      <c r="H43" s="21"/>
      <c r="I43" s="21">
        <f t="shared" si="22"/>
        <v>800</v>
      </c>
      <c r="J43" s="21">
        <v>0</v>
      </c>
      <c r="K43" s="32">
        <f t="shared" si="23"/>
        <v>0.85</v>
      </c>
      <c r="L43" s="36">
        <f t="shared" si="0"/>
        <v>680</v>
      </c>
      <c r="M43" s="32"/>
      <c r="N43" s="45">
        <f t="shared" si="17"/>
        <v>680</v>
      </c>
      <c r="O43" s="22" t="s">
        <v>30</v>
      </c>
    </row>
    <row r="44" spans="1:15" x14ac:dyDescent="0.3">
      <c r="A44" s="47">
        <f t="shared" ref="A44" si="24">A37+1</f>
        <v>7</v>
      </c>
      <c r="B44" s="33">
        <f t="shared" si="12"/>
        <v>45334</v>
      </c>
      <c r="C44" s="37" t="s">
        <v>16</v>
      </c>
      <c r="D44" s="38" t="s">
        <v>17</v>
      </c>
      <c r="E44" s="39" t="s">
        <v>15</v>
      </c>
      <c r="F44" s="38"/>
      <c r="G44" s="38">
        <v>10</v>
      </c>
      <c r="H44" s="38"/>
      <c r="I44" s="38">
        <v>800</v>
      </c>
      <c r="J44" s="38">
        <v>0</v>
      </c>
      <c r="K44" s="43">
        <v>0.85</v>
      </c>
      <c r="L44" s="38">
        <f t="shared" si="0"/>
        <v>680</v>
      </c>
      <c r="M44" s="43"/>
      <c r="N44" s="25">
        <f t="shared" si="17"/>
        <v>680</v>
      </c>
      <c r="O44" s="9" t="s">
        <v>30</v>
      </c>
    </row>
    <row r="45" spans="1:15" x14ac:dyDescent="0.3">
      <c r="A45" s="48"/>
      <c r="B45" s="34">
        <f t="shared" si="12"/>
        <v>45335</v>
      </c>
      <c r="C45" s="40" t="s">
        <v>19</v>
      </c>
      <c r="D45" s="41" t="s">
        <v>17</v>
      </c>
      <c r="E45" s="42" t="s">
        <v>15</v>
      </c>
      <c r="F45" s="41"/>
      <c r="G45" s="41">
        <v>10</v>
      </c>
      <c r="H45" s="41"/>
      <c r="I45" s="41">
        <f t="shared" ref="I45:I50" si="25">I44</f>
        <v>800</v>
      </c>
      <c r="J45" s="41">
        <v>0</v>
      </c>
      <c r="K45" s="44">
        <f t="shared" ref="K45:K50" si="26">K44</f>
        <v>0.85</v>
      </c>
      <c r="L45" s="41">
        <f t="shared" si="0"/>
        <v>680</v>
      </c>
      <c r="M45" s="44"/>
      <c r="N45" s="15">
        <f t="shared" si="17"/>
        <v>680</v>
      </c>
      <c r="O45" s="16" t="s">
        <v>30</v>
      </c>
    </row>
    <row r="46" spans="1:15" x14ac:dyDescent="0.3">
      <c r="A46" s="48"/>
      <c r="B46" s="34">
        <f t="shared" si="12"/>
        <v>45336</v>
      </c>
      <c r="C46" s="40" t="s">
        <v>21</v>
      </c>
      <c r="D46" s="41" t="s">
        <v>17</v>
      </c>
      <c r="E46" s="41" t="s">
        <v>15</v>
      </c>
      <c r="F46" s="41"/>
      <c r="G46" s="41">
        <v>10</v>
      </c>
      <c r="H46" s="41"/>
      <c r="I46" s="41">
        <f t="shared" si="25"/>
        <v>800</v>
      </c>
      <c r="J46" s="41">
        <v>0</v>
      </c>
      <c r="K46" s="44">
        <f t="shared" si="26"/>
        <v>0.85</v>
      </c>
      <c r="L46" s="41">
        <f t="shared" si="0"/>
        <v>680</v>
      </c>
      <c r="M46" s="44"/>
      <c r="N46" s="15">
        <f t="shared" si="17"/>
        <v>680</v>
      </c>
      <c r="O46" s="16" t="s">
        <v>30</v>
      </c>
    </row>
    <row r="47" spans="1:15" x14ac:dyDescent="0.3">
      <c r="A47" s="48"/>
      <c r="B47" s="34">
        <f t="shared" si="12"/>
        <v>45337</v>
      </c>
      <c r="C47" s="40" t="s">
        <v>23</v>
      </c>
      <c r="D47" s="41" t="s">
        <v>17</v>
      </c>
      <c r="E47" s="41" t="s">
        <v>15</v>
      </c>
      <c r="F47" s="41"/>
      <c r="G47" s="41">
        <v>10</v>
      </c>
      <c r="H47" s="41"/>
      <c r="I47" s="41">
        <f t="shared" si="25"/>
        <v>800</v>
      </c>
      <c r="J47" s="41">
        <v>0</v>
      </c>
      <c r="K47" s="44">
        <f t="shared" si="26"/>
        <v>0.85</v>
      </c>
      <c r="L47" s="41">
        <f t="shared" si="0"/>
        <v>680</v>
      </c>
      <c r="M47" s="44"/>
      <c r="N47" s="15">
        <f t="shared" si="17"/>
        <v>680</v>
      </c>
      <c r="O47" s="16" t="s">
        <v>30</v>
      </c>
    </row>
    <row r="48" spans="1:15" x14ac:dyDescent="0.3">
      <c r="A48" s="48"/>
      <c r="B48" s="34">
        <f t="shared" si="12"/>
        <v>45338</v>
      </c>
      <c r="C48" s="40" t="s">
        <v>24</v>
      </c>
      <c r="D48" s="41" t="s">
        <v>17</v>
      </c>
      <c r="E48" s="41" t="s">
        <v>15</v>
      </c>
      <c r="F48" s="41"/>
      <c r="G48" s="41">
        <v>12</v>
      </c>
      <c r="H48" s="41"/>
      <c r="I48" s="41">
        <f t="shared" si="25"/>
        <v>800</v>
      </c>
      <c r="J48" s="41">
        <v>0</v>
      </c>
      <c r="K48" s="44">
        <f t="shared" si="26"/>
        <v>0.85</v>
      </c>
      <c r="L48" s="41">
        <f t="shared" si="0"/>
        <v>680</v>
      </c>
      <c r="M48" s="44"/>
      <c r="N48" s="15">
        <f t="shared" si="17"/>
        <v>680</v>
      </c>
      <c r="O48" s="16" t="s">
        <v>30</v>
      </c>
    </row>
    <row r="49" spans="1:15" x14ac:dyDescent="0.3">
      <c r="A49" s="48"/>
      <c r="B49" s="34">
        <f t="shared" si="12"/>
        <v>45339</v>
      </c>
      <c r="C49" s="17" t="s">
        <v>25</v>
      </c>
      <c r="D49" s="18" t="s">
        <v>17</v>
      </c>
      <c r="E49" s="18" t="s">
        <v>15</v>
      </c>
      <c r="F49" s="18"/>
      <c r="G49" s="18">
        <v>12</v>
      </c>
      <c r="H49" s="18"/>
      <c r="I49" s="18">
        <f t="shared" si="25"/>
        <v>800</v>
      </c>
      <c r="J49" s="18">
        <v>0</v>
      </c>
      <c r="K49" s="30">
        <f t="shared" si="26"/>
        <v>0.85</v>
      </c>
      <c r="L49" s="31">
        <f t="shared" si="0"/>
        <v>680</v>
      </c>
      <c r="M49" s="30"/>
      <c r="N49" s="45">
        <f t="shared" si="17"/>
        <v>680</v>
      </c>
      <c r="O49" s="19" t="s">
        <v>30</v>
      </c>
    </row>
    <row r="50" spans="1:15" ht="15" thickBot="1" x14ac:dyDescent="0.35">
      <c r="A50" s="49"/>
      <c r="B50" s="35">
        <f t="shared" si="12"/>
        <v>45340</v>
      </c>
      <c r="C50" s="20" t="s">
        <v>26</v>
      </c>
      <c r="D50" s="21" t="s">
        <v>17</v>
      </c>
      <c r="E50" s="21" t="s">
        <v>15</v>
      </c>
      <c r="F50" s="21"/>
      <c r="G50" s="21">
        <v>12</v>
      </c>
      <c r="H50" s="21"/>
      <c r="I50" s="21">
        <f t="shared" si="25"/>
        <v>800</v>
      </c>
      <c r="J50" s="21">
        <v>0</v>
      </c>
      <c r="K50" s="32">
        <f t="shared" si="26"/>
        <v>0.85</v>
      </c>
      <c r="L50" s="36">
        <f t="shared" si="0"/>
        <v>680</v>
      </c>
      <c r="M50" s="32"/>
      <c r="N50" s="45">
        <f t="shared" si="17"/>
        <v>680</v>
      </c>
      <c r="O50" s="22" t="s">
        <v>30</v>
      </c>
    </row>
    <row r="51" spans="1:15" x14ac:dyDescent="0.3">
      <c r="A51" s="47">
        <f t="shared" ref="A51" si="27">A44+1</f>
        <v>8</v>
      </c>
      <c r="B51" s="33">
        <f t="shared" si="12"/>
        <v>45341</v>
      </c>
      <c r="C51" s="37" t="s">
        <v>16</v>
      </c>
      <c r="D51" s="38" t="s">
        <v>17</v>
      </c>
      <c r="E51" s="39" t="s">
        <v>15</v>
      </c>
      <c r="F51" s="38"/>
      <c r="G51" s="38">
        <v>15</v>
      </c>
      <c r="H51" s="38"/>
      <c r="I51" s="38">
        <v>800</v>
      </c>
      <c r="J51" s="38">
        <v>0</v>
      </c>
      <c r="K51" s="43">
        <v>0.85</v>
      </c>
      <c r="L51" s="38">
        <f t="shared" si="0"/>
        <v>680</v>
      </c>
      <c r="M51" s="43"/>
      <c r="N51" s="25">
        <f t="shared" si="17"/>
        <v>680</v>
      </c>
      <c r="O51" s="9" t="s">
        <v>30</v>
      </c>
    </row>
    <row r="52" spans="1:15" x14ac:dyDescent="0.3">
      <c r="A52" s="48"/>
      <c r="B52" s="34">
        <f t="shared" si="12"/>
        <v>45342</v>
      </c>
      <c r="C52" s="40" t="s">
        <v>19</v>
      </c>
      <c r="D52" s="41" t="s">
        <v>17</v>
      </c>
      <c r="E52" s="42" t="s">
        <v>15</v>
      </c>
      <c r="F52" s="41"/>
      <c r="G52" s="41">
        <v>15</v>
      </c>
      <c r="H52" s="41"/>
      <c r="I52" s="41">
        <f t="shared" ref="I52:I57" si="28">I51</f>
        <v>800</v>
      </c>
      <c r="J52" s="41">
        <v>0</v>
      </c>
      <c r="K52" s="44">
        <f t="shared" ref="K52:K57" si="29">K51</f>
        <v>0.85</v>
      </c>
      <c r="L52" s="41">
        <f t="shared" si="0"/>
        <v>680</v>
      </c>
      <c r="M52" s="44"/>
      <c r="N52" s="15">
        <f t="shared" si="17"/>
        <v>680</v>
      </c>
      <c r="O52" s="16" t="s">
        <v>30</v>
      </c>
    </row>
    <row r="53" spans="1:15" x14ac:dyDescent="0.3">
      <c r="A53" s="48"/>
      <c r="B53" s="34">
        <f t="shared" si="12"/>
        <v>45343</v>
      </c>
      <c r="C53" s="40" t="s">
        <v>21</v>
      </c>
      <c r="D53" s="41" t="s">
        <v>17</v>
      </c>
      <c r="E53" s="41" t="s">
        <v>15</v>
      </c>
      <c r="F53" s="41"/>
      <c r="G53" s="41">
        <v>19</v>
      </c>
      <c r="H53" s="41"/>
      <c r="I53" s="41">
        <f t="shared" si="28"/>
        <v>800</v>
      </c>
      <c r="J53" s="41">
        <v>0</v>
      </c>
      <c r="K53" s="44">
        <f t="shared" si="29"/>
        <v>0.85</v>
      </c>
      <c r="L53" s="41">
        <f t="shared" si="0"/>
        <v>680</v>
      </c>
      <c r="M53" s="44"/>
      <c r="N53" s="15">
        <f t="shared" si="17"/>
        <v>680</v>
      </c>
      <c r="O53" s="16" t="s">
        <v>30</v>
      </c>
    </row>
    <row r="54" spans="1:15" x14ac:dyDescent="0.3">
      <c r="A54" s="48"/>
      <c r="B54" s="34">
        <f t="shared" si="12"/>
        <v>45344</v>
      </c>
      <c r="C54" s="40" t="s">
        <v>23</v>
      </c>
      <c r="D54" s="41" t="s">
        <v>17</v>
      </c>
      <c r="E54" s="41" t="s">
        <v>15</v>
      </c>
      <c r="F54" s="41"/>
      <c r="G54" s="41">
        <v>19</v>
      </c>
      <c r="H54" s="41"/>
      <c r="I54" s="41">
        <f t="shared" si="28"/>
        <v>800</v>
      </c>
      <c r="J54" s="41">
        <v>0</v>
      </c>
      <c r="K54" s="44">
        <f t="shared" si="29"/>
        <v>0.85</v>
      </c>
      <c r="L54" s="41">
        <f t="shared" si="0"/>
        <v>680</v>
      </c>
      <c r="M54" s="44"/>
      <c r="N54" s="15">
        <f t="shared" si="17"/>
        <v>680</v>
      </c>
      <c r="O54" s="16" t="s">
        <v>30</v>
      </c>
    </row>
    <row r="55" spans="1:15" x14ac:dyDescent="0.3">
      <c r="A55" s="48"/>
      <c r="B55" s="34">
        <f t="shared" si="12"/>
        <v>45345</v>
      </c>
      <c r="C55" s="40" t="s">
        <v>24</v>
      </c>
      <c r="D55" s="41" t="s">
        <v>17</v>
      </c>
      <c r="E55" s="41" t="s">
        <v>15</v>
      </c>
      <c r="F55" s="41"/>
      <c r="G55" s="41">
        <v>19</v>
      </c>
      <c r="H55" s="41"/>
      <c r="I55" s="41">
        <f t="shared" si="28"/>
        <v>800</v>
      </c>
      <c r="J55" s="41">
        <v>0</v>
      </c>
      <c r="K55" s="44">
        <f t="shared" si="29"/>
        <v>0.85</v>
      </c>
      <c r="L55" s="41">
        <f t="shared" si="0"/>
        <v>680</v>
      </c>
      <c r="M55" s="44"/>
      <c r="N55" s="15">
        <f t="shared" si="17"/>
        <v>680</v>
      </c>
      <c r="O55" s="16" t="s">
        <v>30</v>
      </c>
    </row>
    <row r="56" spans="1:15" x14ac:dyDescent="0.3">
      <c r="A56" s="48"/>
      <c r="B56" s="34">
        <f t="shared" si="12"/>
        <v>45346</v>
      </c>
      <c r="C56" s="17" t="s">
        <v>25</v>
      </c>
      <c r="D56" s="18" t="s">
        <v>17</v>
      </c>
      <c r="E56" s="18" t="s">
        <v>15</v>
      </c>
      <c r="F56" s="18"/>
      <c r="G56" s="18">
        <v>19</v>
      </c>
      <c r="H56" s="18"/>
      <c r="I56" s="18">
        <f t="shared" si="28"/>
        <v>800</v>
      </c>
      <c r="J56" s="18">
        <v>0</v>
      </c>
      <c r="K56" s="30">
        <f t="shared" si="29"/>
        <v>0.85</v>
      </c>
      <c r="L56" s="31">
        <f t="shared" si="0"/>
        <v>680</v>
      </c>
      <c r="M56" s="30"/>
      <c r="N56" s="45">
        <f t="shared" si="17"/>
        <v>680</v>
      </c>
      <c r="O56" s="19" t="s">
        <v>30</v>
      </c>
    </row>
    <row r="57" spans="1:15" ht="15" thickBot="1" x14ac:dyDescent="0.35">
      <c r="A57" s="49"/>
      <c r="B57" s="35">
        <f t="shared" si="12"/>
        <v>45347</v>
      </c>
      <c r="C57" s="20" t="s">
        <v>26</v>
      </c>
      <c r="D57" s="21" t="s">
        <v>17</v>
      </c>
      <c r="E57" s="21" t="s">
        <v>15</v>
      </c>
      <c r="F57" s="21"/>
      <c r="G57" s="21">
        <v>19</v>
      </c>
      <c r="H57" s="21"/>
      <c r="I57" s="21">
        <f t="shared" si="28"/>
        <v>800</v>
      </c>
      <c r="J57" s="21">
        <v>0</v>
      </c>
      <c r="K57" s="32">
        <f t="shared" si="29"/>
        <v>0.85</v>
      </c>
      <c r="L57" s="36">
        <f t="shared" si="0"/>
        <v>680</v>
      </c>
      <c r="M57" s="32"/>
      <c r="N57" s="45">
        <f t="shared" si="17"/>
        <v>680</v>
      </c>
      <c r="O57" s="22" t="s">
        <v>30</v>
      </c>
    </row>
    <row r="58" spans="1:15" x14ac:dyDescent="0.3">
      <c r="A58" s="47">
        <f t="shared" ref="A58" si="30">A51+1</f>
        <v>9</v>
      </c>
      <c r="B58" s="33">
        <f t="shared" si="12"/>
        <v>45348</v>
      </c>
      <c r="C58" s="37" t="s">
        <v>16</v>
      </c>
      <c r="D58" s="38" t="s">
        <v>17</v>
      </c>
      <c r="E58" s="39" t="s">
        <v>15</v>
      </c>
      <c r="F58" s="38"/>
      <c r="G58" s="38">
        <v>15</v>
      </c>
      <c r="H58" s="38"/>
      <c r="I58" s="38">
        <v>800</v>
      </c>
      <c r="J58" s="38">
        <v>0</v>
      </c>
      <c r="K58" s="43">
        <v>0.85</v>
      </c>
      <c r="L58" s="38">
        <f t="shared" si="0"/>
        <v>680</v>
      </c>
      <c r="M58" s="43"/>
      <c r="N58" s="25">
        <f t="shared" si="17"/>
        <v>680</v>
      </c>
      <c r="O58" s="9" t="s">
        <v>30</v>
      </c>
    </row>
    <row r="59" spans="1:15" x14ac:dyDescent="0.3">
      <c r="A59" s="48"/>
      <c r="B59" s="34">
        <f t="shared" si="12"/>
        <v>45349</v>
      </c>
      <c r="C59" s="40" t="s">
        <v>19</v>
      </c>
      <c r="D59" s="41" t="s">
        <v>17</v>
      </c>
      <c r="E59" s="42" t="s">
        <v>15</v>
      </c>
      <c r="F59" s="41"/>
      <c r="G59" s="41">
        <v>15</v>
      </c>
      <c r="H59" s="41"/>
      <c r="I59" s="41">
        <f t="shared" ref="I59:I64" si="31">I58</f>
        <v>800</v>
      </c>
      <c r="J59" s="41">
        <v>0</v>
      </c>
      <c r="K59" s="44">
        <f t="shared" ref="K59:K64" si="32">K58</f>
        <v>0.85</v>
      </c>
      <c r="L59" s="41">
        <f t="shared" si="0"/>
        <v>680</v>
      </c>
      <c r="M59" s="44"/>
      <c r="N59" s="15">
        <f t="shared" si="17"/>
        <v>680</v>
      </c>
      <c r="O59" s="16" t="s">
        <v>30</v>
      </c>
    </row>
    <row r="60" spans="1:15" x14ac:dyDescent="0.3">
      <c r="A60" s="48"/>
      <c r="B60" s="34">
        <f t="shared" si="12"/>
        <v>45350</v>
      </c>
      <c r="C60" s="40" t="s">
        <v>21</v>
      </c>
      <c r="D60" s="41" t="s">
        <v>17</v>
      </c>
      <c r="E60" s="41" t="s">
        <v>15</v>
      </c>
      <c r="F60" s="41"/>
      <c r="G60" s="41">
        <v>12</v>
      </c>
      <c r="H60" s="41"/>
      <c r="I60" s="41">
        <f t="shared" si="31"/>
        <v>800</v>
      </c>
      <c r="J60" s="41">
        <v>0</v>
      </c>
      <c r="K60" s="44">
        <f t="shared" si="32"/>
        <v>0.85</v>
      </c>
      <c r="L60" s="41">
        <f t="shared" si="0"/>
        <v>680</v>
      </c>
      <c r="M60" s="44"/>
      <c r="N60" s="15">
        <f t="shared" si="17"/>
        <v>680</v>
      </c>
      <c r="O60" s="16" t="s">
        <v>30</v>
      </c>
    </row>
    <row r="61" spans="1:15" x14ac:dyDescent="0.3">
      <c r="A61" s="48"/>
      <c r="B61" s="34">
        <f t="shared" si="12"/>
        <v>45351</v>
      </c>
      <c r="C61" s="40" t="s">
        <v>23</v>
      </c>
      <c r="D61" s="41" t="s">
        <v>17</v>
      </c>
      <c r="E61" s="41" t="s">
        <v>15</v>
      </c>
      <c r="F61" s="41"/>
      <c r="G61" s="41">
        <v>10</v>
      </c>
      <c r="H61" s="41"/>
      <c r="I61" s="41">
        <f t="shared" si="31"/>
        <v>800</v>
      </c>
      <c r="J61" s="41">
        <v>0</v>
      </c>
      <c r="K61" s="44">
        <f t="shared" si="32"/>
        <v>0.85</v>
      </c>
      <c r="L61" s="41">
        <f t="shared" si="0"/>
        <v>680</v>
      </c>
      <c r="M61" s="44"/>
      <c r="N61" s="15">
        <f t="shared" si="17"/>
        <v>680</v>
      </c>
      <c r="O61" s="16" t="s">
        <v>30</v>
      </c>
    </row>
    <row r="62" spans="1:15" x14ac:dyDescent="0.3">
      <c r="A62" s="48"/>
      <c r="B62" s="34">
        <f t="shared" si="12"/>
        <v>45352</v>
      </c>
      <c r="C62" s="40" t="s">
        <v>24</v>
      </c>
      <c r="D62" s="41" t="s">
        <v>17</v>
      </c>
      <c r="E62" s="41" t="s">
        <v>15</v>
      </c>
      <c r="F62" s="41"/>
      <c r="G62" s="41">
        <v>8</v>
      </c>
      <c r="H62" s="41"/>
      <c r="I62" s="41">
        <f t="shared" si="31"/>
        <v>800</v>
      </c>
      <c r="J62" s="41">
        <v>0</v>
      </c>
      <c r="K62" s="44">
        <f t="shared" si="32"/>
        <v>0.85</v>
      </c>
      <c r="L62" s="41">
        <f t="shared" si="0"/>
        <v>680</v>
      </c>
      <c r="M62" s="44"/>
      <c r="N62" s="15">
        <f t="shared" si="17"/>
        <v>680</v>
      </c>
      <c r="O62" s="16" t="s">
        <v>30</v>
      </c>
    </row>
    <row r="63" spans="1:15" x14ac:dyDescent="0.3">
      <c r="A63" s="48"/>
      <c r="B63" s="34">
        <f t="shared" si="12"/>
        <v>45353</v>
      </c>
      <c r="C63" s="17" t="s">
        <v>25</v>
      </c>
      <c r="D63" s="18" t="s">
        <v>17</v>
      </c>
      <c r="E63" s="18" t="s">
        <v>15</v>
      </c>
      <c r="F63" s="18"/>
      <c r="G63" s="18">
        <v>5.9</v>
      </c>
      <c r="H63" s="18"/>
      <c r="I63" s="18">
        <f t="shared" si="31"/>
        <v>800</v>
      </c>
      <c r="J63" s="18">
        <v>0</v>
      </c>
      <c r="K63" s="30">
        <f t="shared" si="32"/>
        <v>0.85</v>
      </c>
      <c r="L63" s="31">
        <f t="shared" si="0"/>
        <v>680</v>
      </c>
      <c r="M63" s="30"/>
      <c r="N63" s="45">
        <f t="shared" si="17"/>
        <v>680</v>
      </c>
      <c r="O63" s="19" t="s">
        <v>30</v>
      </c>
    </row>
    <row r="64" spans="1:15" ht="15" thickBot="1" x14ac:dyDescent="0.35">
      <c r="A64" s="49"/>
      <c r="B64" s="35">
        <f t="shared" si="12"/>
        <v>45354</v>
      </c>
      <c r="C64" s="20" t="s">
        <v>26</v>
      </c>
      <c r="D64" s="21" t="s">
        <v>17</v>
      </c>
      <c r="E64" s="21" t="s">
        <v>15</v>
      </c>
      <c r="F64" s="21"/>
      <c r="G64" s="21">
        <v>5.9</v>
      </c>
      <c r="H64" s="21"/>
      <c r="I64" s="21">
        <f t="shared" si="31"/>
        <v>800</v>
      </c>
      <c r="J64" s="21">
        <v>0</v>
      </c>
      <c r="K64" s="32">
        <f t="shared" si="32"/>
        <v>0.85</v>
      </c>
      <c r="L64" s="36">
        <f t="shared" si="0"/>
        <v>680</v>
      </c>
      <c r="M64" s="32"/>
      <c r="N64" s="45">
        <f t="shared" si="17"/>
        <v>680</v>
      </c>
      <c r="O64" s="22" t="s">
        <v>30</v>
      </c>
    </row>
    <row r="65" spans="1:15" x14ac:dyDescent="0.3">
      <c r="A65" s="47">
        <f t="shared" ref="A65" si="33">A58+1</f>
        <v>10</v>
      </c>
      <c r="B65" s="33">
        <f t="shared" si="12"/>
        <v>45355</v>
      </c>
      <c r="C65" s="37" t="s">
        <v>16</v>
      </c>
      <c r="D65" s="38" t="s">
        <v>17</v>
      </c>
      <c r="E65" s="39" t="s">
        <v>22</v>
      </c>
      <c r="F65" s="38"/>
      <c r="G65" s="38">
        <v>4.9000000000000004</v>
      </c>
      <c r="H65" s="38"/>
      <c r="I65" s="38">
        <v>800</v>
      </c>
      <c r="J65" s="38">
        <v>0</v>
      </c>
      <c r="K65" s="43">
        <v>0.85</v>
      </c>
      <c r="L65" s="38">
        <f t="shared" si="0"/>
        <v>680</v>
      </c>
      <c r="M65" s="43"/>
      <c r="N65" s="25">
        <f t="shared" si="17"/>
        <v>680</v>
      </c>
      <c r="O65" s="9" t="s">
        <v>30</v>
      </c>
    </row>
    <row r="66" spans="1:15" x14ac:dyDescent="0.3">
      <c r="A66" s="48"/>
      <c r="B66" s="34">
        <f t="shared" si="12"/>
        <v>45356</v>
      </c>
      <c r="C66" s="40" t="s">
        <v>19</v>
      </c>
      <c r="D66" s="41" t="s">
        <v>17</v>
      </c>
      <c r="E66" s="42" t="s">
        <v>22</v>
      </c>
      <c r="F66" s="41"/>
      <c r="G66" s="41">
        <v>3.9</v>
      </c>
      <c r="H66" s="41"/>
      <c r="I66" s="41">
        <f t="shared" ref="I66:I71" si="34">I65</f>
        <v>800</v>
      </c>
      <c r="J66" s="41">
        <v>0</v>
      </c>
      <c r="K66" s="44">
        <f t="shared" ref="K66:K71" si="35">K65</f>
        <v>0.85</v>
      </c>
      <c r="L66" s="41">
        <f t="shared" ref="L66:L129" si="36">IF(J66&lt;&gt;0,J66,I66)*K66</f>
        <v>680</v>
      </c>
      <c r="M66" s="44"/>
      <c r="N66" s="15">
        <f t="shared" si="17"/>
        <v>680</v>
      </c>
      <c r="O66" s="16" t="s">
        <v>30</v>
      </c>
    </row>
    <row r="67" spans="1:15" x14ac:dyDescent="0.3">
      <c r="A67" s="48"/>
      <c r="B67" s="34">
        <f t="shared" si="12"/>
        <v>45357</v>
      </c>
      <c r="C67" s="40" t="s">
        <v>21</v>
      </c>
      <c r="D67" s="41" t="s">
        <v>17</v>
      </c>
      <c r="E67" s="41" t="s">
        <v>22</v>
      </c>
      <c r="F67" s="41"/>
      <c r="G67" s="41">
        <v>3.9</v>
      </c>
      <c r="H67" s="41"/>
      <c r="I67" s="41">
        <f t="shared" si="34"/>
        <v>800</v>
      </c>
      <c r="J67" s="41">
        <v>0</v>
      </c>
      <c r="K67" s="44">
        <f t="shared" si="35"/>
        <v>0.85</v>
      </c>
      <c r="L67" s="41">
        <f t="shared" si="36"/>
        <v>680</v>
      </c>
      <c r="M67" s="44"/>
      <c r="N67" s="15">
        <f t="shared" si="17"/>
        <v>680</v>
      </c>
      <c r="O67" s="16" t="s">
        <v>30</v>
      </c>
    </row>
    <row r="68" spans="1:15" x14ac:dyDescent="0.3">
      <c r="A68" s="48"/>
      <c r="B68" s="34">
        <f t="shared" si="12"/>
        <v>45358</v>
      </c>
      <c r="C68" s="40" t="s">
        <v>23</v>
      </c>
      <c r="D68" s="41" t="s">
        <v>17</v>
      </c>
      <c r="E68" s="41" t="s">
        <v>22</v>
      </c>
      <c r="F68" s="41"/>
      <c r="G68" s="41">
        <v>3.9</v>
      </c>
      <c r="H68" s="41"/>
      <c r="I68" s="41">
        <f t="shared" si="34"/>
        <v>800</v>
      </c>
      <c r="J68" s="41">
        <v>0</v>
      </c>
      <c r="K68" s="44">
        <f t="shared" si="35"/>
        <v>0.85</v>
      </c>
      <c r="L68" s="41">
        <f t="shared" si="36"/>
        <v>680</v>
      </c>
      <c r="M68" s="44"/>
      <c r="N68" s="15">
        <f t="shared" si="17"/>
        <v>680</v>
      </c>
      <c r="O68" s="16" t="s">
        <v>30</v>
      </c>
    </row>
    <row r="69" spans="1:15" x14ac:dyDescent="0.3">
      <c r="A69" s="48"/>
      <c r="B69" s="34">
        <f t="shared" si="12"/>
        <v>45359</v>
      </c>
      <c r="C69" s="40" t="s">
        <v>24</v>
      </c>
      <c r="D69" s="41" t="s">
        <v>17</v>
      </c>
      <c r="E69" s="41" t="s">
        <v>22</v>
      </c>
      <c r="F69" s="41"/>
      <c r="G69" s="41">
        <v>3.9</v>
      </c>
      <c r="H69" s="41"/>
      <c r="I69" s="41">
        <f t="shared" si="34"/>
        <v>800</v>
      </c>
      <c r="J69" s="41">
        <v>0</v>
      </c>
      <c r="K69" s="44">
        <f t="shared" si="35"/>
        <v>0.85</v>
      </c>
      <c r="L69" s="41">
        <f t="shared" si="36"/>
        <v>680</v>
      </c>
      <c r="M69" s="44"/>
      <c r="N69" s="15">
        <f t="shared" si="17"/>
        <v>680</v>
      </c>
      <c r="O69" s="16" t="s">
        <v>30</v>
      </c>
    </row>
    <row r="70" spans="1:15" x14ac:dyDescent="0.3">
      <c r="A70" s="48"/>
      <c r="B70" s="34">
        <f t="shared" si="12"/>
        <v>45360</v>
      </c>
      <c r="C70" s="17" t="s">
        <v>25</v>
      </c>
      <c r="D70" s="18" t="s">
        <v>17</v>
      </c>
      <c r="E70" s="18" t="s">
        <v>18</v>
      </c>
      <c r="F70" s="18"/>
      <c r="G70" s="18">
        <v>3.9</v>
      </c>
      <c r="H70" s="18"/>
      <c r="I70" s="18">
        <f t="shared" si="34"/>
        <v>800</v>
      </c>
      <c r="J70" s="18">
        <v>0</v>
      </c>
      <c r="K70" s="30">
        <f t="shared" si="35"/>
        <v>0.85</v>
      </c>
      <c r="L70" s="31">
        <f t="shared" si="36"/>
        <v>680</v>
      </c>
      <c r="M70" s="30"/>
      <c r="N70" s="45">
        <f t="shared" si="17"/>
        <v>680</v>
      </c>
      <c r="O70" s="19" t="s">
        <v>30</v>
      </c>
    </row>
    <row r="71" spans="1:15" ht="15" thickBot="1" x14ac:dyDescent="0.35">
      <c r="A71" s="49"/>
      <c r="B71" s="35">
        <f t="shared" si="12"/>
        <v>45361</v>
      </c>
      <c r="C71" s="20" t="s">
        <v>26</v>
      </c>
      <c r="D71" s="21" t="s">
        <v>17</v>
      </c>
      <c r="E71" s="21" t="s">
        <v>18</v>
      </c>
      <c r="F71" s="21"/>
      <c r="G71" s="21">
        <v>3.9</v>
      </c>
      <c r="H71" s="21"/>
      <c r="I71" s="21">
        <f t="shared" si="34"/>
        <v>800</v>
      </c>
      <c r="J71" s="21">
        <v>0</v>
      </c>
      <c r="K71" s="32">
        <f t="shared" si="35"/>
        <v>0.85</v>
      </c>
      <c r="L71" s="36">
        <f t="shared" si="36"/>
        <v>680</v>
      </c>
      <c r="M71" s="32"/>
      <c r="N71" s="45">
        <f t="shared" si="17"/>
        <v>680</v>
      </c>
      <c r="O71" s="22" t="s">
        <v>30</v>
      </c>
    </row>
    <row r="72" spans="1:15" x14ac:dyDescent="0.3">
      <c r="A72" s="47">
        <f t="shared" ref="A72" si="37">A65+1</f>
        <v>11</v>
      </c>
      <c r="B72" s="33">
        <f t="shared" si="12"/>
        <v>45362</v>
      </c>
      <c r="C72" s="37" t="s">
        <v>16</v>
      </c>
      <c r="D72" s="38" t="s">
        <v>17</v>
      </c>
      <c r="E72" s="39" t="s">
        <v>18</v>
      </c>
      <c r="F72" s="38"/>
      <c r="G72" s="38">
        <v>3.9</v>
      </c>
      <c r="H72" s="38"/>
      <c r="I72" s="38">
        <v>800</v>
      </c>
      <c r="J72" s="38">
        <v>0</v>
      </c>
      <c r="K72" s="43">
        <v>0.85</v>
      </c>
      <c r="L72" s="38">
        <f t="shared" si="36"/>
        <v>680</v>
      </c>
      <c r="M72" s="43"/>
      <c r="N72" s="25">
        <f t="shared" si="17"/>
        <v>680</v>
      </c>
      <c r="O72" s="9" t="s">
        <v>30</v>
      </c>
    </row>
    <row r="73" spans="1:15" x14ac:dyDescent="0.3">
      <c r="A73" s="48"/>
      <c r="B73" s="34">
        <f t="shared" si="12"/>
        <v>45363</v>
      </c>
      <c r="C73" s="40" t="s">
        <v>19</v>
      </c>
      <c r="D73" s="41" t="s">
        <v>17</v>
      </c>
      <c r="E73" s="42" t="s">
        <v>18</v>
      </c>
      <c r="F73" s="41"/>
      <c r="G73" s="41">
        <v>3.9</v>
      </c>
      <c r="H73" s="41"/>
      <c r="I73" s="41">
        <f t="shared" ref="I73:I78" si="38">I72</f>
        <v>800</v>
      </c>
      <c r="J73" s="41">
        <v>0</v>
      </c>
      <c r="K73" s="44">
        <f t="shared" ref="K73:K78" si="39">K72</f>
        <v>0.85</v>
      </c>
      <c r="L73" s="41">
        <f t="shared" si="36"/>
        <v>680</v>
      </c>
      <c r="M73" s="44"/>
      <c r="N73" s="15">
        <f t="shared" si="17"/>
        <v>680</v>
      </c>
      <c r="O73" s="16" t="s">
        <v>30</v>
      </c>
    </row>
    <row r="74" spans="1:15" x14ac:dyDescent="0.3">
      <c r="A74" s="48"/>
      <c r="B74" s="34">
        <f t="shared" si="12"/>
        <v>45364</v>
      </c>
      <c r="C74" s="40" t="s">
        <v>21</v>
      </c>
      <c r="D74" s="41" t="s">
        <v>17</v>
      </c>
      <c r="E74" s="42" t="s">
        <v>18</v>
      </c>
      <c r="F74" s="41"/>
      <c r="G74" s="41">
        <v>3.9</v>
      </c>
      <c r="H74" s="41"/>
      <c r="I74" s="41">
        <f t="shared" si="38"/>
        <v>800</v>
      </c>
      <c r="J74" s="41">
        <v>0</v>
      </c>
      <c r="K74" s="44">
        <f t="shared" si="39"/>
        <v>0.85</v>
      </c>
      <c r="L74" s="41">
        <f t="shared" si="36"/>
        <v>680</v>
      </c>
      <c r="M74" s="44"/>
      <c r="N74" s="15">
        <f t="shared" si="17"/>
        <v>680</v>
      </c>
      <c r="O74" s="16" t="s">
        <v>30</v>
      </c>
    </row>
    <row r="75" spans="1:15" x14ac:dyDescent="0.3">
      <c r="A75" s="48"/>
      <c r="B75" s="34">
        <f t="shared" si="12"/>
        <v>45365</v>
      </c>
      <c r="C75" s="40" t="s">
        <v>23</v>
      </c>
      <c r="D75" s="41" t="s">
        <v>17</v>
      </c>
      <c r="E75" s="42" t="s">
        <v>18</v>
      </c>
      <c r="F75" s="41"/>
      <c r="G75" s="41">
        <v>3.9</v>
      </c>
      <c r="H75" s="41"/>
      <c r="I75" s="41">
        <f t="shared" si="38"/>
        <v>800</v>
      </c>
      <c r="J75" s="41">
        <v>0</v>
      </c>
      <c r="K75" s="44">
        <f t="shared" si="39"/>
        <v>0.85</v>
      </c>
      <c r="L75" s="41">
        <f t="shared" si="36"/>
        <v>680</v>
      </c>
      <c r="M75" s="44"/>
      <c r="N75" s="15">
        <f t="shared" si="17"/>
        <v>680</v>
      </c>
      <c r="O75" s="16" t="s">
        <v>30</v>
      </c>
    </row>
    <row r="76" spans="1:15" x14ac:dyDescent="0.3">
      <c r="A76" s="48"/>
      <c r="B76" s="34">
        <f t="shared" si="12"/>
        <v>45366</v>
      </c>
      <c r="C76" s="40" t="s">
        <v>24</v>
      </c>
      <c r="D76" s="41" t="s">
        <v>17</v>
      </c>
      <c r="E76" s="42" t="s">
        <v>18</v>
      </c>
      <c r="F76" s="41"/>
      <c r="G76" s="41">
        <v>3.9</v>
      </c>
      <c r="H76" s="41"/>
      <c r="I76" s="41">
        <f t="shared" si="38"/>
        <v>800</v>
      </c>
      <c r="J76" s="41">
        <v>0</v>
      </c>
      <c r="K76" s="44">
        <f t="shared" si="39"/>
        <v>0.85</v>
      </c>
      <c r="L76" s="41">
        <f t="shared" si="36"/>
        <v>680</v>
      </c>
      <c r="M76" s="44"/>
      <c r="N76" s="15">
        <f t="shared" si="17"/>
        <v>680</v>
      </c>
      <c r="O76" s="16" t="s">
        <v>30</v>
      </c>
    </row>
    <row r="77" spans="1:15" x14ac:dyDescent="0.3">
      <c r="A77" s="48"/>
      <c r="B77" s="34">
        <f t="shared" si="12"/>
        <v>45367</v>
      </c>
      <c r="C77" s="17" t="s">
        <v>25</v>
      </c>
      <c r="D77" s="18" t="s">
        <v>17</v>
      </c>
      <c r="E77" s="18" t="s">
        <v>18</v>
      </c>
      <c r="F77" s="18"/>
      <c r="G77" s="18">
        <v>3.9</v>
      </c>
      <c r="H77" s="18"/>
      <c r="I77" s="18">
        <f t="shared" si="38"/>
        <v>800</v>
      </c>
      <c r="J77" s="18">
        <v>0</v>
      </c>
      <c r="K77" s="30">
        <f t="shared" si="39"/>
        <v>0.85</v>
      </c>
      <c r="L77" s="31">
        <f t="shared" si="36"/>
        <v>680</v>
      </c>
      <c r="M77" s="30"/>
      <c r="N77" s="45">
        <f t="shared" si="17"/>
        <v>680</v>
      </c>
      <c r="O77" s="19" t="s">
        <v>30</v>
      </c>
    </row>
    <row r="78" spans="1:15" ht="15" thickBot="1" x14ac:dyDescent="0.35">
      <c r="A78" s="49"/>
      <c r="B78" s="35">
        <f t="shared" si="12"/>
        <v>45368</v>
      </c>
      <c r="C78" s="20" t="s">
        <v>26</v>
      </c>
      <c r="D78" s="21" t="s">
        <v>17</v>
      </c>
      <c r="E78" s="21" t="s">
        <v>18</v>
      </c>
      <c r="F78" s="21"/>
      <c r="G78" s="21">
        <v>3.9</v>
      </c>
      <c r="H78" s="21"/>
      <c r="I78" s="21">
        <f t="shared" si="38"/>
        <v>800</v>
      </c>
      <c r="J78" s="21">
        <v>0</v>
      </c>
      <c r="K78" s="32">
        <f t="shared" si="39"/>
        <v>0.85</v>
      </c>
      <c r="L78" s="36">
        <f t="shared" si="36"/>
        <v>680</v>
      </c>
      <c r="M78" s="32"/>
      <c r="N78" s="45">
        <f t="shared" si="17"/>
        <v>680</v>
      </c>
      <c r="O78" s="22" t="s">
        <v>30</v>
      </c>
    </row>
    <row r="79" spans="1:15" x14ac:dyDescent="0.3">
      <c r="A79" s="47">
        <f t="shared" ref="A79" si="40">A72+1</f>
        <v>12</v>
      </c>
      <c r="B79" s="33">
        <f t="shared" si="12"/>
        <v>45369</v>
      </c>
      <c r="C79" s="37" t="s">
        <v>16</v>
      </c>
      <c r="D79" s="38" t="s">
        <v>17</v>
      </c>
      <c r="E79" s="39" t="s">
        <v>18</v>
      </c>
      <c r="F79" s="38"/>
      <c r="G79" s="38">
        <v>4.9000000000000004</v>
      </c>
      <c r="H79" s="38"/>
      <c r="I79" s="38">
        <v>800</v>
      </c>
      <c r="J79" s="38">
        <v>0</v>
      </c>
      <c r="K79" s="43">
        <v>0.85</v>
      </c>
      <c r="L79" s="38">
        <f t="shared" si="36"/>
        <v>680</v>
      </c>
      <c r="M79" s="43"/>
      <c r="N79" s="25">
        <f t="shared" si="17"/>
        <v>680</v>
      </c>
      <c r="O79" s="9" t="s">
        <v>30</v>
      </c>
    </row>
    <row r="80" spans="1:15" x14ac:dyDescent="0.3">
      <c r="A80" s="48"/>
      <c r="B80" s="34">
        <f t="shared" si="12"/>
        <v>45370</v>
      </c>
      <c r="C80" s="40" t="s">
        <v>19</v>
      </c>
      <c r="D80" s="41" t="s">
        <v>17</v>
      </c>
      <c r="E80" s="42" t="s">
        <v>18</v>
      </c>
      <c r="F80" s="41"/>
      <c r="G80" s="41">
        <v>4.9000000000000004</v>
      </c>
      <c r="H80" s="41"/>
      <c r="I80" s="41">
        <f t="shared" ref="I80:I85" si="41">I79</f>
        <v>800</v>
      </c>
      <c r="J80" s="41">
        <v>0</v>
      </c>
      <c r="K80" s="44">
        <f t="shared" ref="K80:K85" si="42">K79</f>
        <v>0.85</v>
      </c>
      <c r="L80" s="41">
        <f t="shared" si="36"/>
        <v>680</v>
      </c>
      <c r="M80" s="44"/>
      <c r="N80" s="15">
        <f t="shared" si="17"/>
        <v>680</v>
      </c>
      <c r="O80" s="16" t="s">
        <v>30</v>
      </c>
    </row>
    <row r="81" spans="1:15" x14ac:dyDescent="0.3">
      <c r="A81" s="48"/>
      <c r="B81" s="34">
        <f t="shared" ref="B81:B144" si="43">B80+1</f>
        <v>45371</v>
      </c>
      <c r="C81" s="40" t="s">
        <v>21</v>
      </c>
      <c r="D81" s="41" t="s">
        <v>17</v>
      </c>
      <c r="E81" s="42" t="s">
        <v>18</v>
      </c>
      <c r="F81" s="41"/>
      <c r="G81" s="41">
        <v>4.9000000000000004</v>
      </c>
      <c r="H81" s="41"/>
      <c r="I81" s="41">
        <f t="shared" si="41"/>
        <v>800</v>
      </c>
      <c r="J81" s="41">
        <v>0</v>
      </c>
      <c r="K81" s="44">
        <f t="shared" si="42"/>
        <v>0.85</v>
      </c>
      <c r="L81" s="41">
        <f t="shared" si="36"/>
        <v>680</v>
      </c>
      <c r="M81" s="44"/>
      <c r="N81" s="15">
        <f t="shared" si="17"/>
        <v>680</v>
      </c>
      <c r="O81" s="16" t="s">
        <v>30</v>
      </c>
    </row>
    <row r="82" spans="1:15" x14ac:dyDescent="0.3">
      <c r="A82" s="48"/>
      <c r="B82" s="34">
        <f t="shared" si="43"/>
        <v>45372</v>
      </c>
      <c r="C82" s="40" t="s">
        <v>23</v>
      </c>
      <c r="D82" s="41" t="s">
        <v>17</v>
      </c>
      <c r="E82" s="42" t="s">
        <v>18</v>
      </c>
      <c r="F82" s="41"/>
      <c r="G82" s="41">
        <v>4.9000000000000004</v>
      </c>
      <c r="H82" s="41"/>
      <c r="I82" s="41">
        <f t="shared" si="41"/>
        <v>800</v>
      </c>
      <c r="J82" s="41">
        <v>0</v>
      </c>
      <c r="K82" s="44">
        <f t="shared" si="42"/>
        <v>0.85</v>
      </c>
      <c r="L82" s="41">
        <f t="shared" si="36"/>
        <v>680</v>
      </c>
      <c r="M82" s="44"/>
      <c r="N82" s="15">
        <f t="shared" si="17"/>
        <v>680</v>
      </c>
      <c r="O82" s="16" t="s">
        <v>30</v>
      </c>
    </row>
    <row r="83" spans="1:15" x14ac:dyDescent="0.3">
      <c r="A83" s="48"/>
      <c r="B83" s="34">
        <f t="shared" si="43"/>
        <v>45373</v>
      </c>
      <c r="C83" s="40" t="s">
        <v>24</v>
      </c>
      <c r="D83" s="41" t="s">
        <v>17</v>
      </c>
      <c r="E83" s="42" t="s">
        <v>18</v>
      </c>
      <c r="F83" s="41"/>
      <c r="G83" s="41">
        <v>4.9000000000000004</v>
      </c>
      <c r="H83" s="41"/>
      <c r="I83" s="41">
        <f t="shared" si="41"/>
        <v>800</v>
      </c>
      <c r="J83" s="41">
        <v>0</v>
      </c>
      <c r="K83" s="44">
        <f t="shared" si="42"/>
        <v>0.85</v>
      </c>
      <c r="L83" s="41">
        <f t="shared" si="36"/>
        <v>680</v>
      </c>
      <c r="M83" s="44"/>
      <c r="N83" s="15">
        <f t="shared" si="17"/>
        <v>680</v>
      </c>
      <c r="O83" s="16" t="s">
        <v>30</v>
      </c>
    </row>
    <row r="84" spans="1:15" x14ac:dyDescent="0.3">
      <c r="A84" s="48"/>
      <c r="B84" s="34">
        <f t="shared" si="43"/>
        <v>45374</v>
      </c>
      <c r="C84" s="17" t="s">
        <v>25</v>
      </c>
      <c r="D84" s="18" t="s">
        <v>17</v>
      </c>
      <c r="E84" s="18" t="s">
        <v>18</v>
      </c>
      <c r="F84" s="18"/>
      <c r="G84" s="18">
        <v>4.9000000000000004</v>
      </c>
      <c r="H84" s="18"/>
      <c r="I84" s="18">
        <f t="shared" si="41"/>
        <v>800</v>
      </c>
      <c r="J84" s="18">
        <v>0</v>
      </c>
      <c r="K84" s="30">
        <f t="shared" si="42"/>
        <v>0.85</v>
      </c>
      <c r="L84" s="31">
        <f t="shared" si="36"/>
        <v>680</v>
      </c>
      <c r="M84" s="30"/>
      <c r="N84" s="45">
        <f t="shared" si="17"/>
        <v>680</v>
      </c>
      <c r="O84" s="19" t="s">
        <v>30</v>
      </c>
    </row>
    <row r="85" spans="1:15" ht="15" thickBot="1" x14ac:dyDescent="0.35">
      <c r="A85" s="49"/>
      <c r="B85" s="35">
        <f t="shared" si="43"/>
        <v>45375</v>
      </c>
      <c r="C85" s="20" t="s">
        <v>26</v>
      </c>
      <c r="D85" s="21" t="s">
        <v>17</v>
      </c>
      <c r="E85" s="21" t="s">
        <v>18</v>
      </c>
      <c r="F85" s="21"/>
      <c r="G85" s="21">
        <v>4.9000000000000004</v>
      </c>
      <c r="H85" s="21"/>
      <c r="I85" s="21">
        <f t="shared" si="41"/>
        <v>800</v>
      </c>
      <c r="J85" s="21">
        <v>0</v>
      </c>
      <c r="K85" s="32">
        <f t="shared" si="42"/>
        <v>0.85</v>
      </c>
      <c r="L85" s="36">
        <f t="shared" si="36"/>
        <v>680</v>
      </c>
      <c r="M85" s="32"/>
      <c r="N85" s="45">
        <f t="shared" si="17"/>
        <v>680</v>
      </c>
      <c r="O85" s="22" t="s">
        <v>30</v>
      </c>
    </row>
    <row r="86" spans="1:15" x14ac:dyDescent="0.3">
      <c r="A86" s="47">
        <f t="shared" ref="A86" si="44">A79+1</f>
        <v>13</v>
      </c>
      <c r="B86" s="33">
        <f t="shared" si="43"/>
        <v>45376</v>
      </c>
      <c r="C86" s="37" t="s">
        <v>16</v>
      </c>
      <c r="D86" s="38" t="s">
        <v>17</v>
      </c>
      <c r="E86" s="39" t="s">
        <v>18</v>
      </c>
      <c r="F86" s="38"/>
      <c r="G86" s="38">
        <v>5.9</v>
      </c>
      <c r="H86" s="38"/>
      <c r="I86" s="38">
        <v>800</v>
      </c>
      <c r="J86" s="38">
        <v>0</v>
      </c>
      <c r="K86" s="43">
        <v>0.85</v>
      </c>
      <c r="L86" s="38">
        <f t="shared" si="36"/>
        <v>680</v>
      </c>
      <c r="M86" s="43"/>
      <c r="N86" s="25">
        <f t="shared" si="17"/>
        <v>680</v>
      </c>
      <c r="O86" s="9" t="s">
        <v>30</v>
      </c>
    </row>
    <row r="87" spans="1:15" x14ac:dyDescent="0.3">
      <c r="A87" s="48"/>
      <c r="B87" s="34">
        <f t="shared" si="43"/>
        <v>45377</v>
      </c>
      <c r="C87" s="40" t="s">
        <v>19</v>
      </c>
      <c r="D87" s="41" t="s">
        <v>17</v>
      </c>
      <c r="E87" s="42" t="s">
        <v>18</v>
      </c>
      <c r="F87" s="41"/>
      <c r="G87" s="41">
        <v>5.9</v>
      </c>
      <c r="H87" s="41"/>
      <c r="I87" s="41">
        <f t="shared" ref="I87:I92" si="45">I86</f>
        <v>800</v>
      </c>
      <c r="J87" s="41">
        <v>0</v>
      </c>
      <c r="K87" s="44">
        <f t="shared" ref="K87:K92" si="46">K86</f>
        <v>0.85</v>
      </c>
      <c r="L87" s="41">
        <f t="shared" si="36"/>
        <v>680</v>
      </c>
      <c r="M87" s="44"/>
      <c r="N87" s="15">
        <f t="shared" si="17"/>
        <v>680</v>
      </c>
      <c r="O87" s="16" t="s">
        <v>30</v>
      </c>
    </row>
    <row r="88" spans="1:15" x14ac:dyDescent="0.3">
      <c r="A88" s="48"/>
      <c r="B88" s="34">
        <f t="shared" si="43"/>
        <v>45378</v>
      </c>
      <c r="C88" s="40" t="s">
        <v>21</v>
      </c>
      <c r="D88" s="41" t="s">
        <v>17</v>
      </c>
      <c r="E88" s="42" t="s">
        <v>18</v>
      </c>
      <c r="F88" s="41"/>
      <c r="G88" s="41">
        <v>5.9</v>
      </c>
      <c r="H88" s="41"/>
      <c r="I88" s="41">
        <f t="shared" si="45"/>
        <v>800</v>
      </c>
      <c r="J88" s="41">
        <v>0</v>
      </c>
      <c r="K88" s="44">
        <f t="shared" si="46"/>
        <v>0.85</v>
      </c>
      <c r="L88" s="41">
        <f t="shared" si="36"/>
        <v>680</v>
      </c>
      <c r="M88" s="44"/>
      <c r="N88" s="15">
        <f t="shared" si="17"/>
        <v>680</v>
      </c>
      <c r="O88" s="16" t="s">
        <v>30</v>
      </c>
    </row>
    <row r="89" spans="1:15" x14ac:dyDescent="0.3">
      <c r="A89" s="48"/>
      <c r="B89" s="34">
        <f t="shared" si="43"/>
        <v>45379</v>
      </c>
      <c r="C89" s="40" t="s">
        <v>23</v>
      </c>
      <c r="D89" s="41" t="s">
        <v>17</v>
      </c>
      <c r="E89" s="42" t="s">
        <v>18</v>
      </c>
      <c r="F89" s="41"/>
      <c r="G89" s="41">
        <v>5.9</v>
      </c>
      <c r="H89" s="41"/>
      <c r="I89" s="41">
        <f t="shared" si="45"/>
        <v>800</v>
      </c>
      <c r="J89" s="41">
        <v>0</v>
      </c>
      <c r="K89" s="44">
        <f t="shared" si="46"/>
        <v>0.85</v>
      </c>
      <c r="L89" s="41">
        <f t="shared" si="36"/>
        <v>680</v>
      </c>
      <c r="M89" s="44"/>
      <c r="N89" s="15">
        <f t="shared" ref="N89:N152" si="47">L89*(1-M89)</f>
        <v>680</v>
      </c>
      <c r="O89" s="16" t="s">
        <v>30</v>
      </c>
    </row>
    <row r="90" spans="1:15" x14ac:dyDescent="0.3">
      <c r="A90" s="48"/>
      <c r="B90" s="34">
        <f t="shared" si="43"/>
        <v>45380</v>
      </c>
      <c r="C90" s="40" t="s">
        <v>24</v>
      </c>
      <c r="D90" s="41" t="s">
        <v>17</v>
      </c>
      <c r="E90" s="42" t="s">
        <v>18</v>
      </c>
      <c r="F90" s="41"/>
      <c r="G90" s="41">
        <v>5.9</v>
      </c>
      <c r="H90" s="41"/>
      <c r="I90" s="41">
        <f t="shared" si="45"/>
        <v>800</v>
      </c>
      <c r="J90" s="41">
        <v>0</v>
      </c>
      <c r="K90" s="44">
        <f t="shared" si="46"/>
        <v>0.85</v>
      </c>
      <c r="L90" s="41">
        <f t="shared" si="36"/>
        <v>680</v>
      </c>
      <c r="M90" s="44"/>
      <c r="N90" s="15">
        <f t="shared" si="47"/>
        <v>680</v>
      </c>
      <c r="O90" s="16" t="s">
        <v>30</v>
      </c>
    </row>
    <row r="91" spans="1:15" x14ac:dyDescent="0.3">
      <c r="A91" s="48"/>
      <c r="B91" s="34">
        <f t="shared" si="43"/>
        <v>45381</v>
      </c>
      <c r="C91" s="17" t="s">
        <v>25</v>
      </c>
      <c r="D91" s="18" t="s">
        <v>17</v>
      </c>
      <c r="E91" s="18" t="s">
        <v>18</v>
      </c>
      <c r="F91" s="18"/>
      <c r="G91" s="18">
        <v>5.9</v>
      </c>
      <c r="H91" s="18"/>
      <c r="I91" s="18">
        <f t="shared" si="45"/>
        <v>800</v>
      </c>
      <c r="J91" s="18">
        <v>0</v>
      </c>
      <c r="K91" s="30">
        <f t="shared" si="46"/>
        <v>0.85</v>
      </c>
      <c r="L91" s="31">
        <f t="shared" si="36"/>
        <v>680</v>
      </c>
      <c r="M91" s="30"/>
      <c r="N91" s="45">
        <f t="shared" si="47"/>
        <v>680</v>
      </c>
      <c r="O91" s="19" t="s">
        <v>30</v>
      </c>
    </row>
    <row r="92" spans="1:15" ht="15" thickBot="1" x14ac:dyDescent="0.35">
      <c r="A92" s="49"/>
      <c r="B92" s="35">
        <f t="shared" si="43"/>
        <v>45382</v>
      </c>
      <c r="C92" s="20" t="s">
        <v>26</v>
      </c>
      <c r="D92" s="21" t="s">
        <v>17</v>
      </c>
      <c r="E92" s="21" t="s">
        <v>18</v>
      </c>
      <c r="F92" s="21"/>
      <c r="G92" s="21">
        <v>5.9</v>
      </c>
      <c r="H92" s="21"/>
      <c r="I92" s="21">
        <f t="shared" si="45"/>
        <v>800</v>
      </c>
      <c r="J92" s="21">
        <v>0</v>
      </c>
      <c r="K92" s="32">
        <f t="shared" si="46"/>
        <v>0.85</v>
      </c>
      <c r="L92" s="36">
        <f t="shared" si="36"/>
        <v>680</v>
      </c>
      <c r="M92" s="32"/>
      <c r="N92" s="45">
        <f t="shared" si="47"/>
        <v>680</v>
      </c>
      <c r="O92" s="22" t="s">
        <v>30</v>
      </c>
    </row>
    <row r="93" spans="1:15" x14ac:dyDescent="0.3">
      <c r="A93" s="47">
        <f t="shared" ref="A93" si="48">A86+1</f>
        <v>14</v>
      </c>
      <c r="B93" s="33">
        <f t="shared" si="43"/>
        <v>45383</v>
      </c>
      <c r="C93" s="37" t="s">
        <v>16</v>
      </c>
      <c r="D93" s="38" t="s">
        <v>17</v>
      </c>
      <c r="E93" s="39" t="s">
        <v>18</v>
      </c>
      <c r="F93" s="38"/>
      <c r="G93" s="38">
        <v>8</v>
      </c>
      <c r="H93" s="38"/>
      <c r="I93" s="38">
        <v>800</v>
      </c>
      <c r="J93" s="38">
        <v>0</v>
      </c>
      <c r="K93" s="43">
        <v>0.85</v>
      </c>
      <c r="L93" s="38">
        <f t="shared" si="36"/>
        <v>680</v>
      </c>
      <c r="M93" s="43"/>
      <c r="N93" s="25">
        <f t="shared" si="47"/>
        <v>680</v>
      </c>
      <c r="O93" s="9" t="s">
        <v>30</v>
      </c>
    </row>
    <row r="94" spans="1:15" x14ac:dyDescent="0.3">
      <c r="A94" s="48"/>
      <c r="B94" s="34">
        <f t="shared" si="43"/>
        <v>45384</v>
      </c>
      <c r="C94" s="40" t="s">
        <v>19</v>
      </c>
      <c r="D94" s="41" t="s">
        <v>17</v>
      </c>
      <c r="E94" s="42" t="s">
        <v>18</v>
      </c>
      <c r="F94" s="41"/>
      <c r="G94" s="41">
        <v>8</v>
      </c>
      <c r="H94" s="41"/>
      <c r="I94" s="41">
        <f t="shared" ref="I94:I99" si="49">I93</f>
        <v>800</v>
      </c>
      <c r="J94" s="41">
        <v>0</v>
      </c>
      <c r="K94" s="44">
        <f t="shared" ref="K94:K99" si="50">K93</f>
        <v>0.85</v>
      </c>
      <c r="L94" s="41">
        <f t="shared" si="36"/>
        <v>680</v>
      </c>
      <c r="M94" s="44"/>
      <c r="N94" s="15">
        <f t="shared" si="47"/>
        <v>680</v>
      </c>
      <c r="O94" s="16" t="s">
        <v>30</v>
      </c>
    </row>
    <row r="95" spans="1:15" x14ac:dyDescent="0.3">
      <c r="A95" s="48"/>
      <c r="B95" s="34">
        <f t="shared" si="43"/>
        <v>45385</v>
      </c>
      <c r="C95" s="40" t="s">
        <v>21</v>
      </c>
      <c r="D95" s="41" t="s">
        <v>17</v>
      </c>
      <c r="E95" s="42" t="s">
        <v>18</v>
      </c>
      <c r="F95" s="41"/>
      <c r="G95" s="41">
        <v>8</v>
      </c>
      <c r="H95" s="41"/>
      <c r="I95" s="41">
        <f t="shared" si="49"/>
        <v>800</v>
      </c>
      <c r="J95" s="41">
        <v>0</v>
      </c>
      <c r="K95" s="44">
        <f t="shared" si="50"/>
        <v>0.85</v>
      </c>
      <c r="L95" s="41">
        <f t="shared" si="36"/>
        <v>680</v>
      </c>
      <c r="M95" s="44"/>
      <c r="N95" s="15">
        <f t="shared" si="47"/>
        <v>680</v>
      </c>
      <c r="O95" s="16" t="s">
        <v>30</v>
      </c>
    </row>
    <row r="96" spans="1:15" x14ac:dyDescent="0.3">
      <c r="A96" s="48"/>
      <c r="B96" s="34">
        <f t="shared" si="43"/>
        <v>45386</v>
      </c>
      <c r="C96" s="40" t="s">
        <v>23</v>
      </c>
      <c r="D96" s="41" t="s">
        <v>17</v>
      </c>
      <c r="E96" s="42" t="s">
        <v>18</v>
      </c>
      <c r="F96" s="41"/>
      <c r="G96" s="41">
        <v>8</v>
      </c>
      <c r="H96" s="41"/>
      <c r="I96" s="41">
        <f t="shared" si="49"/>
        <v>800</v>
      </c>
      <c r="J96" s="41">
        <v>0</v>
      </c>
      <c r="K96" s="44">
        <f t="shared" si="50"/>
        <v>0.85</v>
      </c>
      <c r="L96" s="41">
        <f t="shared" si="36"/>
        <v>680</v>
      </c>
      <c r="M96" s="44"/>
      <c r="N96" s="15">
        <f t="shared" si="47"/>
        <v>680</v>
      </c>
      <c r="O96" s="16" t="s">
        <v>30</v>
      </c>
    </row>
    <row r="97" spans="1:15" x14ac:dyDescent="0.3">
      <c r="A97" s="48"/>
      <c r="B97" s="34">
        <f t="shared" si="43"/>
        <v>45387</v>
      </c>
      <c r="C97" s="40" t="s">
        <v>24</v>
      </c>
      <c r="D97" s="41" t="s">
        <v>17</v>
      </c>
      <c r="E97" s="42" t="s">
        <v>18</v>
      </c>
      <c r="F97" s="41"/>
      <c r="G97" s="41">
        <v>8</v>
      </c>
      <c r="H97" s="41"/>
      <c r="I97" s="41">
        <f t="shared" si="49"/>
        <v>800</v>
      </c>
      <c r="J97" s="41">
        <v>0</v>
      </c>
      <c r="K97" s="44">
        <f t="shared" si="50"/>
        <v>0.85</v>
      </c>
      <c r="L97" s="41">
        <f t="shared" si="36"/>
        <v>680</v>
      </c>
      <c r="M97" s="44"/>
      <c r="N97" s="15">
        <f t="shared" si="47"/>
        <v>680</v>
      </c>
      <c r="O97" s="16" t="s">
        <v>30</v>
      </c>
    </row>
    <row r="98" spans="1:15" x14ac:dyDescent="0.3">
      <c r="A98" s="48"/>
      <c r="B98" s="34">
        <f t="shared" si="43"/>
        <v>45388</v>
      </c>
      <c r="C98" s="17" t="s">
        <v>25</v>
      </c>
      <c r="D98" s="18" t="s">
        <v>17</v>
      </c>
      <c r="E98" s="18" t="s">
        <v>18</v>
      </c>
      <c r="F98" s="18"/>
      <c r="G98" s="18">
        <v>8</v>
      </c>
      <c r="H98" s="18"/>
      <c r="I98" s="18">
        <f t="shared" si="49"/>
        <v>800</v>
      </c>
      <c r="J98" s="18">
        <v>0</v>
      </c>
      <c r="K98" s="30">
        <f t="shared" si="50"/>
        <v>0.85</v>
      </c>
      <c r="L98" s="31">
        <f t="shared" si="36"/>
        <v>680</v>
      </c>
      <c r="M98" s="30"/>
      <c r="N98" s="45">
        <f t="shared" si="47"/>
        <v>680</v>
      </c>
      <c r="O98" s="19" t="s">
        <v>30</v>
      </c>
    </row>
    <row r="99" spans="1:15" ht="15" thickBot="1" x14ac:dyDescent="0.35">
      <c r="A99" s="49"/>
      <c r="B99" s="35">
        <f t="shared" si="43"/>
        <v>45389</v>
      </c>
      <c r="C99" s="20" t="s">
        <v>26</v>
      </c>
      <c r="D99" s="21" t="s">
        <v>17</v>
      </c>
      <c r="E99" s="21" t="s">
        <v>18</v>
      </c>
      <c r="F99" s="21"/>
      <c r="G99" s="21">
        <v>8</v>
      </c>
      <c r="H99" s="21"/>
      <c r="I99" s="21">
        <f t="shared" si="49"/>
        <v>800</v>
      </c>
      <c r="J99" s="21">
        <v>0</v>
      </c>
      <c r="K99" s="32">
        <f t="shared" si="50"/>
        <v>0.85</v>
      </c>
      <c r="L99" s="36">
        <f t="shared" si="36"/>
        <v>680</v>
      </c>
      <c r="M99" s="32"/>
      <c r="N99" s="45">
        <f t="shared" si="47"/>
        <v>680</v>
      </c>
      <c r="O99" s="22" t="s">
        <v>30</v>
      </c>
    </row>
    <row r="100" spans="1:15" x14ac:dyDescent="0.3">
      <c r="A100" s="47">
        <f t="shared" ref="A100" si="51">A93+1</f>
        <v>15</v>
      </c>
      <c r="B100" s="33">
        <f t="shared" si="43"/>
        <v>45390</v>
      </c>
      <c r="C100" s="37" t="s">
        <v>16</v>
      </c>
      <c r="D100" s="38" t="s">
        <v>17</v>
      </c>
      <c r="E100" s="39" t="s">
        <v>18</v>
      </c>
      <c r="F100" s="38"/>
      <c r="G100" s="38">
        <v>10</v>
      </c>
      <c r="H100" s="38"/>
      <c r="I100" s="38">
        <v>800</v>
      </c>
      <c r="J100" s="38">
        <v>0</v>
      </c>
      <c r="K100" s="43">
        <v>0.85</v>
      </c>
      <c r="L100" s="38">
        <f t="shared" si="36"/>
        <v>680</v>
      </c>
      <c r="M100" s="43"/>
      <c r="N100" s="25">
        <f t="shared" si="47"/>
        <v>680</v>
      </c>
      <c r="O100" s="9" t="s">
        <v>30</v>
      </c>
    </row>
    <row r="101" spans="1:15" x14ac:dyDescent="0.3">
      <c r="A101" s="48"/>
      <c r="B101" s="34">
        <f t="shared" si="43"/>
        <v>45391</v>
      </c>
      <c r="C101" s="40" t="s">
        <v>19</v>
      </c>
      <c r="D101" s="41" t="s">
        <v>17</v>
      </c>
      <c r="E101" s="42" t="s">
        <v>18</v>
      </c>
      <c r="F101" s="41"/>
      <c r="G101" s="41">
        <v>10</v>
      </c>
      <c r="H101" s="41"/>
      <c r="I101" s="41">
        <f t="shared" ref="I101:I106" si="52">I100</f>
        <v>800</v>
      </c>
      <c r="J101" s="41">
        <v>0</v>
      </c>
      <c r="K101" s="44">
        <f t="shared" ref="K101:K106" si="53">K100</f>
        <v>0.85</v>
      </c>
      <c r="L101" s="41">
        <f t="shared" si="36"/>
        <v>680</v>
      </c>
      <c r="M101" s="44"/>
      <c r="N101" s="15">
        <f t="shared" si="47"/>
        <v>680</v>
      </c>
      <c r="O101" s="16" t="s">
        <v>30</v>
      </c>
    </row>
    <row r="102" spans="1:15" x14ac:dyDescent="0.3">
      <c r="A102" s="48"/>
      <c r="B102" s="34">
        <f t="shared" si="43"/>
        <v>45392</v>
      </c>
      <c r="C102" s="40" t="s">
        <v>21</v>
      </c>
      <c r="D102" s="41" t="s">
        <v>17</v>
      </c>
      <c r="E102" s="42" t="s">
        <v>18</v>
      </c>
      <c r="F102" s="41"/>
      <c r="G102" s="41">
        <v>10</v>
      </c>
      <c r="H102" s="41"/>
      <c r="I102" s="41">
        <f t="shared" si="52"/>
        <v>800</v>
      </c>
      <c r="J102" s="41">
        <v>0</v>
      </c>
      <c r="K102" s="44">
        <f t="shared" si="53"/>
        <v>0.85</v>
      </c>
      <c r="L102" s="41">
        <f t="shared" si="36"/>
        <v>680</v>
      </c>
      <c r="M102" s="44"/>
      <c r="N102" s="15">
        <f t="shared" si="47"/>
        <v>680</v>
      </c>
      <c r="O102" s="16" t="s">
        <v>30</v>
      </c>
    </row>
    <row r="103" spans="1:15" x14ac:dyDescent="0.3">
      <c r="A103" s="48"/>
      <c r="B103" s="34">
        <f t="shared" si="43"/>
        <v>45393</v>
      </c>
      <c r="C103" s="40" t="s">
        <v>23</v>
      </c>
      <c r="D103" s="41" t="s">
        <v>17</v>
      </c>
      <c r="E103" s="42" t="s">
        <v>18</v>
      </c>
      <c r="F103" s="41"/>
      <c r="G103" s="41">
        <v>8</v>
      </c>
      <c r="H103" s="41"/>
      <c r="I103" s="41">
        <f t="shared" si="52"/>
        <v>800</v>
      </c>
      <c r="J103" s="41">
        <v>0</v>
      </c>
      <c r="K103" s="44">
        <f t="shared" si="53"/>
        <v>0.85</v>
      </c>
      <c r="L103" s="41">
        <f t="shared" si="36"/>
        <v>680</v>
      </c>
      <c r="M103" s="44"/>
      <c r="N103" s="15">
        <f t="shared" si="47"/>
        <v>680</v>
      </c>
      <c r="O103" s="16" t="s">
        <v>30</v>
      </c>
    </row>
    <row r="104" spans="1:15" x14ac:dyDescent="0.3">
      <c r="A104" s="48"/>
      <c r="B104" s="34">
        <f t="shared" si="43"/>
        <v>45394</v>
      </c>
      <c r="C104" s="40" t="s">
        <v>24</v>
      </c>
      <c r="D104" s="41" t="s">
        <v>17</v>
      </c>
      <c r="E104" s="42" t="s">
        <v>18</v>
      </c>
      <c r="F104" s="41"/>
      <c r="G104" s="41">
        <v>8</v>
      </c>
      <c r="H104" s="41"/>
      <c r="I104" s="41">
        <f t="shared" si="52"/>
        <v>800</v>
      </c>
      <c r="J104" s="41">
        <v>0</v>
      </c>
      <c r="K104" s="44">
        <f t="shared" si="53"/>
        <v>0.85</v>
      </c>
      <c r="L104" s="41">
        <f t="shared" si="36"/>
        <v>680</v>
      </c>
      <c r="M104" s="44"/>
      <c r="N104" s="15">
        <f t="shared" si="47"/>
        <v>680</v>
      </c>
      <c r="O104" s="16" t="s">
        <v>30</v>
      </c>
    </row>
    <row r="105" spans="1:15" x14ac:dyDescent="0.3">
      <c r="A105" s="48"/>
      <c r="B105" s="34">
        <f t="shared" si="43"/>
        <v>45395</v>
      </c>
      <c r="C105" s="17" t="s">
        <v>25</v>
      </c>
      <c r="D105" s="18" t="s">
        <v>17</v>
      </c>
      <c r="E105" s="18" t="s">
        <v>18</v>
      </c>
      <c r="F105" s="18"/>
      <c r="G105" s="18">
        <v>5.9</v>
      </c>
      <c r="H105" s="18"/>
      <c r="I105" s="18">
        <f t="shared" si="52"/>
        <v>800</v>
      </c>
      <c r="J105" s="18">
        <v>0</v>
      </c>
      <c r="K105" s="30">
        <f t="shared" si="53"/>
        <v>0.85</v>
      </c>
      <c r="L105" s="31">
        <f t="shared" si="36"/>
        <v>680</v>
      </c>
      <c r="M105" s="30"/>
      <c r="N105" s="45">
        <f t="shared" si="47"/>
        <v>680</v>
      </c>
      <c r="O105" s="19" t="s">
        <v>30</v>
      </c>
    </row>
    <row r="106" spans="1:15" ht="15" thickBot="1" x14ac:dyDescent="0.35">
      <c r="A106" s="49"/>
      <c r="B106" s="35">
        <f t="shared" si="43"/>
        <v>45396</v>
      </c>
      <c r="C106" s="20" t="s">
        <v>26</v>
      </c>
      <c r="D106" s="21" t="s">
        <v>17</v>
      </c>
      <c r="E106" s="21" t="s">
        <v>18</v>
      </c>
      <c r="F106" s="21"/>
      <c r="G106" s="21">
        <v>5.9</v>
      </c>
      <c r="H106" s="21"/>
      <c r="I106" s="21">
        <f t="shared" si="52"/>
        <v>800</v>
      </c>
      <c r="J106" s="21">
        <v>0</v>
      </c>
      <c r="K106" s="32">
        <f t="shared" si="53"/>
        <v>0.85</v>
      </c>
      <c r="L106" s="36">
        <f t="shared" si="36"/>
        <v>680</v>
      </c>
      <c r="M106" s="32"/>
      <c r="N106" s="45">
        <f t="shared" si="47"/>
        <v>680</v>
      </c>
      <c r="O106" s="22" t="s">
        <v>30</v>
      </c>
    </row>
    <row r="107" spans="1:15" x14ac:dyDescent="0.3">
      <c r="A107" s="47">
        <f t="shared" ref="A107" si="54">A100+1</f>
        <v>16</v>
      </c>
      <c r="B107" s="33">
        <f t="shared" si="43"/>
        <v>45397</v>
      </c>
      <c r="C107" s="37" t="s">
        <v>16</v>
      </c>
      <c r="D107" s="38" t="s">
        <v>17</v>
      </c>
      <c r="E107" s="39" t="s">
        <v>18</v>
      </c>
      <c r="F107" s="38"/>
      <c r="G107" s="38">
        <v>4.9000000000000004</v>
      </c>
      <c r="H107" s="38"/>
      <c r="I107" s="38">
        <v>800</v>
      </c>
      <c r="J107" s="38">
        <v>0</v>
      </c>
      <c r="K107" s="43">
        <v>0.85</v>
      </c>
      <c r="L107" s="38">
        <f t="shared" si="36"/>
        <v>680</v>
      </c>
      <c r="M107" s="43"/>
      <c r="N107" s="25">
        <f t="shared" si="47"/>
        <v>680</v>
      </c>
      <c r="O107" s="9" t="s">
        <v>30</v>
      </c>
    </row>
    <row r="108" spans="1:15" x14ac:dyDescent="0.3">
      <c r="A108" s="48"/>
      <c r="B108" s="34">
        <f t="shared" si="43"/>
        <v>45398</v>
      </c>
      <c r="C108" s="40" t="s">
        <v>19</v>
      </c>
      <c r="D108" s="41" t="s">
        <v>17</v>
      </c>
      <c r="E108" s="42" t="s">
        <v>18</v>
      </c>
      <c r="F108" s="41"/>
      <c r="G108" s="41">
        <v>3.9</v>
      </c>
      <c r="H108" s="41"/>
      <c r="I108" s="41">
        <f t="shared" ref="I108:I113" si="55">I107</f>
        <v>800</v>
      </c>
      <c r="J108" s="41">
        <v>0</v>
      </c>
      <c r="K108" s="44">
        <f t="shared" ref="K108:K113" si="56">K107</f>
        <v>0.85</v>
      </c>
      <c r="L108" s="41">
        <f t="shared" si="36"/>
        <v>680</v>
      </c>
      <c r="M108" s="44"/>
      <c r="N108" s="15">
        <f t="shared" si="47"/>
        <v>680</v>
      </c>
      <c r="O108" s="16" t="s">
        <v>30</v>
      </c>
    </row>
    <row r="109" spans="1:15" x14ac:dyDescent="0.3">
      <c r="A109" s="48"/>
      <c r="B109" s="34">
        <f t="shared" si="43"/>
        <v>45399</v>
      </c>
      <c r="C109" s="40" t="s">
        <v>21</v>
      </c>
      <c r="D109" s="41" t="s">
        <v>17</v>
      </c>
      <c r="E109" s="42" t="s">
        <v>18</v>
      </c>
      <c r="F109" s="41"/>
      <c r="G109" s="41">
        <v>2.9</v>
      </c>
      <c r="H109" s="41"/>
      <c r="I109" s="41">
        <f t="shared" si="55"/>
        <v>800</v>
      </c>
      <c r="J109" s="41">
        <v>0</v>
      </c>
      <c r="K109" s="44">
        <f t="shared" si="56"/>
        <v>0.85</v>
      </c>
      <c r="L109" s="41">
        <f t="shared" si="36"/>
        <v>680</v>
      </c>
      <c r="M109" s="44"/>
      <c r="N109" s="15">
        <f t="shared" si="47"/>
        <v>680</v>
      </c>
      <c r="O109" s="16" t="s">
        <v>30</v>
      </c>
    </row>
    <row r="110" spans="1:15" x14ac:dyDescent="0.3">
      <c r="A110" s="48"/>
      <c r="B110" s="34">
        <f t="shared" si="43"/>
        <v>45400</v>
      </c>
      <c r="C110" s="40" t="s">
        <v>23</v>
      </c>
      <c r="D110" s="41" t="s">
        <v>17</v>
      </c>
      <c r="E110" s="42" t="s">
        <v>18</v>
      </c>
      <c r="F110" s="41"/>
      <c r="G110" s="41">
        <v>2.9</v>
      </c>
      <c r="H110" s="41"/>
      <c r="I110" s="41">
        <f t="shared" si="55"/>
        <v>800</v>
      </c>
      <c r="J110" s="41">
        <v>0</v>
      </c>
      <c r="K110" s="44">
        <f t="shared" si="56"/>
        <v>0.85</v>
      </c>
      <c r="L110" s="41">
        <f t="shared" si="36"/>
        <v>680</v>
      </c>
      <c r="M110" s="44"/>
      <c r="N110" s="15">
        <f t="shared" si="47"/>
        <v>680</v>
      </c>
      <c r="O110" s="16" t="s">
        <v>30</v>
      </c>
    </row>
    <row r="111" spans="1:15" x14ac:dyDescent="0.3">
      <c r="A111" s="48"/>
      <c r="B111" s="34">
        <f t="shared" si="43"/>
        <v>45401</v>
      </c>
      <c r="C111" s="40" t="s">
        <v>24</v>
      </c>
      <c r="D111" s="41" t="s">
        <v>17</v>
      </c>
      <c r="E111" s="42" t="s">
        <v>18</v>
      </c>
      <c r="F111" s="41"/>
      <c r="G111" s="41">
        <v>2.9</v>
      </c>
      <c r="H111" s="41"/>
      <c r="I111" s="41">
        <f t="shared" si="55"/>
        <v>800</v>
      </c>
      <c r="J111" s="41">
        <v>0</v>
      </c>
      <c r="K111" s="44">
        <f t="shared" si="56"/>
        <v>0.85</v>
      </c>
      <c r="L111" s="41">
        <f t="shared" si="36"/>
        <v>680</v>
      </c>
      <c r="M111" s="44"/>
      <c r="N111" s="15">
        <f t="shared" si="47"/>
        <v>680</v>
      </c>
      <c r="O111" s="16" t="s">
        <v>30</v>
      </c>
    </row>
    <row r="112" spans="1:15" x14ac:dyDescent="0.3">
      <c r="A112" s="48"/>
      <c r="B112" s="34">
        <f t="shared" si="43"/>
        <v>45402</v>
      </c>
      <c r="C112" s="17" t="s">
        <v>25</v>
      </c>
      <c r="D112" s="18" t="s">
        <v>17</v>
      </c>
      <c r="E112" s="18" t="s">
        <v>18</v>
      </c>
      <c r="F112" s="18"/>
      <c r="G112" s="18">
        <v>3.9</v>
      </c>
      <c r="H112" s="18"/>
      <c r="I112" s="18">
        <f t="shared" si="55"/>
        <v>800</v>
      </c>
      <c r="J112" s="18">
        <v>0</v>
      </c>
      <c r="K112" s="30">
        <f t="shared" si="56"/>
        <v>0.85</v>
      </c>
      <c r="L112" s="31">
        <f t="shared" si="36"/>
        <v>680</v>
      </c>
      <c r="M112" s="30"/>
      <c r="N112" s="45">
        <f t="shared" si="47"/>
        <v>680</v>
      </c>
      <c r="O112" s="19" t="s">
        <v>30</v>
      </c>
    </row>
    <row r="113" spans="1:15" ht="15" thickBot="1" x14ac:dyDescent="0.35">
      <c r="A113" s="49"/>
      <c r="B113" s="35">
        <f t="shared" si="43"/>
        <v>45403</v>
      </c>
      <c r="C113" s="20" t="s">
        <v>26</v>
      </c>
      <c r="D113" s="21" t="s">
        <v>17</v>
      </c>
      <c r="E113" s="21" t="s">
        <v>18</v>
      </c>
      <c r="F113" s="21"/>
      <c r="G113" s="21">
        <v>3.9</v>
      </c>
      <c r="H113" s="21"/>
      <c r="I113" s="21">
        <f t="shared" si="55"/>
        <v>800</v>
      </c>
      <c r="J113" s="21">
        <v>0</v>
      </c>
      <c r="K113" s="32">
        <f t="shared" si="56"/>
        <v>0.85</v>
      </c>
      <c r="L113" s="36">
        <f t="shared" si="36"/>
        <v>680</v>
      </c>
      <c r="M113" s="32"/>
      <c r="N113" s="45">
        <f t="shared" si="47"/>
        <v>680</v>
      </c>
      <c r="O113" s="22" t="s">
        <v>30</v>
      </c>
    </row>
    <row r="114" spans="1:15" x14ac:dyDescent="0.3">
      <c r="A114" s="47">
        <f t="shared" ref="A114" si="57">A107+1</f>
        <v>17</v>
      </c>
      <c r="B114" s="33">
        <f t="shared" si="43"/>
        <v>45404</v>
      </c>
      <c r="C114" s="37" t="s">
        <v>16</v>
      </c>
      <c r="D114" s="38" t="s">
        <v>17</v>
      </c>
      <c r="E114" s="39" t="s">
        <v>22</v>
      </c>
      <c r="F114" s="38"/>
      <c r="G114" s="38">
        <v>4.9000000000000004</v>
      </c>
      <c r="H114" s="38"/>
      <c r="I114" s="38">
        <v>800</v>
      </c>
      <c r="J114" s="38">
        <v>0</v>
      </c>
      <c r="K114" s="43">
        <v>0.85</v>
      </c>
      <c r="L114" s="38">
        <f t="shared" si="36"/>
        <v>680</v>
      </c>
      <c r="M114" s="43"/>
      <c r="N114" s="25">
        <f t="shared" si="47"/>
        <v>680</v>
      </c>
      <c r="O114" s="9" t="s">
        <v>30</v>
      </c>
    </row>
    <row r="115" spans="1:15" x14ac:dyDescent="0.3">
      <c r="A115" s="48"/>
      <c r="B115" s="34">
        <f t="shared" si="43"/>
        <v>45405</v>
      </c>
      <c r="C115" s="40" t="s">
        <v>19</v>
      </c>
      <c r="D115" s="41" t="s">
        <v>17</v>
      </c>
      <c r="E115" s="42" t="s">
        <v>22</v>
      </c>
      <c r="F115" s="41"/>
      <c r="G115" s="41">
        <v>3.9</v>
      </c>
      <c r="H115" s="41"/>
      <c r="I115" s="41">
        <f t="shared" ref="I115:I120" si="58">I114</f>
        <v>800</v>
      </c>
      <c r="J115" s="41">
        <v>0</v>
      </c>
      <c r="K115" s="44">
        <f t="shared" ref="K115:K120" si="59">K114</f>
        <v>0.85</v>
      </c>
      <c r="L115" s="41">
        <f t="shared" si="36"/>
        <v>680</v>
      </c>
      <c r="M115" s="44"/>
      <c r="N115" s="15">
        <f t="shared" si="47"/>
        <v>680</v>
      </c>
      <c r="O115" s="16" t="s">
        <v>30</v>
      </c>
    </row>
    <row r="116" spans="1:15" x14ac:dyDescent="0.3">
      <c r="A116" s="48"/>
      <c r="B116" s="34">
        <f t="shared" si="43"/>
        <v>45406</v>
      </c>
      <c r="C116" s="40" t="s">
        <v>21</v>
      </c>
      <c r="D116" s="41" t="s">
        <v>17</v>
      </c>
      <c r="E116" s="41" t="s">
        <v>22</v>
      </c>
      <c r="F116" s="41"/>
      <c r="G116" s="41">
        <v>3.9</v>
      </c>
      <c r="H116" s="41"/>
      <c r="I116" s="41">
        <f t="shared" si="58"/>
        <v>800</v>
      </c>
      <c r="J116" s="41">
        <v>0</v>
      </c>
      <c r="K116" s="44">
        <f t="shared" si="59"/>
        <v>0.85</v>
      </c>
      <c r="L116" s="41">
        <f t="shared" si="36"/>
        <v>680</v>
      </c>
      <c r="M116" s="44"/>
      <c r="N116" s="15">
        <f t="shared" si="47"/>
        <v>680</v>
      </c>
      <c r="O116" s="16" t="s">
        <v>30</v>
      </c>
    </row>
    <row r="117" spans="1:15" x14ac:dyDescent="0.3">
      <c r="A117" s="48"/>
      <c r="B117" s="34">
        <f t="shared" si="43"/>
        <v>45407</v>
      </c>
      <c r="C117" s="40" t="s">
        <v>23</v>
      </c>
      <c r="D117" s="41" t="s">
        <v>17</v>
      </c>
      <c r="E117" s="41" t="s">
        <v>22</v>
      </c>
      <c r="F117" s="41"/>
      <c r="G117" s="41">
        <v>3.9</v>
      </c>
      <c r="H117" s="41"/>
      <c r="I117" s="41">
        <f t="shared" si="58"/>
        <v>800</v>
      </c>
      <c r="J117" s="41">
        <v>0</v>
      </c>
      <c r="K117" s="44">
        <f t="shared" si="59"/>
        <v>0.85</v>
      </c>
      <c r="L117" s="41">
        <f t="shared" si="36"/>
        <v>680</v>
      </c>
      <c r="M117" s="44"/>
      <c r="N117" s="15">
        <f t="shared" si="47"/>
        <v>680</v>
      </c>
      <c r="O117" s="16" t="s">
        <v>30</v>
      </c>
    </row>
    <row r="118" spans="1:15" x14ac:dyDescent="0.3">
      <c r="A118" s="48"/>
      <c r="B118" s="34">
        <f t="shared" si="43"/>
        <v>45408</v>
      </c>
      <c r="C118" s="40" t="s">
        <v>24</v>
      </c>
      <c r="D118" s="41" t="s">
        <v>17</v>
      </c>
      <c r="E118" s="41" t="s">
        <v>22</v>
      </c>
      <c r="F118" s="41"/>
      <c r="G118" s="41">
        <v>3.9</v>
      </c>
      <c r="H118" s="41"/>
      <c r="I118" s="41">
        <f t="shared" si="58"/>
        <v>800</v>
      </c>
      <c r="J118" s="41">
        <v>0</v>
      </c>
      <c r="K118" s="44">
        <f t="shared" si="59"/>
        <v>0.85</v>
      </c>
      <c r="L118" s="41">
        <f t="shared" si="36"/>
        <v>680</v>
      </c>
      <c r="M118" s="44"/>
      <c r="N118" s="15">
        <f t="shared" si="47"/>
        <v>680</v>
      </c>
      <c r="O118" s="16" t="s">
        <v>30</v>
      </c>
    </row>
    <row r="119" spans="1:15" x14ac:dyDescent="0.3">
      <c r="A119" s="48"/>
      <c r="B119" s="34">
        <f t="shared" si="43"/>
        <v>45409</v>
      </c>
      <c r="C119" s="17" t="s">
        <v>25</v>
      </c>
      <c r="D119" s="18" t="s">
        <v>17</v>
      </c>
      <c r="E119" s="18" t="s">
        <v>15</v>
      </c>
      <c r="F119" s="18"/>
      <c r="G119" s="18">
        <v>3.9</v>
      </c>
      <c r="H119" s="18"/>
      <c r="I119" s="18">
        <f t="shared" si="58"/>
        <v>800</v>
      </c>
      <c r="J119" s="18">
        <v>0</v>
      </c>
      <c r="K119" s="30">
        <f t="shared" si="59"/>
        <v>0.85</v>
      </c>
      <c r="L119" s="31">
        <f t="shared" si="36"/>
        <v>680</v>
      </c>
      <c r="M119" s="30"/>
      <c r="N119" s="45">
        <f t="shared" si="47"/>
        <v>680</v>
      </c>
      <c r="O119" s="19" t="s">
        <v>30</v>
      </c>
    </row>
    <row r="120" spans="1:15" ht="15" thickBot="1" x14ac:dyDescent="0.35">
      <c r="A120" s="49"/>
      <c r="B120" s="35">
        <f t="shared" si="43"/>
        <v>45410</v>
      </c>
      <c r="C120" s="20" t="s">
        <v>26</v>
      </c>
      <c r="D120" s="21" t="s">
        <v>17</v>
      </c>
      <c r="E120" s="21" t="s">
        <v>15</v>
      </c>
      <c r="F120" s="21"/>
      <c r="G120" s="21">
        <v>3.9</v>
      </c>
      <c r="H120" s="21"/>
      <c r="I120" s="21">
        <f t="shared" si="58"/>
        <v>800</v>
      </c>
      <c r="J120" s="21">
        <v>0</v>
      </c>
      <c r="K120" s="32">
        <f t="shared" si="59"/>
        <v>0.85</v>
      </c>
      <c r="L120" s="36">
        <f t="shared" si="36"/>
        <v>680</v>
      </c>
      <c r="M120" s="32"/>
      <c r="N120" s="45">
        <f t="shared" si="47"/>
        <v>680</v>
      </c>
      <c r="O120" s="22" t="s">
        <v>30</v>
      </c>
    </row>
    <row r="121" spans="1:15" x14ac:dyDescent="0.3">
      <c r="A121" s="47">
        <f t="shared" ref="A121" si="60">A114+1</f>
        <v>18</v>
      </c>
      <c r="B121" s="33">
        <f t="shared" si="43"/>
        <v>45411</v>
      </c>
      <c r="C121" s="37" t="s">
        <v>16</v>
      </c>
      <c r="D121" s="38" t="s">
        <v>17</v>
      </c>
      <c r="E121" s="39" t="s">
        <v>15</v>
      </c>
      <c r="F121" s="38"/>
      <c r="G121" s="38">
        <v>3.9</v>
      </c>
      <c r="H121" s="38"/>
      <c r="I121" s="38">
        <v>800</v>
      </c>
      <c r="J121" s="38">
        <v>0</v>
      </c>
      <c r="K121" s="43">
        <v>0.85</v>
      </c>
      <c r="L121" s="38">
        <f t="shared" si="36"/>
        <v>680</v>
      </c>
      <c r="M121" s="43"/>
      <c r="N121" s="25">
        <f t="shared" si="47"/>
        <v>680</v>
      </c>
      <c r="O121" s="9" t="s">
        <v>30</v>
      </c>
    </row>
    <row r="122" spans="1:15" x14ac:dyDescent="0.3">
      <c r="A122" s="48"/>
      <c r="B122" s="34">
        <f t="shared" si="43"/>
        <v>45412</v>
      </c>
      <c r="C122" s="40" t="s">
        <v>19</v>
      </c>
      <c r="D122" s="41" t="s">
        <v>17</v>
      </c>
      <c r="E122" s="42" t="s">
        <v>15</v>
      </c>
      <c r="F122" s="41"/>
      <c r="G122" s="41">
        <v>3.9</v>
      </c>
      <c r="H122" s="41"/>
      <c r="I122" s="41">
        <f t="shared" ref="I122:I127" si="61">I121</f>
        <v>800</v>
      </c>
      <c r="J122" s="41">
        <v>0</v>
      </c>
      <c r="K122" s="44">
        <f t="shared" ref="K122:K127" si="62">K121</f>
        <v>0.85</v>
      </c>
      <c r="L122" s="41">
        <f t="shared" si="36"/>
        <v>680</v>
      </c>
      <c r="M122" s="44"/>
      <c r="N122" s="15">
        <f t="shared" si="47"/>
        <v>680</v>
      </c>
      <c r="O122" s="16" t="s">
        <v>30</v>
      </c>
    </row>
    <row r="123" spans="1:15" x14ac:dyDescent="0.3">
      <c r="A123" s="48"/>
      <c r="B123" s="34">
        <f t="shared" si="43"/>
        <v>45413</v>
      </c>
      <c r="C123" s="40" t="s">
        <v>21</v>
      </c>
      <c r="D123" s="41" t="s">
        <v>17</v>
      </c>
      <c r="E123" s="41" t="s">
        <v>15</v>
      </c>
      <c r="F123" s="41"/>
      <c r="G123" s="41">
        <v>3.9</v>
      </c>
      <c r="H123" s="41"/>
      <c r="I123" s="41">
        <f t="shared" si="61"/>
        <v>800</v>
      </c>
      <c r="J123" s="41">
        <v>0</v>
      </c>
      <c r="K123" s="44">
        <f t="shared" si="62"/>
        <v>0.85</v>
      </c>
      <c r="L123" s="41">
        <f t="shared" si="36"/>
        <v>680</v>
      </c>
      <c r="M123" s="44"/>
      <c r="N123" s="15">
        <f t="shared" si="47"/>
        <v>680</v>
      </c>
      <c r="O123" s="16" t="s">
        <v>30</v>
      </c>
    </row>
    <row r="124" spans="1:15" x14ac:dyDescent="0.3">
      <c r="A124" s="48"/>
      <c r="B124" s="34">
        <f t="shared" si="43"/>
        <v>45414</v>
      </c>
      <c r="C124" s="40" t="s">
        <v>23</v>
      </c>
      <c r="D124" s="41" t="s">
        <v>17</v>
      </c>
      <c r="E124" s="41" t="s">
        <v>15</v>
      </c>
      <c r="F124" s="41"/>
      <c r="G124" s="41">
        <v>3.9</v>
      </c>
      <c r="H124" s="41"/>
      <c r="I124" s="41">
        <f t="shared" si="61"/>
        <v>800</v>
      </c>
      <c r="J124" s="41">
        <v>0</v>
      </c>
      <c r="K124" s="44">
        <f t="shared" si="62"/>
        <v>0.85</v>
      </c>
      <c r="L124" s="41">
        <f t="shared" si="36"/>
        <v>680</v>
      </c>
      <c r="M124" s="44"/>
      <c r="N124" s="15">
        <f t="shared" si="47"/>
        <v>680</v>
      </c>
      <c r="O124" s="16" t="s">
        <v>30</v>
      </c>
    </row>
    <row r="125" spans="1:15" x14ac:dyDescent="0.3">
      <c r="A125" s="48"/>
      <c r="B125" s="34">
        <f t="shared" si="43"/>
        <v>45415</v>
      </c>
      <c r="C125" s="40" t="s">
        <v>24</v>
      </c>
      <c r="D125" s="41" t="s">
        <v>17</v>
      </c>
      <c r="E125" s="41" t="s">
        <v>15</v>
      </c>
      <c r="F125" s="41"/>
      <c r="G125" s="41">
        <v>3.9</v>
      </c>
      <c r="H125" s="41"/>
      <c r="I125" s="41">
        <f t="shared" si="61"/>
        <v>800</v>
      </c>
      <c r="J125" s="41">
        <v>0</v>
      </c>
      <c r="K125" s="44">
        <f t="shared" si="62"/>
        <v>0.85</v>
      </c>
      <c r="L125" s="41">
        <f t="shared" si="36"/>
        <v>680</v>
      </c>
      <c r="M125" s="44"/>
      <c r="N125" s="15">
        <f t="shared" si="47"/>
        <v>680</v>
      </c>
      <c r="O125" s="16" t="s">
        <v>30</v>
      </c>
    </row>
    <row r="126" spans="1:15" x14ac:dyDescent="0.3">
      <c r="A126" s="48"/>
      <c r="B126" s="34">
        <f t="shared" si="43"/>
        <v>45416</v>
      </c>
      <c r="C126" s="17" t="s">
        <v>25</v>
      </c>
      <c r="D126" s="18" t="s">
        <v>17</v>
      </c>
      <c r="E126" s="18" t="s">
        <v>15</v>
      </c>
      <c r="F126" s="18"/>
      <c r="G126" s="18">
        <v>3.9</v>
      </c>
      <c r="H126" s="18"/>
      <c r="I126" s="18">
        <f t="shared" si="61"/>
        <v>800</v>
      </c>
      <c r="J126" s="18">
        <v>0</v>
      </c>
      <c r="K126" s="30">
        <f t="shared" si="62"/>
        <v>0.85</v>
      </c>
      <c r="L126" s="31">
        <f t="shared" si="36"/>
        <v>680</v>
      </c>
      <c r="M126" s="30"/>
      <c r="N126" s="45">
        <f t="shared" si="47"/>
        <v>680</v>
      </c>
      <c r="O126" s="19" t="s">
        <v>30</v>
      </c>
    </row>
    <row r="127" spans="1:15" ht="15" thickBot="1" x14ac:dyDescent="0.35">
      <c r="A127" s="49"/>
      <c r="B127" s="35">
        <f t="shared" si="43"/>
        <v>45417</v>
      </c>
      <c r="C127" s="20" t="s">
        <v>26</v>
      </c>
      <c r="D127" s="21" t="s">
        <v>17</v>
      </c>
      <c r="E127" s="21" t="s">
        <v>15</v>
      </c>
      <c r="F127" s="21"/>
      <c r="G127" s="21">
        <v>3.9</v>
      </c>
      <c r="H127" s="21"/>
      <c r="I127" s="21">
        <f t="shared" si="61"/>
        <v>800</v>
      </c>
      <c r="J127" s="21">
        <v>0</v>
      </c>
      <c r="K127" s="32">
        <f t="shared" si="62"/>
        <v>0.85</v>
      </c>
      <c r="L127" s="36">
        <f t="shared" si="36"/>
        <v>680</v>
      </c>
      <c r="M127" s="32"/>
      <c r="N127" s="45">
        <f t="shared" si="47"/>
        <v>680</v>
      </c>
      <c r="O127" s="22" t="s">
        <v>30</v>
      </c>
    </row>
    <row r="128" spans="1:15" x14ac:dyDescent="0.3">
      <c r="A128" s="47">
        <f t="shared" ref="A128" si="63">A121+1</f>
        <v>19</v>
      </c>
      <c r="B128" s="33">
        <f t="shared" si="43"/>
        <v>45418</v>
      </c>
      <c r="C128" s="37" t="s">
        <v>16</v>
      </c>
      <c r="D128" s="38" t="s">
        <v>17</v>
      </c>
      <c r="E128" s="39" t="s">
        <v>15</v>
      </c>
      <c r="F128" s="38"/>
      <c r="G128" s="38">
        <v>4.9000000000000004</v>
      </c>
      <c r="H128" s="38"/>
      <c r="I128" s="38">
        <v>800</v>
      </c>
      <c r="J128" s="38">
        <v>0</v>
      </c>
      <c r="K128" s="43">
        <v>0.85</v>
      </c>
      <c r="L128" s="38">
        <f t="shared" si="36"/>
        <v>680</v>
      </c>
      <c r="M128" s="43"/>
      <c r="N128" s="25">
        <f t="shared" si="47"/>
        <v>680</v>
      </c>
      <c r="O128" s="9" t="s">
        <v>30</v>
      </c>
    </row>
    <row r="129" spans="1:15" x14ac:dyDescent="0.3">
      <c r="A129" s="48"/>
      <c r="B129" s="34">
        <f t="shared" si="43"/>
        <v>45419</v>
      </c>
      <c r="C129" s="40" t="s">
        <v>19</v>
      </c>
      <c r="D129" s="41" t="s">
        <v>17</v>
      </c>
      <c r="E129" s="42" t="s">
        <v>15</v>
      </c>
      <c r="F129" s="41"/>
      <c r="G129" s="41">
        <v>4.9000000000000004</v>
      </c>
      <c r="H129" s="41"/>
      <c r="I129" s="41">
        <f t="shared" ref="I129:I134" si="64">I128</f>
        <v>800</v>
      </c>
      <c r="J129" s="41">
        <v>0</v>
      </c>
      <c r="K129" s="44">
        <f t="shared" ref="K129:K134" si="65">K128</f>
        <v>0.85</v>
      </c>
      <c r="L129" s="41">
        <f t="shared" si="36"/>
        <v>680</v>
      </c>
      <c r="M129" s="44"/>
      <c r="N129" s="15">
        <f t="shared" si="47"/>
        <v>680</v>
      </c>
      <c r="O129" s="16" t="s">
        <v>30</v>
      </c>
    </row>
    <row r="130" spans="1:15" x14ac:dyDescent="0.3">
      <c r="A130" s="48"/>
      <c r="B130" s="34">
        <f t="shared" si="43"/>
        <v>45420</v>
      </c>
      <c r="C130" s="40" t="s">
        <v>21</v>
      </c>
      <c r="D130" s="41" t="s">
        <v>17</v>
      </c>
      <c r="E130" s="41" t="s">
        <v>15</v>
      </c>
      <c r="F130" s="41"/>
      <c r="G130" s="41">
        <v>4.9000000000000004</v>
      </c>
      <c r="H130" s="41"/>
      <c r="I130" s="41">
        <f t="shared" si="64"/>
        <v>800</v>
      </c>
      <c r="J130" s="41">
        <v>0</v>
      </c>
      <c r="K130" s="44">
        <f t="shared" si="65"/>
        <v>0.85</v>
      </c>
      <c r="L130" s="41">
        <f t="shared" ref="L130:L193" si="66">IF(J130&lt;&gt;0,J130,I130)*K130</f>
        <v>680</v>
      </c>
      <c r="M130" s="44"/>
      <c r="N130" s="15">
        <f t="shared" si="47"/>
        <v>680</v>
      </c>
      <c r="O130" s="16" t="s">
        <v>30</v>
      </c>
    </row>
    <row r="131" spans="1:15" x14ac:dyDescent="0.3">
      <c r="A131" s="48"/>
      <c r="B131" s="34">
        <f t="shared" si="43"/>
        <v>45421</v>
      </c>
      <c r="C131" s="40" t="s">
        <v>23</v>
      </c>
      <c r="D131" s="41" t="s">
        <v>17</v>
      </c>
      <c r="E131" s="41" t="s">
        <v>15</v>
      </c>
      <c r="F131" s="41"/>
      <c r="G131" s="41">
        <v>4.9000000000000004</v>
      </c>
      <c r="H131" s="41"/>
      <c r="I131" s="41">
        <f t="shared" si="64"/>
        <v>800</v>
      </c>
      <c r="J131" s="41">
        <v>0</v>
      </c>
      <c r="K131" s="44">
        <f t="shared" si="65"/>
        <v>0.85</v>
      </c>
      <c r="L131" s="41">
        <f t="shared" si="66"/>
        <v>680</v>
      </c>
      <c r="M131" s="44"/>
      <c r="N131" s="15">
        <f t="shared" si="47"/>
        <v>680</v>
      </c>
      <c r="O131" s="16" t="s">
        <v>30</v>
      </c>
    </row>
    <row r="132" spans="1:15" x14ac:dyDescent="0.3">
      <c r="A132" s="48"/>
      <c r="B132" s="34">
        <f t="shared" si="43"/>
        <v>45422</v>
      </c>
      <c r="C132" s="40" t="s">
        <v>24</v>
      </c>
      <c r="D132" s="41" t="s">
        <v>17</v>
      </c>
      <c r="E132" s="41" t="s">
        <v>15</v>
      </c>
      <c r="F132" s="41"/>
      <c r="G132" s="41">
        <v>4.9000000000000004</v>
      </c>
      <c r="H132" s="41"/>
      <c r="I132" s="41">
        <f t="shared" si="64"/>
        <v>800</v>
      </c>
      <c r="J132" s="41">
        <v>0</v>
      </c>
      <c r="K132" s="44">
        <f t="shared" si="65"/>
        <v>0.85</v>
      </c>
      <c r="L132" s="41">
        <f t="shared" si="66"/>
        <v>680</v>
      </c>
      <c r="M132" s="44"/>
      <c r="N132" s="15">
        <f t="shared" si="47"/>
        <v>680</v>
      </c>
      <c r="O132" s="16" t="s">
        <v>30</v>
      </c>
    </row>
    <row r="133" spans="1:15" x14ac:dyDescent="0.3">
      <c r="A133" s="48"/>
      <c r="B133" s="34">
        <f t="shared" si="43"/>
        <v>45423</v>
      </c>
      <c r="C133" s="17" t="s">
        <v>25</v>
      </c>
      <c r="D133" s="18" t="s">
        <v>17</v>
      </c>
      <c r="E133" s="18" t="s">
        <v>15</v>
      </c>
      <c r="F133" s="50"/>
      <c r="G133" s="50">
        <v>4.9000000000000004</v>
      </c>
      <c r="H133" s="50"/>
      <c r="I133" s="18">
        <f t="shared" si="64"/>
        <v>800</v>
      </c>
      <c r="J133" s="18">
        <v>0</v>
      </c>
      <c r="K133" s="30">
        <f t="shared" si="65"/>
        <v>0.85</v>
      </c>
      <c r="L133" s="31">
        <f t="shared" si="66"/>
        <v>680</v>
      </c>
      <c r="M133" s="30"/>
      <c r="N133" s="45">
        <f t="shared" si="47"/>
        <v>680</v>
      </c>
      <c r="O133" s="19" t="s">
        <v>30</v>
      </c>
    </row>
    <row r="134" spans="1:15" ht="15" thickBot="1" x14ac:dyDescent="0.35">
      <c r="A134" s="49"/>
      <c r="B134" s="35">
        <f t="shared" si="43"/>
        <v>45424</v>
      </c>
      <c r="C134" s="20" t="s">
        <v>26</v>
      </c>
      <c r="D134" s="21" t="s">
        <v>17</v>
      </c>
      <c r="E134" s="21" t="s">
        <v>15</v>
      </c>
      <c r="F134" s="51"/>
      <c r="G134" s="51">
        <v>4.9000000000000004</v>
      </c>
      <c r="H134" s="51"/>
      <c r="I134" s="21">
        <f t="shared" si="64"/>
        <v>800</v>
      </c>
      <c r="J134" s="21">
        <v>0</v>
      </c>
      <c r="K134" s="32">
        <f t="shared" si="65"/>
        <v>0.85</v>
      </c>
      <c r="L134" s="36">
        <f t="shared" si="66"/>
        <v>680</v>
      </c>
      <c r="M134" s="32"/>
      <c r="N134" s="45">
        <f t="shared" si="47"/>
        <v>680</v>
      </c>
      <c r="O134" s="22" t="s">
        <v>30</v>
      </c>
    </row>
    <row r="135" spans="1:15" x14ac:dyDescent="0.3">
      <c r="A135" s="47">
        <f t="shared" ref="A135" si="67">A128+1</f>
        <v>20</v>
      </c>
      <c r="B135" s="33">
        <f t="shared" si="43"/>
        <v>45425</v>
      </c>
      <c r="C135" s="37" t="s">
        <v>16</v>
      </c>
      <c r="D135" s="38" t="s">
        <v>17</v>
      </c>
      <c r="E135" s="39" t="s">
        <v>15</v>
      </c>
      <c r="F135" s="38"/>
      <c r="G135" s="38">
        <v>5.9</v>
      </c>
      <c r="H135" s="38"/>
      <c r="I135" s="38">
        <v>800</v>
      </c>
      <c r="J135" s="38">
        <v>0</v>
      </c>
      <c r="K135" s="43">
        <v>0.85</v>
      </c>
      <c r="L135" s="38">
        <f t="shared" si="66"/>
        <v>680</v>
      </c>
      <c r="M135" s="43"/>
      <c r="N135" s="25">
        <f t="shared" si="47"/>
        <v>680</v>
      </c>
      <c r="O135" s="9" t="s">
        <v>30</v>
      </c>
    </row>
    <row r="136" spans="1:15" x14ac:dyDescent="0.3">
      <c r="A136" s="48"/>
      <c r="B136" s="34">
        <f t="shared" si="43"/>
        <v>45426</v>
      </c>
      <c r="C136" s="40" t="s">
        <v>19</v>
      </c>
      <c r="D136" s="41" t="s">
        <v>17</v>
      </c>
      <c r="E136" s="42" t="s">
        <v>15</v>
      </c>
      <c r="F136" s="41"/>
      <c r="G136" s="41">
        <v>5.9</v>
      </c>
      <c r="H136" s="41"/>
      <c r="I136" s="41">
        <f t="shared" ref="I136:I141" si="68">I135</f>
        <v>800</v>
      </c>
      <c r="J136" s="41">
        <v>0</v>
      </c>
      <c r="K136" s="44">
        <f t="shared" ref="K136:K141" si="69">K135</f>
        <v>0.85</v>
      </c>
      <c r="L136" s="41">
        <f t="shared" si="66"/>
        <v>680</v>
      </c>
      <c r="M136" s="44"/>
      <c r="N136" s="15">
        <f t="shared" si="47"/>
        <v>680</v>
      </c>
      <c r="O136" s="16" t="s">
        <v>30</v>
      </c>
    </row>
    <row r="137" spans="1:15" x14ac:dyDescent="0.3">
      <c r="A137" s="48"/>
      <c r="B137" s="34">
        <f t="shared" si="43"/>
        <v>45427</v>
      </c>
      <c r="C137" s="40" t="s">
        <v>21</v>
      </c>
      <c r="D137" s="41" t="s">
        <v>17</v>
      </c>
      <c r="E137" s="41" t="s">
        <v>15</v>
      </c>
      <c r="F137" s="41"/>
      <c r="G137" s="41">
        <v>5.9</v>
      </c>
      <c r="H137" s="41"/>
      <c r="I137" s="41">
        <f t="shared" si="68"/>
        <v>800</v>
      </c>
      <c r="J137" s="41">
        <v>0</v>
      </c>
      <c r="K137" s="44">
        <f t="shared" si="69"/>
        <v>0.85</v>
      </c>
      <c r="L137" s="41">
        <f t="shared" si="66"/>
        <v>680</v>
      </c>
      <c r="M137" s="44"/>
      <c r="N137" s="15">
        <f t="shared" si="47"/>
        <v>680</v>
      </c>
      <c r="O137" s="16" t="s">
        <v>30</v>
      </c>
    </row>
    <row r="138" spans="1:15" x14ac:dyDescent="0.3">
      <c r="A138" s="48"/>
      <c r="B138" s="34">
        <f t="shared" si="43"/>
        <v>45428</v>
      </c>
      <c r="C138" s="40" t="s">
        <v>23</v>
      </c>
      <c r="D138" s="41" t="s">
        <v>17</v>
      </c>
      <c r="E138" s="41" t="s">
        <v>15</v>
      </c>
      <c r="F138" s="41"/>
      <c r="G138" s="41">
        <v>5.9</v>
      </c>
      <c r="H138" s="41"/>
      <c r="I138" s="41">
        <f t="shared" si="68"/>
        <v>800</v>
      </c>
      <c r="J138" s="41">
        <v>0</v>
      </c>
      <c r="K138" s="44">
        <f t="shared" si="69"/>
        <v>0.85</v>
      </c>
      <c r="L138" s="41">
        <f t="shared" si="66"/>
        <v>680</v>
      </c>
      <c r="M138" s="44"/>
      <c r="N138" s="15">
        <f t="shared" si="47"/>
        <v>680</v>
      </c>
      <c r="O138" s="16" t="s">
        <v>30</v>
      </c>
    </row>
    <row r="139" spans="1:15" x14ac:dyDescent="0.3">
      <c r="A139" s="48"/>
      <c r="B139" s="34">
        <f t="shared" si="43"/>
        <v>45429</v>
      </c>
      <c r="C139" s="40" t="s">
        <v>24</v>
      </c>
      <c r="D139" s="41" t="s">
        <v>17</v>
      </c>
      <c r="E139" s="41" t="s">
        <v>15</v>
      </c>
      <c r="F139" s="41"/>
      <c r="G139" s="41">
        <v>5.9</v>
      </c>
      <c r="H139" s="41"/>
      <c r="I139" s="41">
        <f t="shared" si="68"/>
        <v>800</v>
      </c>
      <c r="J139" s="41">
        <v>0</v>
      </c>
      <c r="K139" s="44">
        <f t="shared" si="69"/>
        <v>0.85</v>
      </c>
      <c r="L139" s="41">
        <f t="shared" si="66"/>
        <v>680</v>
      </c>
      <c r="M139" s="44"/>
      <c r="N139" s="15">
        <f t="shared" si="47"/>
        <v>680</v>
      </c>
      <c r="O139" s="16" t="s">
        <v>30</v>
      </c>
    </row>
    <row r="140" spans="1:15" x14ac:dyDescent="0.3">
      <c r="A140" s="48"/>
      <c r="B140" s="34">
        <f t="shared" si="43"/>
        <v>45430</v>
      </c>
      <c r="C140" s="17" t="s">
        <v>25</v>
      </c>
      <c r="D140" s="18" t="s">
        <v>17</v>
      </c>
      <c r="E140" s="18" t="s">
        <v>15</v>
      </c>
      <c r="F140" s="18"/>
      <c r="G140" s="18">
        <v>5.9</v>
      </c>
      <c r="H140" s="18"/>
      <c r="I140" s="18">
        <f t="shared" si="68"/>
        <v>800</v>
      </c>
      <c r="J140" s="18">
        <v>0</v>
      </c>
      <c r="K140" s="30">
        <f t="shared" si="69"/>
        <v>0.85</v>
      </c>
      <c r="L140" s="31">
        <f t="shared" si="66"/>
        <v>680</v>
      </c>
      <c r="M140" s="30"/>
      <c r="N140" s="45">
        <f t="shared" si="47"/>
        <v>680</v>
      </c>
      <c r="O140" s="19" t="s">
        <v>30</v>
      </c>
    </row>
    <row r="141" spans="1:15" ht="15" thickBot="1" x14ac:dyDescent="0.35">
      <c r="A141" s="49"/>
      <c r="B141" s="35">
        <f t="shared" si="43"/>
        <v>45431</v>
      </c>
      <c r="C141" s="20" t="s">
        <v>26</v>
      </c>
      <c r="D141" s="21" t="s">
        <v>17</v>
      </c>
      <c r="E141" s="21" t="s">
        <v>15</v>
      </c>
      <c r="F141" s="21"/>
      <c r="G141" s="21">
        <v>5.9</v>
      </c>
      <c r="H141" s="21"/>
      <c r="I141" s="21">
        <f t="shared" si="68"/>
        <v>800</v>
      </c>
      <c r="J141" s="21">
        <v>0</v>
      </c>
      <c r="K141" s="32">
        <f t="shared" si="69"/>
        <v>0.85</v>
      </c>
      <c r="L141" s="36">
        <f t="shared" si="66"/>
        <v>680</v>
      </c>
      <c r="M141" s="32"/>
      <c r="N141" s="45">
        <f t="shared" si="47"/>
        <v>680</v>
      </c>
      <c r="O141" s="22" t="s">
        <v>30</v>
      </c>
    </row>
    <row r="142" spans="1:15" x14ac:dyDescent="0.3">
      <c r="A142" s="47">
        <f t="shared" ref="A142" si="70">A135+1</f>
        <v>21</v>
      </c>
      <c r="B142" s="33">
        <f t="shared" si="43"/>
        <v>45432</v>
      </c>
      <c r="C142" s="37" t="s">
        <v>16</v>
      </c>
      <c r="D142" s="38"/>
      <c r="E142" s="39"/>
      <c r="F142" s="38"/>
      <c r="G142" s="38"/>
      <c r="H142" s="38"/>
      <c r="I142" s="38">
        <v>800</v>
      </c>
      <c r="J142" s="38">
        <v>0</v>
      </c>
      <c r="K142" s="43">
        <v>0.85</v>
      </c>
      <c r="L142" s="38">
        <f t="shared" si="66"/>
        <v>680</v>
      </c>
      <c r="M142" s="43"/>
      <c r="N142" s="25">
        <f t="shared" si="47"/>
        <v>680</v>
      </c>
      <c r="O142" s="9" t="s">
        <v>30</v>
      </c>
    </row>
    <row r="143" spans="1:15" x14ac:dyDescent="0.3">
      <c r="A143" s="48"/>
      <c r="B143" s="34">
        <f t="shared" si="43"/>
        <v>45433</v>
      </c>
      <c r="C143" s="40" t="s">
        <v>19</v>
      </c>
      <c r="D143" s="41"/>
      <c r="E143" s="42"/>
      <c r="F143" s="41"/>
      <c r="G143" s="41"/>
      <c r="H143" s="41"/>
      <c r="I143" s="41">
        <f t="shared" ref="I143:I148" si="71">I142</f>
        <v>800</v>
      </c>
      <c r="J143" s="41">
        <v>0</v>
      </c>
      <c r="K143" s="44">
        <f t="shared" ref="K143:K148" si="72">K142</f>
        <v>0.85</v>
      </c>
      <c r="L143" s="41">
        <f t="shared" si="66"/>
        <v>680</v>
      </c>
      <c r="M143" s="44"/>
      <c r="N143" s="15">
        <f t="shared" si="47"/>
        <v>680</v>
      </c>
      <c r="O143" s="16" t="s">
        <v>30</v>
      </c>
    </row>
    <row r="144" spans="1:15" x14ac:dyDescent="0.3">
      <c r="A144" s="48"/>
      <c r="B144" s="34">
        <f t="shared" si="43"/>
        <v>45434</v>
      </c>
      <c r="C144" s="40" t="s">
        <v>21</v>
      </c>
      <c r="D144" s="41"/>
      <c r="E144" s="41"/>
      <c r="F144" s="41"/>
      <c r="G144" s="41"/>
      <c r="H144" s="41"/>
      <c r="I144" s="41">
        <f t="shared" si="71"/>
        <v>800</v>
      </c>
      <c r="J144" s="41">
        <v>0</v>
      </c>
      <c r="K144" s="44">
        <f t="shared" si="72"/>
        <v>0.85</v>
      </c>
      <c r="L144" s="41">
        <f t="shared" si="66"/>
        <v>680</v>
      </c>
      <c r="M144" s="44"/>
      <c r="N144" s="15">
        <f t="shared" si="47"/>
        <v>680</v>
      </c>
      <c r="O144" s="16" t="s">
        <v>30</v>
      </c>
    </row>
    <row r="145" spans="1:15" x14ac:dyDescent="0.3">
      <c r="A145" s="48"/>
      <c r="B145" s="34">
        <f t="shared" ref="B145:B204" si="73">B144+1</f>
        <v>45435</v>
      </c>
      <c r="C145" s="40" t="s">
        <v>23</v>
      </c>
      <c r="D145" s="41"/>
      <c r="E145" s="41"/>
      <c r="F145" s="41"/>
      <c r="G145" s="41"/>
      <c r="H145" s="41"/>
      <c r="I145" s="41">
        <f t="shared" si="71"/>
        <v>800</v>
      </c>
      <c r="J145" s="41">
        <v>0</v>
      </c>
      <c r="K145" s="44">
        <f t="shared" si="72"/>
        <v>0.85</v>
      </c>
      <c r="L145" s="41">
        <f t="shared" si="66"/>
        <v>680</v>
      </c>
      <c r="M145" s="44"/>
      <c r="N145" s="15">
        <f t="shared" si="47"/>
        <v>680</v>
      </c>
      <c r="O145" s="16" t="s">
        <v>30</v>
      </c>
    </row>
    <row r="146" spans="1:15" x14ac:dyDescent="0.3">
      <c r="A146" s="48"/>
      <c r="B146" s="34">
        <f t="shared" si="73"/>
        <v>45436</v>
      </c>
      <c r="C146" s="40" t="s">
        <v>24</v>
      </c>
      <c r="D146" s="41"/>
      <c r="E146" s="41"/>
      <c r="F146" s="41"/>
      <c r="G146" s="41"/>
      <c r="H146" s="41"/>
      <c r="I146" s="41">
        <f t="shared" si="71"/>
        <v>800</v>
      </c>
      <c r="J146" s="41">
        <v>0</v>
      </c>
      <c r="K146" s="44">
        <f t="shared" si="72"/>
        <v>0.85</v>
      </c>
      <c r="L146" s="41">
        <f t="shared" si="66"/>
        <v>680</v>
      </c>
      <c r="M146" s="44"/>
      <c r="N146" s="15">
        <f t="shared" si="47"/>
        <v>680</v>
      </c>
      <c r="O146" s="16" t="s">
        <v>30</v>
      </c>
    </row>
    <row r="147" spans="1:15" x14ac:dyDescent="0.3">
      <c r="A147" s="48"/>
      <c r="B147" s="34">
        <f t="shared" si="73"/>
        <v>45437</v>
      </c>
      <c r="C147" s="17" t="s">
        <v>25</v>
      </c>
      <c r="D147" s="18"/>
      <c r="E147" s="18"/>
      <c r="F147" s="18"/>
      <c r="G147" s="18"/>
      <c r="H147" s="18"/>
      <c r="I147" s="18">
        <f t="shared" si="71"/>
        <v>800</v>
      </c>
      <c r="J147" s="18">
        <v>0</v>
      </c>
      <c r="K147" s="30">
        <f t="shared" si="72"/>
        <v>0.85</v>
      </c>
      <c r="L147" s="31">
        <f t="shared" si="66"/>
        <v>680</v>
      </c>
      <c r="M147" s="30"/>
      <c r="N147" s="45">
        <f t="shared" si="47"/>
        <v>680</v>
      </c>
      <c r="O147" s="19" t="s">
        <v>30</v>
      </c>
    </row>
    <row r="148" spans="1:15" ht="15" thickBot="1" x14ac:dyDescent="0.35">
      <c r="A148" s="49"/>
      <c r="B148" s="35">
        <f t="shared" si="73"/>
        <v>45438</v>
      </c>
      <c r="C148" s="20" t="s">
        <v>26</v>
      </c>
      <c r="D148" s="21"/>
      <c r="E148" s="21"/>
      <c r="F148" s="21"/>
      <c r="G148" s="21"/>
      <c r="H148" s="21"/>
      <c r="I148" s="21">
        <f t="shared" si="71"/>
        <v>800</v>
      </c>
      <c r="J148" s="21">
        <v>0</v>
      </c>
      <c r="K148" s="32">
        <f t="shared" si="72"/>
        <v>0.85</v>
      </c>
      <c r="L148" s="36">
        <f t="shared" si="66"/>
        <v>680</v>
      </c>
      <c r="M148" s="32"/>
      <c r="N148" s="45">
        <f t="shared" si="47"/>
        <v>680</v>
      </c>
      <c r="O148" s="22" t="s">
        <v>30</v>
      </c>
    </row>
    <row r="149" spans="1:15" x14ac:dyDescent="0.3">
      <c r="A149" s="47">
        <f t="shared" ref="A149" si="74">A142+1</f>
        <v>22</v>
      </c>
      <c r="B149" s="33">
        <f t="shared" si="73"/>
        <v>45439</v>
      </c>
      <c r="C149" s="37" t="s">
        <v>16</v>
      </c>
      <c r="D149" s="38"/>
      <c r="E149" s="39"/>
      <c r="F149" s="38"/>
      <c r="G149" s="38"/>
      <c r="H149" s="38"/>
      <c r="I149" s="38">
        <v>800</v>
      </c>
      <c r="J149" s="38">
        <v>0</v>
      </c>
      <c r="K149" s="43">
        <v>0.85</v>
      </c>
      <c r="L149" s="38">
        <f t="shared" si="66"/>
        <v>680</v>
      </c>
      <c r="M149" s="43"/>
      <c r="N149" s="25">
        <f t="shared" si="47"/>
        <v>680</v>
      </c>
      <c r="O149" s="9" t="s">
        <v>30</v>
      </c>
    </row>
    <row r="150" spans="1:15" x14ac:dyDescent="0.3">
      <c r="A150" s="48"/>
      <c r="B150" s="34">
        <f t="shared" si="73"/>
        <v>45440</v>
      </c>
      <c r="C150" s="40" t="s">
        <v>19</v>
      </c>
      <c r="D150" s="41"/>
      <c r="E150" s="42"/>
      <c r="F150" s="41"/>
      <c r="G150" s="41"/>
      <c r="H150" s="41"/>
      <c r="I150" s="41">
        <f t="shared" ref="I150:I155" si="75">I149</f>
        <v>800</v>
      </c>
      <c r="J150" s="41">
        <v>0</v>
      </c>
      <c r="K150" s="44">
        <f t="shared" ref="K150:K155" si="76">K149</f>
        <v>0.85</v>
      </c>
      <c r="L150" s="41">
        <f t="shared" si="66"/>
        <v>680</v>
      </c>
      <c r="M150" s="44"/>
      <c r="N150" s="15">
        <f t="shared" si="47"/>
        <v>680</v>
      </c>
      <c r="O150" s="16" t="s">
        <v>30</v>
      </c>
    </row>
    <row r="151" spans="1:15" x14ac:dyDescent="0.3">
      <c r="A151" s="48"/>
      <c r="B151" s="34">
        <f t="shared" si="73"/>
        <v>45441</v>
      </c>
      <c r="C151" s="40" t="s">
        <v>21</v>
      </c>
      <c r="D151" s="41"/>
      <c r="E151" s="41"/>
      <c r="F151" s="41"/>
      <c r="G151" s="41"/>
      <c r="H151" s="41"/>
      <c r="I151" s="41">
        <f t="shared" si="75"/>
        <v>800</v>
      </c>
      <c r="J151" s="41">
        <v>0</v>
      </c>
      <c r="K151" s="44">
        <f t="shared" si="76"/>
        <v>0.85</v>
      </c>
      <c r="L151" s="41">
        <f t="shared" si="66"/>
        <v>680</v>
      </c>
      <c r="M151" s="44"/>
      <c r="N151" s="15">
        <f t="shared" si="47"/>
        <v>680</v>
      </c>
      <c r="O151" s="16" t="s">
        <v>30</v>
      </c>
    </row>
    <row r="152" spans="1:15" x14ac:dyDescent="0.3">
      <c r="A152" s="48"/>
      <c r="B152" s="34">
        <f t="shared" si="73"/>
        <v>45442</v>
      </c>
      <c r="C152" s="40" t="s">
        <v>23</v>
      </c>
      <c r="D152" s="41"/>
      <c r="E152" s="41"/>
      <c r="F152" s="41"/>
      <c r="G152" s="41"/>
      <c r="H152" s="41"/>
      <c r="I152" s="41">
        <f t="shared" si="75"/>
        <v>800</v>
      </c>
      <c r="J152" s="41">
        <v>0</v>
      </c>
      <c r="K152" s="44">
        <f t="shared" si="76"/>
        <v>0.85</v>
      </c>
      <c r="L152" s="41">
        <f t="shared" si="66"/>
        <v>680</v>
      </c>
      <c r="M152" s="44"/>
      <c r="N152" s="15">
        <f t="shared" si="47"/>
        <v>680</v>
      </c>
      <c r="O152" s="16" t="s">
        <v>30</v>
      </c>
    </row>
    <row r="153" spans="1:15" x14ac:dyDescent="0.3">
      <c r="A153" s="48"/>
      <c r="B153" s="34">
        <f t="shared" si="73"/>
        <v>45443</v>
      </c>
      <c r="C153" s="40" t="s">
        <v>24</v>
      </c>
      <c r="D153" s="41"/>
      <c r="E153" s="41"/>
      <c r="F153" s="41"/>
      <c r="G153" s="41"/>
      <c r="H153" s="41"/>
      <c r="I153" s="41">
        <f t="shared" si="75"/>
        <v>800</v>
      </c>
      <c r="J153" s="41">
        <v>0</v>
      </c>
      <c r="K153" s="44">
        <f t="shared" si="76"/>
        <v>0.85</v>
      </c>
      <c r="L153" s="41">
        <f t="shared" si="66"/>
        <v>680</v>
      </c>
      <c r="M153" s="44"/>
      <c r="N153" s="15">
        <f t="shared" ref="N153:N204" si="77">L153*(1-M153)</f>
        <v>680</v>
      </c>
      <c r="O153" s="16" t="s">
        <v>30</v>
      </c>
    </row>
    <row r="154" spans="1:15" x14ac:dyDescent="0.3">
      <c r="A154" s="48"/>
      <c r="B154" s="34">
        <f t="shared" si="73"/>
        <v>45444</v>
      </c>
      <c r="C154" s="17" t="s">
        <v>25</v>
      </c>
      <c r="D154" s="18"/>
      <c r="E154" s="18"/>
      <c r="F154" s="18"/>
      <c r="G154" s="18"/>
      <c r="H154" s="18"/>
      <c r="I154" s="18">
        <f t="shared" si="75"/>
        <v>800</v>
      </c>
      <c r="J154" s="18">
        <v>0</v>
      </c>
      <c r="K154" s="30">
        <f t="shared" si="76"/>
        <v>0.85</v>
      </c>
      <c r="L154" s="31">
        <f t="shared" si="66"/>
        <v>680</v>
      </c>
      <c r="M154" s="30"/>
      <c r="N154" s="45">
        <f t="shared" si="77"/>
        <v>680</v>
      </c>
      <c r="O154" s="19" t="s">
        <v>30</v>
      </c>
    </row>
    <row r="155" spans="1:15" ht="15" thickBot="1" x14ac:dyDescent="0.35">
      <c r="A155" s="49"/>
      <c r="B155" s="35">
        <f t="shared" si="73"/>
        <v>45445</v>
      </c>
      <c r="C155" s="20" t="s">
        <v>26</v>
      </c>
      <c r="D155" s="21"/>
      <c r="E155" s="21"/>
      <c r="F155" s="21"/>
      <c r="G155" s="21"/>
      <c r="H155" s="21"/>
      <c r="I155" s="21">
        <f t="shared" si="75"/>
        <v>800</v>
      </c>
      <c r="J155" s="21">
        <v>0</v>
      </c>
      <c r="K155" s="32">
        <f t="shared" si="76"/>
        <v>0.85</v>
      </c>
      <c r="L155" s="36">
        <f t="shared" si="66"/>
        <v>680</v>
      </c>
      <c r="M155" s="32"/>
      <c r="N155" s="45">
        <f t="shared" si="77"/>
        <v>680</v>
      </c>
      <c r="O155" s="22" t="s">
        <v>30</v>
      </c>
    </row>
    <row r="156" spans="1:15" x14ac:dyDescent="0.3">
      <c r="A156" s="47">
        <f t="shared" ref="A156" si="78">A149+1</f>
        <v>23</v>
      </c>
      <c r="B156" s="33">
        <f t="shared" si="73"/>
        <v>45446</v>
      </c>
      <c r="C156" s="37" t="s">
        <v>16</v>
      </c>
      <c r="D156" s="38"/>
      <c r="E156" s="39"/>
      <c r="F156" s="38"/>
      <c r="G156" s="38"/>
      <c r="H156" s="38"/>
      <c r="I156" s="38">
        <v>800</v>
      </c>
      <c r="J156" s="38">
        <v>0</v>
      </c>
      <c r="K156" s="43">
        <v>0.85</v>
      </c>
      <c r="L156" s="38">
        <f t="shared" si="66"/>
        <v>680</v>
      </c>
      <c r="M156" s="43"/>
      <c r="N156" s="25">
        <f t="shared" si="77"/>
        <v>680</v>
      </c>
      <c r="O156" s="9" t="s">
        <v>30</v>
      </c>
    </row>
    <row r="157" spans="1:15" x14ac:dyDescent="0.3">
      <c r="A157" s="48"/>
      <c r="B157" s="34">
        <f t="shared" si="73"/>
        <v>45447</v>
      </c>
      <c r="C157" s="40" t="s">
        <v>19</v>
      </c>
      <c r="D157" s="41"/>
      <c r="E157" s="42"/>
      <c r="F157" s="41"/>
      <c r="G157" s="41"/>
      <c r="H157" s="41"/>
      <c r="I157" s="41">
        <f t="shared" ref="I157:I162" si="79">I156</f>
        <v>800</v>
      </c>
      <c r="J157" s="41">
        <v>0</v>
      </c>
      <c r="K157" s="44">
        <f t="shared" ref="K157:K162" si="80">K156</f>
        <v>0.85</v>
      </c>
      <c r="L157" s="41">
        <f t="shared" si="66"/>
        <v>680</v>
      </c>
      <c r="M157" s="44"/>
      <c r="N157" s="15">
        <f t="shared" si="77"/>
        <v>680</v>
      </c>
      <c r="O157" s="16" t="s">
        <v>30</v>
      </c>
    </row>
    <row r="158" spans="1:15" x14ac:dyDescent="0.3">
      <c r="A158" s="48"/>
      <c r="B158" s="34">
        <f t="shared" si="73"/>
        <v>45448</v>
      </c>
      <c r="C158" s="40" t="s">
        <v>21</v>
      </c>
      <c r="D158" s="41"/>
      <c r="E158" s="41"/>
      <c r="F158" s="41"/>
      <c r="G158" s="41"/>
      <c r="H158" s="41"/>
      <c r="I158" s="41">
        <f t="shared" si="79"/>
        <v>800</v>
      </c>
      <c r="J158" s="41">
        <v>0</v>
      </c>
      <c r="K158" s="44">
        <f t="shared" si="80"/>
        <v>0.85</v>
      </c>
      <c r="L158" s="41">
        <f t="shared" si="66"/>
        <v>680</v>
      </c>
      <c r="M158" s="44"/>
      <c r="N158" s="15">
        <f t="shared" si="77"/>
        <v>680</v>
      </c>
      <c r="O158" s="16" t="s">
        <v>30</v>
      </c>
    </row>
    <row r="159" spans="1:15" x14ac:dyDescent="0.3">
      <c r="A159" s="48"/>
      <c r="B159" s="34">
        <f t="shared" si="73"/>
        <v>45449</v>
      </c>
      <c r="C159" s="40" t="s">
        <v>23</v>
      </c>
      <c r="D159" s="41"/>
      <c r="E159" s="41"/>
      <c r="F159" s="41"/>
      <c r="G159" s="41"/>
      <c r="H159" s="41"/>
      <c r="I159" s="41">
        <f t="shared" si="79"/>
        <v>800</v>
      </c>
      <c r="J159" s="41">
        <v>0</v>
      </c>
      <c r="K159" s="44">
        <f t="shared" si="80"/>
        <v>0.85</v>
      </c>
      <c r="L159" s="41">
        <f t="shared" si="66"/>
        <v>680</v>
      </c>
      <c r="M159" s="44"/>
      <c r="N159" s="15">
        <f t="shared" si="77"/>
        <v>680</v>
      </c>
      <c r="O159" s="16" t="s">
        <v>30</v>
      </c>
    </row>
    <row r="160" spans="1:15" x14ac:dyDescent="0.3">
      <c r="A160" s="48"/>
      <c r="B160" s="34">
        <f t="shared" si="73"/>
        <v>45450</v>
      </c>
      <c r="C160" s="40" t="s">
        <v>24</v>
      </c>
      <c r="D160" s="41"/>
      <c r="E160" s="41"/>
      <c r="F160" s="41"/>
      <c r="G160" s="41"/>
      <c r="H160" s="41"/>
      <c r="I160" s="41">
        <f t="shared" si="79"/>
        <v>800</v>
      </c>
      <c r="J160" s="41">
        <v>0</v>
      </c>
      <c r="K160" s="44">
        <f t="shared" si="80"/>
        <v>0.85</v>
      </c>
      <c r="L160" s="41">
        <f t="shared" si="66"/>
        <v>680</v>
      </c>
      <c r="M160" s="44"/>
      <c r="N160" s="15">
        <f t="shared" si="77"/>
        <v>680</v>
      </c>
      <c r="O160" s="16" t="s">
        <v>30</v>
      </c>
    </row>
    <row r="161" spans="1:15" x14ac:dyDescent="0.3">
      <c r="A161" s="48"/>
      <c r="B161" s="34">
        <f t="shared" si="73"/>
        <v>45451</v>
      </c>
      <c r="C161" s="17" t="s">
        <v>25</v>
      </c>
      <c r="D161" s="18"/>
      <c r="E161" s="18"/>
      <c r="F161" s="18"/>
      <c r="G161" s="18"/>
      <c r="H161" s="18"/>
      <c r="I161" s="18">
        <f t="shared" si="79"/>
        <v>800</v>
      </c>
      <c r="J161" s="18">
        <v>0</v>
      </c>
      <c r="K161" s="30">
        <f t="shared" si="80"/>
        <v>0.85</v>
      </c>
      <c r="L161" s="31">
        <f t="shared" si="66"/>
        <v>680</v>
      </c>
      <c r="M161" s="30"/>
      <c r="N161" s="45">
        <f t="shared" si="77"/>
        <v>680</v>
      </c>
      <c r="O161" s="19" t="s">
        <v>30</v>
      </c>
    </row>
    <row r="162" spans="1:15" ht="15" thickBot="1" x14ac:dyDescent="0.35">
      <c r="A162" s="49"/>
      <c r="B162" s="35">
        <f t="shared" si="73"/>
        <v>45452</v>
      </c>
      <c r="C162" s="20" t="s">
        <v>26</v>
      </c>
      <c r="D162" s="21"/>
      <c r="E162" s="21"/>
      <c r="F162" s="21"/>
      <c r="G162" s="21"/>
      <c r="H162" s="21"/>
      <c r="I162" s="21">
        <f t="shared" si="79"/>
        <v>800</v>
      </c>
      <c r="J162" s="21">
        <v>0</v>
      </c>
      <c r="K162" s="32">
        <f t="shared" si="80"/>
        <v>0.85</v>
      </c>
      <c r="L162" s="36">
        <f t="shared" si="66"/>
        <v>680</v>
      </c>
      <c r="M162" s="32"/>
      <c r="N162" s="45">
        <f t="shared" si="77"/>
        <v>680</v>
      </c>
      <c r="O162" s="22" t="s">
        <v>30</v>
      </c>
    </row>
    <row r="163" spans="1:15" x14ac:dyDescent="0.3">
      <c r="A163" s="47">
        <f t="shared" ref="A163" si="81">A156+1</f>
        <v>24</v>
      </c>
      <c r="B163" s="33">
        <f t="shared" si="73"/>
        <v>45453</v>
      </c>
      <c r="C163" s="37" t="s">
        <v>16</v>
      </c>
      <c r="D163" s="38"/>
      <c r="E163" s="39"/>
      <c r="F163" s="38"/>
      <c r="G163" s="38"/>
      <c r="H163" s="38"/>
      <c r="I163" s="38">
        <v>800</v>
      </c>
      <c r="J163" s="38">
        <v>0</v>
      </c>
      <c r="K163" s="43">
        <v>0.85</v>
      </c>
      <c r="L163" s="38">
        <f t="shared" si="66"/>
        <v>680</v>
      </c>
      <c r="M163" s="43"/>
      <c r="N163" s="25">
        <f t="shared" si="77"/>
        <v>680</v>
      </c>
      <c r="O163" s="9" t="s">
        <v>30</v>
      </c>
    </row>
    <row r="164" spans="1:15" x14ac:dyDescent="0.3">
      <c r="A164" s="48"/>
      <c r="B164" s="34">
        <f t="shared" si="73"/>
        <v>45454</v>
      </c>
      <c r="C164" s="40" t="s">
        <v>19</v>
      </c>
      <c r="D164" s="41"/>
      <c r="E164" s="42"/>
      <c r="F164" s="41"/>
      <c r="G164" s="41"/>
      <c r="H164" s="41"/>
      <c r="I164" s="41">
        <f t="shared" ref="I164:I169" si="82">I163</f>
        <v>800</v>
      </c>
      <c r="J164" s="41">
        <v>0</v>
      </c>
      <c r="K164" s="44">
        <f t="shared" ref="K164:K169" si="83">K163</f>
        <v>0.85</v>
      </c>
      <c r="L164" s="41">
        <f t="shared" si="66"/>
        <v>680</v>
      </c>
      <c r="M164" s="44"/>
      <c r="N164" s="15">
        <f t="shared" si="77"/>
        <v>680</v>
      </c>
      <c r="O164" s="16" t="s">
        <v>30</v>
      </c>
    </row>
    <row r="165" spans="1:15" x14ac:dyDescent="0.3">
      <c r="A165" s="48"/>
      <c r="B165" s="34">
        <f t="shared" si="73"/>
        <v>45455</v>
      </c>
      <c r="C165" s="40" t="s">
        <v>21</v>
      </c>
      <c r="D165" s="41"/>
      <c r="E165" s="41"/>
      <c r="F165" s="41"/>
      <c r="G165" s="41"/>
      <c r="H165" s="41"/>
      <c r="I165" s="41">
        <f t="shared" si="82"/>
        <v>800</v>
      </c>
      <c r="J165" s="41">
        <v>0</v>
      </c>
      <c r="K165" s="44">
        <f t="shared" si="83"/>
        <v>0.85</v>
      </c>
      <c r="L165" s="41">
        <f t="shared" si="66"/>
        <v>680</v>
      </c>
      <c r="M165" s="44"/>
      <c r="N165" s="15">
        <f t="shared" si="77"/>
        <v>680</v>
      </c>
      <c r="O165" s="16" t="s">
        <v>30</v>
      </c>
    </row>
    <row r="166" spans="1:15" x14ac:dyDescent="0.3">
      <c r="A166" s="48"/>
      <c r="B166" s="34">
        <f t="shared" si="73"/>
        <v>45456</v>
      </c>
      <c r="C166" s="40" t="s">
        <v>23</v>
      </c>
      <c r="D166" s="41"/>
      <c r="E166" s="41"/>
      <c r="F166" s="41"/>
      <c r="G166" s="41"/>
      <c r="H166" s="41"/>
      <c r="I166" s="41">
        <f t="shared" si="82"/>
        <v>800</v>
      </c>
      <c r="J166" s="41">
        <v>0</v>
      </c>
      <c r="K166" s="44">
        <f t="shared" si="83"/>
        <v>0.85</v>
      </c>
      <c r="L166" s="41">
        <f t="shared" si="66"/>
        <v>680</v>
      </c>
      <c r="M166" s="44"/>
      <c r="N166" s="15">
        <f t="shared" si="77"/>
        <v>680</v>
      </c>
      <c r="O166" s="16" t="s">
        <v>30</v>
      </c>
    </row>
    <row r="167" spans="1:15" x14ac:dyDescent="0.3">
      <c r="A167" s="48"/>
      <c r="B167" s="34">
        <f t="shared" si="73"/>
        <v>45457</v>
      </c>
      <c r="C167" s="40" t="s">
        <v>24</v>
      </c>
      <c r="D167" s="41"/>
      <c r="E167" s="41"/>
      <c r="F167" s="41"/>
      <c r="G167" s="41"/>
      <c r="H167" s="41"/>
      <c r="I167" s="41">
        <f t="shared" si="82"/>
        <v>800</v>
      </c>
      <c r="J167" s="41">
        <v>0</v>
      </c>
      <c r="K167" s="44">
        <f t="shared" si="83"/>
        <v>0.85</v>
      </c>
      <c r="L167" s="41">
        <f t="shared" si="66"/>
        <v>680</v>
      </c>
      <c r="M167" s="44"/>
      <c r="N167" s="15">
        <f t="shared" si="77"/>
        <v>680</v>
      </c>
      <c r="O167" s="16" t="s">
        <v>30</v>
      </c>
    </row>
    <row r="168" spans="1:15" x14ac:dyDescent="0.3">
      <c r="A168" s="48"/>
      <c r="B168" s="34">
        <f t="shared" si="73"/>
        <v>45458</v>
      </c>
      <c r="C168" s="17" t="s">
        <v>25</v>
      </c>
      <c r="D168" s="18"/>
      <c r="E168" s="18"/>
      <c r="F168" s="18"/>
      <c r="G168" s="18"/>
      <c r="H168" s="18"/>
      <c r="I168" s="18">
        <f t="shared" si="82"/>
        <v>800</v>
      </c>
      <c r="J168" s="18">
        <v>0</v>
      </c>
      <c r="K168" s="30">
        <f t="shared" si="83"/>
        <v>0.85</v>
      </c>
      <c r="L168" s="31">
        <f t="shared" si="66"/>
        <v>680</v>
      </c>
      <c r="M168" s="30"/>
      <c r="N168" s="45">
        <f t="shared" si="77"/>
        <v>680</v>
      </c>
      <c r="O168" s="19" t="s">
        <v>30</v>
      </c>
    </row>
    <row r="169" spans="1:15" ht="15" thickBot="1" x14ac:dyDescent="0.35">
      <c r="A169" s="49"/>
      <c r="B169" s="35">
        <f t="shared" si="73"/>
        <v>45459</v>
      </c>
      <c r="C169" s="20" t="s">
        <v>26</v>
      </c>
      <c r="D169" s="21"/>
      <c r="E169" s="21"/>
      <c r="F169" s="21"/>
      <c r="G169" s="21"/>
      <c r="H169" s="21"/>
      <c r="I169" s="21">
        <f t="shared" si="82"/>
        <v>800</v>
      </c>
      <c r="J169" s="21">
        <v>0</v>
      </c>
      <c r="K169" s="32">
        <f t="shared" si="83"/>
        <v>0.85</v>
      </c>
      <c r="L169" s="36">
        <f t="shared" si="66"/>
        <v>680</v>
      </c>
      <c r="M169" s="32"/>
      <c r="N169" s="45">
        <f t="shared" si="77"/>
        <v>680</v>
      </c>
      <c r="O169" s="22" t="s">
        <v>30</v>
      </c>
    </row>
    <row r="170" spans="1:15" x14ac:dyDescent="0.3">
      <c r="A170" s="47">
        <f t="shared" ref="A170" si="84">A163+1</f>
        <v>25</v>
      </c>
      <c r="B170" s="33">
        <f t="shared" si="73"/>
        <v>45460</v>
      </c>
      <c r="C170" s="37" t="s">
        <v>16</v>
      </c>
      <c r="D170" s="38"/>
      <c r="E170" s="39"/>
      <c r="F170" s="38"/>
      <c r="G170" s="38"/>
      <c r="H170" s="38"/>
      <c r="I170" s="38">
        <v>800</v>
      </c>
      <c r="J170" s="38">
        <v>0</v>
      </c>
      <c r="K170" s="43">
        <v>0.85</v>
      </c>
      <c r="L170" s="38">
        <f t="shared" si="66"/>
        <v>680</v>
      </c>
      <c r="M170" s="43"/>
      <c r="N170" s="25">
        <f t="shared" si="77"/>
        <v>680</v>
      </c>
      <c r="O170" s="9" t="s">
        <v>30</v>
      </c>
    </row>
    <row r="171" spans="1:15" x14ac:dyDescent="0.3">
      <c r="A171" s="48"/>
      <c r="B171" s="34">
        <f t="shared" si="73"/>
        <v>45461</v>
      </c>
      <c r="C171" s="40" t="s">
        <v>19</v>
      </c>
      <c r="D171" s="41"/>
      <c r="E171" s="42"/>
      <c r="F171" s="41"/>
      <c r="G171" s="41"/>
      <c r="H171" s="41"/>
      <c r="I171" s="41">
        <f t="shared" ref="I171:I176" si="85">I170</f>
        <v>800</v>
      </c>
      <c r="J171" s="41">
        <v>0</v>
      </c>
      <c r="K171" s="44">
        <f t="shared" ref="K171:K176" si="86">K170</f>
        <v>0.85</v>
      </c>
      <c r="L171" s="41">
        <f t="shared" si="66"/>
        <v>680</v>
      </c>
      <c r="M171" s="44"/>
      <c r="N171" s="15">
        <f t="shared" si="77"/>
        <v>680</v>
      </c>
      <c r="O171" s="16" t="s">
        <v>30</v>
      </c>
    </row>
    <row r="172" spans="1:15" x14ac:dyDescent="0.3">
      <c r="A172" s="48"/>
      <c r="B172" s="34">
        <f t="shared" si="73"/>
        <v>45462</v>
      </c>
      <c r="C172" s="40" t="s">
        <v>21</v>
      </c>
      <c r="D172" s="41"/>
      <c r="E172" s="41"/>
      <c r="F172" s="41"/>
      <c r="G172" s="41"/>
      <c r="H172" s="41"/>
      <c r="I172" s="41">
        <f t="shared" si="85"/>
        <v>800</v>
      </c>
      <c r="J172" s="41">
        <v>0</v>
      </c>
      <c r="K172" s="44">
        <f t="shared" si="86"/>
        <v>0.85</v>
      </c>
      <c r="L172" s="41">
        <f t="shared" si="66"/>
        <v>680</v>
      </c>
      <c r="M172" s="44"/>
      <c r="N172" s="15">
        <f t="shared" si="77"/>
        <v>680</v>
      </c>
      <c r="O172" s="16" t="s">
        <v>30</v>
      </c>
    </row>
    <row r="173" spans="1:15" x14ac:dyDescent="0.3">
      <c r="A173" s="48"/>
      <c r="B173" s="34">
        <f t="shared" si="73"/>
        <v>45463</v>
      </c>
      <c r="C173" s="40" t="s">
        <v>23</v>
      </c>
      <c r="D173" s="41"/>
      <c r="E173" s="41"/>
      <c r="F173" s="41"/>
      <c r="G173" s="41"/>
      <c r="H173" s="41"/>
      <c r="I173" s="41">
        <f t="shared" si="85"/>
        <v>800</v>
      </c>
      <c r="J173" s="41">
        <v>0</v>
      </c>
      <c r="K173" s="44">
        <f t="shared" si="86"/>
        <v>0.85</v>
      </c>
      <c r="L173" s="41">
        <f t="shared" si="66"/>
        <v>680</v>
      </c>
      <c r="M173" s="44"/>
      <c r="N173" s="15">
        <f t="shared" si="77"/>
        <v>680</v>
      </c>
      <c r="O173" s="16" t="s">
        <v>30</v>
      </c>
    </row>
    <row r="174" spans="1:15" x14ac:dyDescent="0.3">
      <c r="A174" s="48"/>
      <c r="B174" s="34">
        <f t="shared" si="73"/>
        <v>45464</v>
      </c>
      <c r="C174" s="40" t="s">
        <v>24</v>
      </c>
      <c r="D174" s="41"/>
      <c r="E174" s="41"/>
      <c r="F174" s="41"/>
      <c r="G174" s="41"/>
      <c r="H174" s="41"/>
      <c r="I174" s="41">
        <f t="shared" si="85"/>
        <v>800</v>
      </c>
      <c r="J174" s="41">
        <v>0</v>
      </c>
      <c r="K174" s="44">
        <f t="shared" si="86"/>
        <v>0.85</v>
      </c>
      <c r="L174" s="41">
        <f t="shared" si="66"/>
        <v>680</v>
      </c>
      <c r="M174" s="44"/>
      <c r="N174" s="15">
        <f t="shared" si="77"/>
        <v>680</v>
      </c>
      <c r="O174" s="16" t="s">
        <v>30</v>
      </c>
    </row>
    <row r="175" spans="1:15" x14ac:dyDescent="0.3">
      <c r="A175" s="48"/>
      <c r="B175" s="34">
        <f t="shared" si="73"/>
        <v>45465</v>
      </c>
      <c r="C175" s="17" t="s">
        <v>25</v>
      </c>
      <c r="D175" s="18"/>
      <c r="E175" s="18"/>
      <c r="F175" s="18"/>
      <c r="G175" s="18"/>
      <c r="H175" s="18"/>
      <c r="I175" s="18">
        <f t="shared" si="85"/>
        <v>800</v>
      </c>
      <c r="J175" s="18">
        <v>0</v>
      </c>
      <c r="K175" s="30">
        <f t="shared" si="86"/>
        <v>0.85</v>
      </c>
      <c r="L175" s="31">
        <f t="shared" si="66"/>
        <v>680</v>
      </c>
      <c r="M175" s="30"/>
      <c r="N175" s="45">
        <f t="shared" si="77"/>
        <v>680</v>
      </c>
      <c r="O175" s="19" t="s">
        <v>30</v>
      </c>
    </row>
    <row r="176" spans="1:15" ht="15" thickBot="1" x14ac:dyDescent="0.35">
      <c r="A176" s="49"/>
      <c r="B176" s="35">
        <f t="shared" si="73"/>
        <v>45466</v>
      </c>
      <c r="C176" s="20" t="s">
        <v>26</v>
      </c>
      <c r="D176" s="21"/>
      <c r="E176" s="21"/>
      <c r="F176" s="21"/>
      <c r="G176" s="21"/>
      <c r="H176" s="21"/>
      <c r="I176" s="21">
        <f t="shared" si="85"/>
        <v>800</v>
      </c>
      <c r="J176" s="21">
        <v>0</v>
      </c>
      <c r="K176" s="32">
        <f t="shared" si="86"/>
        <v>0.85</v>
      </c>
      <c r="L176" s="36">
        <f t="shared" si="66"/>
        <v>680</v>
      </c>
      <c r="M176" s="32"/>
      <c r="N176" s="45">
        <f t="shared" si="77"/>
        <v>680</v>
      </c>
      <c r="O176" s="22" t="s">
        <v>30</v>
      </c>
    </row>
    <row r="177" spans="1:15" x14ac:dyDescent="0.3">
      <c r="A177" s="47">
        <f t="shared" ref="A177" si="87">A170+1</f>
        <v>26</v>
      </c>
      <c r="B177" s="33">
        <f t="shared" si="73"/>
        <v>45467</v>
      </c>
      <c r="C177" s="37" t="s">
        <v>16</v>
      </c>
      <c r="D177" s="38"/>
      <c r="E177" s="39"/>
      <c r="F177" s="38"/>
      <c r="G177" s="38"/>
      <c r="H177" s="38"/>
      <c r="I177" s="38">
        <v>800</v>
      </c>
      <c r="J177" s="38">
        <v>0</v>
      </c>
      <c r="K177" s="43">
        <v>0.85</v>
      </c>
      <c r="L177" s="38">
        <f t="shared" si="66"/>
        <v>680</v>
      </c>
      <c r="M177" s="43"/>
      <c r="N177" s="25">
        <f t="shared" si="77"/>
        <v>680</v>
      </c>
      <c r="O177" s="9" t="s">
        <v>30</v>
      </c>
    </row>
    <row r="178" spans="1:15" x14ac:dyDescent="0.3">
      <c r="A178" s="48"/>
      <c r="B178" s="34">
        <f t="shared" si="73"/>
        <v>45468</v>
      </c>
      <c r="C178" s="40" t="s">
        <v>19</v>
      </c>
      <c r="D178" s="41"/>
      <c r="E178" s="42"/>
      <c r="F178" s="41"/>
      <c r="G178" s="41"/>
      <c r="H178" s="41"/>
      <c r="I178" s="41">
        <f t="shared" ref="I178:I183" si="88">I177</f>
        <v>800</v>
      </c>
      <c r="J178" s="41">
        <v>0</v>
      </c>
      <c r="K178" s="44">
        <f t="shared" ref="K178:K183" si="89">K177</f>
        <v>0.85</v>
      </c>
      <c r="L178" s="41">
        <f t="shared" si="66"/>
        <v>680</v>
      </c>
      <c r="M178" s="44"/>
      <c r="N178" s="15">
        <f t="shared" si="77"/>
        <v>680</v>
      </c>
      <c r="O178" s="16" t="s">
        <v>30</v>
      </c>
    </row>
    <row r="179" spans="1:15" x14ac:dyDescent="0.3">
      <c r="A179" s="48"/>
      <c r="B179" s="34">
        <f t="shared" si="73"/>
        <v>45469</v>
      </c>
      <c r="C179" s="40" t="s">
        <v>21</v>
      </c>
      <c r="D179" s="41"/>
      <c r="E179" s="41"/>
      <c r="F179" s="41"/>
      <c r="G179" s="41"/>
      <c r="H179" s="41"/>
      <c r="I179" s="41">
        <f t="shared" si="88"/>
        <v>800</v>
      </c>
      <c r="J179" s="41">
        <v>0</v>
      </c>
      <c r="K179" s="44">
        <f t="shared" si="89"/>
        <v>0.85</v>
      </c>
      <c r="L179" s="41">
        <f t="shared" si="66"/>
        <v>680</v>
      </c>
      <c r="M179" s="44"/>
      <c r="N179" s="15">
        <f t="shared" si="77"/>
        <v>680</v>
      </c>
      <c r="O179" s="16" t="s">
        <v>30</v>
      </c>
    </row>
    <row r="180" spans="1:15" x14ac:dyDescent="0.3">
      <c r="A180" s="48"/>
      <c r="B180" s="34">
        <f t="shared" si="73"/>
        <v>45470</v>
      </c>
      <c r="C180" s="40" t="s">
        <v>23</v>
      </c>
      <c r="D180" s="41"/>
      <c r="E180" s="41"/>
      <c r="F180" s="41"/>
      <c r="G180" s="41"/>
      <c r="H180" s="41"/>
      <c r="I180" s="41">
        <f t="shared" si="88"/>
        <v>800</v>
      </c>
      <c r="J180" s="41">
        <v>0</v>
      </c>
      <c r="K180" s="44">
        <f t="shared" si="89"/>
        <v>0.85</v>
      </c>
      <c r="L180" s="41">
        <f t="shared" si="66"/>
        <v>680</v>
      </c>
      <c r="M180" s="44"/>
      <c r="N180" s="15">
        <f t="shared" si="77"/>
        <v>680</v>
      </c>
      <c r="O180" s="16" t="s">
        <v>30</v>
      </c>
    </row>
    <row r="181" spans="1:15" x14ac:dyDescent="0.3">
      <c r="A181" s="48"/>
      <c r="B181" s="34">
        <f t="shared" si="73"/>
        <v>45471</v>
      </c>
      <c r="C181" s="40" t="s">
        <v>24</v>
      </c>
      <c r="D181" s="41"/>
      <c r="E181" s="41"/>
      <c r="F181" s="41"/>
      <c r="G181" s="41"/>
      <c r="H181" s="41"/>
      <c r="I181" s="41">
        <f t="shared" si="88"/>
        <v>800</v>
      </c>
      <c r="J181" s="41">
        <v>0</v>
      </c>
      <c r="K181" s="44">
        <f t="shared" si="89"/>
        <v>0.85</v>
      </c>
      <c r="L181" s="41">
        <f t="shared" si="66"/>
        <v>680</v>
      </c>
      <c r="M181" s="44"/>
      <c r="N181" s="15">
        <f t="shared" si="77"/>
        <v>680</v>
      </c>
      <c r="O181" s="16" t="s">
        <v>30</v>
      </c>
    </row>
    <row r="182" spans="1:15" x14ac:dyDescent="0.3">
      <c r="A182" s="48"/>
      <c r="B182" s="34">
        <f t="shared" si="73"/>
        <v>45472</v>
      </c>
      <c r="C182" s="17" t="s">
        <v>25</v>
      </c>
      <c r="D182" s="18"/>
      <c r="E182" s="18"/>
      <c r="F182" s="18"/>
      <c r="G182" s="18"/>
      <c r="H182" s="18"/>
      <c r="I182" s="18">
        <f t="shared" si="88"/>
        <v>800</v>
      </c>
      <c r="J182" s="18">
        <v>0</v>
      </c>
      <c r="K182" s="30">
        <f t="shared" si="89"/>
        <v>0.85</v>
      </c>
      <c r="L182" s="31">
        <f t="shared" si="66"/>
        <v>680</v>
      </c>
      <c r="M182" s="30"/>
      <c r="N182" s="45">
        <f t="shared" si="77"/>
        <v>680</v>
      </c>
      <c r="O182" s="19" t="s">
        <v>30</v>
      </c>
    </row>
    <row r="183" spans="1:15" ht="15" thickBot="1" x14ac:dyDescent="0.35">
      <c r="A183" s="49"/>
      <c r="B183" s="35">
        <f t="shared" si="73"/>
        <v>45473</v>
      </c>
      <c r="C183" s="20" t="s">
        <v>26</v>
      </c>
      <c r="D183" s="21"/>
      <c r="E183" s="21"/>
      <c r="F183" s="21"/>
      <c r="G183" s="21"/>
      <c r="H183" s="21"/>
      <c r="I183" s="21">
        <f t="shared" si="88"/>
        <v>800</v>
      </c>
      <c r="J183" s="21">
        <v>0</v>
      </c>
      <c r="K183" s="32">
        <f t="shared" si="89"/>
        <v>0.85</v>
      </c>
      <c r="L183" s="36">
        <f t="shared" si="66"/>
        <v>680</v>
      </c>
      <c r="M183" s="32"/>
      <c r="N183" s="45">
        <f t="shared" si="77"/>
        <v>680</v>
      </c>
      <c r="O183" s="22" t="s">
        <v>30</v>
      </c>
    </row>
    <row r="184" spans="1:15" x14ac:dyDescent="0.3">
      <c r="A184" s="47">
        <f t="shared" ref="A184" si="90">A177+1</f>
        <v>27</v>
      </c>
      <c r="B184" s="33">
        <f t="shared" si="73"/>
        <v>45474</v>
      </c>
      <c r="C184" s="37" t="s">
        <v>16</v>
      </c>
      <c r="D184" s="38"/>
      <c r="E184" s="39"/>
      <c r="F184" s="38"/>
      <c r="G184" s="38"/>
      <c r="H184" s="38"/>
      <c r="I184" s="38">
        <v>800</v>
      </c>
      <c r="J184" s="38">
        <v>0</v>
      </c>
      <c r="K184" s="43">
        <v>0.85</v>
      </c>
      <c r="L184" s="38">
        <f t="shared" si="66"/>
        <v>680</v>
      </c>
      <c r="M184" s="43"/>
      <c r="N184" s="25">
        <f t="shared" si="77"/>
        <v>680</v>
      </c>
      <c r="O184" s="9" t="s">
        <v>30</v>
      </c>
    </row>
    <row r="185" spans="1:15" x14ac:dyDescent="0.3">
      <c r="A185" s="48"/>
      <c r="B185" s="34">
        <f t="shared" si="73"/>
        <v>45475</v>
      </c>
      <c r="C185" s="40" t="s">
        <v>19</v>
      </c>
      <c r="D185" s="41"/>
      <c r="E185" s="42"/>
      <c r="F185" s="41"/>
      <c r="G185" s="41"/>
      <c r="H185" s="41"/>
      <c r="I185" s="41">
        <f t="shared" ref="I185:I190" si="91">I184</f>
        <v>800</v>
      </c>
      <c r="J185" s="41">
        <v>0</v>
      </c>
      <c r="K185" s="44">
        <f t="shared" ref="K185:K190" si="92">K184</f>
        <v>0.85</v>
      </c>
      <c r="L185" s="41">
        <f t="shared" si="66"/>
        <v>680</v>
      </c>
      <c r="M185" s="44"/>
      <c r="N185" s="15">
        <f t="shared" si="77"/>
        <v>680</v>
      </c>
      <c r="O185" s="16" t="s">
        <v>30</v>
      </c>
    </row>
    <row r="186" spans="1:15" x14ac:dyDescent="0.3">
      <c r="A186" s="48"/>
      <c r="B186" s="34">
        <f t="shared" si="73"/>
        <v>45476</v>
      </c>
      <c r="C186" s="40" t="s">
        <v>21</v>
      </c>
      <c r="D186" s="41"/>
      <c r="E186" s="41"/>
      <c r="F186" s="41"/>
      <c r="G186" s="41"/>
      <c r="H186" s="41"/>
      <c r="I186" s="41">
        <f t="shared" si="91"/>
        <v>800</v>
      </c>
      <c r="J186" s="41">
        <v>0</v>
      </c>
      <c r="K186" s="44">
        <f t="shared" si="92"/>
        <v>0.85</v>
      </c>
      <c r="L186" s="41">
        <f t="shared" si="66"/>
        <v>680</v>
      </c>
      <c r="M186" s="44"/>
      <c r="N186" s="15">
        <f t="shared" si="77"/>
        <v>680</v>
      </c>
      <c r="O186" s="16" t="s">
        <v>30</v>
      </c>
    </row>
    <row r="187" spans="1:15" x14ac:dyDescent="0.3">
      <c r="A187" s="48"/>
      <c r="B187" s="34">
        <f t="shared" si="73"/>
        <v>45477</v>
      </c>
      <c r="C187" s="40" t="s">
        <v>23</v>
      </c>
      <c r="D187" s="41"/>
      <c r="E187" s="41"/>
      <c r="F187" s="41"/>
      <c r="G187" s="41"/>
      <c r="H187" s="41"/>
      <c r="I187" s="41">
        <f t="shared" si="91"/>
        <v>800</v>
      </c>
      <c r="J187" s="41">
        <v>0</v>
      </c>
      <c r="K187" s="44">
        <f t="shared" si="92"/>
        <v>0.85</v>
      </c>
      <c r="L187" s="41">
        <f t="shared" si="66"/>
        <v>680</v>
      </c>
      <c r="M187" s="44"/>
      <c r="N187" s="15">
        <f t="shared" si="77"/>
        <v>680</v>
      </c>
      <c r="O187" s="16" t="s">
        <v>30</v>
      </c>
    </row>
    <row r="188" spans="1:15" x14ac:dyDescent="0.3">
      <c r="A188" s="48"/>
      <c r="B188" s="34">
        <f t="shared" si="73"/>
        <v>45478</v>
      </c>
      <c r="C188" s="40" t="s">
        <v>24</v>
      </c>
      <c r="D188" s="41"/>
      <c r="E188" s="41"/>
      <c r="F188" s="41"/>
      <c r="G188" s="41"/>
      <c r="H188" s="41"/>
      <c r="I188" s="41">
        <f t="shared" si="91"/>
        <v>800</v>
      </c>
      <c r="J188" s="41">
        <v>0</v>
      </c>
      <c r="K188" s="44">
        <f t="shared" si="92"/>
        <v>0.85</v>
      </c>
      <c r="L188" s="41">
        <f t="shared" si="66"/>
        <v>680</v>
      </c>
      <c r="M188" s="44"/>
      <c r="N188" s="15">
        <f t="shared" si="77"/>
        <v>680</v>
      </c>
      <c r="O188" s="16" t="s">
        <v>30</v>
      </c>
    </row>
    <row r="189" spans="1:15" x14ac:dyDescent="0.3">
      <c r="A189" s="48"/>
      <c r="B189" s="34">
        <f t="shared" si="73"/>
        <v>45479</v>
      </c>
      <c r="C189" s="17" t="s">
        <v>25</v>
      </c>
      <c r="D189" s="18"/>
      <c r="E189" s="18"/>
      <c r="F189" s="18"/>
      <c r="G189" s="18"/>
      <c r="H189" s="18"/>
      <c r="I189" s="18">
        <f t="shared" si="91"/>
        <v>800</v>
      </c>
      <c r="J189" s="18">
        <v>0</v>
      </c>
      <c r="K189" s="30">
        <f t="shared" si="92"/>
        <v>0.85</v>
      </c>
      <c r="L189" s="31">
        <f t="shared" si="66"/>
        <v>680</v>
      </c>
      <c r="M189" s="30"/>
      <c r="N189" s="45">
        <f t="shared" si="77"/>
        <v>680</v>
      </c>
      <c r="O189" s="19" t="s">
        <v>30</v>
      </c>
    </row>
    <row r="190" spans="1:15" ht="15" thickBot="1" x14ac:dyDescent="0.35">
      <c r="A190" s="49"/>
      <c r="B190" s="35">
        <f t="shared" si="73"/>
        <v>45480</v>
      </c>
      <c r="C190" s="20" t="s">
        <v>26</v>
      </c>
      <c r="D190" s="21"/>
      <c r="E190" s="21"/>
      <c r="F190" s="21"/>
      <c r="G190" s="21"/>
      <c r="H190" s="21"/>
      <c r="I190" s="21">
        <f t="shared" si="91"/>
        <v>800</v>
      </c>
      <c r="J190" s="21">
        <v>0</v>
      </c>
      <c r="K190" s="32">
        <f t="shared" si="92"/>
        <v>0.85</v>
      </c>
      <c r="L190" s="36">
        <f t="shared" si="66"/>
        <v>680</v>
      </c>
      <c r="M190" s="32"/>
      <c r="N190" s="45">
        <f t="shared" si="77"/>
        <v>680</v>
      </c>
      <c r="O190" s="22" t="s">
        <v>30</v>
      </c>
    </row>
    <row r="191" spans="1:15" x14ac:dyDescent="0.3">
      <c r="A191" s="47">
        <f t="shared" ref="A191" si="93">A184+1</f>
        <v>28</v>
      </c>
      <c r="B191" s="33">
        <f t="shared" si="73"/>
        <v>45481</v>
      </c>
      <c r="C191" s="37" t="s">
        <v>16</v>
      </c>
      <c r="D191" s="38"/>
      <c r="E191" s="39"/>
      <c r="F191" s="38"/>
      <c r="G191" s="38"/>
      <c r="H191" s="38"/>
      <c r="I191" s="38">
        <v>800</v>
      </c>
      <c r="J191" s="38">
        <v>0</v>
      </c>
      <c r="K191" s="43">
        <v>0.85</v>
      </c>
      <c r="L191" s="38">
        <f t="shared" si="66"/>
        <v>680</v>
      </c>
      <c r="M191" s="43"/>
      <c r="N191" s="25">
        <f t="shared" si="77"/>
        <v>680</v>
      </c>
      <c r="O191" s="9" t="s">
        <v>30</v>
      </c>
    </row>
    <row r="192" spans="1:15" x14ac:dyDescent="0.3">
      <c r="A192" s="48"/>
      <c r="B192" s="34">
        <f t="shared" si="73"/>
        <v>45482</v>
      </c>
      <c r="C192" s="40" t="s">
        <v>19</v>
      </c>
      <c r="D192" s="41"/>
      <c r="E192" s="42"/>
      <c r="F192" s="41"/>
      <c r="G192" s="41"/>
      <c r="H192" s="41"/>
      <c r="I192" s="41">
        <f t="shared" ref="I192:I197" si="94">I191</f>
        <v>800</v>
      </c>
      <c r="J192" s="41">
        <v>0</v>
      </c>
      <c r="K192" s="44">
        <f t="shared" ref="K192:K197" si="95">K191</f>
        <v>0.85</v>
      </c>
      <c r="L192" s="41">
        <f t="shared" si="66"/>
        <v>680</v>
      </c>
      <c r="M192" s="44"/>
      <c r="N192" s="15">
        <f t="shared" si="77"/>
        <v>680</v>
      </c>
      <c r="O192" s="16" t="s">
        <v>30</v>
      </c>
    </row>
    <row r="193" spans="1:15" x14ac:dyDescent="0.3">
      <c r="A193" s="48"/>
      <c r="B193" s="34">
        <f t="shared" si="73"/>
        <v>45483</v>
      </c>
      <c r="C193" s="40" t="s">
        <v>21</v>
      </c>
      <c r="D193" s="41"/>
      <c r="E193" s="41"/>
      <c r="F193" s="41"/>
      <c r="G193" s="41"/>
      <c r="H193" s="41"/>
      <c r="I193" s="41">
        <f t="shared" si="94"/>
        <v>800</v>
      </c>
      <c r="J193" s="41">
        <v>0</v>
      </c>
      <c r="K193" s="44">
        <f t="shared" si="95"/>
        <v>0.85</v>
      </c>
      <c r="L193" s="41">
        <f t="shared" si="66"/>
        <v>680</v>
      </c>
      <c r="M193" s="44"/>
      <c r="N193" s="15">
        <f t="shared" si="77"/>
        <v>680</v>
      </c>
      <c r="O193" s="16" t="s">
        <v>30</v>
      </c>
    </row>
    <row r="194" spans="1:15" x14ac:dyDescent="0.3">
      <c r="A194" s="48"/>
      <c r="B194" s="34">
        <f t="shared" si="73"/>
        <v>45484</v>
      </c>
      <c r="C194" s="40" t="s">
        <v>23</v>
      </c>
      <c r="D194" s="41"/>
      <c r="E194" s="41"/>
      <c r="F194" s="41"/>
      <c r="G194" s="41"/>
      <c r="H194" s="41"/>
      <c r="I194" s="41">
        <f t="shared" si="94"/>
        <v>800</v>
      </c>
      <c r="J194" s="41">
        <v>0</v>
      </c>
      <c r="K194" s="44">
        <f t="shared" si="95"/>
        <v>0.85</v>
      </c>
      <c r="L194" s="41">
        <f t="shared" ref="L194:L204" si="96">IF(J194&lt;&gt;0,J194,I194)*K194</f>
        <v>680</v>
      </c>
      <c r="M194" s="44"/>
      <c r="N194" s="15">
        <f t="shared" si="77"/>
        <v>680</v>
      </c>
      <c r="O194" s="16" t="s">
        <v>30</v>
      </c>
    </row>
    <row r="195" spans="1:15" x14ac:dyDescent="0.3">
      <c r="A195" s="48"/>
      <c r="B195" s="34">
        <f t="shared" si="73"/>
        <v>45485</v>
      </c>
      <c r="C195" s="40" t="s">
        <v>24</v>
      </c>
      <c r="D195" s="41"/>
      <c r="E195" s="41"/>
      <c r="F195" s="41"/>
      <c r="G195" s="41"/>
      <c r="H195" s="41"/>
      <c r="I195" s="41">
        <f t="shared" si="94"/>
        <v>800</v>
      </c>
      <c r="J195" s="41">
        <v>0</v>
      </c>
      <c r="K195" s="44">
        <f t="shared" si="95"/>
        <v>0.85</v>
      </c>
      <c r="L195" s="41">
        <f t="shared" si="96"/>
        <v>680</v>
      </c>
      <c r="M195" s="44"/>
      <c r="N195" s="15">
        <f t="shared" si="77"/>
        <v>680</v>
      </c>
      <c r="O195" s="16" t="s">
        <v>30</v>
      </c>
    </row>
    <row r="196" spans="1:15" x14ac:dyDescent="0.3">
      <c r="A196" s="48"/>
      <c r="B196" s="34">
        <f t="shared" si="73"/>
        <v>45486</v>
      </c>
      <c r="C196" s="17" t="s">
        <v>25</v>
      </c>
      <c r="D196" s="18"/>
      <c r="E196" s="18"/>
      <c r="F196" s="18"/>
      <c r="G196" s="18"/>
      <c r="H196" s="18"/>
      <c r="I196" s="18">
        <f t="shared" si="94"/>
        <v>800</v>
      </c>
      <c r="J196" s="18">
        <v>0</v>
      </c>
      <c r="K196" s="30">
        <f t="shared" si="95"/>
        <v>0.85</v>
      </c>
      <c r="L196" s="31">
        <f t="shared" si="96"/>
        <v>680</v>
      </c>
      <c r="M196" s="30"/>
      <c r="N196" s="45">
        <f t="shared" si="77"/>
        <v>680</v>
      </c>
      <c r="O196" s="19" t="s">
        <v>30</v>
      </c>
    </row>
    <row r="197" spans="1:15" ht="15" thickBot="1" x14ac:dyDescent="0.35">
      <c r="A197" s="49"/>
      <c r="B197" s="35">
        <f t="shared" si="73"/>
        <v>45487</v>
      </c>
      <c r="C197" s="20" t="s">
        <v>26</v>
      </c>
      <c r="D197" s="21"/>
      <c r="E197" s="21"/>
      <c r="F197" s="21"/>
      <c r="G197" s="21"/>
      <c r="H197" s="21"/>
      <c r="I197" s="21">
        <f t="shared" si="94"/>
        <v>800</v>
      </c>
      <c r="J197" s="21">
        <v>0</v>
      </c>
      <c r="K197" s="32">
        <f t="shared" si="95"/>
        <v>0.85</v>
      </c>
      <c r="L197" s="36">
        <f t="shared" si="96"/>
        <v>680</v>
      </c>
      <c r="M197" s="32"/>
      <c r="N197" s="45">
        <f t="shared" si="77"/>
        <v>680</v>
      </c>
      <c r="O197" s="22" t="s">
        <v>30</v>
      </c>
    </row>
    <row r="198" spans="1:15" x14ac:dyDescent="0.3">
      <c r="A198" s="47">
        <f t="shared" ref="A198" si="97">A191+1</f>
        <v>29</v>
      </c>
      <c r="B198" s="33">
        <f t="shared" si="73"/>
        <v>45488</v>
      </c>
      <c r="C198" s="37" t="s">
        <v>16</v>
      </c>
      <c r="D198" s="38"/>
      <c r="E198" s="39"/>
      <c r="F198" s="38"/>
      <c r="G198" s="38"/>
      <c r="H198" s="38"/>
      <c r="I198" s="38">
        <v>800</v>
      </c>
      <c r="J198" s="38">
        <v>0</v>
      </c>
      <c r="K198" s="43">
        <v>0.85</v>
      </c>
      <c r="L198" s="38">
        <f t="shared" si="96"/>
        <v>680</v>
      </c>
      <c r="M198" s="43"/>
      <c r="N198" s="25">
        <f t="shared" si="77"/>
        <v>680</v>
      </c>
      <c r="O198" s="9" t="s">
        <v>30</v>
      </c>
    </row>
    <row r="199" spans="1:15" x14ac:dyDescent="0.3">
      <c r="A199" s="48"/>
      <c r="B199" s="34">
        <f t="shared" si="73"/>
        <v>45489</v>
      </c>
      <c r="C199" s="40" t="s">
        <v>19</v>
      </c>
      <c r="D199" s="41"/>
      <c r="E199" s="42"/>
      <c r="F199" s="41"/>
      <c r="G199" s="41"/>
      <c r="H199" s="41"/>
      <c r="I199" s="41">
        <f t="shared" ref="I199:I204" si="98">I198</f>
        <v>800</v>
      </c>
      <c r="J199" s="41">
        <v>0</v>
      </c>
      <c r="K199" s="44">
        <f t="shared" ref="K199:K204" si="99">K198</f>
        <v>0.85</v>
      </c>
      <c r="L199" s="41">
        <f t="shared" si="96"/>
        <v>680</v>
      </c>
      <c r="M199" s="44"/>
      <c r="N199" s="15">
        <f t="shared" si="77"/>
        <v>680</v>
      </c>
      <c r="O199" s="16" t="s">
        <v>30</v>
      </c>
    </row>
    <row r="200" spans="1:15" x14ac:dyDescent="0.3">
      <c r="A200" s="48"/>
      <c r="B200" s="34">
        <f t="shared" si="73"/>
        <v>45490</v>
      </c>
      <c r="C200" s="40" t="s">
        <v>21</v>
      </c>
      <c r="D200" s="41"/>
      <c r="E200" s="41"/>
      <c r="F200" s="41"/>
      <c r="G200" s="41"/>
      <c r="H200" s="41"/>
      <c r="I200" s="41">
        <f t="shared" si="98"/>
        <v>800</v>
      </c>
      <c r="J200" s="41">
        <v>0</v>
      </c>
      <c r="K200" s="44">
        <f t="shared" si="99"/>
        <v>0.85</v>
      </c>
      <c r="L200" s="41">
        <f t="shared" si="96"/>
        <v>680</v>
      </c>
      <c r="M200" s="44"/>
      <c r="N200" s="15">
        <f t="shared" si="77"/>
        <v>680</v>
      </c>
      <c r="O200" s="16" t="s">
        <v>30</v>
      </c>
    </row>
    <row r="201" spans="1:15" x14ac:dyDescent="0.3">
      <c r="A201" s="48"/>
      <c r="B201" s="34">
        <f t="shared" si="73"/>
        <v>45491</v>
      </c>
      <c r="C201" s="40" t="s">
        <v>23</v>
      </c>
      <c r="D201" s="41"/>
      <c r="E201" s="41"/>
      <c r="F201" s="41"/>
      <c r="G201" s="41"/>
      <c r="H201" s="41"/>
      <c r="I201" s="41">
        <f t="shared" si="98"/>
        <v>800</v>
      </c>
      <c r="J201" s="41">
        <v>0</v>
      </c>
      <c r="K201" s="44">
        <f t="shared" si="99"/>
        <v>0.85</v>
      </c>
      <c r="L201" s="41">
        <f t="shared" si="96"/>
        <v>680</v>
      </c>
      <c r="M201" s="44"/>
      <c r="N201" s="15">
        <f t="shared" si="77"/>
        <v>680</v>
      </c>
      <c r="O201" s="16" t="s">
        <v>30</v>
      </c>
    </row>
    <row r="202" spans="1:15" x14ac:dyDescent="0.3">
      <c r="A202" s="48"/>
      <c r="B202" s="34">
        <f t="shared" si="73"/>
        <v>45492</v>
      </c>
      <c r="C202" s="40" t="s">
        <v>24</v>
      </c>
      <c r="D202" s="41"/>
      <c r="E202" s="41"/>
      <c r="F202" s="41"/>
      <c r="G202" s="41"/>
      <c r="H202" s="41"/>
      <c r="I202" s="41">
        <f t="shared" si="98"/>
        <v>800</v>
      </c>
      <c r="J202" s="41">
        <v>0</v>
      </c>
      <c r="K202" s="44">
        <f t="shared" si="99"/>
        <v>0.85</v>
      </c>
      <c r="L202" s="41">
        <f t="shared" si="96"/>
        <v>680</v>
      </c>
      <c r="M202" s="44"/>
      <c r="N202" s="15">
        <f t="shared" si="77"/>
        <v>680</v>
      </c>
      <c r="O202" s="16" t="s">
        <v>30</v>
      </c>
    </row>
    <row r="203" spans="1:15" x14ac:dyDescent="0.3">
      <c r="A203" s="48"/>
      <c r="B203" s="34">
        <f t="shared" si="73"/>
        <v>45493</v>
      </c>
      <c r="C203" s="17" t="s">
        <v>25</v>
      </c>
      <c r="D203" s="18"/>
      <c r="E203" s="18"/>
      <c r="F203" s="18"/>
      <c r="G203" s="18"/>
      <c r="H203" s="18"/>
      <c r="I203" s="18">
        <f t="shared" si="98"/>
        <v>800</v>
      </c>
      <c r="J203" s="18">
        <v>0</v>
      </c>
      <c r="K203" s="30">
        <f t="shared" si="99"/>
        <v>0.85</v>
      </c>
      <c r="L203" s="31">
        <f t="shared" si="96"/>
        <v>680</v>
      </c>
      <c r="M203" s="30"/>
      <c r="N203" s="45">
        <f t="shared" si="77"/>
        <v>680</v>
      </c>
      <c r="O203" s="19" t="s">
        <v>30</v>
      </c>
    </row>
    <row r="204" spans="1:15" ht="15" thickBot="1" x14ac:dyDescent="0.35">
      <c r="A204" s="49"/>
      <c r="B204" s="35">
        <f t="shared" si="73"/>
        <v>45494</v>
      </c>
      <c r="C204" s="20" t="s">
        <v>26</v>
      </c>
      <c r="D204" s="21"/>
      <c r="E204" s="21"/>
      <c r="F204" s="21"/>
      <c r="G204" s="21"/>
      <c r="H204" s="21"/>
      <c r="I204" s="21">
        <f t="shared" si="98"/>
        <v>800</v>
      </c>
      <c r="J204" s="21">
        <v>0</v>
      </c>
      <c r="K204" s="32">
        <f t="shared" si="99"/>
        <v>0.85</v>
      </c>
      <c r="L204" s="36">
        <f t="shared" si="96"/>
        <v>680</v>
      </c>
      <c r="M204" s="32"/>
      <c r="N204" s="46">
        <f t="shared" si="77"/>
        <v>680</v>
      </c>
      <c r="O204" s="22" t="s">
        <v>30</v>
      </c>
    </row>
  </sheetData>
  <mergeCells count="29">
    <mergeCell ref="A79:A85"/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163:A169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70:A176"/>
    <mergeCell ref="A177:A183"/>
    <mergeCell ref="A184:A190"/>
    <mergeCell ref="A191:A197"/>
    <mergeCell ref="A198:A204"/>
  </mergeCells>
  <conditionalFormatting sqref="C1:N1">
    <cfRule type="expression" dxfId="5" priority="6">
      <formula>ISNA(C1)</formula>
    </cfRule>
  </conditionalFormatting>
  <conditionalFormatting sqref="H1:N1">
    <cfRule type="expression" dxfId="4" priority="5">
      <formula>NOT(_xludf.isformula(H1))</formula>
    </cfRule>
  </conditionalFormatting>
  <conditionalFormatting sqref="A1">
    <cfRule type="expression" dxfId="3" priority="4">
      <formula>ISNA(A1)</formula>
    </cfRule>
  </conditionalFormatting>
  <conditionalFormatting sqref="B1">
    <cfRule type="expression" dxfId="2" priority="3">
      <formula>ISNA(B1)</formula>
    </cfRule>
  </conditionalFormatting>
  <conditionalFormatting sqref="O1">
    <cfRule type="expression" dxfId="1" priority="2">
      <formula>ISNA(O1)</formula>
    </cfRule>
  </conditionalFormatting>
  <conditionalFormatting sqref="O1">
    <cfRule type="expression" dxfId="0" priority="1">
      <formula>NOT(_xludf.isformula(O1))</formula>
    </cfRule>
  </conditionalFormatting>
  <dataValidations disablePrompts="1" count="4">
    <dataValidation type="list" allowBlank="1" showInputMessage="1" showErrorMessage="1" sqref="G1" xr:uid="{E1736F58-5C18-4304-BA60-F4EE0856770F}">
      <formula1>$AF$1:$AF$33</formula1>
    </dataValidation>
    <dataValidation type="list" allowBlank="1" showInputMessage="1" showErrorMessage="1" sqref="E1" xr:uid="{4584864A-04F3-4C66-AE9C-0074C8C15CC8}">
      <formula1>$AD$23:$AD$39</formula1>
    </dataValidation>
    <dataValidation type="list" allowBlank="1" showInputMessage="1" showErrorMessage="1" sqref="F1" xr:uid="{42B794B3-EC1C-453A-A3A8-0E7392C5B88D}">
      <formula1>$AE$23:$AE$26</formula1>
    </dataValidation>
    <dataValidation type="list" allowBlank="1" showInputMessage="1" showErrorMessage="1" sqref="D1" xr:uid="{EA9B3BF6-FCF3-47C6-8D53-72B974C21654}">
      <formula1>$AC$23:$AC$31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Fleischer, Markus</dc:creator>
  <cp:lastModifiedBy>Fleischer, Markus</cp:lastModifiedBy>
  <dcterms:created xsi:type="dcterms:W3CDTF">2024-02-28T09:57:39Z</dcterms:created>
  <dcterms:modified xsi:type="dcterms:W3CDTF">2024-02-28T10:44:26Z</dcterms:modified>
</cp:coreProperties>
</file>