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M:\000_alle\PPS\00 Produktionsprogramme\"/>
    </mc:Choice>
  </mc:AlternateContent>
  <xr:revisionPtr revIDLastSave="0" documentId="13_ncr:1_{4A5DE8C7-D767-4663-8540-D756EBB162BF}" xr6:coauthVersionLast="47" xr6:coauthVersionMax="47" xr10:uidLastSave="{00000000-0000-0000-0000-000000000000}"/>
  <bookViews>
    <workbookView minimized="1" xWindow="42900" yWindow="4020" windowWidth="21600" windowHeight="11505" xr2:uid="{00000000-000D-0000-FFFF-FFFF00000000}"/>
  </bookViews>
  <sheets>
    <sheet name="Planung" sheetId="1" r:id="rId1"/>
    <sheet name="Tabelle1" sheetId="6" r:id="rId2"/>
    <sheet name="Ofen" sheetId="4" r:id="rId3"/>
    <sheet name="Budget" sheetId="3" r:id="rId4"/>
    <sheet name="Budget 2022" sheetId="5" state="hidden" r:id="rId5"/>
    <sheet name="2019 (3)" sheetId="2" r:id="rId6"/>
  </sheets>
  <definedNames>
    <definedName name="_xlnm._FilterDatabase" localSheetId="3" hidden="1">Budget!$A$1:$L$19</definedName>
    <definedName name="_xlnm._FilterDatabase" localSheetId="0" hidden="1">Planung!$A$1:$M$3285</definedName>
    <definedName name="_xlnm.Print_Area" localSheetId="5">'2019 (3)'!#REF!</definedName>
    <definedName name="_xlnm.Print_Area" localSheetId="0">Planung!$A$1:$M$1118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2" i="1" l="1"/>
  <c r="H7" i="3" l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E1107" i="1"/>
  <c r="H1107" i="1" s="1"/>
  <c r="J1107" i="1" s="1"/>
  <c r="E1106" i="1"/>
  <c r="H1106" i="1" s="1"/>
  <c r="E1105" i="1"/>
  <c r="H1105" i="1" s="1"/>
  <c r="E1104" i="1"/>
  <c r="H1104" i="1" s="1"/>
  <c r="J1104" i="1" s="1"/>
  <c r="E1103" i="1"/>
  <c r="H1103" i="1" s="1"/>
  <c r="E1102" i="1"/>
  <c r="H1102" i="1" s="1"/>
  <c r="E1101" i="1"/>
  <c r="H1101" i="1" s="1"/>
  <c r="E1100" i="1"/>
  <c r="E1099" i="1"/>
  <c r="M1099" i="1" s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M1083" i="1" s="1"/>
  <c r="E1082" i="1"/>
  <c r="E1081" i="1"/>
  <c r="E1080" i="1"/>
  <c r="E1079" i="1"/>
  <c r="E1078" i="1"/>
  <c r="E1077" i="1"/>
  <c r="E1076" i="1"/>
  <c r="E1075" i="1"/>
  <c r="M1075" i="1" s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M1059" i="1" s="1"/>
  <c r="E1058" i="1"/>
  <c r="E1057" i="1"/>
  <c r="E1056" i="1"/>
  <c r="E1055" i="1"/>
  <c r="E1054" i="1"/>
  <c r="E1053" i="1"/>
  <c r="E1052" i="1"/>
  <c r="E1051" i="1"/>
  <c r="E1050" i="1"/>
  <c r="M1050" i="1" s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M1035" i="1" s="1"/>
  <c r="E1034" i="1"/>
  <c r="E1033" i="1"/>
  <c r="E1032" i="1"/>
  <c r="E1031" i="1"/>
  <c r="E1030" i="1"/>
  <c r="E1029" i="1"/>
  <c r="E1028" i="1"/>
  <c r="E1027" i="1"/>
  <c r="E1026" i="1"/>
  <c r="M1026" i="1" s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M1002" i="1" s="1"/>
  <c r="E1001" i="1"/>
  <c r="E1000" i="1"/>
  <c r="E999" i="1"/>
  <c r="E998" i="1"/>
  <c r="E997" i="1"/>
  <c r="E996" i="1"/>
  <c r="E995" i="1"/>
  <c r="E994" i="1"/>
  <c r="E993" i="1"/>
  <c r="M993" i="1" s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J1106" i="1" l="1"/>
  <c r="H1002" i="1"/>
  <c r="J1002" i="1" s="1"/>
  <c r="M739" i="1"/>
  <c r="H739" i="1" s="1"/>
  <c r="J739" i="1" s="1"/>
  <c r="M779" i="1"/>
  <c r="H779" i="1" s="1"/>
  <c r="J779" i="1" s="1"/>
  <c r="H803" i="1"/>
  <c r="J803" i="1" s="1"/>
  <c r="M803" i="1"/>
  <c r="M835" i="1"/>
  <c r="H835" i="1" s="1"/>
  <c r="J835" i="1" s="1"/>
  <c r="H867" i="1"/>
  <c r="J867" i="1" s="1"/>
  <c r="M867" i="1"/>
  <c r="M899" i="1"/>
  <c r="H899" i="1" s="1"/>
  <c r="J899" i="1" s="1"/>
  <c r="M740" i="1"/>
  <c r="H740" i="1" s="1"/>
  <c r="J740" i="1" s="1"/>
  <c r="M772" i="1"/>
  <c r="H772" i="1" s="1"/>
  <c r="J772" i="1" s="1"/>
  <c r="M749" i="1"/>
  <c r="H749" i="1" s="1"/>
  <c r="J749" i="1" s="1"/>
  <c r="M773" i="1"/>
  <c r="H773" i="1" s="1"/>
  <c r="J773" i="1" s="1"/>
  <c r="H797" i="1"/>
  <c r="J797" i="1" s="1"/>
  <c r="M797" i="1"/>
  <c r="M821" i="1"/>
  <c r="H821" i="1" s="1"/>
  <c r="J821" i="1" s="1"/>
  <c r="H869" i="1"/>
  <c r="M869" i="1"/>
  <c r="M925" i="1"/>
  <c r="H925" i="1" s="1"/>
  <c r="J925" i="1" s="1"/>
  <c r="H957" i="1"/>
  <c r="M957" i="1"/>
  <c r="H806" i="1"/>
  <c r="J806" i="1" s="1"/>
  <c r="M806" i="1"/>
  <c r="M814" i="1"/>
  <c r="H814" i="1" s="1"/>
  <c r="J814" i="1" s="1"/>
  <c r="M822" i="1"/>
  <c r="H822" i="1" s="1"/>
  <c r="J822" i="1" s="1"/>
  <c r="M838" i="1"/>
  <c r="H838" i="1" s="1"/>
  <c r="J838" i="1" s="1"/>
  <c r="M854" i="1"/>
  <c r="H854" i="1" s="1"/>
  <c r="J854" i="1" s="1"/>
  <c r="M862" i="1"/>
  <c r="H862" i="1" s="1"/>
  <c r="J862" i="1" s="1"/>
  <c r="H870" i="1"/>
  <c r="J870" i="1" s="1"/>
  <c r="M870" i="1"/>
  <c r="M878" i="1"/>
  <c r="H878" i="1" s="1"/>
  <c r="J878" i="1" s="1"/>
  <c r="M886" i="1"/>
  <c r="H886" i="1" s="1"/>
  <c r="J886" i="1" s="1"/>
  <c r="M902" i="1"/>
  <c r="H902" i="1" s="1"/>
  <c r="J902" i="1" s="1"/>
  <c r="H910" i="1"/>
  <c r="M910" i="1"/>
  <c r="M918" i="1"/>
  <c r="H918" i="1" s="1"/>
  <c r="J918" i="1" s="1"/>
  <c r="M942" i="1"/>
  <c r="H942" i="1" s="1"/>
  <c r="J942" i="1" s="1"/>
  <c r="H958" i="1"/>
  <c r="M958" i="1"/>
  <c r="M974" i="1"/>
  <c r="H974" i="1" s="1"/>
  <c r="J974" i="1" s="1"/>
  <c r="M990" i="1"/>
  <c r="H990" i="1" s="1"/>
  <c r="J990" i="1" s="1"/>
  <c r="H1006" i="1"/>
  <c r="J1006" i="1" s="1"/>
  <c r="M1006" i="1"/>
  <c r="M1014" i="1"/>
  <c r="H1014" i="1" s="1"/>
  <c r="J1014" i="1" s="1"/>
  <c r="M1038" i="1"/>
  <c r="H1038" i="1" s="1"/>
  <c r="J1038" i="1" s="1"/>
  <c r="H1054" i="1"/>
  <c r="M1054" i="1"/>
  <c r="M1070" i="1"/>
  <c r="H1070" i="1" s="1"/>
  <c r="J1070" i="1" s="1"/>
  <c r="M1094" i="1"/>
  <c r="H1094" i="1" s="1"/>
  <c r="J1094" i="1" s="1"/>
  <c r="H1026" i="1"/>
  <c r="J1026" i="1" s="1"/>
  <c r="M787" i="1"/>
  <c r="H787" i="1" s="1"/>
  <c r="J787" i="1" s="1"/>
  <c r="M819" i="1"/>
  <c r="H819" i="1" s="1"/>
  <c r="J819" i="1" s="1"/>
  <c r="M883" i="1"/>
  <c r="H883" i="1" s="1"/>
  <c r="J883" i="1" s="1"/>
  <c r="M947" i="1"/>
  <c r="H947" i="1" s="1"/>
  <c r="J947" i="1" s="1"/>
  <c r="M780" i="1"/>
  <c r="H780" i="1" s="1"/>
  <c r="J780" i="1" s="1"/>
  <c r="M781" i="1"/>
  <c r="H781" i="1" s="1"/>
  <c r="J781" i="1" s="1"/>
  <c r="H805" i="1"/>
  <c r="J805" i="1" s="1"/>
  <c r="M805" i="1"/>
  <c r="M853" i="1"/>
  <c r="H853" i="1" s="1"/>
  <c r="J853" i="1" s="1"/>
  <c r="M877" i="1"/>
  <c r="H877" i="1" s="1"/>
  <c r="J877" i="1" s="1"/>
  <c r="M901" i="1"/>
  <c r="H901" i="1" s="1"/>
  <c r="J901" i="1" s="1"/>
  <c r="M917" i="1"/>
  <c r="H917" i="1" s="1"/>
  <c r="J917" i="1" s="1"/>
  <c r="M941" i="1"/>
  <c r="H941" i="1" s="1"/>
  <c r="J941" i="1" s="1"/>
  <c r="M973" i="1"/>
  <c r="H973" i="1" s="1"/>
  <c r="J973" i="1" s="1"/>
  <c r="M742" i="1"/>
  <c r="H742" i="1" s="1"/>
  <c r="J742" i="1" s="1"/>
  <c r="M750" i="1"/>
  <c r="H750" i="1" s="1"/>
  <c r="J750" i="1" s="1"/>
  <c r="H758" i="1"/>
  <c r="M758" i="1"/>
  <c r="M766" i="1"/>
  <c r="H766" i="1" s="1"/>
  <c r="J766" i="1" s="1"/>
  <c r="M774" i="1"/>
  <c r="H774" i="1" s="1"/>
  <c r="J774" i="1" s="1"/>
  <c r="M782" i="1"/>
  <c r="H782" i="1" s="1"/>
  <c r="J782" i="1" s="1"/>
  <c r="M790" i="1"/>
  <c r="H790" i="1" s="1"/>
  <c r="J790" i="1" s="1"/>
  <c r="H798" i="1"/>
  <c r="J798" i="1" s="1"/>
  <c r="M798" i="1"/>
  <c r="M743" i="1"/>
  <c r="H743" i="1" s="1"/>
  <c r="J743" i="1" s="1"/>
  <c r="M751" i="1"/>
  <c r="H751" i="1" s="1"/>
  <c r="J751" i="1" s="1"/>
  <c r="H759" i="1"/>
  <c r="J759" i="1" s="1"/>
  <c r="M759" i="1"/>
  <c r="M767" i="1"/>
  <c r="H767" i="1" s="1"/>
  <c r="J767" i="1" s="1"/>
  <c r="M775" i="1"/>
  <c r="H775" i="1" s="1"/>
  <c r="J775" i="1" s="1"/>
  <c r="M783" i="1"/>
  <c r="H783" i="1" s="1"/>
  <c r="J783" i="1" s="1"/>
  <c r="H791" i="1"/>
  <c r="M791" i="1"/>
  <c r="H799" i="1"/>
  <c r="J799" i="1" s="1"/>
  <c r="M799" i="1"/>
  <c r="M807" i="1"/>
  <c r="H807" i="1" s="1"/>
  <c r="J807" i="1" s="1"/>
  <c r="M815" i="1"/>
  <c r="M823" i="1"/>
  <c r="H823" i="1" s="1"/>
  <c r="J823" i="1" s="1"/>
  <c r="M839" i="1"/>
  <c r="H839" i="1" s="1"/>
  <c r="J839" i="1" s="1"/>
  <c r="M855" i="1"/>
  <c r="H855" i="1" s="1"/>
  <c r="J855" i="1" s="1"/>
  <c r="M863" i="1"/>
  <c r="H863" i="1" s="1"/>
  <c r="J863" i="1" s="1"/>
  <c r="H871" i="1"/>
  <c r="J871" i="1" s="1"/>
  <c r="M871" i="1"/>
  <c r="M879" i="1"/>
  <c r="H879" i="1" s="1"/>
  <c r="J879" i="1" s="1"/>
  <c r="M887" i="1"/>
  <c r="H887" i="1" s="1"/>
  <c r="J887" i="1" s="1"/>
  <c r="M903" i="1"/>
  <c r="H903" i="1" s="1"/>
  <c r="J903" i="1" s="1"/>
  <c r="M919" i="1"/>
  <c r="H919" i="1" s="1"/>
  <c r="J919" i="1" s="1"/>
  <c r="M943" i="1"/>
  <c r="H943" i="1" s="1"/>
  <c r="J943" i="1" s="1"/>
  <c r="H959" i="1"/>
  <c r="J959" i="1" s="1"/>
  <c r="M959" i="1"/>
  <c r="M975" i="1"/>
  <c r="H975" i="1" s="1"/>
  <c r="J975" i="1" s="1"/>
  <c r="M991" i="1"/>
  <c r="H991" i="1" s="1"/>
  <c r="J991" i="1" s="1"/>
  <c r="M1015" i="1"/>
  <c r="H1015" i="1" s="1"/>
  <c r="J1015" i="1" s="1"/>
  <c r="M1031" i="1"/>
  <c r="H1031" i="1" s="1"/>
  <c r="J1031" i="1" s="1"/>
  <c r="H1055" i="1"/>
  <c r="J1055" i="1" s="1"/>
  <c r="M1055" i="1"/>
  <c r="M1071" i="1"/>
  <c r="H1071" i="1" s="1"/>
  <c r="J1071" i="1" s="1"/>
  <c r="M1087" i="1"/>
  <c r="H1087" i="1" s="1"/>
  <c r="J1087" i="1" s="1"/>
  <c r="M1095" i="1"/>
  <c r="H1095" i="1" s="1"/>
  <c r="J1095" i="1" s="1"/>
  <c r="H1035" i="1"/>
  <c r="J1035" i="1" s="1"/>
  <c r="M808" i="1"/>
  <c r="H808" i="1" s="1"/>
  <c r="J808" i="1" s="1"/>
  <c r="M816" i="1"/>
  <c r="H816" i="1" s="1"/>
  <c r="J816" i="1" s="1"/>
  <c r="M824" i="1"/>
  <c r="H824" i="1" s="1"/>
  <c r="J824" i="1" s="1"/>
  <c r="M840" i="1"/>
  <c r="H840" i="1" s="1"/>
  <c r="J840" i="1" s="1"/>
  <c r="M856" i="1"/>
  <c r="H856" i="1" s="1"/>
  <c r="J856" i="1" s="1"/>
  <c r="M864" i="1"/>
  <c r="H864" i="1" s="1"/>
  <c r="J864" i="1" s="1"/>
  <c r="H872" i="1"/>
  <c r="J872" i="1" s="1"/>
  <c r="M872" i="1"/>
  <c r="M880" i="1"/>
  <c r="H880" i="1" s="1"/>
  <c r="J880" i="1" s="1"/>
  <c r="M904" i="1"/>
  <c r="H904" i="1" s="1"/>
  <c r="J904" i="1" s="1"/>
  <c r="M920" i="1"/>
  <c r="H920" i="1" s="1"/>
  <c r="J920" i="1" s="1"/>
  <c r="M944" i="1"/>
  <c r="H944" i="1" s="1"/>
  <c r="J944" i="1" s="1"/>
  <c r="H960" i="1"/>
  <c r="J960" i="1" s="1"/>
  <c r="M960" i="1"/>
  <c r="M968" i="1"/>
  <c r="H968" i="1" s="1"/>
  <c r="J968" i="1" s="1"/>
  <c r="M976" i="1"/>
  <c r="H976" i="1" s="1"/>
  <c r="J976" i="1" s="1"/>
  <c r="M992" i="1"/>
  <c r="H992" i="1" s="1"/>
  <c r="J992" i="1" s="1"/>
  <c r="M1016" i="1"/>
  <c r="H1016" i="1" s="1"/>
  <c r="J1016" i="1" s="1"/>
  <c r="M1024" i="1"/>
  <c r="H1024" i="1" s="1"/>
  <c r="J1024" i="1" s="1"/>
  <c r="M1032" i="1"/>
  <c r="H1032" i="1" s="1"/>
  <c r="J1032" i="1" s="1"/>
  <c r="H1056" i="1"/>
  <c r="J1056" i="1" s="1"/>
  <c r="M1056" i="1"/>
  <c r="M1072" i="1"/>
  <c r="H1072" i="1" s="1"/>
  <c r="J1072" i="1" s="1"/>
  <c r="M1088" i="1"/>
  <c r="H1088" i="1" s="1"/>
  <c r="J1088" i="1" s="1"/>
  <c r="H1059" i="1"/>
  <c r="J1059" i="1" s="1"/>
  <c r="M809" i="1"/>
  <c r="H809" i="1" s="1"/>
  <c r="J809" i="1" s="1"/>
  <c r="M817" i="1"/>
  <c r="H817" i="1" s="1"/>
  <c r="J817" i="1" s="1"/>
  <c r="M825" i="1"/>
  <c r="H825" i="1" s="1"/>
  <c r="J825" i="1" s="1"/>
  <c r="M841" i="1"/>
  <c r="H841" i="1" s="1"/>
  <c r="J841" i="1" s="1"/>
  <c r="M857" i="1"/>
  <c r="H857" i="1" s="1"/>
  <c r="J857" i="1" s="1"/>
  <c r="H865" i="1"/>
  <c r="J865" i="1" s="1"/>
  <c r="M865" i="1"/>
  <c r="M881" i="1"/>
  <c r="H881" i="1" s="1"/>
  <c r="J881" i="1" s="1"/>
  <c r="M921" i="1"/>
  <c r="H921" i="1" s="1"/>
  <c r="J921" i="1" s="1"/>
  <c r="M945" i="1"/>
  <c r="H945" i="1" s="1"/>
  <c r="J945" i="1" s="1"/>
  <c r="H961" i="1"/>
  <c r="M961" i="1"/>
  <c r="M969" i="1"/>
  <c r="H969" i="1" s="1"/>
  <c r="J969" i="1" s="1"/>
  <c r="M1025" i="1"/>
  <c r="H1025" i="1" s="1"/>
  <c r="J1025" i="1" s="1"/>
  <c r="M1033" i="1"/>
  <c r="H1033" i="1" s="1"/>
  <c r="J1033" i="1" s="1"/>
  <c r="H1057" i="1"/>
  <c r="M1057" i="1"/>
  <c r="M1089" i="1"/>
  <c r="H1089" i="1" s="1"/>
  <c r="J1089" i="1" s="1"/>
  <c r="M763" i="1"/>
  <c r="H763" i="1" s="1"/>
  <c r="J763" i="1" s="1"/>
  <c r="M811" i="1"/>
  <c r="H811" i="1" s="1"/>
  <c r="J811" i="1" s="1"/>
  <c r="H907" i="1"/>
  <c r="J907" i="1" s="1"/>
  <c r="M907" i="1"/>
  <c r="M971" i="1"/>
  <c r="H971" i="1" s="1"/>
  <c r="J971" i="1" s="1"/>
  <c r="M748" i="1"/>
  <c r="H748" i="1" s="1"/>
  <c r="J748" i="1" s="1"/>
  <c r="M741" i="1"/>
  <c r="H741" i="1" s="1"/>
  <c r="J741" i="1" s="1"/>
  <c r="M765" i="1"/>
  <c r="H765" i="1" s="1"/>
  <c r="J765" i="1" s="1"/>
  <c r="M789" i="1"/>
  <c r="H789" i="1" s="1"/>
  <c r="J789" i="1" s="1"/>
  <c r="M813" i="1"/>
  <c r="H813" i="1" s="1"/>
  <c r="J813" i="1" s="1"/>
  <c r="M837" i="1"/>
  <c r="H837" i="1" s="1"/>
  <c r="J837" i="1" s="1"/>
  <c r="M861" i="1"/>
  <c r="H861" i="1" s="1"/>
  <c r="J861" i="1" s="1"/>
  <c r="M885" i="1"/>
  <c r="H885" i="1" s="1"/>
  <c r="J885" i="1" s="1"/>
  <c r="H909" i="1"/>
  <c r="J909" i="1" s="1"/>
  <c r="M909" i="1"/>
  <c r="M949" i="1"/>
  <c r="H949" i="1" s="1"/>
  <c r="J949" i="1" s="1"/>
  <c r="M736" i="1"/>
  <c r="H736" i="1" s="1"/>
  <c r="J736" i="1" s="1"/>
  <c r="M744" i="1"/>
  <c r="H744" i="1" s="1"/>
  <c r="J744" i="1" s="1"/>
  <c r="H760" i="1"/>
  <c r="J760" i="1" s="1"/>
  <c r="M760" i="1"/>
  <c r="M768" i="1"/>
  <c r="H768" i="1" s="1"/>
  <c r="J768" i="1" s="1"/>
  <c r="M776" i="1"/>
  <c r="H776" i="1" s="1"/>
  <c r="J776" i="1" s="1"/>
  <c r="M784" i="1"/>
  <c r="H784" i="1" s="1"/>
  <c r="J784" i="1" s="1"/>
  <c r="H792" i="1"/>
  <c r="J792" i="1" s="1"/>
  <c r="M792" i="1"/>
  <c r="H800" i="1"/>
  <c r="J800" i="1" s="1"/>
  <c r="M800" i="1"/>
  <c r="M737" i="1"/>
  <c r="H737" i="1" s="1"/>
  <c r="J737" i="1" s="1"/>
  <c r="M745" i="1"/>
  <c r="H745" i="1" s="1"/>
  <c r="J745" i="1" s="1"/>
  <c r="M761" i="1"/>
  <c r="H761" i="1" s="1"/>
  <c r="J761" i="1" s="1"/>
  <c r="M769" i="1"/>
  <c r="H769" i="1" s="1"/>
  <c r="J769" i="1" s="1"/>
  <c r="M777" i="1"/>
  <c r="H777" i="1" s="1"/>
  <c r="J777" i="1" s="1"/>
  <c r="M785" i="1"/>
  <c r="H785" i="1" s="1"/>
  <c r="J785" i="1" s="1"/>
  <c r="H793" i="1"/>
  <c r="J793" i="1" s="1"/>
  <c r="M793" i="1"/>
  <c r="H801" i="1"/>
  <c r="J801" i="1" s="1"/>
  <c r="M801" i="1"/>
  <c r="M738" i="1"/>
  <c r="H738" i="1" s="1"/>
  <c r="J738" i="1" s="1"/>
  <c r="M746" i="1"/>
  <c r="H746" i="1" s="1"/>
  <c r="J746" i="1" s="1"/>
  <c r="M762" i="1"/>
  <c r="H762" i="1" s="1"/>
  <c r="J762" i="1" s="1"/>
  <c r="M770" i="1"/>
  <c r="H770" i="1" s="1"/>
  <c r="J770" i="1" s="1"/>
  <c r="M778" i="1"/>
  <c r="H778" i="1" s="1"/>
  <c r="J778" i="1" s="1"/>
  <c r="M786" i="1"/>
  <c r="H786" i="1" s="1"/>
  <c r="J786" i="1" s="1"/>
  <c r="H794" i="1"/>
  <c r="J794" i="1" s="1"/>
  <c r="M794" i="1"/>
  <c r="H802" i="1"/>
  <c r="J802" i="1" s="1"/>
  <c r="M802" i="1"/>
  <c r="M810" i="1"/>
  <c r="H810" i="1" s="1"/>
  <c r="J810" i="1" s="1"/>
  <c r="M818" i="1"/>
  <c r="H818" i="1" s="1"/>
  <c r="J818" i="1" s="1"/>
  <c r="M826" i="1"/>
  <c r="H826" i="1" s="1"/>
  <c r="J826" i="1" s="1"/>
  <c r="M842" i="1"/>
  <c r="H842" i="1" s="1"/>
  <c r="J842" i="1" s="1"/>
  <c r="M858" i="1"/>
  <c r="H858" i="1" s="1"/>
  <c r="J858" i="1" s="1"/>
  <c r="H866" i="1"/>
  <c r="J866" i="1" s="1"/>
  <c r="M866" i="1"/>
  <c r="M882" i="1"/>
  <c r="H882" i="1" s="1"/>
  <c r="J882" i="1" s="1"/>
  <c r="M898" i="1"/>
  <c r="H898" i="1" s="1"/>
  <c r="J898" i="1" s="1"/>
  <c r="M922" i="1"/>
  <c r="H922" i="1" s="1"/>
  <c r="J922" i="1" s="1"/>
  <c r="M946" i="1"/>
  <c r="H946" i="1" s="1"/>
  <c r="J946" i="1" s="1"/>
  <c r="H962" i="1"/>
  <c r="J962" i="1" s="1"/>
  <c r="M962" i="1"/>
  <c r="M970" i="1"/>
  <c r="H970" i="1" s="1"/>
  <c r="J970" i="1" s="1"/>
  <c r="M994" i="1"/>
  <c r="H994" i="1" s="1"/>
  <c r="J994" i="1" s="1"/>
  <c r="M1010" i="1"/>
  <c r="H1010" i="1" s="1"/>
  <c r="J1010" i="1" s="1"/>
  <c r="M1034" i="1"/>
  <c r="H1034" i="1" s="1"/>
  <c r="J1034" i="1" s="1"/>
  <c r="H1058" i="1"/>
  <c r="J1058" i="1" s="1"/>
  <c r="M1058" i="1"/>
  <c r="M1066" i="1"/>
  <c r="H1066" i="1" s="1"/>
  <c r="J1066" i="1" s="1"/>
  <c r="M1090" i="1"/>
  <c r="H1090" i="1" s="1"/>
  <c r="J1090" i="1" s="1"/>
  <c r="M995" i="1"/>
  <c r="H995" i="1" s="1"/>
  <c r="J995" i="1" s="1"/>
  <c r="H1003" i="1"/>
  <c r="J1003" i="1" s="1"/>
  <c r="M1003" i="1"/>
  <c r="M1011" i="1"/>
  <c r="H1011" i="1" s="1"/>
  <c r="J1011" i="1" s="1"/>
  <c r="M1067" i="1"/>
  <c r="H1067" i="1" s="1"/>
  <c r="J1067" i="1" s="1"/>
  <c r="M1091" i="1"/>
  <c r="H1091" i="1" s="1"/>
  <c r="J1091" i="1" s="1"/>
  <c r="M747" i="1"/>
  <c r="H747" i="1" s="1"/>
  <c r="J747" i="1" s="1"/>
  <c r="M771" i="1"/>
  <c r="H771" i="1" s="1"/>
  <c r="J771" i="1" s="1"/>
  <c r="H795" i="1"/>
  <c r="J795" i="1" s="1"/>
  <c r="M795" i="1"/>
  <c r="M827" i="1"/>
  <c r="H827" i="1" s="1"/>
  <c r="J827" i="1" s="1"/>
  <c r="M859" i="1"/>
  <c r="H859" i="1" s="1"/>
  <c r="J859" i="1" s="1"/>
  <c r="M923" i="1"/>
  <c r="H923" i="1" s="1"/>
  <c r="J923" i="1" s="1"/>
  <c r="H963" i="1"/>
  <c r="J963" i="1" s="1"/>
  <c r="M963" i="1"/>
  <c r="M764" i="1"/>
  <c r="H764" i="1" s="1"/>
  <c r="J764" i="1" s="1"/>
  <c r="H796" i="1"/>
  <c r="J796" i="1" s="1"/>
  <c r="M796" i="1"/>
  <c r="H804" i="1"/>
  <c r="J804" i="1" s="1"/>
  <c r="M804" i="1"/>
  <c r="M812" i="1"/>
  <c r="H812" i="1" s="1"/>
  <c r="J812" i="1" s="1"/>
  <c r="M820" i="1"/>
  <c r="H820" i="1" s="1"/>
  <c r="J820" i="1" s="1"/>
  <c r="M836" i="1"/>
  <c r="H836" i="1" s="1"/>
  <c r="J836" i="1" s="1"/>
  <c r="M860" i="1"/>
  <c r="H860" i="1" s="1"/>
  <c r="J860" i="1" s="1"/>
  <c r="H868" i="1"/>
  <c r="J868" i="1" s="1"/>
  <c r="M868" i="1"/>
  <c r="M884" i="1"/>
  <c r="H884" i="1" s="1"/>
  <c r="J884" i="1" s="1"/>
  <c r="M900" i="1"/>
  <c r="H900" i="1" s="1"/>
  <c r="J900" i="1" s="1"/>
  <c r="H908" i="1"/>
  <c r="J908" i="1" s="1"/>
  <c r="M908" i="1"/>
  <c r="M916" i="1"/>
  <c r="H916" i="1" s="1"/>
  <c r="J916" i="1" s="1"/>
  <c r="M924" i="1"/>
  <c r="H924" i="1" s="1"/>
  <c r="J924" i="1" s="1"/>
  <c r="M940" i="1"/>
  <c r="H940" i="1" s="1"/>
  <c r="J940" i="1" s="1"/>
  <c r="M948" i="1"/>
  <c r="H948" i="1" s="1"/>
  <c r="J948" i="1" s="1"/>
  <c r="H964" i="1"/>
  <c r="J964" i="1" s="1"/>
  <c r="M964" i="1"/>
  <c r="M972" i="1"/>
  <c r="H972" i="1" s="1"/>
  <c r="J972" i="1" s="1"/>
  <c r="M996" i="1"/>
  <c r="H996" i="1" s="1"/>
  <c r="J996" i="1" s="1"/>
  <c r="H1004" i="1"/>
  <c r="J1004" i="1" s="1"/>
  <c r="M1004" i="1"/>
  <c r="M1012" i="1"/>
  <c r="H1012" i="1" s="1"/>
  <c r="J1012" i="1" s="1"/>
  <c r="M1036" i="1"/>
  <c r="H1036" i="1" s="1"/>
  <c r="J1036" i="1" s="1"/>
  <c r="H1052" i="1"/>
  <c r="J1052" i="1" s="1"/>
  <c r="M1052" i="1"/>
  <c r="H1060" i="1"/>
  <c r="J1060" i="1" s="1"/>
  <c r="M1060" i="1"/>
  <c r="M1068" i="1"/>
  <c r="H1068" i="1" s="1"/>
  <c r="J1068" i="1" s="1"/>
  <c r="M1092" i="1"/>
  <c r="H1092" i="1" s="1"/>
  <c r="J1092" i="1" s="1"/>
  <c r="H993" i="1"/>
  <c r="J993" i="1" s="1"/>
  <c r="M989" i="1"/>
  <c r="H989" i="1" s="1"/>
  <c r="J989" i="1" s="1"/>
  <c r="M997" i="1"/>
  <c r="H997" i="1" s="1"/>
  <c r="J997" i="1" s="1"/>
  <c r="H1005" i="1"/>
  <c r="J1005" i="1" s="1"/>
  <c r="M1005" i="1"/>
  <c r="M1013" i="1"/>
  <c r="H1013" i="1" s="1"/>
  <c r="J1013" i="1" s="1"/>
  <c r="M1037" i="1"/>
  <c r="H1037" i="1" s="1"/>
  <c r="J1037" i="1" s="1"/>
  <c r="H1053" i="1"/>
  <c r="J1053" i="1" s="1"/>
  <c r="M1053" i="1"/>
  <c r="M1069" i="1"/>
  <c r="H1069" i="1" s="1"/>
  <c r="J1069" i="1" s="1"/>
  <c r="M1093" i="1"/>
  <c r="H1093" i="1" s="1"/>
  <c r="J1093" i="1" s="1"/>
  <c r="M1049" i="1"/>
  <c r="H1049" i="1" s="1"/>
  <c r="J1049" i="1" s="1"/>
  <c r="M1051" i="1"/>
  <c r="H1051" i="1" s="1"/>
  <c r="J1051" i="1" s="1"/>
  <c r="M1047" i="1"/>
  <c r="H1047" i="1" s="1"/>
  <c r="J1047" i="1" s="1"/>
  <c r="M1048" i="1"/>
  <c r="H1048" i="1" s="1"/>
  <c r="J1048" i="1" s="1"/>
  <c r="H1050" i="1"/>
  <c r="J1050" i="1" s="1"/>
  <c r="M1097" i="1"/>
  <c r="H1097" i="1" s="1"/>
  <c r="J1097" i="1" s="1"/>
  <c r="M1098" i="1"/>
  <c r="H1098" i="1" s="1"/>
  <c r="J1098" i="1" s="1"/>
  <c r="H1099" i="1"/>
  <c r="J1099" i="1" s="1"/>
  <c r="M1100" i="1"/>
  <c r="H1100" i="1" s="1"/>
  <c r="J1100" i="1" s="1"/>
  <c r="M1096" i="1"/>
  <c r="H1096" i="1" s="1"/>
  <c r="J1096" i="1" s="1"/>
  <c r="M1084" i="1"/>
  <c r="H1084" i="1" s="1"/>
  <c r="J1084" i="1" s="1"/>
  <c r="M1085" i="1"/>
  <c r="H1085" i="1" s="1"/>
  <c r="J1085" i="1" s="1"/>
  <c r="M1086" i="1"/>
  <c r="H1086" i="1" s="1"/>
  <c r="J1086" i="1" s="1"/>
  <c r="M1082" i="1"/>
  <c r="H1082" i="1" s="1"/>
  <c r="J1082" i="1" s="1"/>
  <c r="H1083" i="1"/>
  <c r="J1083" i="1" s="1"/>
  <c r="M1076" i="1"/>
  <c r="H1076" i="1" s="1"/>
  <c r="J1076" i="1" s="1"/>
  <c r="M1077" i="1"/>
  <c r="H1077" i="1" s="1"/>
  <c r="J1077" i="1" s="1"/>
  <c r="M1079" i="1"/>
  <c r="H1079" i="1" s="1"/>
  <c r="J1079" i="1" s="1"/>
  <c r="M1078" i="1"/>
  <c r="H1078" i="1" s="1"/>
  <c r="J1078" i="1" s="1"/>
  <c r="M1073" i="1"/>
  <c r="H1073" i="1" s="1"/>
  <c r="J1073" i="1" s="1"/>
  <c r="M1074" i="1"/>
  <c r="H1074" i="1" s="1"/>
  <c r="J1074" i="1" s="1"/>
  <c r="H1075" i="1"/>
  <c r="J1075" i="1" s="1"/>
  <c r="M1044" i="1"/>
  <c r="H1044" i="1" s="1"/>
  <c r="J1044" i="1" s="1"/>
  <c r="M1041" i="1"/>
  <c r="H1041" i="1" s="1"/>
  <c r="J1041" i="1" s="1"/>
  <c r="M1040" i="1"/>
  <c r="H1040" i="1" s="1"/>
  <c r="J1040" i="1" s="1"/>
  <c r="M1042" i="1"/>
  <c r="H1042" i="1" s="1"/>
  <c r="J1042" i="1" s="1"/>
  <c r="M1043" i="1"/>
  <c r="H1043" i="1" s="1"/>
  <c r="J1043" i="1" s="1"/>
  <c r="M1028" i="1"/>
  <c r="H1028" i="1" s="1"/>
  <c r="J1028" i="1" s="1"/>
  <c r="M1029" i="1"/>
  <c r="H1029" i="1" s="1"/>
  <c r="J1029" i="1" s="1"/>
  <c r="M1030" i="1"/>
  <c r="H1030" i="1" s="1"/>
  <c r="J1030" i="1" s="1"/>
  <c r="M1027" i="1"/>
  <c r="H1027" i="1" s="1"/>
  <c r="J1027" i="1" s="1"/>
  <c r="M1020" i="1"/>
  <c r="H1020" i="1" s="1"/>
  <c r="J1020" i="1" s="1"/>
  <c r="M1021" i="1"/>
  <c r="H1021" i="1" s="1"/>
  <c r="J1021" i="1" s="1"/>
  <c r="M1022" i="1"/>
  <c r="H1022" i="1" s="1"/>
  <c r="J1022" i="1" s="1"/>
  <c r="M1023" i="1"/>
  <c r="H1023" i="1" s="1"/>
  <c r="J1023" i="1" s="1"/>
  <c r="M1017" i="1"/>
  <c r="H1017" i="1" s="1"/>
  <c r="J1017" i="1" s="1"/>
  <c r="M1018" i="1"/>
  <c r="H1018" i="1" s="1"/>
  <c r="J1018" i="1" s="1"/>
  <c r="M1019" i="1"/>
  <c r="H1019" i="1" s="1"/>
  <c r="J1019" i="1" s="1"/>
  <c r="M1009" i="1"/>
  <c r="H1009" i="1" s="1"/>
  <c r="J1009" i="1" s="1"/>
  <c r="M998" i="1"/>
  <c r="H998" i="1" s="1"/>
  <c r="J998" i="1" s="1"/>
  <c r="M999" i="1"/>
  <c r="H999" i="1" s="1"/>
  <c r="J999" i="1" s="1"/>
  <c r="M1007" i="1"/>
  <c r="H1007" i="1" s="1"/>
  <c r="J1007" i="1" s="1"/>
  <c r="M1000" i="1"/>
  <c r="H1000" i="1" s="1"/>
  <c r="J1000" i="1" s="1"/>
  <c r="M1008" i="1"/>
  <c r="H1008" i="1" s="1"/>
  <c r="J1008" i="1" s="1"/>
  <c r="M1001" i="1"/>
  <c r="H1001" i="1" s="1"/>
  <c r="J1001" i="1" s="1"/>
  <c r="M980" i="1"/>
  <c r="H980" i="1" s="1"/>
  <c r="J980" i="1" s="1"/>
  <c r="M988" i="1"/>
  <c r="H988" i="1" s="1"/>
  <c r="J988" i="1" s="1"/>
  <c r="M981" i="1"/>
  <c r="H981" i="1" s="1"/>
  <c r="J981" i="1" s="1"/>
  <c r="M982" i="1"/>
  <c r="H982" i="1" s="1"/>
  <c r="J982" i="1" s="1"/>
  <c r="M977" i="1"/>
  <c r="H977" i="1" s="1"/>
  <c r="J977" i="1" s="1"/>
  <c r="M983" i="1"/>
  <c r="H983" i="1" s="1"/>
  <c r="J983" i="1" s="1"/>
  <c r="M984" i="1"/>
  <c r="H984" i="1" s="1"/>
  <c r="J984" i="1" s="1"/>
  <c r="M985" i="1"/>
  <c r="H985" i="1" s="1"/>
  <c r="J985" i="1" s="1"/>
  <c r="M978" i="1"/>
  <c r="H978" i="1" s="1"/>
  <c r="J978" i="1" s="1"/>
  <c r="M986" i="1"/>
  <c r="H986" i="1" s="1"/>
  <c r="J986" i="1" s="1"/>
  <c r="M979" i="1"/>
  <c r="H979" i="1" s="1"/>
  <c r="J979" i="1" s="1"/>
  <c r="M987" i="1"/>
  <c r="H987" i="1" s="1"/>
  <c r="J987" i="1" s="1"/>
  <c r="M965" i="1"/>
  <c r="H965" i="1" s="1"/>
  <c r="J965" i="1" s="1"/>
  <c r="M966" i="1"/>
  <c r="H966" i="1" s="1"/>
  <c r="J966" i="1" s="1"/>
  <c r="M967" i="1"/>
  <c r="H967" i="1" s="1"/>
  <c r="J967" i="1" s="1"/>
  <c r="M950" i="1"/>
  <c r="H950" i="1" s="1"/>
  <c r="J950" i="1" s="1"/>
  <c r="M952" i="1"/>
  <c r="H952" i="1" s="1"/>
  <c r="J952" i="1" s="1"/>
  <c r="M951" i="1"/>
  <c r="H951" i="1" s="1"/>
  <c r="J951" i="1" s="1"/>
  <c r="M954" i="1"/>
  <c r="H954" i="1" s="1"/>
  <c r="J954" i="1" s="1"/>
  <c r="M953" i="1"/>
  <c r="H953" i="1" s="1"/>
  <c r="J953" i="1" s="1"/>
  <c r="M933" i="1"/>
  <c r="H933" i="1" s="1"/>
  <c r="J933" i="1" s="1"/>
  <c r="M937" i="1"/>
  <c r="H937" i="1" s="1"/>
  <c r="J937" i="1" s="1"/>
  <c r="M932" i="1"/>
  <c r="H932" i="1" s="1"/>
  <c r="J932" i="1" s="1"/>
  <c r="M934" i="1"/>
  <c r="H934" i="1" s="1"/>
  <c r="J934" i="1" s="1"/>
  <c r="M927" i="1"/>
  <c r="H927" i="1" s="1"/>
  <c r="J927" i="1" s="1"/>
  <c r="M935" i="1"/>
  <c r="H935" i="1" s="1"/>
  <c r="J935" i="1" s="1"/>
  <c r="M928" i="1"/>
  <c r="H928" i="1" s="1"/>
  <c r="J928" i="1" s="1"/>
  <c r="M936" i="1"/>
  <c r="H936" i="1" s="1"/>
  <c r="J936" i="1" s="1"/>
  <c r="M929" i="1"/>
  <c r="H929" i="1" s="1"/>
  <c r="J929" i="1" s="1"/>
  <c r="M938" i="1"/>
  <c r="H938" i="1" s="1"/>
  <c r="J938" i="1" s="1"/>
  <c r="M930" i="1"/>
  <c r="H930" i="1" s="1"/>
  <c r="J930" i="1" s="1"/>
  <c r="M931" i="1"/>
  <c r="H931" i="1" s="1"/>
  <c r="J931" i="1" s="1"/>
  <c r="M939" i="1"/>
  <c r="H939" i="1" s="1"/>
  <c r="J939" i="1" s="1"/>
  <c r="M911" i="1"/>
  <c r="H911" i="1" s="1"/>
  <c r="J911" i="1" s="1"/>
  <c r="M912" i="1"/>
  <c r="H912" i="1" s="1"/>
  <c r="J912" i="1" s="1"/>
  <c r="M913" i="1"/>
  <c r="H913" i="1" s="1"/>
  <c r="J913" i="1" s="1"/>
  <c r="M914" i="1"/>
  <c r="H914" i="1" s="1"/>
  <c r="J914" i="1" s="1"/>
  <c r="M915" i="1"/>
  <c r="H915" i="1" s="1"/>
  <c r="J915" i="1" s="1"/>
  <c r="M889" i="1"/>
  <c r="H889" i="1" s="1"/>
  <c r="J889" i="1" s="1"/>
  <c r="M890" i="1"/>
  <c r="H890" i="1" s="1"/>
  <c r="J890" i="1" s="1"/>
  <c r="M895" i="1"/>
  <c r="H895" i="1" s="1"/>
  <c r="J895" i="1" s="1"/>
  <c r="M888" i="1"/>
  <c r="H888" i="1" s="1"/>
  <c r="J888" i="1" s="1"/>
  <c r="M896" i="1"/>
  <c r="H896" i="1" s="1"/>
  <c r="J896" i="1" s="1"/>
  <c r="M893" i="1"/>
  <c r="H893" i="1" s="1"/>
  <c r="J893" i="1" s="1"/>
  <c r="M894" i="1"/>
  <c r="H894" i="1" s="1"/>
  <c r="J894" i="1" s="1"/>
  <c r="M897" i="1"/>
  <c r="H897" i="1" s="1"/>
  <c r="J897" i="1" s="1"/>
  <c r="M844" i="1"/>
  <c r="H844" i="1" s="1"/>
  <c r="J844" i="1" s="1"/>
  <c r="M852" i="1"/>
  <c r="H852" i="1" s="1"/>
  <c r="J852" i="1" s="1"/>
  <c r="M845" i="1"/>
  <c r="H845" i="1" s="1"/>
  <c r="J845" i="1" s="1"/>
  <c r="M846" i="1"/>
  <c r="H846" i="1" s="1"/>
  <c r="J846" i="1" s="1"/>
  <c r="M847" i="1"/>
  <c r="H847" i="1" s="1"/>
  <c r="J847" i="1" s="1"/>
  <c r="M848" i="1"/>
  <c r="H848" i="1" s="1"/>
  <c r="J848" i="1" s="1"/>
  <c r="M850" i="1"/>
  <c r="H850" i="1" s="1"/>
  <c r="J850" i="1" s="1"/>
  <c r="M849" i="1"/>
  <c r="H849" i="1" s="1"/>
  <c r="J849" i="1" s="1"/>
  <c r="M843" i="1"/>
  <c r="H843" i="1" s="1"/>
  <c r="J843" i="1" s="1"/>
  <c r="M851" i="1"/>
  <c r="H851" i="1" s="1"/>
  <c r="J851" i="1" s="1"/>
  <c r="M828" i="1"/>
  <c r="H828" i="1" s="1"/>
  <c r="J828" i="1" s="1"/>
  <c r="M829" i="1"/>
  <c r="H829" i="1" s="1"/>
  <c r="J829" i="1" s="1"/>
  <c r="M830" i="1"/>
  <c r="H830" i="1" s="1"/>
  <c r="J830" i="1" s="1"/>
  <c r="M753" i="1"/>
  <c r="H753" i="1" s="1"/>
  <c r="J753" i="1" s="1"/>
  <c r="M752" i="1"/>
  <c r="H752" i="1" s="1"/>
  <c r="J752" i="1" s="1"/>
  <c r="M754" i="1"/>
  <c r="H754" i="1" s="1"/>
  <c r="J754" i="1" s="1"/>
  <c r="M755" i="1"/>
  <c r="H755" i="1" s="1"/>
  <c r="J755" i="1" s="1"/>
  <c r="M833" i="1"/>
  <c r="H833" i="1" s="1"/>
  <c r="J833" i="1" s="1"/>
  <c r="M831" i="1"/>
  <c r="H831" i="1" s="1"/>
  <c r="J831" i="1" s="1"/>
  <c r="M832" i="1"/>
  <c r="H832" i="1" s="1"/>
  <c r="J832" i="1" s="1"/>
  <c r="M834" i="1"/>
  <c r="H834" i="1" s="1"/>
  <c r="J834" i="1" s="1"/>
  <c r="M1080" i="1"/>
  <c r="H1080" i="1" s="1"/>
  <c r="J1080" i="1" s="1"/>
  <c r="M1081" i="1"/>
  <c r="H1081" i="1" s="1"/>
  <c r="J1081" i="1" s="1"/>
  <c r="M1045" i="1"/>
  <c r="H1045" i="1" s="1"/>
  <c r="J1045" i="1" s="1"/>
  <c r="M1046" i="1"/>
  <c r="H1046" i="1" s="1"/>
  <c r="J1046" i="1" s="1"/>
  <c r="M1039" i="1"/>
  <c r="H1039" i="1" s="1"/>
  <c r="J1039" i="1" s="1"/>
  <c r="M788" i="1"/>
  <c r="H788" i="1" s="1"/>
  <c r="J788" i="1" s="1"/>
  <c r="M926" i="1"/>
  <c r="H926" i="1" s="1"/>
  <c r="J926" i="1" s="1"/>
  <c r="M906" i="1"/>
  <c r="H906" i="1" s="1"/>
  <c r="J906" i="1" s="1"/>
  <c r="M905" i="1"/>
  <c r="H905" i="1" s="1"/>
  <c r="J905" i="1" s="1"/>
  <c r="M892" i="1"/>
  <c r="H892" i="1" s="1"/>
  <c r="J892" i="1" s="1"/>
  <c r="M891" i="1"/>
  <c r="H891" i="1" s="1"/>
  <c r="J891" i="1" s="1"/>
  <c r="M1065" i="1"/>
  <c r="H1065" i="1" s="1"/>
  <c r="J1065" i="1" s="1"/>
  <c r="M1064" i="1"/>
  <c r="H1064" i="1" s="1"/>
  <c r="J1064" i="1" s="1"/>
  <c r="M1063" i="1"/>
  <c r="H1063" i="1" s="1"/>
  <c r="J1063" i="1" s="1"/>
  <c r="M1061" i="1"/>
  <c r="H1061" i="1" s="1"/>
  <c r="J1061" i="1" s="1"/>
  <c r="M1062" i="1"/>
  <c r="H1062" i="1" s="1"/>
  <c r="J1062" i="1" s="1"/>
  <c r="M956" i="1"/>
  <c r="H956" i="1" s="1"/>
  <c r="J956" i="1" s="1"/>
  <c r="M955" i="1"/>
  <c r="H955" i="1" s="1"/>
  <c r="J955" i="1" s="1"/>
  <c r="M876" i="1"/>
  <c r="H876" i="1" s="1"/>
  <c r="J876" i="1" s="1"/>
  <c r="M875" i="1"/>
  <c r="H875" i="1" s="1"/>
  <c r="J875" i="1" s="1"/>
  <c r="M874" i="1"/>
  <c r="H874" i="1" s="1"/>
  <c r="J874" i="1" s="1"/>
  <c r="M873" i="1"/>
  <c r="H873" i="1" s="1"/>
  <c r="J873" i="1" s="1"/>
  <c r="M757" i="1"/>
  <c r="H757" i="1" s="1"/>
  <c r="J757" i="1" s="1"/>
  <c r="M756" i="1"/>
  <c r="H756" i="1" s="1"/>
  <c r="J756" i="1" s="1"/>
  <c r="J791" i="1"/>
  <c r="J869" i="1"/>
  <c r="J910" i="1"/>
  <c r="J958" i="1"/>
  <c r="J1054" i="1"/>
  <c r="J1102" i="1"/>
  <c r="J1103" i="1"/>
  <c r="J957" i="1"/>
  <c r="J758" i="1"/>
  <c r="J1101" i="1"/>
  <c r="J961" i="1"/>
  <c r="J1057" i="1"/>
  <c r="J1105" i="1"/>
  <c r="B737" i="1"/>
  <c r="A737" i="1" s="1"/>
  <c r="A736" i="1"/>
  <c r="A724" i="1"/>
  <c r="E724" i="1"/>
  <c r="I724" i="1"/>
  <c r="A725" i="1"/>
  <c r="E725" i="1"/>
  <c r="I725" i="1"/>
  <c r="A726" i="1"/>
  <c r="E726" i="1"/>
  <c r="M726" i="1" s="1"/>
  <c r="I726" i="1"/>
  <c r="A727" i="1"/>
  <c r="E727" i="1"/>
  <c r="I727" i="1"/>
  <c r="A728" i="1"/>
  <c r="E728" i="1"/>
  <c r="I728" i="1"/>
  <c r="A729" i="1"/>
  <c r="E729" i="1"/>
  <c r="I729" i="1"/>
  <c r="A730" i="1"/>
  <c r="E730" i="1"/>
  <c r="M730" i="1" s="1"/>
  <c r="I730" i="1"/>
  <c r="A731" i="1"/>
  <c r="E731" i="1"/>
  <c r="I731" i="1"/>
  <c r="A732" i="1"/>
  <c r="E732" i="1"/>
  <c r="I732" i="1"/>
  <c r="A733" i="1"/>
  <c r="E733" i="1"/>
  <c r="I733" i="1"/>
  <c r="A734" i="1"/>
  <c r="I734" i="1"/>
  <c r="A735" i="1"/>
  <c r="I735" i="1"/>
  <c r="E566" i="1"/>
  <c r="E533" i="1"/>
  <c r="E426" i="1"/>
  <c r="M426" i="1" s="1"/>
  <c r="H815" i="1" l="1"/>
  <c r="I815" i="1"/>
  <c r="B738" i="1"/>
  <c r="B739" i="1" s="1"/>
  <c r="B740" i="1" s="1"/>
  <c r="B741" i="1" s="1"/>
  <c r="B742" i="1" s="1"/>
  <c r="B743" i="1" s="1"/>
  <c r="B744" i="1" s="1"/>
  <c r="M729" i="1"/>
  <c r="H729" i="1" s="1"/>
  <c r="J729" i="1" s="1"/>
  <c r="M734" i="1"/>
  <c r="H734" i="1" s="1"/>
  <c r="J734" i="1" s="1"/>
  <c r="M731" i="1"/>
  <c r="H731" i="1" s="1"/>
  <c r="J731" i="1" s="1"/>
  <c r="H730" i="1"/>
  <c r="J730" i="1" s="1"/>
  <c r="H726" i="1"/>
  <c r="J726" i="1" s="1"/>
  <c r="M735" i="1"/>
  <c r="H735" i="1" s="1"/>
  <c r="J735" i="1" s="1"/>
  <c r="M727" i="1"/>
  <c r="H727" i="1" s="1"/>
  <c r="J727" i="1" s="1"/>
  <c r="M732" i="1"/>
  <c r="H732" i="1" s="1"/>
  <c r="J732" i="1" s="1"/>
  <c r="M724" i="1"/>
  <c r="H724" i="1" s="1"/>
  <c r="J724" i="1" s="1"/>
  <c r="M728" i="1"/>
  <c r="H728" i="1" s="1"/>
  <c r="J728" i="1" s="1"/>
  <c r="M725" i="1"/>
  <c r="H725" i="1" s="1"/>
  <c r="J725" i="1" s="1"/>
  <c r="M733" i="1"/>
  <c r="H733" i="1" s="1"/>
  <c r="J733" i="1" s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736" i="1"/>
  <c r="N737" i="1"/>
  <c r="N738" i="1"/>
  <c r="N740" i="1"/>
  <c r="N741" i="1"/>
  <c r="N742" i="1"/>
  <c r="N744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2" i="1"/>
  <c r="J815" i="1" l="1"/>
  <c r="N743" i="1"/>
  <c r="N739" i="1"/>
  <c r="A738" i="1"/>
  <c r="A742" i="1"/>
  <c r="A741" i="1"/>
  <c r="A740" i="1"/>
  <c r="A739" i="1"/>
  <c r="H5" i="3"/>
  <c r="H6" i="3"/>
  <c r="A743" i="1"/>
  <c r="B745" i="1"/>
  <c r="A744" i="1"/>
  <c r="G1" i="3"/>
  <c r="H1" i="3"/>
  <c r="E361" i="1"/>
  <c r="B746" i="1" l="1"/>
  <c r="A745" i="1"/>
  <c r="N745" i="1"/>
  <c r="E360" i="1"/>
  <c r="A449" i="1"/>
  <c r="E449" i="1"/>
  <c r="I449" i="1"/>
  <c r="A450" i="1"/>
  <c r="E450" i="1"/>
  <c r="A451" i="1"/>
  <c r="E451" i="1"/>
  <c r="I451" i="1"/>
  <c r="A452" i="1"/>
  <c r="E452" i="1"/>
  <c r="M452" i="1" s="1"/>
  <c r="I452" i="1" s="1"/>
  <c r="A453" i="1"/>
  <c r="E453" i="1"/>
  <c r="A454" i="1"/>
  <c r="E454" i="1"/>
  <c r="A455" i="1"/>
  <c r="E455" i="1"/>
  <c r="M455" i="1" s="1"/>
  <c r="I455" i="1"/>
  <c r="A456" i="1"/>
  <c r="E456" i="1"/>
  <c r="M456" i="1" s="1"/>
  <c r="I456" i="1"/>
  <c r="A457" i="1"/>
  <c r="E457" i="1"/>
  <c r="A458" i="1"/>
  <c r="E458" i="1"/>
  <c r="I458" i="1"/>
  <c r="A459" i="1"/>
  <c r="E459" i="1"/>
  <c r="M459" i="1" s="1"/>
  <c r="I459" i="1"/>
  <c r="A460" i="1"/>
  <c r="E460" i="1"/>
  <c r="I460" i="1"/>
  <c r="A461" i="1"/>
  <c r="E461" i="1"/>
  <c r="I461" i="1"/>
  <c r="A462" i="1"/>
  <c r="E462" i="1"/>
  <c r="I462" i="1"/>
  <c r="A463" i="1"/>
  <c r="E463" i="1"/>
  <c r="M463" i="1" s="1"/>
  <c r="I463" i="1"/>
  <c r="A464" i="1"/>
  <c r="E464" i="1"/>
  <c r="M464" i="1" s="1"/>
  <c r="I464" i="1"/>
  <c r="A465" i="1"/>
  <c r="E465" i="1"/>
  <c r="I465" i="1"/>
  <c r="A466" i="1"/>
  <c r="E466" i="1"/>
  <c r="I466" i="1"/>
  <c r="A467" i="1"/>
  <c r="E467" i="1"/>
  <c r="I467" i="1"/>
  <c r="A468" i="1"/>
  <c r="E468" i="1"/>
  <c r="M468" i="1" s="1"/>
  <c r="I468" i="1"/>
  <c r="A469" i="1"/>
  <c r="E469" i="1"/>
  <c r="I469" i="1"/>
  <c r="A470" i="1"/>
  <c r="E470" i="1"/>
  <c r="I470" i="1"/>
  <c r="A471" i="1"/>
  <c r="E471" i="1"/>
  <c r="M471" i="1" s="1"/>
  <c r="I471" i="1" s="1"/>
  <c r="A472" i="1"/>
  <c r="E472" i="1"/>
  <c r="M472" i="1" s="1"/>
  <c r="I472" i="1"/>
  <c r="A473" i="1"/>
  <c r="E473" i="1"/>
  <c r="A474" i="1"/>
  <c r="E474" i="1"/>
  <c r="I474" i="1"/>
  <c r="A475" i="1"/>
  <c r="E475" i="1"/>
  <c r="M475" i="1" s="1"/>
  <c r="I475" i="1"/>
  <c r="A476" i="1"/>
  <c r="E476" i="1"/>
  <c r="I476" i="1"/>
  <c r="A477" i="1"/>
  <c r="E477" i="1"/>
  <c r="I477" i="1"/>
  <c r="A478" i="1"/>
  <c r="E478" i="1"/>
  <c r="I478" i="1"/>
  <c r="A479" i="1"/>
  <c r="E479" i="1"/>
  <c r="M479" i="1" s="1"/>
  <c r="I479" i="1"/>
  <c r="A480" i="1"/>
  <c r="E480" i="1"/>
  <c r="M480" i="1" s="1"/>
  <c r="I480" i="1"/>
  <c r="A481" i="1"/>
  <c r="E481" i="1"/>
  <c r="I481" i="1"/>
  <c r="A482" i="1"/>
  <c r="E482" i="1"/>
  <c r="I482" i="1"/>
  <c r="A483" i="1"/>
  <c r="E483" i="1"/>
  <c r="I483" i="1"/>
  <c r="A484" i="1"/>
  <c r="E484" i="1"/>
  <c r="I484" i="1"/>
  <c r="A485" i="1"/>
  <c r="E485" i="1"/>
  <c r="I485" i="1"/>
  <c r="A486" i="1"/>
  <c r="E486" i="1"/>
  <c r="A487" i="1"/>
  <c r="E487" i="1"/>
  <c r="I487" i="1"/>
  <c r="A488" i="1"/>
  <c r="E488" i="1"/>
  <c r="M488" i="1" s="1"/>
  <c r="I488" i="1"/>
  <c r="A489" i="1"/>
  <c r="E489" i="1"/>
  <c r="I489" i="1"/>
  <c r="A490" i="1"/>
  <c r="E490" i="1"/>
  <c r="I490" i="1"/>
  <c r="A491" i="1"/>
  <c r="E491" i="1"/>
  <c r="M491" i="1" s="1"/>
  <c r="I491" i="1"/>
  <c r="A492" i="1"/>
  <c r="E492" i="1"/>
  <c r="I492" i="1"/>
  <c r="A493" i="1"/>
  <c r="E493" i="1"/>
  <c r="I493" i="1"/>
  <c r="A494" i="1"/>
  <c r="E494" i="1"/>
  <c r="I494" i="1"/>
  <c r="A495" i="1"/>
  <c r="E495" i="1"/>
  <c r="M495" i="1" s="1"/>
  <c r="I495" i="1"/>
  <c r="A496" i="1"/>
  <c r="E496" i="1"/>
  <c r="M496" i="1" s="1"/>
  <c r="I496" i="1"/>
  <c r="A497" i="1"/>
  <c r="E497" i="1"/>
  <c r="I497" i="1"/>
  <c r="A498" i="1"/>
  <c r="E498" i="1"/>
  <c r="I498" i="1"/>
  <c r="A499" i="1"/>
  <c r="E499" i="1"/>
  <c r="M499" i="1" s="1"/>
  <c r="I499" i="1" s="1"/>
  <c r="A500" i="1"/>
  <c r="E500" i="1"/>
  <c r="M500" i="1" s="1"/>
  <c r="I500" i="1"/>
  <c r="A501" i="1"/>
  <c r="E501" i="1"/>
  <c r="I501" i="1"/>
  <c r="A502" i="1"/>
  <c r="E502" i="1"/>
  <c r="I502" i="1"/>
  <c r="A503" i="1"/>
  <c r="E503" i="1"/>
  <c r="M503" i="1" s="1"/>
  <c r="I503" i="1"/>
  <c r="A504" i="1"/>
  <c r="E504" i="1"/>
  <c r="M504" i="1" s="1"/>
  <c r="I504" i="1"/>
  <c r="A505" i="1"/>
  <c r="E505" i="1"/>
  <c r="I505" i="1"/>
  <c r="A506" i="1"/>
  <c r="E506" i="1"/>
  <c r="I506" i="1"/>
  <c r="A507" i="1"/>
  <c r="E507" i="1"/>
  <c r="M507" i="1" s="1"/>
  <c r="I507" i="1"/>
  <c r="A508" i="1"/>
  <c r="E508" i="1"/>
  <c r="I508" i="1"/>
  <c r="A509" i="1"/>
  <c r="E509" i="1"/>
  <c r="I509" i="1"/>
  <c r="A510" i="1"/>
  <c r="E510" i="1"/>
  <c r="I510" i="1"/>
  <c r="A511" i="1"/>
  <c r="E511" i="1"/>
  <c r="M511" i="1" s="1"/>
  <c r="I511" i="1"/>
  <c r="A512" i="1"/>
  <c r="E512" i="1"/>
  <c r="M512" i="1" s="1"/>
  <c r="I512" i="1"/>
  <c r="A513" i="1"/>
  <c r="E513" i="1"/>
  <c r="I513" i="1"/>
  <c r="A514" i="1"/>
  <c r="E514" i="1"/>
  <c r="I514" i="1"/>
  <c r="A515" i="1"/>
  <c r="E515" i="1"/>
  <c r="I515" i="1"/>
  <c r="A516" i="1"/>
  <c r="E516" i="1"/>
  <c r="M516" i="1" s="1"/>
  <c r="I516" i="1"/>
  <c r="A517" i="1"/>
  <c r="E517" i="1"/>
  <c r="I517" i="1"/>
  <c r="A518" i="1"/>
  <c r="E518" i="1"/>
  <c r="I518" i="1"/>
  <c r="A519" i="1"/>
  <c r="E519" i="1"/>
  <c r="M519" i="1" s="1"/>
  <c r="I519" i="1"/>
  <c r="A520" i="1"/>
  <c r="E520" i="1"/>
  <c r="M520" i="1" s="1"/>
  <c r="I520" i="1" s="1"/>
  <c r="A521" i="1"/>
  <c r="E521" i="1"/>
  <c r="I521" i="1"/>
  <c r="A522" i="1"/>
  <c r="E522" i="1"/>
  <c r="I522" i="1"/>
  <c r="A523" i="1"/>
  <c r="E523" i="1"/>
  <c r="M523" i="1" s="1"/>
  <c r="I523" i="1" s="1"/>
  <c r="A524" i="1"/>
  <c r="E524" i="1"/>
  <c r="I524" i="1"/>
  <c r="A525" i="1"/>
  <c r="E525" i="1"/>
  <c r="I525" i="1"/>
  <c r="A526" i="1"/>
  <c r="E526" i="1"/>
  <c r="I526" i="1"/>
  <c r="A527" i="1"/>
  <c r="E527" i="1"/>
  <c r="M527" i="1" s="1"/>
  <c r="I527" i="1"/>
  <c r="A528" i="1"/>
  <c r="E528" i="1"/>
  <c r="M528" i="1" s="1"/>
  <c r="I528" i="1"/>
  <c r="A529" i="1"/>
  <c r="E529" i="1"/>
  <c r="I529" i="1"/>
  <c r="A530" i="1"/>
  <c r="E530" i="1"/>
  <c r="I530" i="1"/>
  <c r="A531" i="1"/>
  <c r="E531" i="1"/>
  <c r="I531" i="1"/>
  <c r="A532" i="1"/>
  <c r="E532" i="1"/>
  <c r="I532" i="1"/>
  <c r="A533" i="1"/>
  <c r="A534" i="1"/>
  <c r="E534" i="1"/>
  <c r="I534" i="1"/>
  <c r="A535" i="1"/>
  <c r="M535" i="1"/>
  <c r="I535" i="1" s="1"/>
  <c r="A536" i="1"/>
  <c r="E536" i="1"/>
  <c r="M536" i="1" s="1"/>
  <c r="I536" i="1"/>
  <c r="A537" i="1"/>
  <c r="E537" i="1"/>
  <c r="I537" i="1"/>
  <c r="A538" i="1"/>
  <c r="E538" i="1"/>
  <c r="I538" i="1"/>
  <c r="A539" i="1"/>
  <c r="E539" i="1"/>
  <c r="M539" i="1" s="1"/>
  <c r="I539" i="1"/>
  <c r="A540" i="1"/>
  <c r="E540" i="1"/>
  <c r="M540" i="1" s="1"/>
  <c r="I540" i="1"/>
  <c r="A541" i="1"/>
  <c r="E541" i="1"/>
  <c r="I541" i="1"/>
  <c r="A542" i="1"/>
  <c r="E542" i="1"/>
  <c r="I542" i="1"/>
  <c r="A543" i="1"/>
  <c r="E543" i="1"/>
  <c r="M543" i="1" s="1"/>
  <c r="I543" i="1"/>
  <c r="A544" i="1"/>
  <c r="E544" i="1"/>
  <c r="M544" i="1" s="1"/>
  <c r="I544" i="1"/>
  <c r="A545" i="1"/>
  <c r="E545" i="1"/>
  <c r="I545" i="1"/>
  <c r="A546" i="1"/>
  <c r="E546" i="1"/>
  <c r="I546" i="1"/>
  <c r="A547" i="1"/>
  <c r="E547" i="1"/>
  <c r="I547" i="1"/>
  <c r="A548" i="1"/>
  <c r="E548" i="1"/>
  <c r="I548" i="1"/>
  <c r="A549" i="1"/>
  <c r="E549" i="1"/>
  <c r="I549" i="1"/>
  <c r="A550" i="1"/>
  <c r="E550" i="1"/>
  <c r="I550" i="1"/>
  <c r="A551" i="1"/>
  <c r="E551" i="1"/>
  <c r="M551" i="1" s="1"/>
  <c r="I551" i="1"/>
  <c r="A552" i="1"/>
  <c r="E552" i="1"/>
  <c r="I552" i="1"/>
  <c r="A553" i="1"/>
  <c r="E553" i="1"/>
  <c r="I553" i="1"/>
  <c r="A554" i="1"/>
  <c r="E554" i="1"/>
  <c r="I554" i="1"/>
  <c r="A555" i="1"/>
  <c r="E555" i="1"/>
  <c r="M555" i="1" s="1"/>
  <c r="I555" i="1" s="1"/>
  <c r="A556" i="1"/>
  <c r="E556" i="1"/>
  <c r="A557" i="1"/>
  <c r="A558" i="1"/>
  <c r="E558" i="1"/>
  <c r="A559" i="1"/>
  <c r="E559" i="1"/>
  <c r="M559" i="1" s="1"/>
  <c r="I559" i="1"/>
  <c r="A560" i="1"/>
  <c r="E560" i="1"/>
  <c r="M560" i="1" s="1"/>
  <c r="H560" i="1" s="1"/>
  <c r="I560" i="1"/>
  <c r="A561" i="1"/>
  <c r="E561" i="1"/>
  <c r="I561" i="1"/>
  <c r="A562" i="1"/>
  <c r="E562" i="1"/>
  <c r="I562" i="1"/>
  <c r="A563" i="1"/>
  <c r="E563" i="1"/>
  <c r="M563" i="1" s="1"/>
  <c r="I563" i="1"/>
  <c r="A564" i="1"/>
  <c r="E564" i="1"/>
  <c r="I564" i="1"/>
  <c r="A565" i="1"/>
  <c r="E565" i="1"/>
  <c r="I565" i="1"/>
  <c r="A566" i="1"/>
  <c r="A567" i="1"/>
  <c r="E567" i="1"/>
  <c r="M567" i="1" s="1"/>
  <c r="I567" i="1"/>
  <c r="A568" i="1"/>
  <c r="A569" i="1"/>
  <c r="E569" i="1"/>
  <c r="I569" i="1"/>
  <c r="A570" i="1"/>
  <c r="E570" i="1"/>
  <c r="I570" i="1"/>
  <c r="A571" i="1"/>
  <c r="E571" i="1"/>
  <c r="M571" i="1" s="1"/>
  <c r="I571" i="1"/>
  <c r="A572" i="1"/>
  <c r="E572" i="1"/>
  <c r="M572" i="1" s="1"/>
  <c r="I572" i="1"/>
  <c r="A573" i="1"/>
  <c r="E573" i="1"/>
  <c r="I573" i="1"/>
  <c r="A574" i="1"/>
  <c r="E574" i="1"/>
  <c r="I574" i="1"/>
  <c r="A575" i="1"/>
  <c r="E575" i="1"/>
  <c r="I575" i="1"/>
  <c r="A576" i="1"/>
  <c r="E576" i="1"/>
  <c r="I576" i="1"/>
  <c r="A577" i="1"/>
  <c r="E577" i="1"/>
  <c r="I577" i="1"/>
  <c r="A578" i="1"/>
  <c r="E578" i="1"/>
  <c r="I578" i="1"/>
  <c r="A579" i="1"/>
  <c r="E579" i="1"/>
  <c r="I579" i="1"/>
  <c r="A580" i="1"/>
  <c r="E580" i="1"/>
  <c r="I580" i="1"/>
  <c r="A581" i="1"/>
  <c r="E581" i="1"/>
  <c r="I581" i="1"/>
  <c r="A582" i="1"/>
  <c r="E582" i="1"/>
  <c r="I582" i="1"/>
  <c r="A583" i="1"/>
  <c r="E583" i="1"/>
  <c r="I583" i="1"/>
  <c r="A584" i="1"/>
  <c r="I584" i="1"/>
  <c r="A585" i="1"/>
  <c r="E585" i="1"/>
  <c r="I585" i="1"/>
  <c r="A586" i="1"/>
  <c r="E586" i="1"/>
  <c r="I586" i="1"/>
  <c r="A587" i="1"/>
  <c r="E587" i="1"/>
  <c r="I587" i="1"/>
  <c r="A588" i="1"/>
  <c r="E588" i="1"/>
  <c r="M588" i="1" s="1"/>
  <c r="I588" i="1"/>
  <c r="A589" i="1"/>
  <c r="E589" i="1"/>
  <c r="I589" i="1"/>
  <c r="A590" i="1"/>
  <c r="E590" i="1"/>
  <c r="I590" i="1"/>
  <c r="A591" i="1"/>
  <c r="E591" i="1"/>
  <c r="I591" i="1"/>
  <c r="A592" i="1"/>
  <c r="E592" i="1"/>
  <c r="I592" i="1"/>
  <c r="A593" i="1"/>
  <c r="E593" i="1"/>
  <c r="I593" i="1"/>
  <c r="A594" i="1"/>
  <c r="E594" i="1"/>
  <c r="A595" i="1"/>
  <c r="E595" i="1"/>
  <c r="A596" i="1"/>
  <c r="E596" i="1"/>
  <c r="A597" i="1"/>
  <c r="E597" i="1"/>
  <c r="I597" i="1"/>
  <c r="A598" i="1"/>
  <c r="E598" i="1"/>
  <c r="I598" i="1"/>
  <c r="A599" i="1"/>
  <c r="E599" i="1"/>
  <c r="I599" i="1"/>
  <c r="A600" i="1"/>
  <c r="E600" i="1"/>
  <c r="I600" i="1"/>
  <c r="A601" i="1"/>
  <c r="E601" i="1"/>
  <c r="I601" i="1"/>
  <c r="A602" i="1"/>
  <c r="E602" i="1"/>
  <c r="I602" i="1"/>
  <c r="A603" i="1"/>
  <c r="E603" i="1"/>
  <c r="I603" i="1"/>
  <c r="A604" i="1"/>
  <c r="E604" i="1"/>
  <c r="M604" i="1" s="1"/>
  <c r="I604" i="1"/>
  <c r="A605" i="1"/>
  <c r="I605" i="1"/>
  <c r="A606" i="1"/>
  <c r="E606" i="1"/>
  <c r="I606" i="1"/>
  <c r="A607" i="1"/>
  <c r="E607" i="1"/>
  <c r="I607" i="1"/>
  <c r="A608" i="1"/>
  <c r="E608" i="1"/>
  <c r="I608" i="1"/>
  <c r="A609" i="1"/>
  <c r="E609" i="1"/>
  <c r="I609" i="1"/>
  <c r="A610" i="1"/>
  <c r="E610" i="1"/>
  <c r="I610" i="1"/>
  <c r="A611" i="1"/>
  <c r="E611" i="1"/>
  <c r="I611" i="1"/>
  <c r="A612" i="1"/>
  <c r="E612" i="1"/>
  <c r="I612" i="1"/>
  <c r="A613" i="1"/>
  <c r="E613" i="1"/>
  <c r="I613" i="1"/>
  <c r="A614" i="1"/>
  <c r="E614" i="1"/>
  <c r="I614" i="1"/>
  <c r="A615" i="1"/>
  <c r="E615" i="1"/>
  <c r="I615" i="1"/>
  <c r="A616" i="1"/>
  <c r="E616" i="1"/>
  <c r="I616" i="1"/>
  <c r="A617" i="1"/>
  <c r="M617" i="1"/>
  <c r="I617" i="1"/>
  <c r="A618" i="1"/>
  <c r="E618" i="1"/>
  <c r="M618" i="1" s="1"/>
  <c r="I618" i="1"/>
  <c r="A619" i="1"/>
  <c r="E619" i="1"/>
  <c r="M619" i="1" s="1"/>
  <c r="I619" i="1"/>
  <c r="A620" i="1"/>
  <c r="E620" i="1"/>
  <c r="I620" i="1"/>
  <c r="A621" i="1"/>
  <c r="E621" i="1"/>
  <c r="M621" i="1" s="1"/>
  <c r="I621" i="1"/>
  <c r="A622" i="1"/>
  <c r="E622" i="1"/>
  <c r="I622" i="1"/>
  <c r="A623" i="1"/>
  <c r="E623" i="1"/>
  <c r="M623" i="1" s="1"/>
  <c r="I623" i="1"/>
  <c r="A624" i="1"/>
  <c r="E624" i="1"/>
  <c r="M624" i="1" s="1"/>
  <c r="I624" i="1"/>
  <c r="A625" i="1"/>
  <c r="E625" i="1"/>
  <c r="M625" i="1" s="1"/>
  <c r="I625" i="1"/>
  <c r="A626" i="1"/>
  <c r="E626" i="1"/>
  <c r="I626" i="1"/>
  <c r="A627" i="1"/>
  <c r="E627" i="1"/>
  <c r="M627" i="1" s="1"/>
  <c r="I627" i="1"/>
  <c r="A628" i="1"/>
  <c r="E628" i="1"/>
  <c r="M628" i="1" s="1"/>
  <c r="I628" i="1"/>
  <c r="A629" i="1"/>
  <c r="E629" i="1"/>
  <c r="M629" i="1" s="1"/>
  <c r="I629" i="1"/>
  <c r="A630" i="1"/>
  <c r="E630" i="1"/>
  <c r="I630" i="1"/>
  <c r="A631" i="1"/>
  <c r="E631" i="1"/>
  <c r="M631" i="1" s="1"/>
  <c r="I631" i="1"/>
  <c r="A632" i="1"/>
  <c r="E632" i="1"/>
  <c r="M632" i="1" s="1"/>
  <c r="I632" i="1"/>
  <c r="A633" i="1"/>
  <c r="E633" i="1"/>
  <c r="M633" i="1" s="1"/>
  <c r="I633" i="1"/>
  <c r="A634" i="1"/>
  <c r="E634" i="1"/>
  <c r="I634" i="1"/>
  <c r="A635" i="1"/>
  <c r="E635" i="1"/>
  <c r="M635" i="1" s="1"/>
  <c r="H635" i="1" s="1"/>
  <c r="I635" i="1"/>
  <c r="A636" i="1"/>
  <c r="E636" i="1"/>
  <c r="M636" i="1" s="1"/>
  <c r="I636" i="1"/>
  <c r="A637" i="1"/>
  <c r="E637" i="1"/>
  <c r="M637" i="1" s="1"/>
  <c r="I637" i="1"/>
  <c r="A638" i="1"/>
  <c r="E638" i="1"/>
  <c r="I638" i="1"/>
  <c r="A639" i="1"/>
  <c r="E639" i="1"/>
  <c r="M639" i="1" s="1"/>
  <c r="H639" i="1" s="1"/>
  <c r="I639" i="1"/>
  <c r="A640" i="1"/>
  <c r="E640" i="1"/>
  <c r="M640" i="1" s="1"/>
  <c r="I640" i="1"/>
  <c r="A641" i="1"/>
  <c r="E641" i="1"/>
  <c r="M641" i="1" s="1"/>
  <c r="I641" i="1"/>
  <c r="A642" i="1"/>
  <c r="E642" i="1"/>
  <c r="I642" i="1"/>
  <c r="A643" i="1"/>
  <c r="E643" i="1"/>
  <c r="M643" i="1" s="1"/>
  <c r="I643" i="1"/>
  <c r="A644" i="1"/>
  <c r="E644" i="1"/>
  <c r="M644" i="1" s="1"/>
  <c r="I644" i="1"/>
  <c r="A645" i="1"/>
  <c r="E645" i="1"/>
  <c r="M645" i="1" s="1"/>
  <c r="I645" i="1"/>
  <c r="A646" i="1"/>
  <c r="E646" i="1"/>
  <c r="I646" i="1"/>
  <c r="A647" i="1"/>
  <c r="E647" i="1"/>
  <c r="M647" i="1" s="1"/>
  <c r="I647" i="1"/>
  <c r="A648" i="1"/>
  <c r="E648" i="1"/>
  <c r="M648" i="1" s="1"/>
  <c r="I648" i="1"/>
  <c r="A649" i="1"/>
  <c r="E649" i="1"/>
  <c r="M649" i="1" s="1"/>
  <c r="I649" i="1"/>
  <c r="A650" i="1"/>
  <c r="E650" i="1"/>
  <c r="I650" i="1"/>
  <c r="A651" i="1"/>
  <c r="E651" i="1"/>
  <c r="M651" i="1" s="1"/>
  <c r="I651" i="1"/>
  <c r="A652" i="1"/>
  <c r="E652" i="1"/>
  <c r="M652" i="1" s="1"/>
  <c r="I652" i="1"/>
  <c r="A653" i="1"/>
  <c r="E653" i="1"/>
  <c r="M653" i="1" s="1"/>
  <c r="I653" i="1"/>
  <c r="A654" i="1"/>
  <c r="I654" i="1"/>
  <c r="A655" i="1"/>
  <c r="E655" i="1"/>
  <c r="M655" i="1" s="1"/>
  <c r="I655" i="1"/>
  <c r="A656" i="1"/>
  <c r="E656" i="1"/>
  <c r="M656" i="1" s="1"/>
  <c r="I656" i="1"/>
  <c r="A657" i="1"/>
  <c r="E657" i="1"/>
  <c r="M657" i="1" s="1"/>
  <c r="I657" i="1"/>
  <c r="A658" i="1"/>
  <c r="E658" i="1"/>
  <c r="I658" i="1"/>
  <c r="A659" i="1"/>
  <c r="E659" i="1"/>
  <c r="M659" i="1" s="1"/>
  <c r="I659" i="1"/>
  <c r="A660" i="1"/>
  <c r="E660" i="1"/>
  <c r="M660" i="1" s="1"/>
  <c r="I660" i="1"/>
  <c r="A661" i="1"/>
  <c r="E661" i="1"/>
  <c r="M661" i="1" s="1"/>
  <c r="I661" i="1"/>
  <c r="A662" i="1"/>
  <c r="E662" i="1"/>
  <c r="I662" i="1"/>
  <c r="A663" i="1"/>
  <c r="E663" i="1"/>
  <c r="M663" i="1" s="1"/>
  <c r="I663" i="1"/>
  <c r="A664" i="1"/>
  <c r="E664" i="1"/>
  <c r="M664" i="1" s="1"/>
  <c r="I664" i="1"/>
  <c r="A665" i="1"/>
  <c r="E665" i="1"/>
  <c r="M665" i="1" s="1"/>
  <c r="I665" i="1"/>
  <c r="A666" i="1"/>
  <c r="E666" i="1"/>
  <c r="I666" i="1"/>
  <c r="A667" i="1"/>
  <c r="E667" i="1"/>
  <c r="M667" i="1" s="1"/>
  <c r="I667" i="1"/>
  <c r="A668" i="1"/>
  <c r="E668" i="1"/>
  <c r="M668" i="1" s="1"/>
  <c r="I668" i="1"/>
  <c r="A669" i="1"/>
  <c r="E669" i="1"/>
  <c r="M669" i="1" s="1"/>
  <c r="I669" i="1"/>
  <c r="A670" i="1"/>
  <c r="E670" i="1"/>
  <c r="I670" i="1"/>
  <c r="A671" i="1"/>
  <c r="E671" i="1"/>
  <c r="M671" i="1" s="1"/>
  <c r="I671" i="1"/>
  <c r="A672" i="1"/>
  <c r="M672" i="1"/>
  <c r="I672" i="1" s="1"/>
  <c r="A673" i="1"/>
  <c r="E673" i="1"/>
  <c r="M673" i="1" s="1"/>
  <c r="I673" i="1" s="1"/>
  <c r="A674" i="1"/>
  <c r="E674" i="1"/>
  <c r="I674" i="1"/>
  <c r="A675" i="1"/>
  <c r="E675" i="1"/>
  <c r="M675" i="1" s="1"/>
  <c r="I675" i="1"/>
  <c r="A676" i="1"/>
  <c r="E676" i="1"/>
  <c r="M676" i="1" s="1"/>
  <c r="I676" i="1"/>
  <c r="A677" i="1"/>
  <c r="E677" i="1"/>
  <c r="M677" i="1" s="1"/>
  <c r="I677" i="1"/>
  <c r="A678" i="1"/>
  <c r="E678" i="1"/>
  <c r="M678" i="1" s="1"/>
  <c r="I678" i="1"/>
  <c r="A679" i="1"/>
  <c r="E679" i="1"/>
  <c r="M679" i="1" s="1"/>
  <c r="I679" i="1"/>
  <c r="A680" i="1"/>
  <c r="E680" i="1"/>
  <c r="M680" i="1" s="1"/>
  <c r="I680" i="1"/>
  <c r="A681" i="1"/>
  <c r="E681" i="1"/>
  <c r="M681" i="1" s="1"/>
  <c r="I681" i="1"/>
  <c r="A682" i="1"/>
  <c r="E682" i="1"/>
  <c r="I682" i="1"/>
  <c r="A683" i="1"/>
  <c r="E683" i="1"/>
  <c r="M683" i="1" s="1"/>
  <c r="I683" i="1"/>
  <c r="A684" i="1"/>
  <c r="E684" i="1"/>
  <c r="M684" i="1" s="1"/>
  <c r="I684" i="1"/>
  <c r="A685" i="1"/>
  <c r="M685" i="1"/>
  <c r="I685" i="1"/>
  <c r="A686" i="1"/>
  <c r="E686" i="1"/>
  <c r="M686" i="1" s="1"/>
  <c r="I686" i="1"/>
  <c r="A687" i="1"/>
  <c r="E687" i="1"/>
  <c r="M687" i="1" s="1"/>
  <c r="I687" i="1"/>
  <c r="A688" i="1"/>
  <c r="E688" i="1"/>
  <c r="M688" i="1" s="1"/>
  <c r="I688" i="1"/>
  <c r="A689" i="1"/>
  <c r="E689" i="1"/>
  <c r="M689" i="1" s="1"/>
  <c r="I689" i="1"/>
  <c r="A690" i="1"/>
  <c r="E690" i="1"/>
  <c r="I690" i="1"/>
  <c r="A691" i="1"/>
  <c r="M691" i="1"/>
  <c r="I691" i="1"/>
  <c r="A692" i="1"/>
  <c r="E692" i="1"/>
  <c r="M692" i="1" s="1"/>
  <c r="I692" i="1"/>
  <c r="A693" i="1"/>
  <c r="E693" i="1"/>
  <c r="M693" i="1" s="1"/>
  <c r="I693" i="1"/>
  <c r="A694" i="1"/>
  <c r="E694" i="1"/>
  <c r="I694" i="1"/>
  <c r="A695" i="1"/>
  <c r="E695" i="1"/>
  <c r="M695" i="1" s="1"/>
  <c r="I695" i="1"/>
  <c r="A696" i="1"/>
  <c r="E696" i="1"/>
  <c r="M696" i="1" s="1"/>
  <c r="I696" i="1"/>
  <c r="A697" i="1"/>
  <c r="E697" i="1"/>
  <c r="M697" i="1" s="1"/>
  <c r="I697" i="1"/>
  <c r="A698" i="1"/>
  <c r="E698" i="1"/>
  <c r="I698" i="1"/>
  <c r="A699" i="1"/>
  <c r="E699" i="1"/>
  <c r="M699" i="1" s="1"/>
  <c r="I699" i="1"/>
  <c r="A700" i="1"/>
  <c r="E700" i="1"/>
  <c r="M700" i="1" s="1"/>
  <c r="I700" i="1"/>
  <c r="A701" i="1"/>
  <c r="E701" i="1"/>
  <c r="M701" i="1" s="1"/>
  <c r="I701" i="1"/>
  <c r="A702" i="1"/>
  <c r="E702" i="1"/>
  <c r="M702" i="1" s="1"/>
  <c r="I702" i="1"/>
  <c r="A703" i="1"/>
  <c r="E703" i="1"/>
  <c r="M703" i="1" s="1"/>
  <c r="I703" i="1"/>
  <c r="A704" i="1"/>
  <c r="E704" i="1"/>
  <c r="M704" i="1" s="1"/>
  <c r="I704" i="1"/>
  <c r="A705" i="1"/>
  <c r="E705" i="1"/>
  <c r="M705" i="1" s="1"/>
  <c r="I705" i="1"/>
  <c r="A706" i="1"/>
  <c r="E706" i="1"/>
  <c r="M706" i="1" s="1"/>
  <c r="I706" i="1"/>
  <c r="A707" i="1"/>
  <c r="E707" i="1"/>
  <c r="M707" i="1" s="1"/>
  <c r="I707" i="1"/>
  <c r="A708" i="1"/>
  <c r="E708" i="1"/>
  <c r="M708" i="1" s="1"/>
  <c r="I708" i="1"/>
  <c r="A709" i="1"/>
  <c r="E709" i="1"/>
  <c r="M709" i="1" s="1"/>
  <c r="I709" i="1"/>
  <c r="A710" i="1"/>
  <c r="E710" i="1"/>
  <c r="M710" i="1" s="1"/>
  <c r="I710" i="1"/>
  <c r="A711" i="1"/>
  <c r="E711" i="1"/>
  <c r="M711" i="1" s="1"/>
  <c r="I711" i="1"/>
  <c r="A712" i="1"/>
  <c r="E712" i="1"/>
  <c r="M712" i="1" s="1"/>
  <c r="I712" i="1"/>
  <c r="A713" i="1"/>
  <c r="E713" i="1"/>
  <c r="M713" i="1" s="1"/>
  <c r="I713" i="1"/>
  <c r="A714" i="1"/>
  <c r="E714" i="1"/>
  <c r="I714" i="1"/>
  <c r="A715" i="1"/>
  <c r="E715" i="1"/>
  <c r="M715" i="1" s="1"/>
  <c r="I715" i="1"/>
  <c r="A716" i="1"/>
  <c r="E716" i="1"/>
  <c r="M716" i="1" s="1"/>
  <c r="I716" i="1"/>
  <c r="A717" i="1"/>
  <c r="E717" i="1"/>
  <c r="M717" i="1" s="1"/>
  <c r="I717" i="1"/>
  <c r="A718" i="1"/>
  <c r="E718" i="1"/>
  <c r="M718" i="1" s="1"/>
  <c r="I718" i="1"/>
  <c r="A719" i="1"/>
  <c r="E719" i="1"/>
  <c r="M719" i="1" s="1"/>
  <c r="I719" i="1"/>
  <c r="A720" i="1"/>
  <c r="E720" i="1"/>
  <c r="M720" i="1" s="1"/>
  <c r="I720" i="1"/>
  <c r="A721" i="1"/>
  <c r="E721" i="1"/>
  <c r="M721" i="1" s="1"/>
  <c r="I721" i="1"/>
  <c r="A722" i="1"/>
  <c r="A723" i="1"/>
  <c r="E723" i="1"/>
  <c r="M723" i="1" s="1"/>
  <c r="I723" i="1"/>
  <c r="A396" i="1"/>
  <c r="A395" i="1"/>
  <c r="A394" i="1"/>
  <c r="A400" i="1"/>
  <c r="E394" i="1"/>
  <c r="M394" i="1" s="1"/>
  <c r="I394" i="1"/>
  <c r="E395" i="1"/>
  <c r="M395" i="1" s="1"/>
  <c r="I395" i="1"/>
  <c r="E396" i="1"/>
  <c r="H396" i="1" s="1"/>
  <c r="I396" i="1"/>
  <c r="A397" i="1"/>
  <c r="E397" i="1"/>
  <c r="M397" i="1" s="1"/>
  <c r="I397" i="1"/>
  <c r="A398" i="1"/>
  <c r="E398" i="1"/>
  <c r="H398" i="1" s="1"/>
  <c r="I398" i="1"/>
  <c r="A399" i="1"/>
  <c r="E399" i="1"/>
  <c r="H399" i="1" s="1"/>
  <c r="I399" i="1"/>
  <c r="E400" i="1"/>
  <c r="I400" i="1"/>
  <c r="A401" i="1"/>
  <c r="E401" i="1"/>
  <c r="I401" i="1"/>
  <c r="A402" i="1"/>
  <c r="E402" i="1"/>
  <c r="M402" i="1" s="1"/>
  <c r="I402" i="1"/>
  <c r="A403" i="1"/>
  <c r="E403" i="1"/>
  <c r="I403" i="1"/>
  <c r="A404" i="1"/>
  <c r="E404" i="1"/>
  <c r="M404" i="1" s="1"/>
  <c r="H404" i="1" s="1"/>
  <c r="I404" i="1"/>
  <c r="A405" i="1"/>
  <c r="E405" i="1"/>
  <c r="I405" i="1"/>
  <c r="A406" i="1"/>
  <c r="E406" i="1"/>
  <c r="M406" i="1" s="1"/>
  <c r="I406" i="1"/>
  <c r="A407" i="1"/>
  <c r="E407" i="1"/>
  <c r="I407" i="1"/>
  <c r="A408" i="1"/>
  <c r="E408" i="1"/>
  <c r="M408" i="1" s="1"/>
  <c r="I408" i="1"/>
  <c r="A409" i="1"/>
  <c r="E409" i="1"/>
  <c r="I409" i="1"/>
  <c r="A410" i="1"/>
  <c r="E410" i="1"/>
  <c r="M410" i="1" s="1"/>
  <c r="I410" i="1"/>
  <c r="A411" i="1"/>
  <c r="E411" i="1"/>
  <c r="I411" i="1"/>
  <c r="A412" i="1"/>
  <c r="E412" i="1"/>
  <c r="I412" i="1"/>
  <c r="A413" i="1"/>
  <c r="E413" i="1"/>
  <c r="I413" i="1"/>
  <c r="A414" i="1"/>
  <c r="E414" i="1"/>
  <c r="M414" i="1" s="1"/>
  <c r="I414" i="1"/>
  <c r="A415" i="1"/>
  <c r="E415" i="1"/>
  <c r="M415" i="1" s="1"/>
  <c r="I415" i="1"/>
  <c r="A416" i="1"/>
  <c r="E416" i="1"/>
  <c r="I416" i="1"/>
  <c r="A417" i="1"/>
  <c r="E417" i="1"/>
  <c r="I417" i="1"/>
  <c r="A418" i="1"/>
  <c r="E418" i="1"/>
  <c r="M418" i="1" s="1"/>
  <c r="I418" i="1"/>
  <c r="A419" i="1"/>
  <c r="E419" i="1"/>
  <c r="M419" i="1" s="1"/>
  <c r="I419" i="1"/>
  <c r="A420" i="1"/>
  <c r="E420" i="1"/>
  <c r="I420" i="1"/>
  <c r="A421" i="1"/>
  <c r="E421" i="1"/>
  <c r="I421" i="1"/>
  <c r="A422" i="1"/>
  <c r="E422" i="1"/>
  <c r="M422" i="1" s="1"/>
  <c r="I422" i="1"/>
  <c r="A423" i="1"/>
  <c r="E423" i="1"/>
  <c r="M423" i="1" s="1"/>
  <c r="I423" i="1"/>
  <c r="A424" i="1"/>
  <c r="E424" i="1"/>
  <c r="I424" i="1"/>
  <c r="A425" i="1"/>
  <c r="E425" i="1"/>
  <c r="A426" i="1"/>
  <c r="I426" i="1"/>
  <c r="A427" i="1"/>
  <c r="E427" i="1"/>
  <c r="M427" i="1" s="1"/>
  <c r="I427" i="1"/>
  <c r="A428" i="1"/>
  <c r="E428" i="1"/>
  <c r="I428" i="1"/>
  <c r="A429" i="1"/>
  <c r="E429" i="1"/>
  <c r="I429" i="1"/>
  <c r="A430" i="1"/>
  <c r="E430" i="1"/>
  <c r="I430" i="1"/>
  <c r="A431" i="1"/>
  <c r="E431" i="1"/>
  <c r="M431" i="1" s="1"/>
  <c r="I431" i="1" s="1"/>
  <c r="A432" i="1"/>
  <c r="E432" i="1"/>
  <c r="A433" i="1"/>
  <c r="E433" i="1"/>
  <c r="I433" i="1"/>
  <c r="A434" i="1"/>
  <c r="E434" i="1"/>
  <c r="M434" i="1" s="1"/>
  <c r="I434" i="1"/>
  <c r="A435" i="1"/>
  <c r="E435" i="1"/>
  <c r="M435" i="1" s="1"/>
  <c r="I435" i="1"/>
  <c r="A436" i="1"/>
  <c r="E436" i="1"/>
  <c r="I436" i="1"/>
  <c r="A437" i="1"/>
  <c r="E437" i="1"/>
  <c r="I437" i="1"/>
  <c r="A438" i="1"/>
  <c r="E438" i="1"/>
  <c r="M438" i="1" s="1"/>
  <c r="I438" i="1"/>
  <c r="A439" i="1"/>
  <c r="E439" i="1"/>
  <c r="M439" i="1" s="1"/>
  <c r="I439" i="1"/>
  <c r="A440" i="1"/>
  <c r="E440" i="1"/>
  <c r="I440" i="1"/>
  <c r="A441" i="1"/>
  <c r="E441" i="1"/>
  <c r="I441" i="1"/>
  <c r="A442" i="1"/>
  <c r="E442" i="1"/>
  <c r="M442" i="1" s="1"/>
  <c r="I442" i="1"/>
  <c r="A443" i="1"/>
  <c r="E443" i="1"/>
  <c r="M443" i="1" s="1"/>
  <c r="I443" i="1"/>
  <c r="A444" i="1"/>
  <c r="E444" i="1"/>
  <c r="I444" i="1"/>
  <c r="A445" i="1"/>
  <c r="E445" i="1"/>
  <c r="I445" i="1"/>
  <c r="A446" i="1"/>
  <c r="E446" i="1"/>
  <c r="M446" i="1" s="1"/>
  <c r="I446" i="1"/>
  <c r="A447" i="1"/>
  <c r="E447" i="1"/>
  <c r="M447" i="1" s="1"/>
  <c r="I447" i="1"/>
  <c r="A448" i="1"/>
  <c r="E448" i="1"/>
  <c r="I448" i="1"/>
  <c r="B747" i="1" l="1"/>
  <c r="A746" i="1"/>
  <c r="N746" i="1"/>
  <c r="M430" i="1"/>
  <c r="H430" i="1" s="1"/>
  <c r="J430" i="1" s="1"/>
  <c r="H686" i="1"/>
  <c r="J686" i="1" s="1"/>
  <c r="H702" i="1"/>
  <c r="J702" i="1" s="1"/>
  <c r="H636" i="1"/>
  <c r="J636" i="1" s="1"/>
  <c r="H688" i="1"/>
  <c r="J688" i="1" s="1"/>
  <c r="J396" i="1"/>
  <c r="J398" i="1"/>
  <c r="J404" i="1"/>
  <c r="H655" i="1"/>
  <c r="J655" i="1" s="1"/>
  <c r="H712" i="1"/>
  <c r="J712" i="1" s="1"/>
  <c r="J399" i="1"/>
  <c r="H627" i="1"/>
  <c r="J627" i="1" s="1"/>
  <c r="H675" i="1"/>
  <c r="J675" i="1" s="1"/>
  <c r="H652" i="1"/>
  <c r="J652" i="1" s="1"/>
  <c r="H717" i="1"/>
  <c r="J717" i="1" s="1"/>
  <c r="H715" i="1"/>
  <c r="J715" i="1" s="1"/>
  <c r="H656" i="1"/>
  <c r="J656" i="1" s="1"/>
  <c r="H631" i="1"/>
  <c r="J631" i="1" s="1"/>
  <c r="M400" i="1"/>
  <c r="H400" i="1" s="1"/>
  <c r="J400" i="1" s="1"/>
  <c r="J639" i="1"/>
  <c r="H624" i="1"/>
  <c r="J624" i="1" s="1"/>
  <c r="M568" i="1"/>
  <c r="H710" i="1"/>
  <c r="J710" i="1" s="1"/>
  <c r="H683" i="1"/>
  <c r="J683" i="1" s="1"/>
  <c r="M670" i="1"/>
  <c r="H670" i="1" s="1"/>
  <c r="J670" i="1" s="1"/>
  <c r="H640" i="1"/>
  <c r="J640" i="1" s="1"/>
  <c r="M694" i="1"/>
  <c r="H694" i="1" s="1"/>
  <c r="J694" i="1" s="1"/>
  <c r="H685" i="1"/>
  <c r="J685" i="1" s="1"/>
  <c r="H632" i="1"/>
  <c r="J632" i="1" s="1"/>
  <c r="H623" i="1"/>
  <c r="M487" i="1"/>
  <c r="H487" i="1" s="1"/>
  <c r="J487" i="1" s="1"/>
  <c r="M412" i="1"/>
  <c r="H412" i="1" s="1"/>
  <c r="J412" i="1" s="1"/>
  <c r="H410" i="1"/>
  <c r="J410" i="1" s="1"/>
  <c r="H408" i="1"/>
  <c r="J408" i="1" s="1"/>
  <c r="H720" i="1"/>
  <c r="J720" i="1" s="1"/>
  <c r="H718" i="1"/>
  <c r="J718" i="1" s="1"/>
  <c r="H707" i="1"/>
  <c r="J707" i="1" s="1"/>
  <c r="H693" i="1"/>
  <c r="J693" i="1" s="1"/>
  <c r="H680" i="1"/>
  <c r="J680" i="1" s="1"/>
  <c r="H678" i="1"/>
  <c r="J678" i="1" s="1"/>
  <c r="H669" i="1"/>
  <c r="J669" i="1" s="1"/>
  <c r="H664" i="1"/>
  <c r="J664" i="1" s="1"/>
  <c r="H648" i="1"/>
  <c r="J648" i="1" s="1"/>
  <c r="J560" i="1"/>
  <c r="H723" i="1"/>
  <c r="J723" i="1" s="1"/>
  <c r="H701" i="1"/>
  <c r="J701" i="1" s="1"/>
  <c r="H696" i="1"/>
  <c r="J696" i="1" s="1"/>
  <c r="M674" i="1"/>
  <c r="H674" i="1" s="1"/>
  <c r="J674" i="1" s="1"/>
  <c r="H663" i="1"/>
  <c r="J663" i="1" s="1"/>
  <c r="H647" i="1"/>
  <c r="J647" i="1" s="1"/>
  <c r="J635" i="1"/>
  <c r="H628" i="1"/>
  <c r="M552" i="1"/>
  <c r="H552" i="1" s="1"/>
  <c r="J552" i="1" s="1"/>
  <c r="M396" i="1"/>
  <c r="H691" i="1"/>
  <c r="H660" i="1"/>
  <c r="J660" i="1" s="1"/>
  <c r="H644" i="1"/>
  <c r="J644" i="1" s="1"/>
  <c r="H619" i="1"/>
  <c r="J619" i="1" s="1"/>
  <c r="H721" i="1"/>
  <c r="J721" i="1" s="1"/>
  <c r="H716" i="1"/>
  <c r="J716" i="1" s="1"/>
  <c r="M714" i="1"/>
  <c r="H714" i="1" s="1"/>
  <c r="J714" i="1" s="1"/>
  <c r="H711" i="1"/>
  <c r="J711" i="1" s="1"/>
  <c r="H706" i="1"/>
  <c r="J706" i="1" s="1"/>
  <c r="H689" i="1"/>
  <c r="J689" i="1" s="1"/>
  <c r="J684" i="1"/>
  <c r="M682" i="1"/>
  <c r="H682" i="1" s="1"/>
  <c r="J682" i="1" s="1"/>
  <c r="H679" i="1"/>
  <c r="J679" i="1" s="1"/>
  <c r="M662" i="1"/>
  <c r="H662" i="1" s="1"/>
  <c r="J662" i="1" s="1"/>
  <c r="M654" i="1"/>
  <c r="H654" i="1" s="1"/>
  <c r="J654" i="1" s="1"/>
  <c r="M646" i="1"/>
  <c r="H646" i="1" s="1"/>
  <c r="J646" i="1" s="1"/>
  <c r="M638" i="1"/>
  <c r="H638" i="1" s="1"/>
  <c r="J638" i="1" s="1"/>
  <c r="M630" i="1"/>
  <c r="H630" i="1" s="1"/>
  <c r="J630" i="1" s="1"/>
  <c r="M622" i="1"/>
  <c r="H622" i="1" s="1"/>
  <c r="J622" i="1" s="1"/>
  <c r="M608" i="1"/>
  <c r="H608" i="1" s="1"/>
  <c r="H604" i="1"/>
  <c r="J604" i="1" s="1"/>
  <c r="M592" i="1"/>
  <c r="H592" i="1" s="1"/>
  <c r="J592" i="1" s="1"/>
  <c r="H588" i="1"/>
  <c r="J588" i="1" s="1"/>
  <c r="M576" i="1"/>
  <c r="H576" i="1" s="1"/>
  <c r="J576" i="1" s="1"/>
  <c r="H572" i="1"/>
  <c r="J572" i="1" s="1"/>
  <c r="H551" i="1"/>
  <c r="J551" i="1" s="1"/>
  <c r="M548" i="1"/>
  <c r="H548" i="1" s="1"/>
  <c r="J548" i="1" s="1"/>
  <c r="H443" i="1"/>
  <c r="J443" i="1" s="1"/>
  <c r="H435" i="1"/>
  <c r="J435" i="1" s="1"/>
  <c r="H423" i="1"/>
  <c r="J423" i="1" s="1"/>
  <c r="H419" i="1"/>
  <c r="J419" i="1" s="1"/>
  <c r="H415" i="1"/>
  <c r="J415" i="1" s="1"/>
  <c r="H709" i="1"/>
  <c r="J709" i="1" s="1"/>
  <c r="H704" i="1"/>
  <c r="J704" i="1" s="1"/>
  <c r="H699" i="1"/>
  <c r="J699" i="1" s="1"/>
  <c r="H677" i="1"/>
  <c r="J677" i="1" s="1"/>
  <c r="H672" i="1"/>
  <c r="J672" i="1" s="1"/>
  <c r="H667" i="1"/>
  <c r="J667" i="1" s="1"/>
  <c r="H659" i="1"/>
  <c r="J659" i="1" s="1"/>
  <c r="H651" i="1"/>
  <c r="J651" i="1" s="1"/>
  <c r="H643" i="1"/>
  <c r="J643" i="1" s="1"/>
  <c r="M620" i="1"/>
  <c r="H620" i="1" s="1"/>
  <c r="J620" i="1" s="1"/>
  <c r="H555" i="1"/>
  <c r="J555" i="1" s="1"/>
  <c r="H544" i="1"/>
  <c r="J544" i="1" s="1"/>
  <c r="H535" i="1"/>
  <c r="J535" i="1" s="1"/>
  <c r="M532" i="1"/>
  <c r="H532" i="1" s="1"/>
  <c r="J532" i="1" s="1"/>
  <c r="H528" i="1"/>
  <c r="J528" i="1" s="1"/>
  <c r="H519" i="1"/>
  <c r="J519" i="1" s="1"/>
  <c r="H512" i="1"/>
  <c r="J512" i="1" s="1"/>
  <c r="H503" i="1"/>
  <c r="J503" i="1" s="1"/>
  <c r="H496" i="1"/>
  <c r="J496" i="1" s="1"/>
  <c r="M484" i="1"/>
  <c r="H484" i="1" s="1"/>
  <c r="J484" i="1" s="1"/>
  <c r="H480" i="1"/>
  <c r="J480" i="1" s="1"/>
  <c r="H471" i="1"/>
  <c r="J471" i="1" s="1"/>
  <c r="H464" i="1"/>
  <c r="J464" i="1" s="1"/>
  <c r="H455" i="1"/>
  <c r="J455" i="1" s="1"/>
  <c r="H447" i="1"/>
  <c r="J447" i="1" s="1"/>
  <c r="H439" i="1"/>
  <c r="J439" i="1" s="1"/>
  <c r="H431" i="1"/>
  <c r="J431" i="1" s="1"/>
  <c r="H427" i="1"/>
  <c r="J427" i="1" s="1"/>
  <c r="M448" i="1"/>
  <c r="H448" i="1" s="1"/>
  <c r="J448" i="1" s="1"/>
  <c r="M444" i="1"/>
  <c r="H444" i="1" s="1"/>
  <c r="J444" i="1" s="1"/>
  <c r="M440" i="1"/>
  <c r="H440" i="1" s="1"/>
  <c r="J440" i="1" s="1"/>
  <c r="M436" i="1"/>
  <c r="H436" i="1" s="1"/>
  <c r="J436" i="1" s="1"/>
  <c r="M432" i="1"/>
  <c r="M428" i="1"/>
  <c r="H428" i="1" s="1"/>
  <c r="J428" i="1" s="1"/>
  <c r="M424" i="1"/>
  <c r="H424" i="1" s="1"/>
  <c r="J424" i="1" s="1"/>
  <c r="M420" i="1"/>
  <c r="H420" i="1" s="1"/>
  <c r="J420" i="1" s="1"/>
  <c r="M416" i="1"/>
  <c r="H416" i="1" s="1"/>
  <c r="J416" i="1" s="1"/>
  <c r="H406" i="1"/>
  <c r="J406" i="1" s="1"/>
  <c r="H402" i="1"/>
  <c r="J402" i="1" s="1"/>
  <c r="M722" i="1"/>
  <c r="H719" i="1"/>
  <c r="J719" i="1" s="1"/>
  <c r="H697" i="1"/>
  <c r="J697" i="1" s="1"/>
  <c r="H692" i="1"/>
  <c r="J692" i="1" s="1"/>
  <c r="M690" i="1"/>
  <c r="H690" i="1" s="1"/>
  <c r="J690" i="1" s="1"/>
  <c r="H687" i="1"/>
  <c r="J687" i="1" s="1"/>
  <c r="H665" i="1"/>
  <c r="J665" i="1" s="1"/>
  <c r="H657" i="1"/>
  <c r="J657" i="1" s="1"/>
  <c r="H649" i="1"/>
  <c r="J649" i="1" s="1"/>
  <c r="H641" i="1"/>
  <c r="J641" i="1" s="1"/>
  <c r="H633" i="1"/>
  <c r="J633" i="1" s="1"/>
  <c r="H625" i="1"/>
  <c r="J625" i="1" s="1"/>
  <c r="H617" i="1"/>
  <c r="J617" i="1" s="1"/>
  <c r="M612" i="1"/>
  <c r="H612" i="1" s="1"/>
  <c r="J612" i="1" s="1"/>
  <c r="M596" i="1"/>
  <c r="M580" i="1"/>
  <c r="H580" i="1" s="1"/>
  <c r="J580" i="1" s="1"/>
  <c r="H559" i="1"/>
  <c r="J559" i="1" s="1"/>
  <c r="M556" i="1"/>
  <c r="H563" i="1"/>
  <c r="J563" i="1" s="1"/>
  <c r="H539" i="1"/>
  <c r="J539" i="1" s="1"/>
  <c r="H523" i="1"/>
  <c r="J523" i="1" s="1"/>
  <c r="H516" i="1"/>
  <c r="J516" i="1" s="1"/>
  <c r="H507" i="1"/>
  <c r="J507" i="1" s="1"/>
  <c r="H500" i="1"/>
  <c r="J500" i="1" s="1"/>
  <c r="H491" i="1"/>
  <c r="J491" i="1" s="1"/>
  <c r="H475" i="1"/>
  <c r="J475" i="1" s="1"/>
  <c r="H468" i="1"/>
  <c r="H459" i="1"/>
  <c r="J459" i="1" s="1"/>
  <c r="H452" i="1"/>
  <c r="J452" i="1" s="1"/>
  <c r="H446" i="1"/>
  <c r="J446" i="1" s="1"/>
  <c r="H442" i="1"/>
  <c r="J442" i="1" s="1"/>
  <c r="H438" i="1"/>
  <c r="J438" i="1" s="1"/>
  <c r="H434" i="1"/>
  <c r="J434" i="1" s="1"/>
  <c r="H426" i="1"/>
  <c r="J426" i="1" s="1"/>
  <c r="H422" i="1"/>
  <c r="J422" i="1" s="1"/>
  <c r="H418" i="1"/>
  <c r="J418" i="1" s="1"/>
  <c r="H414" i="1"/>
  <c r="J414" i="1" s="1"/>
  <c r="H395" i="1"/>
  <c r="J395" i="1" s="1"/>
  <c r="H705" i="1"/>
  <c r="J705" i="1" s="1"/>
  <c r="H700" i="1"/>
  <c r="J700" i="1" s="1"/>
  <c r="M698" i="1"/>
  <c r="H698" i="1" s="1"/>
  <c r="J698" i="1" s="1"/>
  <c r="H695" i="1"/>
  <c r="J695" i="1" s="1"/>
  <c r="H673" i="1"/>
  <c r="J673" i="1" s="1"/>
  <c r="H668" i="1"/>
  <c r="J668" i="1" s="1"/>
  <c r="M666" i="1"/>
  <c r="H666" i="1" s="1"/>
  <c r="J666" i="1" s="1"/>
  <c r="M658" i="1"/>
  <c r="H658" i="1" s="1"/>
  <c r="J658" i="1" s="1"/>
  <c r="M650" i="1"/>
  <c r="H650" i="1" s="1"/>
  <c r="J650" i="1" s="1"/>
  <c r="M642" i="1"/>
  <c r="H642" i="1" s="1"/>
  <c r="J642" i="1" s="1"/>
  <c r="M634" i="1"/>
  <c r="H634" i="1" s="1"/>
  <c r="J634" i="1" s="1"/>
  <c r="M626" i="1"/>
  <c r="H626" i="1" s="1"/>
  <c r="J626" i="1" s="1"/>
  <c r="M616" i="1"/>
  <c r="H616" i="1" s="1"/>
  <c r="J616" i="1" s="1"/>
  <c r="M600" i="1"/>
  <c r="H600" i="1" s="1"/>
  <c r="J600" i="1" s="1"/>
  <c r="M584" i="1"/>
  <c r="H584" i="1" s="1"/>
  <c r="J584" i="1" s="1"/>
  <c r="H567" i="1"/>
  <c r="J567" i="1" s="1"/>
  <c r="M564" i="1"/>
  <c r="H564" i="1" s="1"/>
  <c r="J564" i="1" s="1"/>
  <c r="M405" i="1"/>
  <c r="H405" i="1" s="1"/>
  <c r="J405" i="1" s="1"/>
  <c r="M401" i="1"/>
  <c r="H401" i="1" s="1"/>
  <c r="J401" i="1" s="1"/>
  <c r="M399" i="1"/>
  <c r="H571" i="1"/>
  <c r="J571" i="1" s="1"/>
  <c r="M547" i="1"/>
  <c r="H547" i="1" s="1"/>
  <c r="J547" i="1" s="1"/>
  <c r="H543" i="1"/>
  <c r="J543" i="1" s="1"/>
  <c r="H536" i="1"/>
  <c r="J536" i="1" s="1"/>
  <c r="M531" i="1"/>
  <c r="H531" i="1" s="1"/>
  <c r="J531" i="1" s="1"/>
  <c r="H527" i="1"/>
  <c r="J527" i="1" s="1"/>
  <c r="M524" i="1"/>
  <c r="H524" i="1" s="1"/>
  <c r="J524" i="1" s="1"/>
  <c r="H520" i="1"/>
  <c r="J520" i="1" s="1"/>
  <c r="M515" i="1"/>
  <c r="H515" i="1" s="1"/>
  <c r="J515" i="1" s="1"/>
  <c r="H511" i="1"/>
  <c r="J511" i="1" s="1"/>
  <c r="M508" i="1"/>
  <c r="H508" i="1" s="1"/>
  <c r="J508" i="1" s="1"/>
  <c r="H504" i="1"/>
  <c r="J504" i="1" s="1"/>
  <c r="H495" i="1"/>
  <c r="J495" i="1" s="1"/>
  <c r="M492" i="1"/>
  <c r="H492" i="1" s="1"/>
  <c r="J492" i="1" s="1"/>
  <c r="H488" i="1"/>
  <c r="J488" i="1" s="1"/>
  <c r="M483" i="1"/>
  <c r="H483" i="1" s="1"/>
  <c r="J483" i="1" s="1"/>
  <c r="H479" i="1"/>
  <c r="J479" i="1" s="1"/>
  <c r="M476" i="1"/>
  <c r="H476" i="1" s="1"/>
  <c r="J476" i="1" s="1"/>
  <c r="H472" i="1"/>
  <c r="J472" i="1" s="1"/>
  <c r="M467" i="1"/>
  <c r="H467" i="1" s="1"/>
  <c r="J467" i="1" s="1"/>
  <c r="H463" i="1"/>
  <c r="J463" i="1" s="1"/>
  <c r="M460" i="1"/>
  <c r="H460" i="1" s="1"/>
  <c r="J460" i="1" s="1"/>
  <c r="H456" i="1"/>
  <c r="J456" i="1" s="1"/>
  <c r="M451" i="1"/>
  <c r="H451" i="1" s="1"/>
  <c r="J451" i="1" s="1"/>
  <c r="H540" i="1"/>
  <c r="J540" i="1" s="1"/>
  <c r="H499" i="1"/>
  <c r="J499" i="1" s="1"/>
  <c r="H713" i="1"/>
  <c r="J713" i="1" s="1"/>
  <c r="H708" i="1"/>
  <c r="J708" i="1" s="1"/>
  <c r="H703" i="1"/>
  <c r="J703" i="1" s="1"/>
  <c r="H681" i="1"/>
  <c r="J681" i="1" s="1"/>
  <c r="H676" i="1"/>
  <c r="J676" i="1" s="1"/>
  <c r="H671" i="1"/>
  <c r="J671" i="1" s="1"/>
  <c r="H661" i="1"/>
  <c r="J661" i="1" s="1"/>
  <c r="H653" i="1"/>
  <c r="J653" i="1" s="1"/>
  <c r="H645" i="1"/>
  <c r="J645" i="1" s="1"/>
  <c r="H637" i="1"/>
  <c r="J637" i="1" s="1"/>
  <c r="H629" i="1"/>
  <c r="J629" i="1" s="1"/>
  <c r="H621" i="1"/>
  <c r="J621" i="1" s="1"/>
  <c r="M566" i="1"/>
  <c r="M614" i="1"/>
  <c r="H614" i="1" s="1"/>
  <c r="J614" i="1" s="1"/>
  <c r="M610" i="1"/>
  <c r="H610" i="1" s="1"/>
  <c r="J610" i="1" s="1"/>
  <c r="M606" i="1"/>
  <c r="H606" i="1" s="1"/>
  <c r="J606" i="1" s="1"/>
  <c r="M602" i="1"/>
  <c r="H602" i="1" s="1"/>
  <c r="J602" i="1" s="1"/>
  <c r="M598" i="1"/>
  <c r="H598" i="1" s="1"/>
  <c r="J598" i="1" s="1"/>
  <c r="M594" i="1"/>
  <c r="M590" i="1"/>
  <c r="H590" i="1" s="1"/>
  <c r="J590" i="1" s="1"/>
  <c r="M586" i="1"/>
  <c r="H586" i="1" s="1"/>
  <c r="J586" i="1" s="1"/>
  <c r="M582" i="1"/>
  <c r="H582" i="1" s="1"/>
  <c r="J582" i="1" s="1"/>
  <c r="M578" i="1"/>
  <c r="H578" i="1" s="1"/>
  <c r="J578" i="1" s="1"/>
  <c r="M574" i="1"/>
  <c r="H574" i="1" s="1"/>
  <c r="J574" i="1" s="1"/>
  <c r="M570" i="1"/>
  <c r="H570" i="1" s="1"/>
  <c r="J570" i="1" s="1"/>
  <c r="M542" i="1"/>
  <c r="H542" i="1" s="1"/>
  <c r="J542" i="1" s="1"/>
  <c r="M526" i="1"/>
  <c r="H526" i="1" s="1"/>
  <c r="J526" i="1" s="1"/>
  <c r="M510" i="1"/>
  <c r="H510" i="1" s="1"/>
  <c r="J510" i="1" s="1"/>
  <c r="M494" i="1"/>
  <c r="H494" i="1" s="1"/>
  <c r="J494" i="1" s="1"/>
  <c r="M478" i="1"/>
  <c r="H478" i="1" s="1"/>
  <c r="J478" i="1" s="1"/>
  <c r="M462" i="1"/>
  <c r="H462" i="1" s="1"/>
  <c r="J462" i="1" s="1"/>
  <c r="M613" i="1"/>
  <c r="H613" i="1" s="1"/>
  <c r="J613" i="1" s="1"/>
  <c r="M609" i="1"/>
  <c r="H609" i="1" s="1"/>
  <c r="J609" i="1" s="1"/>
  <c r="M605" i="1"/>
  <c r="H605" i="1" s="1"/>
  <c r="J605" i="1" s="1"/>
  <c r="M601" i="1"/>
  <c r="H601" i="1" s="1"/>
  <c r="J601" i="1" s="1"/>
  <c r="M597" i="1"/>
  <c r="H597" i="1" s="1"/>
  <c r="J597" i="1" s="1"/>
  <c r="M593" i="1"/>
  <c r="H593" i="1" s="1"/>
  <c r="J593" i="1" s="1"/>
  <c r="M589" i="1"/>
  <c r="H589" i="1" s="1"/>
  <c r="J589" i="1" s="1"/>
  <c r="M585" i="1"/>
  <c r="H585" i="1" s="1"/>
  <c r="J585" i="1" s="1"/>
  <c r="M581" i="1"/>
  <c r="H581" i="1" s="1"/>
  <c r="J581" i="1" s="1"/>
  <c r="M577" i="1"/>
  <c r="H577" i="1" s="1"/>
  <c r="J577" i="1" s="1"/>
  <c r="M573" i="1"/>
  <c r="H573" i="1" s="1"/>
  <c r="J573" i="1" s="1"/>
  <c r="M546" i="1"/>
  <c r="H546" i="1" s="1"/>
  <c r="J546" i="1" s="1"/>
  <c r="M530" i="1"/>
  <c r="H530" i="1" s="1"/>
  <c r="J530" i="1" s="1"/>
  <c r="M514" i="1"/>
  <c r="H514" i="1" s="1"/>
  <c r="J514" i="1" s="1"/>
  <c r="M498" i="1"/>
  <c r="H498" i="1" s="1"/>
  <c r="J498" i="1" s="1"/>
  <c r="M482" i="1"/>
  <c r="H482" i="1" s="1"/>
  <c r="J482" i="1" s="1"/>
  <c r="M466" i="1"/>
  <c r="H466" i="1" s="1"/>
  <c r="J466" i="1" s="1"/>
  <c r="M450" i="1"/>
  <c r="M615" i="1"/>
  <c r="H615" i="1" s="1"/>
  <c r="J615" i="1" s="1"/>
  <c r="M611" i="1"/>
  <c r="H611" i="1" s="1"/>
  <c r="J611" i="1" s="1"/>
  <c r="M607" i="1"/>
  <c r="H607" i="1" s="1"/>
  <c r="J607" i="1" s="1"/>
  <c r="M603" i="1"/>
  <c r="H603" i="1" s="1"/>
  <c r="M599" i="1"/>
  <c r="H599" i="1" s="1"/>
  <c r="J599" i="1" s="1"/>
  <c r="M595" i="1"/>
  <c r="M591" i="1"/>
  <c r="H591" i="1" s="1"/>
  <c r="J591" i="1" s="1"/>
  <c r="M587" i="1"/>
  <c r="H587" i="1" s="1"/>
  <c r="J587" i="1" s="1"/>
  <c r="M583" i="1"/>
  <c r="H583" i="1" s="1"/>
  <c r="J583" i="1" s="1"/>
  <c r="M579" i="1"/>
  <c r="H579" i="1" s="1"/>
  <c r="J579" i="1" s="1"/>
  <c r="M575" i="1"/>
  <c r="H575" i="1" s="1"/>
  <c r="J575" i="1" s="1"/>
  <c r="M569" i="1"/>
  <c r="H569" i="1" s="1"/>
  <c r="J569" i="1" s="1"/>
  <c r="M550" i="1"/>
  <c r="H550" i="1" s="1"/>
  <c r="J550" i="1" s="1"/>
  <c r="M554" i="1"/>
  <c r="H554" i="1" s="1"/>
  <c r="J554" i="1" s="1"/>
  <c r="M534" i="1"/>
  <c r="H534" i="1" s="1"/>
  <c r="J534" i="1" s="1"/>
  <c r="M518" i="1"/>
  <c r="H518" i="1" s="1"/>
  <c r="J518" i="1" s="1"/>
  <c r="M502" i="1"/>
  <c r="H502" i="1" s="1"/>
  <c r="J502" i="1" s="1"/>
  <c r="M486" i="1"/>
  <c r="M470" i="1"/>
  <c r="H470" i="1" s="1"/>
  <c r="J470" i="1" s="1"/>
  <c r="M454" i="1"/>
  <c r="M558" i="1"/>
  <c r="H618" i="1"/>
  <c r="J618" i="1" s="1"/>
  <c r="M562" i="1"/>
  <c r="H562" i="1" s="1"/>
  <c r="J562" i="1" s="1"/>
  <c r="M538" i="1"/>
  <c r="H538" i="1" s="1"/>
  <c r="J538" i="1" s="1"/>
  <c r="M522" i="1"/>
  <c r="H522" i="1" s="1"/>
  <c r="J522" i="1" s="1"/>
  <c r="M506" i="1"/>
  <c r="H506" i="1" s="1"/>
  <c r="J506" i="1" s="1"/>
  <c r="M490" i="1"/>
  <c r="H490" i="1" s="1"/>
  <c r="J490" i="1" s="1"/>
  <c r="M474" i="1"/>
  <c r="H474" i="1" s="1"/>
  <c r="J474" i="1" s="1"/>
  <c r="M458" i="1"/>
  <c r="H458" i="1" s="1"/>
  <c r="J458" i="1" s="1"/>
  <c r="M565" i="1"/>
  <c r="H565" i="1" s="1"/>
  <c r="J565" i="1" s="1"/>
  <c r="M561" i="1"/>
  <c r="H561" i="1" s="1"/>
  <c r="J561" i="1" s="1"/>
  <c r="M557" i="1"/>
  <c r="M553" i="1"/>
  <c r="H553" i="1" s="1"/>
  <c r="J553" i="1" s="1"/>
  <c r="M549" i="1"/>
  <c r="H549" i="1" s="1"/>
  <c r="J549" i="1" s="1"/>
  <c r="M545" i="1"/>
  <c r="H545" i="1" s="1"/>
  <c r="J545" i="1" s="1"/>
  <c r="M541" i="1"/>
  <c r="H541" i="1" s="1"/>
  <c r="J541" i="1" s="1"/>
  <c r="M537" i="1"/>
  <c r="H537" i="1" s="1"/>
  <c r="M533" i="1"/>
  <c r="M529" i="1"/>
  <c r="H529" i="1" s="1"/>
  <c r="J529" i="1" s="1"/>
  <c r="M525" i="1"/>
  <c r="H525" i="1" s="1"/>
  <c r="J525" i="1" s="1"/>
  <c r="M521" i="1"/>
  <c r="H521" i="1" s="1"/>
  <c r="J521" i="1" s="1"/>
  <c r="M517" i="1"/>
  <c r="H517" i="1" s="1"/>
  <c r="J517" i="1" s="1"/>
  <c r="M513" i="1"/>
  <c r="H513" i="1" s="1"/>
  <c r="J513" i="1" s="1"/>
  <c r="M509" i="1"/>
  <c r="H509" i="1" s="1"/>
  <c r="J509" i="1" s="1"/>
  <c r="M505" i="1"/>
  <c r="H505" i="1" s="1"/>
  <c r="J505" i="1" s="1"/>
  <c r="M501" i="1"/>
  <c r="H501" i="1" s="1"/>
  <c r="J501" i="1" s="1"/>
  <c r="M497" i="1"/>
  <c r="H497" i="1" s="1"/>
  <c r="J497" i="1" s="1"/>
  <c r="M493" i="1"/>
  <c r="H493" i="1" s="1"/>
  <c r="J493" i="1" s="1"/>
  <c r="M489" i="1"/>
  <c r="H489" i="1" s="1"/>
  <c r="J489" i="1" s="1"/>
  <c r="M485" i="1"/>
  <c r="H485" i="1" s="1"/>
  <c r="J485" i="1" s="1"/>
  <c r="M481" i="1"/>
  <c r="H481" i="1" s="1"/>
  <c r="J481" i="1" s="1"/>
  <c r="M477" i="1"/>
  <c r="H477" i="1" s="1"/>
  <c r="J477" i="1" s="1"/>
  <c r="M473" i="1"/>
  <c r="M469" i="1"/>
  <c r="H469" i="1" s="1"/>
  <c r="J469" i="1" s="1"/>
  <c r="M465" i="1"/>
  <c r="H465" i="1" s="1"/>
  <c r="J465" i="1" s="1"/>
  <c r="M461" i="1"/>
  <c r="H461" i="1" s="1"/>
  <c r="J461" i="1" s="1"/>
  <c r="M457" i="1"/>
  <c r="M453" i="1"/>
  <c r="M449" i="1"/>
  <c r="H449" i="1" s="1"/>
  <c r="J449" i="1" s="1"/>
  <c r="M441" i="1"/>
  <c r="H441" i="1" s="1"/>
  <c r="J441" i="1" s="1"/>
  <c r="M433" i="1"/>
  <c r="H433" i="1" s="1"/>
  <c r="J433" i="1" s="1"/>
  <c r="M429" i="1"/>
  <c r="M425" i="1"/>
  <c r="M398" i="1"/>
  <c r="M445" i="1"/>
  <c r="H445" i="1" s="1"/>
  <c r="J445" i="1" s="1"/>
  <c r="M421" i="1"/>
  <c r="H421" i="1" s="1"/>
  <c r="J421" i="1" s="1"/>
  <c r="M409" i="1"/>
  <c r="H409" i="1" s="1"/>
  <c r="J409" i="1" s="1"/>
  <c r="H397" i="1"/>
  <c r="J397" i="1" s="1"/>
  <c r="H394" i="1"/>
  <c r="J394" i="1" s="1"/>
  <c r="M437" i="1"/>
  <c r="H437" i="1" s="1"/>
  <c r="J437" i="1" s="1"/>
  <c r="M417" i="1"/>
  <c r="H417" i="1" s="1"/>
  <c r="J417" i="1" s="1"/>
  <c r="M413" i="1"/>
  <c r="H413" i="1" s="1"/>
  <c r="J413" i="1" s="1"/>
  <c r="M411" i="1"/>
  <c r="H411" i="1" s="1"/>
  <c r="J411" i="1" s="1"/>
  <c r="M407" i="1"/>
  <c r="H407" i="1" s="1"/>
  <c r="J407" i="1" s="1"/>
  <c r="M403" i="1"/>
  <c r="H403" i="1" s="1"/>
  <c r="J403" i="1" s="1"/>
  <c r="H722" i="1" l="1"/>
  <c r="I722" i="1"/>
  <c r="B748" i="1"/>
  <c r="A747" i="1"/>
  <c r="N747" i="1"/>
  <c r="H566" i="1"/>
  <c r="I566" i="1"/>
  <c r="H596" i="1"/>
  <c r="I596" i="1"/>
  <c r="H594" i="1"/>
  <c r="I594" i="1"/>
  <c r="H595" i="1"/>
  <c r="I595" i="1"/>
  <c r="H568" i="1"/>
  <c r="I568" i="1"/>
  <c r="H556" i="1"/>
  <c r="I556" i="1"/>
  <c r="H533" i="1"/>
  <c r="I533" i="1"/>
  <c r="H557" i="1"/>
  <c r="I557" i="1"/>
  <c r="H558" i="1"/>
  <c r="I558" i="1"/>
  <c r="H486" i="1"/>
  <c r="I486" i="1"/>
  <c r="H473" i="1"/>
  <c r="I473" i="1"/>
  <c r="H432" i="1"/>
  <c r="I432" i="1"/>
  <c r="H453" i="1"/>
  <c r="I453" i="1"/>
  <c r="H454" i="1"/>
  <c r="I454" i="1"/>
  <c r="H429" i="1"/>
  <c r="J429" i="1" s="1"/>
  <c r="J537" i="1"/>
  <c r="J608" i="1"/>
  <c r="J603" i="1"/>
  <c r="J623" i="1"/>
  <c r="J691" i="1"/>
  <c r="J468" i="1"/>
  <c r="J628" i="1"/>
  <c r="H425" i="1"/>
  <c r="I425" i="1"/>
  <c r="H457" i="1"/>
  <c r="I457" i="1"/>
  <c r="H450" i="1"/>
  <c r="I450" i="1"/>
  <c r="I393" i="1"/>
  <c r="E393" i="1"/>
  <c r="M393" i="1" s="1"/>
  <c r="A393" i="1"/>
  <c r="I392" i="1"/>
  <c r="E392" i="1"/>
  <c r="A392" i="1"/>
  <c r="I391" i="1"/>
  <c r="E391" i="1"/>
  <c r="M391" i="1" s="1"/>
  <c r="A391" i="1"/>
  <c r="I390" i="1"/>
  <c r="E390" i="1"/>
  <c r="A390" i="1"/>
  <c r="I389" i="1"/>
  <c r="E389" i="1"/>
  <c r="A389" i="1"/>
  <c r="I388" i="1"/>
  <c r="E388" i="1"/>
  <c r="M388" i="1" s="1"/>
  <c r="A388" i="1"/>
  <c r="I387" i="1"/>
  <c r="E387" i="1"/>
  <c r="M387" i="1" s="1"/>
  <c r="A387" i="1"/>
  <c r="I386" i="1"/>
  <c r="E386" i="1"/>
  <c r="A386" i="1"/>
  <c r="I385" i="1"/>
  <c r="E385" i="1"/>
  <c r="A385" i="1"/>
  <c r="I384" i="1"/>
  <c r="E384" i="1"/>
  <c r="A384" i="1"/>
  <c r="I383" i="1"/>
  <c r="E383" i="1"/>
  <c r="M383" i="1" s="1"/>
  <c r="A383" i="1"/>
  <c r="I382" i="1"/>
  <c r="E382" i="1"/>
  <c r="A382" i="1"/>
  <c r="I381" i="1"/>
  <c r="E381" i="1"/>
  <c r="M381" i="1" s="1"/>
  <c r="A381" i="1"/>
  <c r="I380" i="1"/>
  <c r="E380" i="1"/>
  <c r="A380" i="1"/>
  <c r="I379" i="1"/>
  <c r="E379" i="1"/>
  <c r="M379" i="1" s="1"/>
  <c r="A379" i="1"/>
  <c r="I378" i="1"/>
  <c r="E378" i="1"/>
  <c r="A378" i="1"/>
  <c r="I377" i="1"/>
  <c r="E377" i="1"/>
  <c r="M377" i="1" s="1"/>
  <c r="A377" i="1"/>
  <c r="I376" i="1"/>
  <c r="E376" i="1"/>
  <c r="M376" i="1" s="1"/>
  <c r="A376" i="1"/>
  <c r="I375" i="1"/>
  <c r="E375" i="1"/>
  <c r="M375" i="1" s="1"/>
  <c r="A375" i="1"/>
  <c r="I374" i="1"/>
  <c r="E374" i="1"/>
  <c r="A374" i="1"/>
  <c r="I373" i="1"/>
  <c r="E373" i="1"/>
  <c r="M373" i="1" s="1"/>
  <c r="A373" i="1"/>
  <c r="I372" i="1"/>
  <c r="E372" i="1"/>
  <c r="M372" i="1" s="1"/>
  <c r="A372" i="1"/>
  <c r="I371" i="1"/>
  <c r="E371" i="1"/>
  <c r="A371" i="1"/>
  <c r="I370" i="1"/>
  <c r="E370" i="1"/>
  <c r="M370" i="1" s="1"/>
  <c r="H370" i="1" s="1"/>
  <c r="A370" i="1"/>
  <c r="I369" i="1"/>
  <c r="E369" i="1"/>
  <c r="M369" i="1" s="1"/>
  <c r="H369" i="1" s="1"/>
  <c r="A369" i="1"/>
  <c r="I368" i="1"/>
  <c r="E368" i="1"/>
  <c r="M368" i="1" s="1"/>
  <c r="A368" i="1"/>
  <c r="I367" i="1"/>
  <c r="E367" i="1"/>
  <c r="M367" i="1" s="1"/>
  <c r="H367" i="1" s="1"/>
  <c r="A367" i="1"/>
  <c r="I366" i="1"/>
  <c r="E366" i="1"/>
  <c r="M366" i="1" s="1"/>
  <c r="H366" i="1" s="1"/>
  <c r="A366" i="1"/>
  <c r="I365" i="1"/>
  <c r="E365" i="1"/>
  <c r="M365" i="1" s="1"/>
  <c r="H365" i="1" s="1"/>
  <c r="A365" i="1"/>
  <c r="I364" i="1"/>
  <c r="E364" i="1"/>
  <c r="M364" i="1" s="1"/>
  <c r="A364" i="1"/>
  <c r="I363" i="1"/>
  <c r="E363" i="1"/>
  <c r="M363" i="1" s="1"/>
  <c r="H363" i="1" s="1"/>
  <c r="A363" i="1"/>
  <c r="I362" i="1"/>
  <c r="E362" i="1"/>
  <c r="H362" i="1" s="1"/>
  <c r="A362" i="1"/>
  <c r="H361" i="1"/>
  <c r="A361" i="1"/>
  <c r="A360" i="1"/>
  <c r="I359" i="1"/>
  <c r="E359" i="1"/>
  <c r="A359" i="1"/>
  <c r="I358" i="1"/>
  <c r="E358" i="1"/>
  <c r="M358" i="1" s="1"/>
  <c r="H358" i="1" s="1"/>
  <c r="A358" i="1"/>
  <c r="I357" i="1"/>
  <c r="M357" i="1"/>
  <c r="H357" i="1" s="1"/>
  <c r="A357" i="1"/>
  <c r="I356" i="1"/>
  <c r="E356" i="1"/>
  <c r="M356" i="1" s="1"/>
  <c r="A356" i="1"/>
  <c r="I355" i="1"/>
  <c r="E355" i="1"/>
  <c r="M355" i="1" s="1"/>
  <c r="A355" i="1"/>
  <c r="I354" i="1"/>
  <c r="E354" i="1"/>
  <c r="M354" i="1" s="1"/>
  <c r="A354" i="1"/>
  <c r="I353" i="1"/>
  <c r="E353" i="1"/>
  <c r="M353" i="1" s="1"/>
  <c r="H353" i="1" s="1"/>
  <c r="A353" i="1"/>
  <c r="I352" i="1"/>
  <c r="E352" i="1"/>
  <c r="M352" i="1" s="1"/>
  <c r="A352" i="1"/>
  <c r="I351" i="1"/>
  <c r="E351" i="1"/>
  <c r="M351" i="1" s="1"/>
  <c r="A351" i="1"/>
  <c r="I350" i="1"/>
  <c r="E350" i="1"/>
  <c r="A350" i="1"/>
  <c r="I349" i="1"/>
  <c r="E349" i="1"/>
  <c r="M349" i="1" s="1"/>
  <c r="A349" i="1"/>
  <c r="I348" i="1"/>
  <c r="E348" i="1"/>
  <c r="M348" i="1" s="1"/>
  <c r="H348" i="1" s="1"/>
  <c r="A348" i="1"/>
  <c r="I347" i="1"/>
  <c r="E347" i="1"/>
  <c r="M347" i="1" s="1"/>
  <c r="H347" i="1" s="1"/>
  <c r="A347" i="1"/>
  <c r="I346" i="1"/>
  <c r="E346" i="1"/>
  <c r="M346" i="1" s="1"/>
  <c r="H346" i="1" s="1"/>
  <c r="A346" i="1"/>
  <c r="I345" i="1"/>
  <c r="E345" i="1"/>
  <c r="M345" i="1" s="1"/>
  <c r="A345" i="1"/>
  <c r="I344" i="1"/>
  <c r="E344" i="1"/>
  <c r="A344" i="1"/>
  <c r="I343" i="1"/>
  <c r="E343" i="1"/>
  <c r="M343" i="1" s="1"/>
  <c r="H343" i="1" s="1"/>
  <c r="A343" i="1"/>
  <c r="I342" i="1"/>
  <c r="E342" i="1"/>
  <c r="M342" i="1" s="1"/>
  <c r="H342" i="1" s="1"/>
  <c r="A342" i="1"/>
  <c r="I341" i="1"/>
  <c r="E341" i="1"/>
  <c r="M341" i="1" s="1"/>
  <c r="A341" i="1"/>
  <c r="I340" i="1"/>
  <c r="E340" i="1"/>
  <c r="M340" i="1" s="1"/>
  <c r="A340" i="1"/>
  <c r="E339" i="1"/>
  <c r="M339" i="1" s="1"/>
  <c r="H339" i="1" s="1"/>
  <c r="A339" i="1"/>
  <c r="E338" i="1"/>
  <c r="M338" i="1" s="1"/>
  <c r="A338" i="1"/>
  <c r="I337" i="1"/>
  <c r="E337" i="1"/>
  <c r="M337" i="1" s="1"/>
  <c r="H337" i="1" s="1"/>
  <c r="A337" i="1"/>
  <c r="I336" i="1"/>
  <c r="E336" i="1"/>
  <c r="M336" i="1" s="1"/>
  <c r="A336" i="1"/>
  <c r="I335" i="1"/>
  <c r="E335" i="1"/>
  <c r="M335" i="1" s="1"/>
  <c r="H335" i="1" s="1"/>
  <c r="A335" i="1"/>
  <c r="I334" i="1"/>
  <c r="E334" i="1"/>
  <c r="M334" i="1" s="1"/>
  <c r="H334" i="1" s="1"/>
  <c r="A334" i="1"/>
  <c r="I333" i="1"/>
  <c r="E333" i="1"/>
  <c r="M333" i="1" s="1"/>
  <c r="H333" i="1" s="1"/>
  <c r="A333" i="1"/>
  <c r="I332" i="1"/>
  <c r="E332" i="1"/>
  <c r="M332" i="1" s="1"/>
  <c r="A332" i="1"/>
  <c r="I331" i="1"/>
  <c r="E331" i="1"/>
  <c r="M331" i="1" s="1"/>
  <c r="A331" i="1"/>
  <c r="I330" i="1"/>
  <c r="E330" i="1"/>
  <c r="M330" i="1" s="1"/>
  <c r="A330" i="1"/>
  <c r="I329" i="1"/>
  <c r="E329" i="1"/>
  <c r="M329" i="1" s="1"/>
  <c r="A329" i="1"/>
  <c r="I328" i="1"/>
  <c r="E328" i="1"/>
  <c r="M328" i="1" s="1"/>
  <c r="A328" i="1"/>
  <c r="I327" i="1"/>
  <c r="E327" i="1"/>
  <c r="M327" i="1" s="1"/>
  <c r="A327" i="1"/>
  <c r="I326" i="1"/>
  <c r="E326" i="1"/>
  <c r="M326" i="1" s="1"/>
  <c r="A326" i="1"/>
  <c r="I325" i="1"/>
  <c r="E325" i="1"/>
  <c r="M325" i="1" s="1"/>
  <c r="A325" i="1"/>
  <c r="I324" i="1"/>
  <c r="E324" i="1"/>
  <c r="M324" i="1" s="1"/>
  <c r="A324" i="1"/>
  <c r="I323" i="1"/>
  <c r="E323" i="1"/>
  <c r="M323" i="1" s="1"/>
  <c r="A323" i="1"/>
  <c r="I322" i="1"/>
  <c r="E322" i="1"/>
  <c r="M322" i="1" s="1"/>
  <c r="A322" i="1"/>
  <c r="I321" i="1"/>
  <c r="E321" i="1"/>
  <c r="M321" i="1" s="1"/>
  <c r="A321" i="1"/>
  <c r="I320" i="1"/>
  <c r="E320" i="1"/>
  <c r="M320" i="1" s="1"/>
  <c r="A320" i="1"/>
  <c r="I319" i="1"/>
  <c r="E319" i="1"/>
  <c r="M319" i="1" s="1"/>
  <c r="A319" i="1"/>
  <c r="I318" i="1"/>
  <c r="E318" i="1"/>
  <c r="M318" i="1" s="1"/>
  <c r="H318" i="1" s="1"/>
  <c r="A318" i="1"/>
  <c r="I317" i="1"/>
  <c r="E317" i="1"/>
  <c r="M317" i="1" s="1"/>
  <c r="H317" i="1" s="1"/>
  <c r="A317" i="1"/>
  <c r="I316" i="1"/>
  <c r="E316" i="1"/>
  <c r="M316" i="1" s="1"/>
  <c r="A316" i="1"/>
  <c r="I315" i="1"/>
  <c r="E315" i="1"/>
  <c r="M315" i="1" s="1"/>
  <c r="H315" i="1" s="1"/>
  <c r="A315" i="1"/>
  <c r="I314" i="1"/>
  <c r="E314" i="1"/>
  <c r="M314" i="1" s="1"/>
  <c r="H314" i="1" s="1"/>
  <c r="A314" i="1"/>
  <c r="I313" i="1"/>
  <c r="E313" i="1"/>
  <c r="M313" i="1" s="1"/>
  <c r="A313" i="1"/>
  <c r="I312" i="1"/>
  <c r="E312" i="1"/>
  <c r="M312" i="1" s="1"/>
  <c r="A312" i="1"/>
  <c r="I311" i="1"/>
  <c r="E311" i="1"/>
  <c r="M311" i="1" s="1"/>
  <c r="A311" i="1"/>
  <c r="I310" i="1"/>
  <c r="E310" i="1"/>
  <c r="M310" i="1" s="1"/>
  <c r="A310" i="1"/>
  <c r="I309" i="1"/>
  <c r="E309" i="1"/>
  <c r="A309" i="1"/>
  <c r="I308" i="1"/>
  <c r="E308" i="1"/>
  <c r="A308" i="1"/>
  <c r="I307" i="1"/>
  <c r="E307" i="1"/>
  <c r="M307" i="1" s="1"/>
  <c r="A307" i="1"/>
  <c r="I306" i="1"/>
  <c r="E306" i="1"/>
  <c r="M306" i="1" s="1"/>
  <c r="A306" i="1"/>
  <c r="I305" i="1"/>
  <c r="E305" i="1"/>
  <c r="H305" i="1" s="1"/>
  <c r="A305" i="1"/>
  <c r="I304" i="1"/>
  <c r="E304" i="1"/>
  <c r="M304" i="1" s="1"/>
  <c r="A304" i="1"/>
  <c r="I303" i="1"/>
  <c r="E303" i="1"/>
  <c r="M303" i="1" s="1"/>
  <c r="A303" i="1"/>
  <c r="E302" i="1"/>
  <c r="A302" i="1"/>
  <c r="I301" i="1"/>
  <c r="E301" i="1"/>
  <c r="A301" i="1"/>
  <c r="I300" i="1"/>
  <c r="E300" i="1"/>
  <c r="M300" i="1" s="1"/>
  <c r="A300" i="1"/>
  <c r="I299" i="1"/>
  <c r="E299" i="1"/>
  <c r="M299" i="1" s="1"/>
  <c r="A299" i="1"/>
  <c r="I298" i="1"/>
  <c r="E298" i="1"/>
  <c r="A298" i="1"/>
  <c r="I297" i="1"/>
  <c r="E297" i="1"/>
  <c r="M297" i="1" s="1"/>
  <c r="H297" i="1" s="1"/>
  <c r="A297" i="1"/>
  <c r="I296" i="1"/>
  <c r="E296" i="1"/>
  <c r="M296" i="1" s="1"/>
  <c r="A296" i="1"/>
  <c r="I295" i="1"/>
  <c r="E295" i="1"/>
  <c r="M295" i="1" s="1"/>
  <c r="A295" i="1"/>
  <c r="I294" i="1"/>
  <c r="E294" i="1"/>
  <c r="M294" i="1" s="1"/>
  <c r="A294" i="1"/>
  <c r="I293" i="1"/>
  <c r="E293" i="1"/>
  <c r="M293" i="1" s="1"/>
  <c r="A293" i="1"/>
  <c r="I292" i="1"/>
  <c r="E292" i="1"/>
  <c r="M292" i="1" s="1"/>
  <c r="A292" i="1"/>
  <c r="I291" i="1"/>
  <c r="E291" i="1"/>
  <c r="M291" i="1" s="1"/>
  <c r="A291" i="1"/>
  <c r="I290" i="1"/>
  <c r="E290" i="1"/>
  <c r="M290" i="1" s="1"/>
  <c r="A290" i="1"/>
  <c r="I289" i="1"/>
  <c r="E289" i="1"/>
  <c r="A289" i="1"/>
  <c r="I288" i="1"/>
  <c r="E288" i="1"/>
  <c r="M288" i="1" s="1"/>
  <c r="A288" i="1"/>
  <c r="I287" i="1"/>
  <c r="E287" i="1"/>
  <c r="M287" i="1" s="1"/>
  <c r="A287" i="1"/>
  <c r="I286" i="1"/>
  <c r="E286" i="1"/>
  <c r="M286" i="1" s="1"/>
  <c r="A286" i="1"/>
  <c r="I285" i="1"/>
  <c r="E285" i="1"/>
  <c r="A285" i="1"/>
  <c r="I284" i="1"/>
  <c r="E284" i="1"/>
  <c r="M284" i="1" s="1"/>
  <c r="A284" i="1"/>
  <c r="I283" i="1"/>
  <c r="E283" i="1"/>
  <c r="M283" i="1" s="1"/>
  <c r="A283" i="1"/>
  <c r="I282" i="1"/>
  <c r="E282" i="1"/>
  <c r="M282" i="1" s="1"/>
  <c r="A282" i="1"/>
  <c r="I281" i="1"/>
  <c r="E281" i="1"/>
  <c r="M281" i="1" s="1"/>
  <c r="A281" i="1"/>
  <c r="I280" i="1"/>
  <c r="E280" i="1"/>
  <c r="M280" i="1" s="1"/>
  <c r="A280" i="1"/>
  <c r="I279" i="1"/>
  <c r="E279" i="1"/>
  <c r="M279" i="1" s="1"/>
  <c r="A279" i="1"/>
  <c r="I278" i="1"/>
  <c r="E278" i="1"/>
  <c r="M278" i="1" s="1"/>
  <c r="A278" i="1"/>
  <c r="I277" i="1"/>
  <c r="E277" i="1"/>
  <c r="M277" i="1" s="1"/>
  <c r="A277" i="1"/>
  <c r="I276" i="1"/>
  <c r="E276" i="1"/>
  <c r="M276" i="1" s="1"/>
  <c r="A276" i="1"/>
  <c r="I275" i="1"/>
  <c r="E275" i="1"/>
  <c r="M275" i="1" s="1"/>
  <c r="A275" i="1"/>
  <c r="I274" i="1"/>
  <c r="E274" i="1"/>
  <c r="M274" i="1" s="1"/>
  <c r="A274" i="1"/>
  <c r="I273" i="1"/>
  <c r="E273" i="1"/>
  <c r="M273" i="1" s="1"/>
  <c r="A273" i="1"/>
  <c r="I272" i="1"/>
  <c r="E272" i="1"/>
  <c r="M272" i="1" s="1"/>
  <c r="A272" i="1"/>
  <c r="I271" i="1"/>
  <c r="E271" i="1"/>
  <c r="M271" i="1" s="1"/>
  <c r="A271" i="1"/>
  <c r="I270" i="1"/>
  <c r="E270" i="1"/>
  <c r="A270" i="1"/>
  <c r="I269" i="1"/>
  <c r="E269" i="1"/>
  <c r="A269" i="1"/>
  <c r="I268" i="1"/>
  <c r="E268" i="1"/>
  <c r="M268" i="1" s="1"/>
  <c r="A268" i="1"/>
  <c r="I267" i="1"/>
  <c r="E267" i="1"/>
  <c r="M267" i="1" s="1"/>
  <c r="A267" i="1"/>
  <c r="I266" i="1"/>
  <c r="E266" i="1"/>
  <c r="M266" i="1" s="1"/>
  <c r="A266" i="1"/>
  <c r="I265" i="1"/>
  <c r="E265" i="1"/>
  <c r="M265" i="1" s="1"/>
  <c r="A265" i="1"/>
  <c r="I264" i="1"/>
  <c r="E264" i="1"/>
  <c r="M264" i="1" s="1"/>
  <c r="A264" i="1"/>
  <c r="I263" i="1"/>
  <c r="E263" i="1"/>
  <c r="M263" i="1" s="1"/>
  <c r="A263" i="1"/>
  <c r="I262" i="1"/>
  <c r="E262" i="1"/>
  <c r="M262" i="1" s="1"/>
  <c r="A262" i="1"/>
  <c r="I261" i="1"/>
  <c r="E261" i="1"/>
  <c r="A261" i="1"/>
  <c r="I260" i="1"/>
  <c r="E260" i="1"/>
  <c r="M260" i="1" s="1"/>
  <c r="A260" i="1"/>
  <c r="I259" i="1"/>
  <c r="E259" i="1"/>
  <c r="M259" i="1" s="1"/>
  <c r="A259" i="1"/>
  <c r="I258" i="1"/>
  <c r="E258" i="1"/>
  <c r="M258" i="1" s="1"/>
  <c r="A258" i="1"/>
  <c r="I257" i="1"/>
  <c r="E257" i="1"/>
  <c r="H257" i="1" s="1"/>
  <c r="A257" i="1"/>
  <c r="I256" i="1"/>
  <c r="E256" i="1"/>
  <c r="M256" i="1" s="1"/>
  <c r="A256" i="1"/>
  <c r="I255" i="1"/>
  <c r="E255" i="1"/>
  <c r="M255" i="1" s="1"/>
  <c r="A255" i="1"/>
  <c r="M254" i="1"/>
  <c r="H254" i="1" s="1"/>
  <c r="I254" i="1"/>
  <c r="A254" i="1"/>
  <c r="I253" i="1"/>
  <c r="E253" i="1"/>
  <c r="A253" i="1"/>
  <c r="I252" i="1"/>
  <c r="E252" i="1"/>
  <c r="M252" i="1" s="1"/>
  <c r="A252" i="1"/>
  <c r="I251" i="1"/>
  <c r="E251" i="1"/>
  <c r="M251" i="1" s="1"/>
  <c r="H251" i="1" s="1"/>
  <c r="A251" i="1"/>
  <c r="I250" i="1"/>
  <c r="E250" i="1"/>
  <c r="M250" i="1" s="1"/>
  <c r="H250" i="1" s="1"/>
  <c r="A250" i="1"/>
  <c r="I249" i="1"/>
  <c r="E249" i="1"/>
  <c r="M249" i="1" s="1"/>
  <c r="A249" i="1"/>
  <c r="I248" i="1"/>
  <c r="E248" i="1"/>
  <c r="M248" i="1" s="1"/>
  <c r="A248" i="1"/>
  <c r="I247" i="1"/>
  <c r="E247" i="1"/>
  <c r="M247" i="1" s="1"/>
  <c r="H247" i="1" s="1"/>
  <c r="A247" i="1"/>
  <c r="I246" i="1"/>
  <c r="E246" i="1"/>
  <c r="M246" i="1" s="1"/>
  <c r="A246" i="1"/>
  <c r="I245" i="1"/>
  <c r="E245" i="1"/>
  <c r="M245" i="1" s="1"/>
  <c r="A245" i="1"/>
  <c r="I244" i="1"/>
  <c r="E244" i="1"/>
  <c r="M244" i="1" s="1"/>
  <c r="A244" i="1"/>
  <c r="I243" i="1"/>
  <c r="E243" i="1"/>
  <c r="M243" i="1" s="1"/>
  <c r="H243" i="1" s="1"/>
  <c r="A243" i="1"/>
  <c r="I242" i="1"/>
  <c r="E242" i="1"/>
  <c r="M242" i="1" s="1"/>
  <c r="A242" i="1"/>
  <c r="I241" i="1"/>
  <c r="E241" i="1"/>
  <c r="M241" i="1" s="1"/>
  <c r="A241" i="1"/>
  <c r="I240" i="1"/>
  <c r="E240" i="1"/>
  <c r="M240" i="1" s="1"/>
  <c r="A240" i="1"/>
  <c r="I239" i="1"/>
  <c r="E239" i="1"/>
  <c r="M239" i="1" s="1"/>
  <c r="H239" i="1" s="1"/>
  <c r="A239" i="1"/>
  <c r="I238" i="1"/>
  <c r="E238" i="1"/>
  <c r="A238" i="1"/>
  <c r="I237" i="1"/>
  <c r="E237" i="1"/>
  <c r="M237" i="1" s="1"/>
  <c r="A237" i="1"/>
  <c r="I236" i="1"/>
  <c r="E236" i="1"/>
  <c r="M236" i="1" s="1"/>
  <c r="A236" i="1"/>
  <c r="I235" i="1"/>
  <c r="E235" i="1"/>
  <c r="M235" i="1" s="1"/>
  <c r="H235" i="1" s="1"/>
  <c r="A235" i="1"/>
  <c r="I234" i="1"/>
  <c r="E234" i="1"/>
  <c r="A234" i="1"/>
  <c r="I233" i="1"/>
  <c r="E233" i="1"/>
  <c r="M233" i="1" s="1"/>
  <c r="A233" i="1"/>
  <c r="I232" i="1"/>
  <c r="E232" i="1"/>
  <c r="M232" i="1" s="1"/>
  <c r="A232" i="1"/>
  <c r="I231" i="1"/>
  <c r="E231" i="1"/>
  <c r="M231" i="1" s="1"/>
  <c r="H231" i="1" s="1"/>
  <c r="A231" i="1"/>
  <c r="I230" i="1"/>
  <c r="E230" i="1"/>
  <c r="M230" i="1" s="1"/>
  <c r="A230" i="1"/>
  <c r="I229" i="1"/>
  <c r="E229" i="1"/>
  <c r="M229" i="1" s="1"/>
  <c r="A229" i="1"/>
  <c r="M228" i="1"/>
  <c r="H228" i="1" s="1"/>
  <c r="I228" i="1"/>
  <c r="A228" i="1"/>
  <c r="I227" i="1"/>
  <c r="E227" i="1"/>
  <c r="A227" i="1"/>
  <c r="I226" i="1"/>
  <c r="E226" i="1"/>
  <c r="M226" i="1" s="1"/>
  <c r="A226" i="1"/>
  <c r="I225" i="1"/>
  <c r="E225" i="1"/>
  <c r="M225" i="1" s="1"/>
  <c r="A225" i="1"/>
  <c r="I224" i="1"/>
  <c r="E224" i="1"/>
  <c r="A224" i="1"/>
  <c r="I223" i="1"/>
  <c r="E223" i="1"/>
  <c r="M223" i="1" s="1"/>
  <c r="A223" i="1"/>
  <c r="I222" i="1"/>
  <c r="E222" i="1"/>
  <c r="M222" i="1" s="1"/>
  <c r="A222" i="1"/>
  <c r="I221" i="1"/>
  <c r="E221" i="1"/>
  <c r="M221" i="1" s="1"/>
  <c r="A221" i="1"/>
  <c r="I220" i="1"/>
  <c r="E220" i="1"/>
  <c r="A220" i="1"/>
  <c r="I219" i="1"/>
  <c r="E219" i="1"/>
  <c r="A219" i="1"/>
  <c r="I218" i="1"/>
  <c r="E218" i="1"/>
  <c r="M218" i="1" s="1"/>
  <c r="H218" i="1" s="1"/>
  <c r="A218" i="1"/>
  <c r="I217" i="1"/>
  <c r="E217" i="1"/>
  <c r="M217" i="1" s="1"/>
  <c r="A217" i="1"/>
  <c r="I216" i="1"/>
  <c r="E216" i="1"/>
  <c r="A216" i="1"/>
  <c r="I215" i="1"/>
  <c r="E215" i="1"/>
  <c r="M215" i="1" s="1"/>
  <c r="A215" i="1"/>
  <c r="I214" i="1"/>
  <c r="E214" i="1"/>
  <c r="M214" i="1" s="1"/>
  <c r="A214" i="1"/>
  <c r="I213" i="1"/>
  <c r="E213" i="1"/>
  <c r="H213" i="1" s="1"/>
  <c r="A213" i="1"/>
  <c r="I212" i="1"/>
  <c r="E212" i="1"/>
  <c r="A212" i="1"/>
  <c r="I211" i="1"/>
  <c r="E211" i="1"/>
  <c r="M211" i="1" s="1"/>
  <c r="A211" i="1"/>
  <c r="I210" i="1"/>
  <c r="E210" i="1"/>
  <c r="H210" i="1" s="1"/>
  <c r="A210" i="1"/>
  <c r="I209" i="1"/>
  <c r="E209" i="1"/>
  <c r="A209" i="1"/>
  <c r="I208" i="1"/>
  <c r="E208" i="1"/>
  <c r="H208" i="1" s="1"/>
  <c r="A208" i="1"/>
  <c r="I207" i="1"/>
  <c r="E207" i="1"/>
  <c r="A207" i="1"/>
  <c r="I206" i="1"/>
  <c r="E206" i="1"/>
  <c r="M206" i="1" s="1"/>
  <c r="A206" i="1"/>
  <c r="I205" i="1"/>
  <c r="E205" i="1"/>
  <c r="A205" i="1"/>
  <c r="I204" i="1"/>
  <c r="E204" i="1"/>
  <c r="A204" i="1"/>
  <c r="I203" i="1"/>
  <c r="E203" i="1"/>
  <c r="M203" i="1" s="1"/>
  <c r="A203" i="1"/>
  <c r="I202" i="1"/>
  <c r="E202" i="1"/>
  <c r="M202" i="1" s="1"/>
  <c r="A202" i="1"/>
  <c r="I201" i="1"/>
  <c r="E201" i="1"/>
  <c r="M201" i="1" s="1"/>
  <c r="H201" i="1" s="1"/>
  <c r="A201" i="1"/>
  <c r="I200" i="1"/>
  <c r="E200" i="1"/>
  <c r="M200" i="1" s="1"/>
  <c r="H200" i="1" s="1"/>
  <c r="A200" i="1"/>
  <c r="I199" i="1"/>
  <c r="E199" i="1"/>
  <c r="M199" i="1" s="1"/>
  <c r="A199" i="1"/>
  <c r="I198" i="1"/>
  <c r="E198" i="1"/>
  <c r="M198" i="1" s="1"/>
  <c r="A198" i="1"/>
  <c r="I197" i="1"/>
  <c r="E197" i="1"/>
  <c r="M197" i="1" s="1"/>
  <c r="H197" i="1" s="1"/>
  <c r="A197" i="1"/>
  <c r="E196" i="1"/>
  <c r="M196" i="1" s="1"/>
  <c r="I196" i="1" s="1"/>
  <c r="A196" i="1"/>
  <c r="I195" i="1"/>
  <c r="E195" i="1"/>
  <c r="M195" i="1" s="1"/>
  <c r="A195" i="1"/>
  <c r="I194" i="1"/>
  <c r="E194" i="1"/>
  <c r="M194" i="1" s="1"/>
  <c r="A194" i="1"/>
  <c r="I193" i="1"/>
  <c r="E193" i="1"/>
  <c r="M193" i="1" s="1"/>
  <c r="H193" i="1" s="1"/>
  <c r="A193" i="1"/>
  <c r="I192" i="1"/>
  <c r="E192" i="1"/>
  <c r="M192" i="1" s="1"/>
  <c r="A192" i="1"/>
  <c r="I191" i="1"/>
  <c r="E191" i="1"/>
  <c r="M191" i="1" s="1"/>
  <c r="A191" i="1"/>
  <c r="I190" i="1"/>
  <c r="E190" i="1"/>
  <c r="M190" i="1" s="1"/>
  <c r="A190" i="1"/>
  <c r="I189" i="1"/>
  <c r="E189" i="1"/>
  <c r="M189" i="1" s="1"/>
  <c r="H189" i="1" s="1"/>
  <c r="A189" i="1"/>
  <c r="I188" i="1"/>
  <c r="E188" i="1"/>
  <c r="M188" i="1" s="1"/>
  <c r="A188" i="1"/>
  <c r="I187" i="1"/>
  <c r="E187" i="1"/>
  <c r="M187" i="1" s="1"/>
  <c r="A187" i="1"/>
  <c r="I186" i="1"/>
  <c r="E186" i="1"/>
  <c r="A186" i="1"/>
  <c r="I185" i="1"/>
  <c r="E185" i="1"/>
  <c r="M185" i="1" s="1"/>
  <c r="H185" i="1" s="1"/>
  <c r="A185" i="1"/>
  <c r="I184" i="1"/>
  <c r="E184" i="1"/>
  <c r="A184" i="1"/>
  <c r="I183" i="1"/>
  <c r="E183" i="1"/>
  <c r="M183" i="1" s="1"/>
  <c r="A183" i="1"/>
  <c r="I182" i="1"/>
  <c r="E182" i="1"/>
  <c r="M182" i="1" s="1"/>
  <c r="A182" i="1"/>
  <c r="I181" i="1"/>
  <c r="E181" i="1"/>
  <c r="M181" i="1" s="1"/>
  <c r="H181" i="1" s="1"/>
  <c r="A181" i="1"/>
  <c r="I180" i="1"/>
  <c r="E180" i="1"/>
  <c r="M180" i="1" s="1"/>
  <c r="A180" i="1"/>
  <c r="I179" i="1"/>
  <c r="E179" i="1"/>
  <c r="M179" i="1" s="1"/>
  <c r="A179" i="1"/>
  <c r="I178" i="1"/>
  <c r="E178" i="1"/>
  <c r="M178" i="1" s="1"/>
  <c r="A178" i="1"/>
  <c r="I177" i="1"/>
  <c r="E177" i="1"/>
  <c r="M177" i="1" s="1"/>
  <c r="H177" i="1" s="1"/>
  <c r="A177" i="1"/>
  <c r="I176" i="1"/>
  <c r="E176" i="1"/>
  <c r="M176" i="1" s="1"/>
  <c r="A176" i="1"/>
  <c r="I175" i="1"/>
  <c r="E175" i="1"/>
  <c r="M175" i="1" s="1"/>
  <c r="A175" i="1"/>
  <c r="I174" i="1"/>
  <c r="E174" i="1"/>
  <c r="M174" i="1" s="1"/>
  <c r="A174" i="1"/>
  <c r="I173" i="1"/>
  <c r="E173" i="1"/>
  <c r="M173" i="1" s="1"/>
  <c r="H173" i="1" s="1"/>
  <c r="A173" i="1"/>
  <c r="I172" i="1"/>
  <c r="E172" i="1"/>
  <c r="M172" i="1" s="1"/>
  <c r="A172" i="1"/>
  <c r="I171" i="1"/>
  <c r="E171" i="1"/>
  <c r="M171" i="1" s="1"/>
  <c r="A171" i="1"/>
  <c r="I170" i="1"/>
  <c r="E170" i="1"/>
  <c r="A170" i="1"/>
  <c r="I169" i="1"/>
  <c r="E169" i="1"/>
  <c r="M169" i="1" s="1"/>
  <c r="H169" i="1" s="1"/>
  <c r="A169" i="1"/>
  <c r="I168" i="1"/>
  <c r="E168" i="1"/>
  <c r="A168" i="1"/>
  <c r="I167" i="1"/>
  <c r="E167" i="1"/>
  <c r="M167" i="1" s="1"/>
  <c r="A167" i="1"/>
  <c r="I166" i="1"/>
  <c r="E166" i="1"/>
  <c r="H166" i="1" s="1"/>
  <c r="A166" i="1"/>
  <c r="I165" i="1"/>
  <c r="E165" i="1"/>
  <c r="M165" i="1" s="1"/>
  <c r="A165" i="1"/>
  <c r="I164" i="1"/>
  <c r="E164" i="1"/>
  <c r="M164" i="1" s="1"/>
  <c r="A164" i="1"/>
  <c r="I163" i="1"/>
  <c r="E163" i="1"/>
  <c r="M163" i="1" s="1"/>
  <c r="A163" i="1"/>
  <c r="I162" i="1"/>
  <c r="E162" i="1"/>
  <c r="M162" i="1" s="1"/>
  <c r="A162" i="1"/>
  <c r="I161" i="1"/>
  <c r="E161" i="1"/>
  <c r="M161" i="1" s="1"/>
  <c r="H161" i="1" s="1"/>
  <c r="A161" i="1"/>
  <c r="I160" i="1"/>
  <c r="E160" i="1"/>
  <c r="A160" i="1"/>
  <c r="I159" i="1"/>
  <c r="E159" i="1"/>
  <c r="A159" i="1"/>
  <c r="I158" i="1"/>
  <c r="E158" i="1"/>
  <c r="M158" i="1" s="1"/>
  <c r="A158" i="1"/>
  <c r="I157" i="1"/>
  <c r="E157" i="1"/>
  <c r="M157" i="1" s="1"/>
  <c r="H157" i="1" s="1"/>
  <c r="A157" i="1"/>
  <c r="I156" i="1"/>
  <c r="E156" i="1"/>
  <c r="M156" i="1" s="1"/>
  <c r="A156" i="1"/>
  <c r="I155" i="1"/>
  <c r="E155" i="1"/>
  <c r="A155" i="1"/>
  <c r="I154" i="1"/>
  <c r="E154" i="1"/>
  <c r="M154" i="1" s="1"/>
  <c r="A154" i="1"/>
  <c r="I153" i="1"/>
  <c r="E153" i="1"/>
  <c r="M153" i="1" s="1"/>
  <c r="H153" i="1" s="1"/>
  <c r="A153" i="1"/>
  <c r="I152" i="1"/>
  <c r="E152" i="1"/>
  <c r="M152" i="1" s="1"/>
  <c r="A152" i="1"/>
  <c r="I151" i="1"/>
  <c r="E151" i="1"/>
  <c r="A151" i="1"/>
  <c r="I150" i="1"/>
  <c r="E150" i="1"/>
  <c r="M150" i="1" s="1"/>
  <c r="A150" i="1"/>
  <c r="I149" i="1"/>
  <c r="E149" i="1"/>
  <c r="M149" i="1" s="1"/>
  <c r="H149" i="1" s="1"/>
  <c r="A149" i="1"/>
  <c r="I148" i="1"/>
  <c r="E148" i="1"/>
  <c r="M148" i="1" s="1"/>
  <c r="A148" i="1"/>
  <c r="I147" i="1"/>
  <c r="E147" i="1"/>
  <c r="A147" i="1"/>
  <c r="I146" i="1"/>
  <c r="E146" i="1"/>
  <c r="M146" i="1" s="1"/>
  <c r="A146" i="1"/>
  <c r="I145" i="1"/>
  <c r="E145" i="1"/>
  <c r="M145" i="1" s="1"/>
  <c r="H145" i="1" s="1"/>
  <c r="A145" i="1"/>
  <c r="I144" i="1"/>
  <c r="E144" i="1"/>
  <c r="A144" i="1"/>
  <c r="I143" i="1"/>
  <c r="E143" i="1"/>
  <c r="A143" i="1"/>
  <c r="I142" i="1"/>
  <c r="E142" i="1"/>
  <c r="M142" i="1" s="1"/>
  <c r="A142" i="1"/>
  <c r="I141" i="1"/>
  <c r="E141" i="1"/>
  <c r="M141" i="1" s="1"/>
  <c r="H141" i="1" s="1"/>
  <c r="A141" i="1"/>
  <c r="I140" i="1"/>
  <c r="E140" i="1"/>
  <c r="M140" i="1" s="1"/>
  <c r="A140" i="1"/>
  <c r="I139" i="1"/>
  <c r="E139" i="1"/>
  <c r="A139" i="1"/>
  <c r="I138" i="1"/>
  <c r="E138" i="1"/>
  <c r="M138" i="1" s="1"/>
  <c r="A138" i="1"/>
  <c r="I137" i="1"/>
  <c r="E137" i="1"/>
  <c r="M137" i="1" s="1"/>
  <c r="H137" i="1" s="1"/>
  <c r="A137" i="1"/>
  <c r="I136" i="1"/>
  <c r="E136" i="1"/>
  <c r="M136" i="1" s="1"/>
  <c r="H136" i="1" s="1"/>
  <c r="A136" i="1"/>
  <c r="I135" i="1"/>
  <c r="E135" i="1"/>
  <c r="A135" i="1"/>
  <c r="I134" i="1"/>
  <c r="E134" i="1"/>
  <c r="M134" i="1" s="1"/>
  <c r="A134" i="1"/>
  <c r="I133" i="1"/>
  <c r="E133" i="1"/>
  <c r="M133" i="1" s="1"/>
  <c r="H133" i="1" s="1"/>
  <c r="A133" i="1"/>
  <c r="I132" i="1"/>
  <c r="E132" i="1"/>
  <c r="M132" i="1" s="1"/>
  <c r="H132" i="1" s="1"/>
  <c r="A132" i="1"/>
  <c r="I131" i="1"/>
  <c r="E131" i="1"/>
  <c r="A131" i="1"/>
  <c r="I130" i="1"/>
  <c r="E130" i="1"/>
  <c r="M130" i="1" s="1"/>
  <c r="A130" i="1"/>
  <c r="I129" i="1"/>
  <c r="E129" i="1"/>
  <c r="M129" i="1" s="1"/>
  <c r="H129" i="1" s="1"/>
  <c r="A129" i="1"/>
  <c r="I128" i="1"/>
  <c r="E128" i="1"/>
  <c r="M128" i="1" s="1"/>
  <c r="A128" i="1"/>
  <c r="I127" i="1"/>
  <c r="E127" i="1"/>
  <c r="A127" i="1"/>
  <c r="I126" i="1"/>
  <c r="E126" i="1"/>
  <c r="M126" i="1" s="1"/>
  <c r="A126" i="1"/>
  <c r="I125" i="1"/>
  <c r="E125" i="1"/>
  <c r="M125" i="1" s="1"/>
  <c r="H125" i="1" s="1"/>
  <c r="A125" i="1"/>
  <c r="I124" i="1"/>
  <c r="E124" i="1"/>
  <c r="A124" i="1"/>
  <c r="M123" i="1"/>
  <c r="H123" i="1" s="1"/>
  <c r="I123" i="1"/>
  <c r="A123" i="1"/>
  <c r="I122" i="1"/>
  <c r="E122" i="1"/>
  <c r="M122" i="1" s="1"/>
  <c r="H122" i="1" s="1"/>
  <c r="A122" i="1"/>
  <c r="I121" i="1"/>
  <c r="E121" i="1"/>
  <c r="A121" i="1"/>
  <c r="I120" i="1"/>
  <c r="E120" i="1"/>
  <c r="M120" i="1" s="1"/>
  <c r="A120" i="1"/>
  <c r="I119" i="1"/>
  <c r="E119" i="1"/>
  <c r="A119" i="1"/>
  <c r="I118" i="1"/>
  <c r="E118" i="1"/>
  <c r="M118" i="1" s="1"/>
  <c r="A118" i="1"/>
  <c r="I117" i="1"/>
  <c r="E117" i="1"/>
  <c r="M117" i="1" s="1"/>
  <c r="A117" i="1"/>
  <c r="I116" i="1"/>
  <c r="E116" i="1"/>
  <c r="M116" i="1" s="1"/>
  <c r="A116" i="1"/>
  <c r="I115" i="1"/>
  <c r="E115" i="1"/>
  <c r="M115" i="1" s="1"/>
  <c r="A115" i="1"/>
  <c r="I114" i="1"/>
  <c r="E114" i="1"/>
  <c r="A114" i="1"/>
  <c r="E113" i="1"/>
  <c r="M113" i="1" s="1"/>
  <c r="I113" i="1" s="1"/>
  <c r="A113" i="1"/>
  <c r="I112" i="1"/>
  <c r="E112" i="1"/>
  <c r="A112" i="1"/>
  <c r="I111" i="1"/>
  <c r="E111" i="1"/>
  <c r="M111" i="1" s="1"/>
  <c r="H111" i="1" s="1"/>
  <c r="A111" i="1"/>
  <c r="I110" i="1"/>
  <c r="E110" i="1"/>
  <c r="M110" i="1" s="1"/>
  <c r="H110" i="1" s="1"/>
  <c r="A110" i="1"/>
  <c r="I109" i="1"/>
  <c r="E109" i="1"/>
  <c r="M109" i="1" s="1"/>
  <c r="A109" i="1"/>
  <c r="E108" i="1"/>
  <c r="M108" i="1" s="1"/>
  <c r="I108" i="1" s="1"/>
  <c r="A108" i="1"/>
  <c r="I107" i="1"/>
  <c r="E107" i="1"/>
  <c r="M107" i="1" s="1"/>
  <c r="A107" i="1"/>
  <c r="I106" i="1"/>
  <c r="E106" i="1"/>
  <c r="M106" i="1" s="1"/>
  <c r="H106" i="1" s="1"/>
  <c r="A106" i="1"/>
  <c r="I105" i="1"/>
  <c r="E105" i="1"/>
  <c r="M105" i="1" s="1"/>
  <c r="A105" i="1"/>
  <c r="I104" i="1"/>
  <c r="E104" i="1"/>
  <c r="M104" i="1" s="1"/>
  <c r="A104" i="1"/>
  <c r="I103" i="1"/>
  <c r="E103" i="1"/>
  <c r="M103" i="1" s="1"/>
  <c r="H103" i="1" s="1"/>
  <c r="A103" i="1"/>
  <c r="I102" i="1"/>
  <c r="E102" i="1"/>
  <c r="M102" i="1" s="1"/>
  <c r="H102" i="1" s="1"/>
  <c r="A102" i="1"/>
  <c r="I101" i="1"/>
  <c r="E101" i="1"/>
  <c r="M101" i="1" s="1"/>
  <c r="A101" i="1"/>
  <c r="I100" i="1"/>
  <c r="E100" i="1"/>
  <c r="M100" i="1" s="1"/>
  <c r="A100" i="1"/>
  <c r="I99" i="1"/>
  <c r="E99" i="1"/>
  <c r="M99" i="1" s="1"/>
  <c r="A99" i="1"/>
  <c r="I98" i="1"/>
  <c r="E98" i="1"/>
  <c r="M98" i="1" s="1"/>
  <c r="A98" i="1"/>
  <c r="I97" i="1"/>
  <c r="E97" i="1"/>
  <c r="M97" i="1" s="1"/>
  <c r="A97" i="1"/>
  <c r="I96" i="1"/>
  <c r="E96" i="1"/>
  <c r="M96" i="1" s="1"/>
  <c r="A96" i="1"/>
  <c r="I95" i="1"/>
  <c r="E95" i="1"/>
  <c r="M95" i="1" s="1"/>
  <c r="A95" i="1"/>
  <c r="I94" i="1"/>
  <c r="E94" i="1"/>
  <c r="M94" i="1" s="1"/>
  <c r="H94" i="1" s="1"/>
  <c r="A94" i="1"/>
  <c r="I93" i="1"/>
  <c r="E93" i="1"/>
  <c r="H93" i="1" s="1"/>
  <c r="A93" i="1"/>
  <c r="I92" i="1"/>
  <c r="E92" i="1"/>
  <c r="A92" i="1"/>
  <c r="I91" i="1"/>
  <c r="E91" i="1"/>
  <c r="M91" i="1" s="1"/>
  <c r="A91" i="1"/>
  <c r="I90" i="1"/>
  <c r="E90" i="1"/>
  <c r="M90" i="1" s="1"/>
  <c r="H90" i="1" s="1"/>
  <c r="A90" i="1"/>
  <c r="I89" i="1"/>
  <c r="E89" i="1"/>
  <c r="H89" i="1" s="1"/>
  <c r="A89" i="1"/>
  <c r="E88" i="1"/>
  <c r="H88" i="1" s="1"/>
  <c r="A88" i="1"/>
  <c r="I87" i="1"/>
  <c r="E87" i="1"/>
  <c r="M87" i="1" s="1"/>
  <c r="A87" i="1"/>
  <c r="I86" i="1"/>
  <c r="E86" i="1"/>
  <c r="M86" i="1" s="1"/>
  <c r="A86" i="1"/>
  <c r="I85" i="1"/>
  <c r="E85" i="1"/>
  <c r="M85" i="1" s="1"/>
  <c r="A85" i="1"/>
  <c r="I84" i="1"/>
  <c r="E84" i="1"/>
  <c r="M84" i="1" s="1"/>
  <c r="A84" i="1"/>
  <c r="I83" i="1"/>
  <c r="E83" i="1"/>
  <c r="M83" i="1" s="1"/>
  <c r="H83" i="1" s="1"/>
  <c r="A83" i="1"/>
  <c r="I82" i="1"/>
  <c r="E82" i="1"/>
  <c r="H82" i="1" s="1"/>
  <c r="A82" i="1"/>
  <c r="E81" i="1"/>
  <c r="H81" i="1" s="1"/>
  <c r="A81" i="1"/>
  <c r="I80" i="1"/>
  <c r="E80" i="1"/>
  <c r="M80" i="1" s="1"/>
  <c r="H80" i="1" s="1"/>
  <c r="A80" i="1"/>
  <c r="I79" i="1"/>
  <c r="E79" i="1"/>
  <c r="M79" i="1" s="1"/>
  <c r="A79" i="1"/>
  <c r="I78" i="1"/>
  <c r="E78" i="1"/>
  <c r="M78" i="1" s="1"/>
  <c r="A78" i="1"/>
  <c r="I77" i="1"/>
  <c r="E77" i="1"/>
  <c r="M77" i="1" s="1"/>
  <c r="A77" i="1"/>
  <c r="I76" i="1"/>
  <c r="E76" i="1"/>
  <c r="H76" i="1" s="1"/>
  <c r="A76" i="1"/>
  <c r="M75" i="1"/>
  <c r="I75" i="1" s="1"/>
  <c r="A75" i="1"/>
  <c r="I74" i="1"/>
  <c r="E74" i="1"/>
  <c r="H74" i="1" s="1"/>
  <c r="A74" i="1"/>
  <c r="I73" i="1"/>
  <c r="E73" i="1"/>
  <c r="M73" i="1" s="1"/>
  <c r="A73" i="1"/>
  <c r="I72" i="1"/>
  <c r="E72" i="1"/>
  <c r="H72" i="1" s="1"/>
  <c r="A72" i="1"/>
  <c r="I71" i="1"/>
  <c r="E71" i="1"/>
  <c r="A71" i="1"/>
  <c r="I70" i="1"/>
  <c r="E70" i="1"/>
  <c r="M70" i="1" s="1"/>
  <c r="A70" i="1"/>
  <c r="M69" i="1"/>
  <c r="H69" i="1" s="1"/>
  <c r="I69" i="1"/>
  <c r="A69" i="1"/>
  <c r="I68" i="1"/>
  <c r="E68" i="1"/>
  <c r="M68" i="1" s="1"/>
  <c r="A68" i="1"/>
  <c r="I67" i="1"/>
  <c r="E67" i="1"/>
  <c r="M67" i="1" s="1"/>
  <c r="H67" i="1" s="1"/>
  <c r="A67" i="1"/>
  <c r="M66" i="1"/>
  <c r="I66" i="1" s="1"/>
  <c r="A66" i="1"/>
  <c r="M65" i="1"/>
  <c r="I65" i="1" s="1"/>
  <c r="A65" i="1"/>
  <c r="I64" i="1"/>
  <c r="E64" i="1"/>
  <c r="A64" i="1"/>
  <c r="I63" i="1"/>
  <c r="E63" i="1"/>
  <c r="H63" i="1" s="1"/>
  <c r="A63" i="1"/>
  <c r="M62" i="1"/>
  <c r="I62" i="1" s="1"/>
  <c r="A62" i="1"/>
  <c r="I61" i="1"/>
  <c r="E61" i="1"/>
  <c r="M61" i="1" s="1"/>
  <c r="H61" i="1" s="1"/>
  <c r="A61" i="1"/>
  <c r="I60" i="1"/>
  <c r="E60" i="1"/>
  <c r="M60" i="1" s="1"/>
  <c r="A60" i="1"/>
  <c r="I59" i="1"/>
  <c r="E59" i="1"/>
  <c r="M59" i="1" s="1"/>
  <c r="A59" i="1"/>
  <c r="I58" i="1"/>
  <c r="E58" i="1"/>
  <c r="M58" i="1" s="1"/>
  <c r="H58" i="1" s="1"/>
  <c r="A58" i="1"/>
  <c r="I57" i="1"/>
  <c r="E57" i="1"/>
  <c r="M57" i="1" s="1"/>
  <c r="H57" i="1" s="1"/>
  <c r="A57" i="1"/>
  <c r="I56" i="1"/>
  <c r="E56" i="1"/>
  <c r="H56" i="1" s="1"/>
  <c r="A56" i="1"/>
  <c r="M55" i="1"/>
  <c r="H55" i="1" s="1"/>
  <c r="I55" i="1"/>
  <c r="A55" i="1"/>
  <c r="I54" i="1"/>
  <c r="E54" i="1"/>
  <c r="M54" i="1" s="1"/>
  <c r="H54" i="1" s="1"/>
  <c r="A54" i="1"/>
  <c r="I53" i="1"/>
  <c r="E53" i="1"/>
  <c r="H53" i="1" s="1"/>
  <c r="A53" i="1"/>
  <c r="I52" i="1"/>
  <c r="E52" i="1"/>
  <c r="H52" i="1" s="1"/>
  <c r="A52" i="1"/>
  <c r="I51" i="1"/>
  <c r="E51" i="1"/>
  <c r="M51" i="1" s="1"/>
  <c r="H51" i="1" s="1"/>
  <c r="A51" i="1"/>
  <c r="I50" i="1"/>
  <c r="E50" i="1"/>
  <c r="M50" i="1" s="1"/>
  <c r="H50" i="1" s="1"/>
  <c r="A50" i="1"/>
  <c r="I49" i="1"/>
  <c r="E49" i="1"/>
  <c r="A49" i="1"/>
  <c r="I48" i="1"/>
  <c r="E48" i="1"/>
  <c r="M48" i="1" s="1"/>
  <c r="H48" i="1" s="1"/>
  <c r="A48" i="1"/>
  <c r="I47" i="1"/>
  <c r="E47" i="1"/>
  <c r="M47" i="1" s="1"/>
  <c r="H47" i="1" s="1"/>
  <c r="A47" i="1"/>
  <c r="I46" i="1"/>
  <c r="E46" i="1"/>
  <c r="M46" i="1" s="1"/>
  <c r="H46" i="1" s="1"/>
  <c r="A46" i="1"/>
  <c r="I45" i="1"/>
  <c r="E45" i="1"/>
  <c r="M45" i="1" s="1"/>
  <c r="A45" i="1"/>
  <c r="I44" i="1"/>
  <c r="E44" i="1"/>
  <c r="M44" i="1" s="1"/>
  <c r="H44" i="1" s="1"/>
  <c r="A44" i="1"/>
  <c r="E43" i="1"/>
  <c r="M43" i="1" s="1"/>
  <c r="I43" i="1" s="1"/>
  <c r="A43" i="1"/>
  <c r="I42" i="1"/>
  <c r="E42" i="1"/>
  <c r="M42" i="1" s="1"/>
  <c r="H42" i="1" s="1"/>
  <c r="A42" i="1"/>
  <c r="E41" i="1"/>
  <c r="M41" i="1" s="1"/>
  <c r="I41" i="1" s="1"/>
  <c r="A41" i="1"/>
  <c r="I40" i="1"/>
  <c r="E40" i="1"/>
  <c r="M40" i="1" s="1"/>
  <c r="H40" i="1" s="1"/>
  <c r="A40" i="1"/>
  <c r="I39" i="1"/>
  <c r="E39" i="1"/>
  <c r="M39" i="1" s="1"/>
  <c r="H39" i="1" s="1"/>
  <c r="A39" i="1"/>
  <c r="I38" i="1"/>
  <c r="E38" i="1"/>
  <c r="M38" i="1" s="1"/>
  <c r="H38" i="1" s="1"/>
  <c r="A38" i="1"/>
  <c r="I37" i="1"/>
  <c r="E37" i="1"/>
  <c r="A37" i="1"/>
  <c r="I36" i="1"/>
  <c r="E36" i="1"/>
  <c r="M36" i="1" s="1"/>
  <c r="A36" i="1"/>
  <c r="I35" i="1"/>
  <c r="E35" i="1"/>
  <c r="M35" i="1" s="1"/>
  <c r="H35" i="1" s="1"/>
  <c r="A35" i="1"/>
  <c r="I34" i="1"/>
  <c r="E34" i="1"/>
  <c r="M34" i="1" s="1"/>
  <c r="H34" i="1" s="1"/>
  <c r="A34" i="1"/>
  <c r="I33" i="1"/>
  <c r="E33" i="1"/>
  <c r="A33" i="1"/>
  <c r="I32" i="1"/>
  <c r="E32" i="1"/>
  <c r="M32" i="1" s="1"/>
  <c r="A32" i="1"/>
  <c r="I31" i="1"/>
  <c r="E31" i="1"/>
  <c r="M31" i="1" s="1"/>
  <c r="H31" i="1" s="1"/>
  <c r="A31" i="1"/>
  <c r="I30" i="1"/>
  <c r="E30" i="1"/>
  <c r="A30" i="1"/>
  <c r="M29" i="1"/>
  <c r="H29" i="1" s="1"/>
  <c r="I29" i="1"/>
  <c r="A29" i="1"/>
  <c r="I28" i="1"/>
  <c r="E28" i="1"/>
  <c r="M28" i="1" s="1"/>
  <c r="A28" i="1"/>
  <c r="I27" i="1"/>
  <c r="E27" i="1"/>
  <c r="M27" i="1" s="1"/>
  <c r="A27" i="1"/>
  <c r="I26" i="1"/>
  <c r="E26" i="1"/>
  <c r="M26" i="1" s="1"/>
  <c r="A26" i="1"/>
  <c r="I25" i="1"/>
  <c r="E25" i="1"/>
  <c r="M25" i="1" s="1"/>
  <c r="A25" i="1"/>
  <c r="I24" i="1"/>
  <c r="E24" i="1"/>
  <c r="M24" i="1" s="1"/>
  <c r="A24" i="1"/>
  <c r="I23" i="1"/>
  <c r="E23" i="1"/>
  <c r="M23" i="1" s="1"/>
  <c r="A23" i="1"/>
  <c r="I22" i="1"/>
  <c r="E22" i="1"/>
  <c r="M22" i="1" s="1"/>
  <c r="A22" i="1"/>
  <c r="I21" i="1"/>
  <c r="E21" i="1"/>
  <c r="M21" i="1" s="1"/>
  <c r="A21" i="1"/>
  <c r="I20" i="1"/>
  <c r="E20" i="1"/>
  <c r="M20" i="1" s="1"/>
  <c r="A20" i="1"/>
  <c r="I19" i="1"/>
  <c r="E19" i="1"/>
  <c r="M19" i="1" s="1"/>
  <c r="H19" i="1" s="1"/>
  <c r="A19" i="1"/>
  <c r="I18" i="1"/>
  <c r="E18" i="1"/>
  <c r="M18" i="1" s="1"/>
  <c r="H18" i="1" s="1"/>
  <c r="A18" i="1"/>
  <c r="I17" i="1"/>
  <c r="E17" i="1"/>
  <c r="M17" i="1" s="1"/>
  <c r="A17" i="1"/>
  <c r="I16" i="1"/>
  <c r="E16" i="1"/>
  <c r="M16" i="1" s="1"/>
  <c r="A16" i="1"/>
  <c r="I15" i="1"/>
  <c r="E15" i="1"/>
  <c r="M15" i="1" s="1"/>
  <c r="H15" i="1" s="1"/>
  <c r="A15" i="1"/>
  <c r="I14" i="1"/>
  <c r="E14" i="1"/>
  <c r="M14" i="1" s="1"/>
  <c r="H14" i="1" s="1"/>
  <c r="A14" i="1"/>
  <c r="I13" i="1"/>
  <c r="E13" i="1"/>
  <c r="M13" i="1" s="1"/>
  <c r="A13" i="1"/>
  <c r="I12" i="1"/>
  <c r="E12" i="1"/>
  <c r="A12" i="1"/>
  <c r="I11" i="1"/>
  <c r="E11" i="1"/>
  <c r="M11" i="1" s="1"/>
  <c r="H11" i="1" s="1"/>
  <c r="A11" i="1"/>
  <c r="I10" i="1"/>
  <c r="E10" i="1"/>
  <c r="M10" i="1" s="1"/>
  <c r="H10" i="1" s="1"/>
  <c r="A10" i="1"/>
  <c r="I9" i="1"/>
  <c r="E9" i="1"/>
  <c r="H9" i="1" s="1"/>
  <c r="A9" i="1"/>
  <c r="I8" i="1"/>
  <c r="E8" i="1"/>
  <c r="M8" i="1" s="1"/>
  <c r="H8" i="1" s="1"/>
  <c r="A8" i="1"/>
  <c r="I7" i="1"/>
  <c r="E7" i="1"/>
  <c r="M7" i="1" s="1"/>
  <c r="A7" i="1"/>
  <c r="I6" i="1"/>
  <c r="E6" i="1"/>
  <c r="H6" i="1" s="1"/>
  <c r="A6" i="1"/>
  <c r="I5" i="1"/>
  <c r="E5" i="1"/>
  <c r="H5" i="1" s="1"/>
  <c r="A5" i="1"/>
  <c r="I4" i="1"/>
  <c r="E4" i="1"/>
  <c r="M4" i="1" s="1"/>
  <c r="A4" i="1"/>
  <c r="I3" i="1"/>
  <c r="E3" i="1"/>
  <c r="M3" i="1" s="1"/>
  <c r="A3" i="1"/>
  <c r="I2" i="1"/>
  <c r="E2" i="1"/>
  <c r="A2" i="1"/>
  <c r="J722" i="1" l="1"/>
  <c r="B749" i="1"/>
  <c r="A748" i="1"/>
  <c r="N748" i="1"/>
  <c r="J566" i="1"/>
  <c r="J596" i="1"/>
  <c r="J595" i="1"/>
  <c r="J594" i="1"/>
  <c r="J568" i="1"/>
  <c r="J556" i="1"/>
  <c r="J533" i="1"/>
  <c r="J557" i="1"/>
  <c r="J558" i="1"/>
  <c r="J473" i="1"/>
  <c r="J486" i="1"/>
  <c r="J432" i="1"/>
  <c r="J453" i="1"/>
  <c r="J454" i="1"/>
  <c r="J425" i="1"/>
  <c r="J457" i="1"/>
  <c r="J450" i="1"/>
  <c r="J80" i="1"/>
  <c r="J239" i="1"/>
  <c r="J362" i="1"/>
  <c r="J370" i="1"/>
  <c r="J8" i="1"/>
  <c r="J235" i="1"/>
  <c r="J335" i="1"/>
  <c r="H2" i="1"/>
  <c r="J2" i="1" s="1"/>
  <c r="J58" i="1"/>
  <c r="H96" i="1"/>
  <c r="J96" i="1" s="1"/>
  <c r="J29" i="1"/>
  <c r="J42" i="1"/>
  <c r="M359" i="1"/>
  <c r="H359" i="1" s="1"/>
  <c r="J359" i="1" s="1"/>
  <c r="J366" i="1"/>
  <c r="J358" i="1"/>
  <c r="I361" i="1"/>
  <c r="J361" i="1" s="1"/>
  <c r="M166" i="1"/>
  <c r="J169" i="1"/>
  <c r="J177" i="1"/>
  <c r="J52" i="1"/>
  <c r="J247" i="1"/>
  <c r="M213" i="1"/>
  <c r="J251" i="1"/>
  <c r="J82" i="1"/>
  <c r="J111" i="1"/>
  <c r="J161" i="1"/>
  <c r="J208" i="1"/>
  <c r="J231" i="1"/>
  <c r="H109" i="1"/>
  <c r="J109" i="1" s="1"/>
  <c r="J185" i="1"/>
  <c r="H237" i="1"/>
  <c r="J237" i="1" s="1"/>
  <c r="M5" i="1"/>
  <c r="J173" i="1"/>
  <c r="H188" i="1"/>
  <c r="J188" i="1" s="1"/>
  <c r="J40" i="1"/>
  <c r="J197" i="1"/>
  <c r="J210" i="1"/>
  <c r="J213" i="1"/>
  <c r="J39" i="1"/>
  <c r="H66" i="1"/>
  <c r="J11" i="1"/>
  <c r="J123" i="1"/>
  <c r="J141" i="1"/>
  <c r="H376" i="1"/>
  <c r="J376" i="1" s="1"/>
  <c r="H391" i="1"/>
  <c r="J391" i="1" s="1"/>
  <c r="J61" i="1"/>
  <c r="H95" i="1"/>
  <c r="J95" i="1" s="1"/>
  <c r="J132" i="1"/>
  <c r="J201" i="1"/>
  <c r="J228" i="1"/>
  <c r="J193" i="1"/>
  <c r="H387" i="1"/>
  <c r="J387" i="1" s="1"/>
  <c r="J15" i="1"/>
  <c r="J51" i="1"/>
  <c r="J83" i="1"/>
  <c r="J106" i="1"/>
  <c r="J153" i="1"/>
  <c r="H306" i="1"/>
  <c r="J306" i="1" s="1"/>
  <c r="H375" i="1"/>
  <c r="J375" i="1" s="1"/>
  <c r="H377" i="1"/>
  <c r="J44" i="1"/>
  <c r="J54" i="1"/>
  <c r="M72" i="1"/>
  <c r="H75" i="1"/>
  <c r="J75" i="1" s="1"/>
  <c r="J133" i="1"/>
  <c r="J181" i="1"/>
  <c r="H293" i="1"/>
  <c r="J293" i="1" s="1"/>
  <c r="H373" i="1"/>
  <c r="J373" i="1" s="1"/>
  <c r="H22" i="1"/>
  <c r="J22" i="1" s="1"/>
  <c r="H23" i="1"/>
  <c r="J23" i="1" s="1"/>
  <c r="J34" i="1"/>
  <c r="H36" i="1"/>
  <c r="J36" i="1" s="1"/>
  <c r="J47" i="1"/>
  <c r="I88" i="1"/>
  <c r="J88" i="1" s="1"/>
  <c r="J102" i="1"/>
  <c r="H113" i="1"/>
  <c r="J113" i="1" s="1"/>
  <c r="J122" i="1"/>
  <c r="J136" i="1"/>
  <c r="J137" i="1"/>
  <c r="H148" i="1"/>
  <c r="J148" i="1" s="1"/>
  <c r="J157" i="1"/>
  <c r="J243" i="1"/>
  <c r="M301" i="1"/>
  <c r="H301" i="1" s="1"/>
  <c r="J301" i="1" s="1"/>
  <c r="M305" i="1"/>
  <c r="I339" i="1"/>
  <c r="J363" i="1"/>
  <c r="H381" i="1"/>
  <c r="J381" i="1" s="1"/>
  <c r="H383" i="1"/>
  <c r="J383" i="1" s="1"/>
  <c r="M390" i="1"/>
  <c r="H390" i="1" s="1"/>
  <c r="J390" i="1" s="1"/>
  <c r="J55" i="1"/>
  <c r="H100" i="1"/>
  <c r="J100" i="1" s="1"/>
  <c r="H107" i="1"/>
  <c r="J107" i="1" s="1"/>
  <c r="H152" i="1"/>
  <c r="J152" i="1" s="1"/>
  <c r="H172" i="1"/>
  <c r="J172" i="1" s="1"/>
  <c r="M208" i="1"/>
  <c r="H214" i="1"/>
  <c r="J214" i="1" s="1"/>
  <c r="H226" i="1"/>
  <c r="J226" i="1" s="1"/>
  <c r="M261" i="1"/>
  <c r="H261" i="1" s="1"/>
  <c r="J261" i="1" s="1"/>
  <c r="H265" i="1"/>
  <c r="J265" i="1" s="1"/>
  <c r="H277" i="1"/>
  <c r="J277" i="1" s="1"/>
  <c r="H296" i="1"/>
  <c r="J296" i="1" s="1"/>
  <c r="H379" i="1"/>
  <c r="J379" i="1" s="1"/>
  <c r="M382" i="1"/>
  <c r="H382" i="1" s="1"/>
  <c r="H273" i="1"/>
  <c r="J273" i="1" s="1"/>
  <c r="H7" i="1"/>
  <c r="J7" i="1" s="1"/>
  <c r="J19" i="1"/>
  <c r="H26" i="1"/>
  <c r="J26" i="1" s="1"/>
  <c r="H27" i="1"/>
  <c r="J27" i="1" s="1"/>
  <c r="J76" i="1"/>
  <c r="J103" i="1"/>
  <c r="H104" i="1"/>
  <c r="J104" i="1" s="1"/>
  <c r="H105" i="1"/>
  <c r="J105" i="1" s="1"/>
  <c r="J110" i="1"/>
  <c r="H115" i="1"/>
  <c r="J115" i="1" s="1"/>
  <c r="H117" i="1"/>
  <c r="J117" i="1" s="1"/>
  <c r="H118" i="1"/>
  <c r="J118" i="1" s="1"/>
  <c r="J129" i="1"/>
  <c r="J145" i="1"/>
  <c r="H164" i="1"/>
  <c r="J164" i="1" s="1"/>
  <c r="H165" i="1"/>
  <c r="J165" i="1" s="1"/>
  <c r="H176" i="1"/>
  <c r="J176" i="1" s="1"/>
  <c r="J189" i="1"/>
  <c r="J218" i="1"/>
  <c r="H222" i="1"/>
  <c r="J222" i="1" s="1"/>
  <c r="J250" i="1"/>
  <c r="J254" i="1"/>
  <c r="H300" i="1"/>
  <c r="J300" i="1" s="1"/>
  <c r="J369" i="1"/>
  <c r="M112" i="1"/>
  <c r="H112" i="1" s="1"/>
  <c r="J112" i="1" s="1"/>
  <c r="M168" i="1"/>
  <c r="H168" i="1" s="1"/>
  <c r="J168" i="1" s="1"/>
  <c r="M186" i="1"/>
  <c r="H186" i="1" s="1"/>
  <c r="J186" i="1" s="1"/>
  <c r="M302" i="1"/>
  <c r="I302" i="1" s="1"/>
  <c r="J35" i="1"/>
  <c r="J48" i="1"/>
  <c r="M119" i="1"/>
  <c r="H119" i="1"/>
  <c r="J119" i="1" s="1"/>
  <c r="M124" i="1"/>
  <c r="H124" i="1" s="1"/>
  <c r="J124" i="1" s="1"/>
  <c r="M160" i="1"/>
  <c r="H160" i="1" s="1"/>
  <c r="J160" i="1" s="1"/>
  <c r="M298" i="1"/>
  <c r="H298" i="1" s="1"/>
  <c r="J298" i="1" s="1"/>
  <c r="J305" i="1"/>
  <c r="H3" i="1"/>
  <c r="J3" i="1" s="1"/>
  <c r="H4" i="1"/>
  <c r="J4" i="1" s="1"/>
  <c r="J31" i="1"/>
  <c r="H32" i="1"/>
  <c r="J32" i="1" s="1"/>
  <c r="M52" i="1"/>
  <c r="H59" i="1"/>
  <c r="J59" i="1" s="1"/>
  <c r="J69" i="1"/>
  <c r="J90" i="1"/>
  <c r="H99" i="1"/>
  <c r="J99" i="1" s="1"/>
  <c r="M114" i="1"/>
  <c r="H114" i="1"/>
  <c r="J114" i="1" s="1"/>
  <c r="M170" i="1"/>
  <c r="H170" i="1" s="1"/>
  <c r="J170" i="1" s="1"/>
  <c r="M184" i="1"/>
  <c r="H184" i="1" s="1"/>
  <c r="J184" i="1" s="1"/>
  <c r="H205" i="1"/>
  <c r="J205" i="1" s="1"/>
  <c r="M205" i="1"/>
  <c r="M238" i="1"/>
  <c r="H238" i="1" s="1"/>
  <c r="J238" i="1" s="1"/>
  <c r="M270" i="1"/>
  <c r="H270" i="1" s="1"/>
  <c r="J270" i="1" s="1"/>
  <c r="M309" i="1"/>
  <c r="H309" i="1"/>
  <c r="J309" i="1" s="1"/>
  <c r="M371" i="1"/>
  <c r="H371" i="1" s="1"/>
  <c r="M374" i="1"/>
  <c r="H374" i="1" s="1"/>
  <c r="M378" i="1"/>
  <c r="H378" i="1" s="1"/>
  <c r="J378" i="1" s="1"/>
  <c r="M385" i="1"/>
  <c r="H385" i="1" s="1"/>
  <c r="J385" i="1" s="1"/>
  <c r="M389" i="1"/>
  <c r="H389" i="1" s="1"/>
  <c r="J389" i="1" s="1"/>
  <c r="M12" i="1"/>
  <c r="H12" i="1" s="1"/>
  <c r="J94" i="1"/>
  <c r="M234" i="1"/>
  <c r="H234" i="1" s="1"/>
  <c r="J234" i="1" s="1"/>
  <c r="J14" i="1"/>
  <c r="M64" i="1"/>
  <c r="H64" i="1" s="1"/>
  <c r="J64" i="1" s="1"/>
  <c r="J67" i="1"/>
  <c r="H98" i="1"/>
  <c r="J98" i="1" s="1"/>
  <c r="M121" i="1"/>
  <c r="H121" i="1" s="1"/>
  <c r="J121" i="1" s="1"/>
  <c r="M144" i="1"/>
  <c r="H144" i="1" s="1"/>
  <c r="J144" i="1" s="1"/>
  <c r="J149" i="1"/>
  <c r="M253" i="1"/>
  <c r="H253" i="1" s="1"/>
  <c r="J253" i="1" s="1"/>
  <c r="J257" i="1"/>
  <c r="H281" i="1"/>
  <c r="J281" i="1" s="1"/>
  <c r="M285" i="1"/>
  <c r="H285" i="1" s="1"/>
  <c r="J285" i="1" s="1"/>
  <c r="M289" i="1"/>
  <c r="H289" i="1" s="1"/>
  <c r="J289" i="1" s="1"/>
  <c r="M308" i="1"/>
  <c r="H308" i="1"/>
  <c r="J308" i="1" s="1"/>
  <c r="H338" i="1"/>
  <c r="I338" i="1"/>
  <c r="M384" i="1"/>
  <c r="H384" i="1" s="1"/>
  <c r="J384" i="1" s="1"/>
  <c r="M392" i="1"/>
  <c r="H392" i="1" s="1"/>
  <c r="J392" i="1" s="1"/>
  <c r="J10" i="1"/>
  <c r="J18" i="1"/>
  <c r="J50" i="1"/>
  <c r="J53" i="1"/>
  <c r="J57" i="1"/>
  <c r="J63" i="1"/>
  <c r="J74" i="1"/>
  <c r="J166" i="1"/>
  <c r="H182" i="1"/>
  <c r="J182" i="1" s="1"/>
  <c r="M210" i="1"/>
  <c r="H246" i="1"/>
  <c r="J246" i="1" s="1"/>
  <c r="J297" i="1"/>
  <c r="M386" i="1"/>
  <c r="H386" i="1" s="1"/>
  <c r="J386" i="1" s="1"/>
  <c r="H393" i="1"/>
  <c r="J393" i="1" s="1"/>
  <c r="J5" i="1"/>
  <c r="J6" i="1"/>
  <c r="J9" i="1"/>
  <c r="H16" i="1"/>
  <c r="J16" i="1" s="1"/>
  <c r="J38" i="1"/>
  <c r="J46" i="1"/>
  <c r="J56" i="1"/>
  <c r="J89" i="1"/>
  <c r="J125" i="1"/>
  <c r="H140" i="1"/>
  <c r="J140" i="1" s="1"/>
  <c r="H156" i="1"/>
  <c r="J156" i="1" s="1"/>
  <c r="H178" i="1"/>
  <c r="J178" i="1" s="1"/>
  <c r="H180" i="1"/>
  <c r="J180" i="1" s="1"/>
  <c r="H194" i="1"/>
  <c r="J194" i="1" s="1"/>
  <c r="H196" i="1"/>
  <c r="J196" i="1" s="1"/>
  <c r="H217" i="1"/>
  <c r="J217" i="1" s="1"/>
  <c r="H230" i="1"/>
  <c r="J230" i="1" s="1"/>
  <c r="M257" i="1"/>
  <c r="M269" i="1"/>
  <c r="H269" i="1" s="1"/>
  <c r="J269" i="1" s="1"/>
  <c r="H280" i="1"/>
  <c r="J280" i="1" s="1"/>
  <c r="H282" i="1"/>
  <c r="J282" i="1" s="1"/>
  <c r="H286" i="1"/>
  <c r="J286" i="1" s="1"/>
  <c r="J357" i="1"/>
  <c r="J365" i="1"/>
  <c r="H174" i="1"/>
  <c r="J174" i="1" s="1"/>
  <c r="H190" i="1"/>
  <c r="J190" i="1" s="1"/>
  <c r="H192" i="1"/>
  <c r="J192" i="1" s="1"/>
  <c r="J200" i="1"/>
  <c r="H244" i="1"/>
  <c r="J244" i="1" s="1"/>
  <c r="H248" i="1"/>
  <c r="J248" i="1" s="1"/>
  <c r="H264" i="1"/>
  <c r="J264" i="1" s="1"/>
  <c r="H266" i="1"/>
  <c r="J266" i="1" s="1"/>
  <c r="H268" i="1"/>
  <c r="J268" i="1" s="1"/>
  <c r="H304" i="1"/>
  <c r="J304" i="1" s="1"/>
  <c r="J343" i="1"/>
  <c r="H330" i="1"/>
  <c r="J330" i="1" s="1"/>
  <c r="H325" i="1"/>
  <c r="J325" i="1" s="1"/>
  <c r="H323" i="1"/>
  <c r="J323" i="1" s="1"/>
  <c r="H322" i="1"/>
  <c r="J322" i="1" s="1"/>
  <c r="J315" i="1"/>
  <c r="J348" i="1"/>
  <c r="J347" i="1"/>
  <c r="H326" i="1"/>
  <c r="J326" i="1" s="1"/>
  <c r="J367" i="1"/>
  <c r="J318" i="1"/>
  <c r="J334" i="1"/>
  <c r="H354" i="1"/>
  <c r="J354" i="1" s="1"/>
  <c r="H331" i="1"/>
  <c r="J331" i="1" s="1"/>
  <c r="H341" i="1"/>
  <c r="J341" i="1" s="1"/>
  <c r="H345" i="1"/>
  <c r="J345" i="1" s="1"/>
  <c r="H349" i="1"/>
  <c r="J349" i="1" s="1"/>
  <c r="M350" i="1"/>
  <c r="H350" i="1" s="1"/>
  <c r="J350" i="1" s="1"/>
  <c r="H352" i="1"/>
  <c r="J352" i="1" s="1"/>
  <c r="J314" i="1"/>
  <c r="J346" i="1"/>
  <c r="J317" i="1"/>
  <c r="J333" i="1"/>
  <c r="J337" i="1"/>
  <c r="J342" i="1"/>
  <c r="H351" i="1"/>
  <c r="J351" i="1" s="1"/>
  <c r="J353" i="1"/>
  <c r="H368" i="1"/>
  <c r="J368" i="1" s="1"/>
  <c r="H316" i="1"/>
  <c r="J316" i="1" s="1"/>
  <c r="H332" i="1"/>
  <c r="J332" i="1" s="1"/>
  <c r="H336" i="1"/>
  <c r="J336" i="1" s="1"/>
  <c r="H355" i="1"/>
  <c r="J355" i="1" s="1"/>
  <c r="H329" i="1"/>
  <c r="J329" i="1" s="1"/>
  <c r="H327" i="1"/>
  <c r="J327" i="1" s="1"/>
  <c r="H328" i="1"/>
  <c r="J328" i="1" s="1"/>
  <c r="H321" i="1"/>
  <c r="J321" i="1" s="1"/>
  <c r="H320" i="1"/>
  <c r="J320" i="1" s="1"/>
  <c r="H319" i="1"/>
  <c r="J319" i="1" s="1"/>
  <c r="H313" i="1"/>
  <c r="J313" i="1" s="1"/>
  <c r="H310" i="1"/>
  <c r="J310" i="1" s="1"/>
  <c r="M127" i="1"/>
  <c r="H127" i="1" s="1"/>
  <c r="J127" i="1" s="1"/>
  <c r="H108" i="1"/>
  <c r="J108" i="1" s="1"/>
  <c r="H120" i="1"/>
  <c r="J120" i="1" s="1"/>
  <c r="M131" i="1"/>
  <c r="H131" i="1" s="1"/>
  <c r="J131" i="1" s="1"/>
  <c r="H340" i="1"/>
  <c r="J340" i="1" s="1"/>
  <c r="M344" i="1"/>
  <c r="H344" i="1" s="1"/>
  <c r="J344" i="1" s="1"/>
  <c r="H13" i="1"/>
  <c r="J13" i="1" s="1"/>
  <c r="H17" i="1"/>
  <c r="J17" i="1" s="1"/>
  <c r="H21" i="1"/>
  <c r="J21" i="1" s="1"/>
  <c r="H25" i="1"/>
  <c r="J25" i="1" s="1"/>
  <c r="M30" i="1"/>
  <c r="H84" i="1"/>
  <c r="J84" i="1" s="1"/>
  <c r="H101" i="1"/>
  <c r="J101" i="1" s="1"/>
  <c r="M135" i="1"/>
  <c r="H135" i="1" s="1"/>
  <c r="J135" i="1" s="1"/>
  <c r="H232" i="1"/>
  <c r="J232" i="1" s="1"/>
  <c r="H372" i="1"/>
  <c r="J372" i="1" s="1"/>
  <c r="M380" i="1"/>
  <c r="H380" i="1" s="1"/>
  <c r="J380" i="1" s="1"/>
  <c r="M139" i="1"/>
  <c r="H139" i="1" s="1"/>
  <c r="J139" i="1" s="1"/>
  <c r="M143" i="1"/>
  <c r="H143" i="1" s="1"/>
  <c r="J143" i="1" s="1"/>
  <c r="M147" i="1"/>
  <c r="H147" i="1" s="1"/>
  <c r="J147" i="1" s="1"/>
  <c r="M151" i="1"/>
  <c r="H151" i="1" s="1"/>
  <c r="J151" i="1" s="1"/>
  <c r="M155" i="1"/>
  <c r="H155" i="1" s="1"/>
  <c r="J155" i="1" s="1"/>
  <c r="M159" i="1"/>
  <c r="H159" i="1" s="1"/>
  <c r="J159" i="1" s="1"/>
  <c r="H41" i="1"/>
  <c r="H45" i="1"/>
  <c r="H60" i="1"/>
  <c r="J60" i="1" s="1"/>
  <c r="H79" i="1"/>
  <c r="J79" i="1" s="1"/>
  <c r="H87" i="1"/>
  <c r="J87" i="1" s="1"/>
  <c r="M6" i="1"/>
  <c r="H20" i="1"/>
  <c r="J20" i="1" s="1"/>
  <c r="H24" i="1"/>
  <c r="J24" i="1" s="1"/>
  <c r="H28" i="1"/>
  <c r="J28" i="1" s="1"/>
  <c r="M33" i="1"/>
  <c r="H33" i="1" s="1"/>
  <c r="J33" i="1" s="1"/>
  <c r="M37" i="1"/>
  <c r="H37" i="1" s="1"/>
  <c r="J37" i="1" s="1"/>
  <c r="M49" i="1"/>
  <c r="H49" i="1" s="1"/>
  <c r="J49" i="1" s="1"/>
  <c r="M53" i="1"/>
  <c r="H62" i="1"/>
  <c r="J62" i="1" s="1"/>
  <c r="H65" i="1"/>
  <c r="J65" i="1" s="1"/>
  <c r="H68" i="1"/>
  <c r="J68" i="1" s="1"/>
  <c r="M71" i="1"/>
  <c r="H71" i="1" s="1"/>
  <c r="J71" i="1" s="1"/>
  <c r="H73" i="1"/>
  <c r="J73" i="1" s="1"/>
  <c r="M74" i="1"/>
  <c r="H78" i="1"/>
  <c r="J78" i="1" s="1"/>
  <c r="I81" i="1"/>
  <c r="J81" i="1" s="1"/>
  <c r="H86" i="1"/>
  <c r="J86" i="1" s="1"/>
  <c r="M92" i="1"/>
  <c r="H92" i="1" s="1"/>
  <c r="J92" i="1" s="1"/>
  <c r="H97" i="1"/>
  <c r="J97" i="1" s="1"/>
  <c r="H116" i="1"/>
  <c r="J116" i="1" s="1"/>
  <c r="H126" i="1"/>
  <c r="J126" i="1" s="1"/>
  <c r="H128" i="1"/>
  <c r="J128" i="1" s="1"/>
  <c r="M212" i="1"/>
  <c r="H212" i="1" s="1"/>
  <c r="J212" i="1" s="1"/>
  <c r="H225" i="1"/>
  <c r="J225" i="1" s="1"/>
  <c r="H241" i="1"/>
  <c r="J241" i="1" s="1"/>
  <c r="H324" i="1"/>
  <c r="J324" i="1" s="1"/>
  <c r="H364" i="1"/>
  <c r="J364" i="1" s="1"/>
  <c r="H43" i="1"/>
  <c r="J43" i="1" s="1"/>
  <c r="H70" i="1"/>
  <c r="H91" i="1"/>
  <c r="J91" i="1" s="1"/>
  <c r="H130" i="1"/>
  <c r="J130" i="1" s="1"/>
  <c r="M227" i="1"/>
  <c r="H227" i="1" s="1"/>
  <c r="J227" i="1" s="1"/>
  <c r="H134" i="1"/>
  <c r="J134" i="1" s="1"/>
  <c r="M204" i="1"/>
  <c r="H204" i="1" s="1"/>
  <c r="J204" i="1" s="1"/>
  <c r="H207" i="1"/>
  <c r="J207" i="1" s="1"/>
  <c r="M207" i="1"/>
  <c r="J72" i="1"/>
  <c r="H77" i="1"/>
  <c r="J77" i="1" s="1"/>
  <c r="H85" i="1"/>
  <c r="J85" i="1" s="1"/>
  <c r="J93" i="1"/>
  <c r="H138" i="1"/>
  <c r="J138" i="1" s="1"/>
  <c r="H142" i="1"/>
  <c r="J142" i="1" s="1"/>
  <c r="H146" i="1"/>
  <c r="J146" i="1" s="1"/>
  <c r="H150" i="1"/>
  <c r="J150" i="1" s="1"/>
  <c r="H154" i="1"/>
  <c r="J154" i="1" s="1"/>
  <c r="H158" i="1"/>
  <c r="J158" i="1" s="1"/>
  <c r="H162" i="1"/>
  <c r="J162" i="1" s="1"/>
  <c r="H198" i="1"/>
  <c r="J198" i="1" s="1"/>
  <c r="H202" i="1"/>
  <c r="J202" i="1" s="1"/>
  <c r="M209" i="1"/>
  <c r="H209" i="1"/>
  <c r="J209" i="1" s="1"/>
  <c r="H284" i="1"/>
  <c r="J284" i="1" s="1"/>
  <c r="M224" i="1"/>
  <c r="H224" i="1" s="1"/>
  <c r="J224" i="1" s="1"/>
  <c r="H163" i="1"/>
  <c r="J163" i="1" s="1"/>
  <c r="H167" i="1"/>
  <c r="J167" i="1" s="1"/>
  <c r="H171" i="1"/>
  <c r="J171" i="1" s="1"/>
  <c r="H175" i="1"/>
  <c r="J175" i="1" s="1"/>
  <c r="H179" i="1"/>
  <c r="J179" i="1" s="1"/>
  <c r="H183" i="1"/>
  <c r="J183" i="1" s="1"/>
  <c r="H187" i="1"/>
  <c r="J187" i="1" s="1"/>
  <c r="H191" i="1"/>
  <c r="J191" i="1" s="1"/>
  <c r="H195" i="1"/>
  <c r="J195" i="1" s="1"/>
  <c r="H199" i="1"/>
  <c r="J199" i="1" s="1"/>
  <c r="H203" i="1"/>
  <c r="J203" i="1" s="1"/>
  <c r="H206" i="1"/>
  <c r="J206" i="1" s="1"/>
  <c r="H221" i="1"/>
  <c r="J221" i="1" s="1"/>
  <c r="H229" i="1"/>
  <c r="J229" i="1" s="1"/>
  <c r="H236" i="1"/>
  <c r="J236" i="1" s="1"/>
  <c r="H245" i="1"/>
  <c r="J245" i="1" s="1"/>
  <c r="H252" i="1"/>
  <c r="J252" i="1" s="1"/>
  <c r="H256" i="1"/>
  <c r="J256" i="1" s="1"/>
  <c r="H272" i="1"/>
  <c r="J272" i="1" s="1"/>
  <c r="H288" i="1"/>
  <c r="J288" i="1" s="1"/>
  <c r="H356" i="1"/>
  <c r="J356" i="1" s="1"/>
  <c r="H211" i="1"/>
  <c r="J211" i="1" s="1"/>
  <c r="M216" i="1"/>
  <c r="H216" i="1" s="1"/>
  <c r="J216" i="1" s="1"/>
  <c r="H258" i="1"/>
  <c r="J258" i="1" s="1"/>
  <c r="H274" i="1"/>
  <c r="J274" i="1" s="1"/>
  <c r="H290" i="1"/>
  <c r="J290" i="1" s="1"/>
  <c r="H388" i="1"/>
  <c r="M219" i="1"/>
  <c r="H219" i="1" s="1"/>
  <c r="J219" i="1" s="1"/>
  <c r="H223" i="1"/>
  <c r="J223" i="1" s="1"/>
  <c r="H233" i="1"/>
  <c r="J233" i="1" s="1"/>
  <c r="H240" i="1"/>
  <c r="J240" i="1" s="1"/>
  <c r="H242" i="1"/>
  <c r="J242" i="1" s="1"/>
  <c r="H249" i="1"/>
  <c r="J249" i="1" s="1"/>
  <c r="H260" i="1"/>
  <c r="J260" i="1" s="1"/>
  <c r="H276" i="1"/>
  <c r="J276" i="1" s="1"/>
  <c r="H292" i="1"/>
  <c r="J292" i="1" s="1"/>
  <c r="H262" i="1"/>
  <c r="J262" i="1" s="1"/>
  <c r="H278" i="1"/>
  <c r="J278" i="1" s="1"/>
  <c r="H294" i="1"/>
  <c r="J294" i="1" s="1"/>
  <c r="H312" i="1"/>
  <c r="J312" i="1" s="1"/>
  <c r="H215" i="1"/>
  <c r="J215" i="1" s="1"/>
  <c r="M220" i="1"/>
  <c r="H220" i="1" s="1"/>
  <c r="J220" i="1" s="1"/>
  <c r="H255" i="1"/>
  <c r="J255" i="1" s="1"/>
  <c r="H259" i="1"/>
  <c r="J259" i="1" s="1"/>
  <c r="H263" i="1"/>
  <c r="J263" i="1" s="1"/>
  <c r="H267" i="1"/>
  <c r="J267" i="1" s="1"/>
  <c r="H271" i="1"/>
  <c r="J271" i="1" s="1"/>
  <c r="H275" i="1"/>
  <c r="J275" i="1" s="1"/>
  <c r="H279" i="1"/>
  <c r="J279" i="1" s="1"/>
  <c r="H283" i="1"/>
  <c r="J283" i="1" s="1"/>
  <c r="H287" i="1"/>
  <c r="J287" i="1" s="1"/>
  <c r="H291" i="1"/>
  <c r="J291" i="1" s="1"/>
  <c r="H295" i="1"/>
  <c r="J295" i="1" s="1"/>
  <c r="H299" i="1"/>
  <c r="J299" i="1" s="1"/>
  <c r="H303" i="1"/>
  <c r="J303" i="1" s="1"/>
  <c r="H307" i="1"/>
  <c r="J307" i="1" s="1"/>
  <c r="H311" i="1"/>
  <c r="J311" i="1" s="1"/>
  <c r="B750" i="1" l="1"/>
  <c r="A749" i="1"/>
  <c r="N749" i="1"/>
  <c r="J388" i="1"/>
  <c r="J377" i="1"/>
  <c r="J374" i="1"/>
  <c r="K6" i="3"/>
  <c r="J382" i="1"/>
  <c r="J5" i="3"/>
  <c r="J6" i="3"/>
  <c r="J7" i="3"/>
  <c r="J371" i="1"/>
  <c r="J12" i="1"/>
  <c r="J70" i="1"/>
  <c r="J45" i="1"/>
  <c r="J41" i="1"/>
  <c r="J66" i="1"/>
  <c r="J2" i="5"/>
  <c r="I2" i="5" s="1"/>
  <c r="H360" i="1"/>
  <c r="I360" i="1"/>
  <c r="J339" i="1"/>
  <c r="J338" i="1"/>
  <c r="H302" i="1"/>
  <c r="J302" i="1" s="1"/>
  <c r="H30" i="1"/>
  <c r="B751" i="1" l="1"/>
  <c r="A750" i="1"/>
  <c r="N750" i="1"/>
  <c r="K7" i="3"/>
  <c r="K5" i="3"/>
  <c r="H9" i="5"/>
  <c r="K9" i="5" s="1"/>
  <c r="H4" i="5"/>
  <c r="K4" i="5" s="1"/>
  <c r="H17" i="5"/>
  <c r="K17" i="5" s="1"/>
  <c r="H5" i="5"/>
  <c r="K5" i="5" s="1"/>
  <c r="H2" i="5"/>
  <c r="K2" i="5" s="1"/>
  <c r="H3" i="5"/>
  <c r="K3" i="5" s="1"/>
  <c r="H12" i="5"/>
  <c r="K12" i="5" s="1"/>
  <c r="H7" i="5"/>
  <c r="K7" i="5" s="1"/>
  <c r="H11" i="5"/>
  <c r="K11" i="5" s="1"/>
  <c r="H6" i="5"/>
  <c r="K6" i="5" s="1"/>
  <c r="H15" i="5"/>
  <c r="K15" i="5" s="1"/>
  <c r="H14" i="5"/>
  <c r="K14" i="5" s="1"/>
  <c r="H16" i="5"/>
  <c r="K16" i="5" s="1"/>
  <c r="H18" i="5"/>
  <c r="K18" i="5" s="1"/>
  <c r="H13" i="5"/>
  <c r="K13" i="5" s="1"/>
  <c r="H8" i="5"/>
  <c r="K8" i="5" s="1"/>
  <c r="J360" i="1"/>
  <c r="J30" i="1"/>
  <c r="B752" i="1" l="1"/>
  <c r="A751" i="1"/>
  <c r="N751" i="1"/>
  <c r="H10" i="5"/>
  <c r="K10" i="5" s="1"/>
  <c r="B753" i="1" l="1"/>
  <c r="A752" i="1"/>
  <c r="N752" i="1"/>
  <c r="B754" i="1" l="1"/>
  <c r="A753" i="1"/>
  <c r="N753" i="1"/>
  <c r="B755" i="1" l="1"/>
  <c r="A754" i="1"/>
  <c r="N754" i="1"/>
  <c r="B756" i="1" l="1"/>
  <c r="A755" i="1"/>
  <c r="N755" i="1"/>
  <c r="B757" i="1" l="1"/>
  <c r="A756" i="1"/>
  <c r="N756" i="1"/>
  <c r="B758" i="1" l="1"/>
  <c r="A757" i="1"/>
  <c r="N757" i="1"/>
  <c r="B759" i="1" l="1"/>
  <c r="A758" i="1"/>
  <c r="N758" i="1"/>
  <c r="B760" i="1" l="1"/>
  <c r="A759" i="1"/>
  <c r="N759" i="1"/>
  <c r="B761" i="1" l="1"/>
  <c r="A760" i="1"/>
  <c r="N760" i="1"/>
  <c r="B762" i="1" l="1"/>
  <c r="A761" i="1"/>
  <c r="N761" i="1"/>
  <c r="B763" i="1" l="1"/>
  <c r="A762" i="1"/>
  <c r="N762" i="1"/>
  <c r="B764" i="1" l="1"/>
  <c r="A763" i="1"/>
  <c r="N763" i="1"/>
  <c r="B765" i="1" l="1"/>
  <c r="A764" i="1"/>
  <c r="N764" i="1"/>
  <c r="B766" i="1" l="1"/>
  <c r="A765" i="1"/>
  <c r="N765" i="1"/>
  <c r="B767" i="1" l="1"/>
  <c r="A766" i="1"/>
  <c r="N766" i="1"/>
  <c r="B768" i="1" l="1"/>
  <c r="A767" i="1"/>
  <c r="N767" i="1"/>
  <c r="B769" i="1" l="1"/>
  <c r="A768" i="1"/>
  <c r="N768" i="1"/>
  <c r="B770" i="1" l="1"/>
  <c r="A769" i="1"/>
  <c r="N769" i="1"/>
  <c r="B771" i="1" l="1"/>
  <c r="A770" i="1"/>
  <c r="N770" i="1"/>
  <c r="B772" i="1" l="1"/>
  <c r="A771" i="1"/>
  <c r="N771" i="1"/>
  <c r="B773" i="1" l="1"/>
  <c r="A772" i="1"/>
  <c r="N772" i="1"/>
  <c r="B774" i="1" l="1"/>
  <c r="A773" i="1"/>
  <c r="N773" i="1"/>
  <c r="B775" i="1" l="1"/>
  <c r="A774" i="1"/>
  <c r="N774" i="1"/>
  <c r="B776" i="1" l="1"/>
  <c r="A775" i="1"/>
  <c r="N775" i="1"/>
  <c r="B777" i="1" l="1"/>
  <c r="A776" i="1"/>
  <c r="N776" i="1"/>
  <c r="B778" i="1" l="1"/>
  <c r="A777" i="1"/>
  <c r="N777" i="1"/>
  <c r="B779" i="1" l="1"/>
  <c r="A778" i="1"/>
  <c r="N778" i="1"/>
  <c r="B780" i="1" l="1"/>
  <c r="A779" i="1"/>
  <c r="N779" i="1"/>
  <c r="B781" i="1" l="1"/>
  <c r="A780" i="1"/>
  <c r="N780" i="1"/>
  <c r="B782" i="1" l="1"/>
  <c r="A781" i="1"/>
  <c r="N781" i="1"/>
  <c r="B783" i="1" l="1"/>
  <c r="A782" i="1"/>
  <c r="N782" i="1"/>
  <c r="B784" i="1" l="1"/>
  <c r="A783" i="1"/>
  <c r="N783" i="1"/>
  <c r="B785" i="1" l="1"/>
  <c r="A784" i="1"/>
  <c r="N784" i="1"/>
  <c r="B786" i="1" l="1"/>
  <c r="A785" i="1"/>
  <c r="N785" i="1"/>
  <c r="B787" i="1" l="1"/>
  <c r="A786" i="1"/>
  <c r="N786" i="1"/>
  <c r="B788" i="1" l="1"/>
  <c r="A787" i="1"/>
  <c r="N787" i="1"/>
  <c r="B789" i="1" l="1"/>
  <c r="A788" i="1"/>
  <c r="N788" i="1"/>
  <c r="B790" i="1" l="1"/>
  <c r="A789" i="1"/>
  <c r="N789" i="1"/>
  <c r="B791" i="1" l="1"/>
  <c r="A790" i="1"/>
  <c r="N790" i="1"/>
  <c r="B792" i="1" l="1"/>
  <c r="A791" i="1"/>
  <c r="N791" i="1"/>
  <c r="B793" i="1" l="1"/>
  <c r="A792" i="1"/>
  <c r="N792" i="1"/>
  <c r="B794" i="1" l="1"/>
  <c r="A793" i="1"/>
  <c r="N793" i="1"/>
  <c r="B795" i="1" l="1"/>
  <c r="A794" i="1"/>
  <c r="N794" i="1"/>
  <c r="B796" i="1" l="1"/>
  <c r="A795" i="1"/>
  <c r="N795" i="1"/>
  <c r="B797" i="1" l="1"/>
  <c r="A796" i="1"/>
  <c r="N796" i="1"/>
  <c r="B798" i="1" l="1"/>
  <c r="A797" i="1"/>
  <c r="N797" i="1"/>
  <c r="B799" i="1" l="1"/>
  <c r="A798" i="1"/>
  <c r="N798" i="1"/>
  <c r="B800" i="1" l="1"/>
  <c r="A799" i="1"/>
  <c r="N799" i="1"/>
  <c r="B801" i="1" l="1"/>
  <c r="A800" i="1"/>
  <c r="N800" i="1"/>
  <c r="B802" i="1" l="1"/>
  <c r="A801" i="1"/>
  <c r="N801" i="1"/>
  <c r="B803" i="1" l="1"/>
  <c r="A802" i="1"/>
  <c r="N802" i="1"/>
  <c r="B804" i="1" l="1"/>
  <c r="A803" i="1"/>
  <c r="N803" i="1"/>
  <c r="B805" i="1" l="1"/>
  <c r="A804" i="1"/>
  <c r="N804" i="1"/>
  <c r="B806" i="1" l="1"/>
  <c r="A805" i="1"/>
  <c r="N805" i="1"/>
  <c r="B807" i="1" l="1"/>
  <c r="A806" i="1"/>
  <c r="N806" i="1"/>
  <c r="B808" i="1" l="1"/>
  <c r="A807" i="1"/>
  <c r="N807" i="1"/>
  <c r="B809" i="1" l="1"/>
  <c r="A808" i="1"/>
  <c r="N808" i="1"/>
  <c r="B810" i="1" l="1"/>
  <c r="A809" i="1"/>
  <c r="N809" i="1"/>
  <c r="B811" i="1" l="1"/>
  <c r="A810" i="1"/>
  <c r="N810" i="1"/>
  <c r="B812" i="1" l="1"/>
  <c r="A811" i="1"/>
  <c r="N811" i="1"/>
  <c r="B813" i="1" l="1"/>
  <c r="A812" i="1"/>
  <c r="N812" i="1"/>
  <c r="B814" i="1" l="1"/>
  <c r="A813" i="1"/>
  <c r="N813" i="1"/>
  <c r="B815" i="1" l="1"/>
  <c r="A814" i="1"/>
  <c r="N814" i="1"/>
  <c r="B816" i="1" l="1"/>
  <c r="A815" i="1"/>
  <c r="N815" i="1"/>
  <c r="B817" i="1" l="1"/>
  <c r="A816" i="1"/>
  <c r="N816" i="1"/>
  <c r="B818" i="1" l="1"/>
  <c r="A817" i="1"/>
  <c r="N817" i="1"/>
  <c r="B819" i="1" l="1"/>
  <c r="A818" i="1"/>
  <c r="N818" i="1"/>
  <c r="B820" i="1" l="1"/>
  <c r="A819" i="1"/>
  <c r="N819" i="1"/>
  <c r="B821" i="1" l="1"/>
  <c r="A820" i="1"/>
  <c r="N820" i="1"/>
  <c r="B822" i="1" l="1"/>
  <c r="A821" i="1"/>
  <c r="N821" i="1"/>
  <c r="B823" i="1" l="1"/>
  <c r="A822" i="1"/>
  <c r="N822" i="1"/>
  <c r="B824" i="1" l="1"/>
  <c r="A823" i="1"/>
  <c r="N823" i="1"/>
  <c r="B825" i="1" l="1"/>
  <c r="A824" i="1"/>
  <c r="N824" i="1"/>
  <c r="B826" i="1" l="1"/>
  <c r="A825" i="1"/>
  <c r="N825" i="1"/>
  <c r="B827" i="1" l="1"/>
  <c r="A826" i="1"/>
  <c r="N826" i="1"/>
  <c r="B828" i="1" l="1"/>
  <c r="A827" i="1"/>
  <c r="N827" i="1"/>
  <c r="B829" i="1" l="1"/>
  <c r="A828" i="1"/>
  <c r="N828" i="1"/>
  <c r="B830" i="1" l="1"/>
  <c r="A829" i="1"/>
  <c r="N829" i="1"/>
  <c r="B831" i="1" l="1"/>
  <c r="A830" i="1"/>
  <c r="N830" i="1"/>
  <c r="B832" i="1" l="1"/>
  <c r="A831" i="1"/>
  <c r="N831" i="1"/>
  <c r="B833" i="1" l="1"/>
  <c r="A832" i="1"/>
  <c r="N832" i="1"/>
  <c r="N833" i="1" l="1"/>
  <c r="J10" i="3" s="1"/>
  <c r="B834" i="1"/>
  <c r="A833" i="1"/>
  <c r="N834" i="1" l="1"/>
  <c r="B835" i="1"/>
  <c r="A834" i="1"/>
  <c r="B836" i="1" l="1"/>
  <c r="A835" i="1"/>
  <c r="N835" i="1"/>
  <c r="H10" i="3" s="1"/>
  <c r="K10" i="3" s="1"/>
  <c r="B837" i="1" l="1"/>
  <c r="A836" i="1"/>
  <c r="N836" i="1"/>
  <c r="B838" i="1" l="1"/>
  <c r="A837" i="1"/>
  <c r="N837" i="1"/>
  <c r="B839" i="1" l="1"/>
  <c r="A838" i="1"/>
  <c r="N838" i="1"/>
  <c r="B840" i="1" l="1"/>
  <c r="A839" i="1"/>
  <c r="N839" i="1"/>
  <c r="B841" i="1" l="1"/>
  <c r="A840" i="1"/>
  <c r="N840" i="1"/>
  <c r="B842" i="1" l="1"/>
  <c r="A841" i="1"/>
  <c r="N841" i="1"/>
  <c r="B843" i="1" l="1"/>
  <c r="N842" i="1"/>
  <c r="A842" i="1"/>
  <c r="B844" i="1" l="1"/>
  <c r="N843" i="1"/>
  <c r="A843" i="1"/>
  <c r="B845" i="1" l="1"/>
  <c r="N844" i="1"/>
  <c r="A844" i="1"/>
  <c r="A845" i="1" l="1"/>
  <c r="B846" i="1"/>
  <c r="N845" i="1"/>
  <c r="B847" i="1" l="1"/>
  <c r="A846" i="1"/>
  <c r="N846" i="1"/>
  <c r="N847" i="1" l="1"/>
  <c r="B848" i="1"/>
  <c r="A847" i="1"/>
  <c r="A848" i="1" l="1"/>
  <c r="B849" i="1"/>
  <c r="N848" i="1"/>
  <c r="A849" i="1" l="1"/>
  <c r="B850" i="1"/>
  <c r="N849" i="1"/>
  <c r="B851" i="1" l="1"/>
  <c r="A850" i="1"/>
  <c r="N850" i="1"/>
  <c r="N851" i="1" l="1"/>
  <c r="B852" i="1"/>
  <c r="A851" i="1"/>
  <c r="A852" i="1" l="1"/>
  <c r="N852" i="1"/>
  <c r="B853" i="1"/>
  <c r="B854" i="1" l="1"/>
  <c r="A853" i="1"/>
  <c r="N853" i="1"/>
  <c r="B855" i="1" l="1"/>
  <c r="A854" i="1"/>
  <c r="N854" i="1"/>
  <c r="B856" i="1" l="1"/>
  <c r="N855" i="1"/>
  <c r="A855" i="1"/>
  <c r="N856" i="1" l="1"/>
  <c r="B857" i="1"/>
  <c r="A856" i="1"/>
  <c r="B858" i="1" l="1"/>
  <c r="A857" i="1"/>
  <c r="N857" i="1"/>
  <c r="N858" i="1" l="1"/>
  <c r="B859" i="1"/>
  <c r="A858" i="1"/>
  <c r="N859" i="1" l="1"/>
  <c r="A859" i="1"/>
  <c r="B860" i="1"/>
  <c r="B861" i="1" l="1"/>
  <c r="A860" i="1"/>
  <c r="N860" i="1"/>
  <c r="B862" i="1" l="1"/>
  <c r="A861" i="1"/>
  <c r="N861" i="1"/>
  <c r="B863" i="1" l="1"/>
  <c r="A862" i="1"/>
  <c r="N862" i="1"/>
  <c r="A863" i="1" l="1"/>
  <c r="B864" i="1"/>
  <c r="N863" i="1"/>
  <c r="B865" i="1" l="1"/>
  <c r="A864" i="1"/>
  <c r="N864" i="1"/>
  <c r="B866" i="1" l="1"/>
  <c r="A865" i="1"/>
  <c r="N865" i="1"/>
  <c r="B867" i="1" l="1"/>
  <c r="A866" i="1"/>
  <c r="N866" i="1"/>
  <c r="N867" i="1" l="1"/>
  <c r="B868" i="1"/>
  <c r="A867" i="1"/>
  <c r="B869" i="1" l="1"/>
  <c r="A868" i="1"/>
  <c r="N868" i="1"/>
  <c r="B870" i="1" l="1"/>
  <c r="A869" i="1"/>
  <c r="N869" i="1"/>
  <c r="B871" i="1" l="1"/>
  <c r="A870" i="1"/>
  <c r="N870" i="1"/>
  <c r="B872" i="1" l="1"/>
  <c r="A871" i="1"/>
  <c r="N871" i="1"/>
  <c r="B873" i="1" l="1"/>
  <c r="A872" i="1"/>
  <c r="N872" i="1"/>
  <c r="B874" i="1" l="1"/>
  <c r="A873" i="1"/>
  <c r="N873" i="1"/>
  <c r="B875" i="1" l="1"/>
  <c r="A874" i="1"/>
  <c r="N874" i="1"/>
  <c r="B876" i="1" l="1"/>
  <c r="A875" i="1"/>
  <c r="N875" i="1"/>
  <c r="B877" i="1" l="1"/>
  <c r="A876" i="1"/>
  <c r="N876" i="1"/>
  <c r="B878" i="1" l="1"/>
  <c r="A877" i="1"/>
  <c r="N877" i="1"/>
  <c r="B879" i="1" l="1"/>
  <c r="A878" i="1"/>
  <c r="N878" i="1"/>
  <c r="B880" i="1" l="1"/>
  <c r="A879" i="1"/>
  <c r="N879" i="1"/>
  <c r="B881" i="1" l="1"/>
  <c r="A880" i="1"/>
  <c r="N880" i="1"/>
  <c r="B882" i="1" l="1"/>
  <c r="A881" i="1"/>
  <c r="N881" i="1"/>
  <c r="B883" i="1" l="1"/>
  <c r="A882" i="1"/>
  <c r="N882" i="1"/>
  <c r="B884" i="1" l="1"/>
  <c r="A883" i="1"/>
  <c r="N883" i="1"/>
  <c r="B885" i="1" l="1"/>
  <c r="A884" i="1"/>
  <c r="N884" i="1"/>
  <c r="B886" i="1" l="1"/>
  <c r="A885" i="1"/>
  <c r="N885" i="1"/>
  <c r="B887" i="1" l="1"/>
  <c r="A886" i="1"/>
  <c r="N886" i="1"/>
  <c r="B888" i="1" l="1"/>
  <c r="A887" i="1"/>
  <c r="N887" i="1"/>
  <c r="B889" i="1" l="1"/>
  <c r="A888" i="1"/>
  <c r="N888" i="1"/>
  <c r="B890" i="1" l="1"/>
  <c r="A889" i="1"/>
  <c r="N889" i="1"/>
  <c r="B891" i="1" l="1"/>
  <c r="A890" i="1"/>
  <c r="N890" i="1"/>
  <c r="B892" i="1" l="1"/>
  <c r="A891" i="1"/>
  <c r="N891" i="1"/>
  <c r="J3" i="3" l="1"/>
  <c r="H3" i="3"/>
  <c r="K3" i="3" s="1"/>
  <c r="B893" i="1"/>
  <c r="A892" i="1"/>
  <c r="N892" i="1"/>
  <c r="B894" i="1" l="1"/>
  <c r="A893" i="1"/>
  <c r="N893" i="1"/>
  <c r="B895" i="1" l="1"/>
  <c r="A894" i="1"/>
  <c r="N894" i="1"/>
  <c r="B896" i="1" l="1"/>
  <c r="A895" i="1"/>
  <c r="N895" i="1"/>
  <c r="B897" i="1" l="1"/>
  <c r="A896" i="1"/>
  <c r="N896" i="1"/>
  <c r="B898" i="1" l="1"/>
  <c r="A897" i="1"/>
  <c r="N897" i="1"/>
  <c r="B899" i="1" l="1"/>
  <c r="A898" i="1"/>
  <c r="N898" i="1"/>
  <c r="B900" i="1" l="1"/>
  <c r="A899" i="1"/>
  <c r="N899" i="1"/>
  <c r="B901" i="1" l="1"/>
  <c r="A900" i="1"/>
  <c r="N900" i="1"/>
  <c r="B902" i="1" l="1"/>
  <c r="A901" i="1"/>
  <c r="N901" i="1"/>
  <c r="B903" i="1" l="1"/>
  <c r="A902" i="1"/>
  <c r="N902" i="1"/>
  <c r="B904" i="1" l="1"/>
  <c r="A903" i="1"/>
  <c r="N903" i="1"/>
  <c r="B905" i="1" l="1"/>
  <c r="A904" i="1"/>
  <c r="N904" i="1"/>
  <c r="B906" i="1" l="1"/>
  <c r="A905" i="1"/>
  <c r="N905" i="1"/>
  <c r="B907" i="1" l="1"/>
  <c r="A906" i="1"/>
  <c r="N906" i="1"/>
  <c r="B908" i="1" l="1"/>
  <c r="A907" i="1"/>
  <c r="N907" i="1"/>
  <c r="B909" i="1" l="1"/>
  <c r="A908" i="1"/>
  <c r="N908" i="1"/>
  <c r="B910" i="1" l="1"/>
  <c r="A909" i="1"/>
  <c r="N909" i="1"/>
  <c r="B911" i="1" l="1"/>
  <c r="A910" i="1"/>
  <c r="N910" i="1"/>
  <c r="B912" i="1" l="1"/>
  <c r="A911" i="1"/>
  <c r="N911" i="1"/>
  <c r="B913" i="1" l="1"/>
  <c r="A912" i="1"/>
  <c r="N912" i="1"/>
  <c r="B914" i="1" l="1"/>
  <c r="A913" i="1"/>
  <c r="N913" i="1"/>
  <c r="B915" i="1" l="1"/>
  <c r="A914" i="1"/>
  <c r="N914" i="1"/>
  <c r="B916" i="1" l="1"/>
  <c r="A915" i="1"/>
  <c r="N915" i="1"/>
  <c r="B917" i="1" l="1"/>
  <c r="A916" i="1"/>
  <c r="N916" i="1"/>
  <c r="B918" i="1" l="1"/>
  <c r="A917" i="1"/>
  <c r="N917" i="1"/>
  <c r="B919" i="1" l="1"/>
  <c r="A918" i="1"/>
  <c r="N918" i="1"/>
  <c r="B920" i="1" l="1"/>
  <c r="A919" i="1"/>
  <c r="N919" i="1"/>
  <c r="B921" i="1" l="1"/>
  <c r="A920" i="1"/>
  <c r="N920" i="1"/>
  <c r="B922" i="1" l="1"/>
  <c r="A921" i="1"/>
  <c r="N921" i="1"/>
  <c r="B923" i="1" l="1"/>
  <c r="A922" i="1"/>
  <c r="N922" i="1"/>
  <c r="B924" i="1" l="1"/>
  <c r="A923" i="1"/>
  <c r="N923" i="1"/>
  <c r="B925" i="1" l="1"/>
  <c r="A924" i="1"/>
  <c r="N924" i="1"/>
  <c r="B926" i="1" l="1"/>
  <c r="A925" i="1"/>
  <c r="N925" i="1"/>
  <c r="B927" i="1" l="1"/>
  <c r="A926" i="1"/>
  <c r="N926" i="1"/>
  <c r="B928" i="1" l="1"/>
  <c r="A927" i="1"/>
  <c r="N927" i="1"/>
  <c r="B929" i="1" l="1"/>
  <c r="A928" i="1"/>
  <c r="N928" i="1"/>
  <c r="B930" i="1" l="1"/>
  <c r="A929" i="1"/>
  <c r="N929" i="1"/>
  <c r="B931" i="1" l="1"/>
  <c r="A930" i="1"/>
  <c r="N930" i="1"/>
  <c r="B932" i="1" l="1"/>
  <c r="A931" i="1"/>
  <c r="N931" i="1"/>
  <c r="B933" i="1" l="1"/>
  <c r="A932" i="1"/>
  <c r="N932" i="1"/>
  <c r="B934" i="1" l="1"/>
  <c r="A933" i="1"/>
  <c r="N933" i="1"/>
  <c r="B935" i="1" l="1"/>
  <c r="A934" i="1"/>
  <c r="N934" i="1"/>
  <c r="B936" i="1" l="1"/>
  <c r="A935" i="1"/>
  <c r="N935" i="1"/>
  <c r="B937" i="1" l="1"/>
  <c r="A936" i="1"/>
  <c r="N936" i="1"/>
  <c r="B938" i="1" l="1"/>
  <c r="A937" i="1"/>
  <c r="N937" i="1"/>
  <c r="B939" i="1" l="1"/>
  <c r="A938" i="1"/>
  <c r="N938" i="1"/>
  <c r="B940" i="1" l="1"/>
  <c r="A939" i="1"/>
  <c r="N939" i="1"/>
  <c r="B941" i="1" l="1"/>
  <c r="A940" i="1"/>
  <c r="N940" i="1"/>
  <c r="B942" i="1" l="1"/>
  <c r="A941" i="1"/>
  <c r="N941" i="1"/>
  <c r="B943" i="1" l="1"/>
  <c r="A942" i="1"/>
  <c r="N942" i="1"/>
  <c r="B944" i="1" l="1"/>
  <c r="A943" i="1"/>
  <c r="N943" i="1"/>
  <c r="B945" i="1" l="1"/>
  <c r="A944" i="1"/>
  <c r="N944" i="1"/>
  <c r="B946" i="1" l="1"/>
  <c r="A945" i="1"/>
  <c r="N945" i="1"/>
  <c r="B947" i="1" l="1"/>
  <c r="A946" i="1"/>
  <c r="N946" i="1"/>
  <c r="B948" i="1" l="1"/>
  <c r="A947" i="1"/>
  <c r="N947" i="1"/>
  <c r="B949" i="1" l="1"/>
  <c r="A948" i="1"/>
  <c r="N948" i="1"/>
  <c r="B950" i="1" l="1"/>
  <c r="A949" i="1"/>
  <c r="N949" i="1"/>
  <c r="B951" i="1" l="1"/>
  <c r="A950" i="1"/>
  <c r="N950" i="1"/>
  <c r="B952" i="1" l="1"/>
  <c r="A951" i="1"/>
  <c r="N951" i="1"/>
  <c r="B953" i="1" l="1"/>
  <c r="A952" i="1"/>
  <c r="N952" i="1"/>
  <c r="A953" i="1" l="1"/>
  <c r="B954" i="1"/>
  <c r="N953" i="1"/>
  <c r="B955" i="1" l="1"/>
  <c r="N954" i="1"/>
  <c r="A954" i="1"/>
  <c r="N955" i="1" l="1"/>
  <c r="B956" i="1"/>
  <c r="A955" i="1"/>
  <c r="N956" i="1" l="1"/>
  <c r="A956" i="1"/>
  <c r="B957" i="1"/>
  <c r="A957" i="1" l="1"/>
  <c r="N957" i="1"/>
  <c r="B958" i="1"/>
  <c r="N958" i="1" l="1"/>
  <c r="B959" i="1"/>
  <c r="A958" i="1"/>
  <c r="A959" i="1" l="1"/>
  <c r="N959" i="1"/>
  <c r="B960" i="1"/>
  <c r="A960" i="1" l="1"/>
  <c r="N960" i="1"/>
  <c r="B961" i="1"/>
  <c r="A961" i="1" l="1"/>
  <c r="B962" i="1"/>
  <c r="N961" i="1"/>
  <c r="B963" i="1" l="1"/>
  <c r="A962" i="1"/>
  <c r="N962" i="1"/>
  <c r="B964" i="1" l="1"/>
  <c r="A963" i="1"/>
  <c r="N963" i="1"/>
  <c r="B965" i="1" l="1"/>
  <c r="A964" i="1"/>
  <c r="N964" i="1"/>
  <c r="B966" i="1" l="1"/>
  <c r="A965" i="1"/>
  <c r="N965" i="1"/>
  <c r="B967" i="1" l="1"/>
  <c r="A966" i="1"/>
  <c r="N966" i="1"/>
  <c r="B968" i="1" l="1"/>
  <c r="A967" i="1"/>
  <c r="N967" i="1"/>
  <c r="B969" i="1" l="1"/>
  <c r="A968" i="1"/>
  <c r="N968" i="1"/>
  <c r="N969" i="1" l="1"/>
  <c r="B970" i="1"/>
  <c r="A969" i="1"/>
  <c r="N970" i="1" l="1"/>
  <c r="A970" i="1"/>
  <c r="B971" i="1"/>
  <c r="B972" i="1" l="1"/>
  <c r="A971" i="1"/>
  <c r="N971" i="1"/>
  <c r="B973" i="1" l="1"/>
  <c r="A972" i="1"/>
  <c r="N972" i="1"/>
  <c r="B974" i="1" l="1"/>
  <c r="A973" i="1"/>
  <c r="N973" i="1"/>
  <c r="B975" i="1" l="1"/>
  <c r="A974" i="1"/>
  <c r="N974" i="1"/>
  <c r="B976" i="1" l="1"/>
  <c r="A975" i="1"/>
  <c r="N975" i="1"/>
  <c r="B977" i="1" l="1"/>
  <c r="A976" i="1"/>
  <c r="N976" i="1"/>
  <c r="B978" i="1" l="1"/>
  <c r="A977" i="1"/>
  <c r="N977" i="1"/>
  <c r="B979" i="1" l="1"/>
  <c r="A978" i="1"/>
  <c r="N978" i="1"/>
  <c r="B980" i="1" l="1"/>
  <c r="A979" i="1"/>
  <c r="N979" i="1"/>
  <c r="B981" i="1" l="1"/>
  <c r="A980" i="1"/>
  <c r="N980" i="1"/>
  <c r="B982" i="1" l="1"/>
  <c r="A981" i="1"/>
  <c r="N981" i="1"/>
  <c r="B983" i="1" l="1"/>
  <c r="A982" i="1"/>
  <c r="N982" i="1"/>
  <c r="B984" i="1" l="1"/>
  <c r="A983" i="1"/>
  <c r="N983" i="1"/>
  <c r="B985" i="1" l="1"/>
  <c r="A984" i="1"/>
  <c r="N984" i="1"/>
  <c r="B986" i="1" l="1"/>
  <c r="A985" i="1"/>
  <c r="N985" i="1"/>
  <c r="B987" i="1" l="1"/>
  <c r="A986" i="1"/>
  <c r="N986" i="1"/>
  <c r="B988" i="1" l="1"/>
  <c r="A987" i="1"/>
  <c r="N987" i="1"/>
  <c r="B989" i="1" l="1"/>
  <c r="A988" i="1"/>
  <c r="N988" i="1"/>
  <c r="B990" i="1" l="1"/>
  <c r="A989" i="1"/>
  <c r="N989" i="1"/>
  <c r="B991" i="1" l="1"/>
  <c r="A990" i="1"/>
  <c r="N990" i="1"/>
  <c r="B992" i="1" l="1"/>
  <c r="A991" i="1"/>
  <c r="N991" i="1"/>
  <c r="B993" i="1" l="1"/>
  <c r="A992" i="1"/>
  <c r="N992" i="1"/>
  <c r="B994" i="1" l="1"/>
  <c r="A993" i="1"/>
  <c r="N993" i="1"/>
  <c r="B995" i="1" l="1"/>
  <c r="A994" i="1"/>
  <c r="N994" i="1"/>
  <c r="B996" i="1" l="1"/>
  <c r="A995" i="1"/>
  <c r="N995" i="1"/>
  <c r="A996" i="1" l="1"/>
  <c r="B997" i="1"/>
  <c r="N996" i="1"/>
  <c r="B998" i="1" l="1"/>
  <c r="A997" i="1"/>
  <c r="N997" i="1"/>
  <c r="B999" i="1" l="1"/>
  <c r="A998" i="1"/>
  <c r="N998" i="1"/>
  <c r="B1000" i="1" l="1"/>
  <c r="A999" i="1"/>
  <c r="N999" i="1"/>
  <c r="A1000" i="1" l="1"/>
  <c r="B1001" i="1"/>
  <c r="N1000" i="1"/>
  <c r="A1001" i="1" l="1"/>
  <c r="B1002" i="1"/>
  <c r="N1001" i="1"/>
  <c r="N1002" i="1" l="1"/>
  <c r="B1003" i="1"/>
  <c r="A1002" i="1"/>
  <c r="A1003" i="1" l="1"/>
  <c r="B1004" i="1"/>
  <c r="N1003" i="1"/>
  <c r="A1004" i="1" l="1"/>
  <c r="B1005" i="1"/>
  <c r="N1004" i="1"/>
  <c r="N1005" i="1" l="1"/>
  <c r="B1006" i="1"/>
  <c r="A1005" i="1"/>
  <c r="A1006" i="1" l="1"/>
  <c r="N1006" i="1"/>
  <c r="B1007" i="1"/>
  <c r="B1008" i="1" l="1"/>
  <c r="A1007" i="1"/>
  <c r="N1007" i="1"/>
  <c r="A1008" i="1" l="1"/>
  <c r="N1008" i="1"/>
  <c r="B1009" i="1"/>
  <c r="B1010" i="1" l="1"/>
  <c r="A1009" i="1"/>
  <c r="N1009" i="1"/>
  <c r="B1011" i="1" l="1"/>
  <c r="A1010" i="1"/>
  <c r="N1010" i="1"/>
  <c r="B1012" i="1" l="1"/>
  <c r="A1011" i="1"/>
  <c r="N1011" i="1"/>
  <c r="B1013" i="1" l="1"/>
  <c r="A1012" i="1"/>
  <c r="N1012" i="1"/>
  <c r="B1014" i="1" l="1"/>
  <c r="A1013" i="1"/>
  <c r="N1013" i="1"/>
  <c r="B1015" i="1" l="1"/>
  <c r="A1014" i="1"/>
  <c r="N1014" i="1"/>
  <c r="B1016" i="1" l="1"/>
  <c r="A1015" i="1"/>
  <c r="N1015" i="1"/>
  <c r="B1017" i="1" l="1"/>
  <c r="A1016" i="1"/>
  <c r="N1016" i="1"/>
  <c r="B1018" i="1" l="1"/>
  <c r="A1017" i="1"/>
  <c r="N1017" i="1"/>
  <c r="B1019" i="1" l="1"/>
  <c r="A1018" i="1"/>
  <c r="N1018" i="1"/>
  <c r="B1020" i="1" l="1"/>
  <c r="A1019" i="1"/>
  <c r="N1019" i="1"/>
  <c r="B1021" i="1" l="1"/>
  <c r="A1020" i="1"/>
  <c r="N1020" i="1"/>
  <c r="B1022" i="1" l="1"/>
  <c r="A1021" i="1"/>
  <c r="N1021" i="1"/>
  <c r="B1023" i="1" l="1"/>
  <c r="A1022" i="1"/>
  <c r="N1022" i="1"/>
  <c r="B1024" i="1" l="1"/>
  <c r="A1023" i="1"/>
  <c r="N1023" i="1"/>
  <c r="B1025" i="1" l="1"/>
  <c r="A1024" i="1"/>
  <c r="N1024" i="1"/>
  <c r="B1026" i="1" l="1"/>
  <c r="A1025" i="1"/>
  <c r="N1025" i="1"/>
  <c r="B1027" i="1" l="1"/>
  <c r="A1026" i="1"/>
  <c r="N1026" i="1"/>
  <c r="B1028" i="1" l="1"/>
  <c r="A1027" i="1"/>
  <c r="N1027" i="1"/>
  <c r="B1029" i="1" l="1"/>
  <c r="A1028" i="1"/>
  <c r="N1028" i="1"/>
  <c r="B1030" i="1" l="1"/>
  <c r="A1029" i="1"/>
  <c r="N1029" i="1"/>
  <c r="B1031" i="1" l="1"/>
  <c r="A1030" i="1"/>
  <c r="N1030" i="1"/>
  <c r="B1032" i="1" l="1"/>
  <c r="A1031" i="1"/>
  <c r="N1031" i="1"/>
  <c r="B1033" i="1" l="1"/>
  <c r="A1032" i="1"/>
  <c r="N1032" i="1"/>
  <c r="B1034" i="1" l="1"/>
  <c r="A1033" i="1"/>
  <c r="N1033" i="1"/>
  <c r="B1035" i="1" l="1"/>
  <c r="A1034" i="1"/>
  <c r="N1034" i="1"/>
  <c r="B1036" i="1" l="1"/>
  <c r="A1035" i="1"/>
  <c r="N1035" i="1"/>
  <c r="B1037" i="1" l="1"/>
  <c r="A1036" i="1"/>
  <c r="N1036" i="1"/>
  <c r="B1038" i="1" l="1"/>
  <c r="A1037" i="1"/>
  <c r="N1037" i="1"/>
  <c r="B1039" i="1" l="1"/>
  <c r="A1038" i="1"/>
  <c r="N1038" i="1"/>
  <c r="B1040" i="1" l="1"/>
  <c r="A1039" i="1"/>
  <c r="N1039" i="1"/>
  <c r="B1041" i="1" l="1"/>
  <c r="A1040" i="1"/>
  <c r="N1040" i="1"/>
  <c r="B1042" i="1" l="1"/>
  <c r="A1041" i="1"/>
  <c r="N1041" i="1"/>
  <c r="B1043" i="1" l="1"/>
  <c r="A1042" i="1"/>
  <c r="N1042" i="1"/>
  <c r="B1044" i="1" l="1"/>
  <c r="A1043" i="1"/>
  <c r="N1043" i="1"/>
  <c r="B1045" i="1" l="1"/>
  <c r="A1044" i="1"/>
  <c r="N1044" i="1"/>
  <c r="B1046" i="1" l="1"/>
  <c r="A1045" i="1"/>
  <c r="N1045" i="1"/>
  <c r="B1047" i="1" l="1"/>
  <c r="A1046" i="1"/>
  <c r="N1046" i="1"/>
  <c r="B1048" i="1" l="1"/>
  <c r="A1047" i="1"/>
  <c r="N1047" i="1"/>
  <c r="B1049" i="1" l="1"/>
  <c r="A1048" i="1"/>
  <c r="N1048" i="1"/>
  <c r="B1050" i="1" l="1"/>
  <c r="A1049" i="1"/>
  <c r="N1049" i="1"/>
  <c r="B1051" i="1" l="1"/>
  <c r="A1050" i="1"/>
  <c r="N1050" i="1"/>
  <c r="B1052" i="1" l="1"/>
  <c r="A1051" i="1"/>
  <c r="N1051" i="1"/>
  <c r="B1053" i="1" l="1"/>
  <c r="A1052" i="1"/>
  <c r="N1052" i="1"/>
  <c r="B1054" i="1" l="1"/>
  <c r="A1053" i="1"/>
  <c r="N1053" i="1"/>
  <c r="B1055" i="1" l="1"/>
  <c r="A1054" i="1"/>
  <c r="N1054" i="1"/>
  <c r="B1056" i="1" l="1"/>
  <c r="A1055" i="1"/>
  <c r="N1055" i="1"/>
  <c r="B1057" i="1" l="1"/>
  <c r="A1056" i="1"/>
  <c r="N1056" i="1"/>
  <c r="B1058" i="1" l="1"/>
  <c r="A1057" i="1"/>
  <c r="N1057" i="1"/>
  <c r="B1059" i="1" l="1"/>
  <c r="A1058" i="1"/>
  <c r="N1058" i="1"/>
  <c r="B1060" i="1" l="1"/>
  <c r="A1059" i="1"/>
  <c r="N1059" i="1"/>
  <c r="B1061" i="1" l="1"/>
  <c r="A1060" i="1"/>
  <c r="N1060" i="1"/>
  <c r="B1062" i="1" l="1"/>
  <c r="A1061" i="1"/>
  <c r="N1061" i="1"/>
  <c r="H8" i="3" l="1"/>
  <c r="K8" i="3" s="1"/>
  <c r="J8" i="3"/>
  <c r="B1063" i="1"/>
  <c r="A1062" i="1"/>
  <c r="N1062" i="1"/>
  <c r="B1064" i="1" l="1"/>
  <c r="A1063" i="1"/>
  <c r="N1063" i="1"/>
  <c r="B1065" i="1" l="1"/>
  <c r="A1064" i="1"/>
  <c r="N1064" i="1"/>
  <c r="B1066" i="1" l="1"/>
  <c r="A1065" i="1"/>
  <c r="N1065" i="1"/>
  <c r="B1067" i="1" l="1"/>
  <c r="A1066" i="1"/>
  <c r="N1066" i="1"/>
  <c r="B1068" i="1" l="1"/>
  <c r="A1067" i="1"/>
  <c r="N1067" i="1"/>
  <c r="B1069" i="1" l="1"/>
  <c r="A1068" i="1"/>
  <c r="N1068" i="1"/>
  <c r="B1070" i="1" l="1"/>
  <c r="A1069" i="1"/>
  <c r="N1069" i="1"/>
  <c r="B1071" i="1" l="1"/>
  <c r="A1070" i="1"/>
  <c r="N1070" i="1"/>
  <c r="B1072" i="1" l="1"/>
  <c r="A1071" i="1"/>
  <c r="N1071" i="1"/>
  <c r="B1073" i="1" l="1"/>
  <c r="A1072" i="1"/>
  <c r="N1072" i="1"/>
  <c r="B1074" i="1" l="1"/>
  <c r="A1073" i="1"/>
  <c r="N1073" i="1"/>
  <c r="B1075" i="1" l="1"/>
  <c r="A1074" i="1"/>
  <c r="N1074" i="1"/>
  <c r="B1076" i="1" l="1"/>
  <c r="A1075" i="1"/>
  <c r="N1075" i="1"/>
  <c r="B1077" i="1" l="1"/>
  <c r="A1076" i="1"/>
  <c r="N1076" i="1"/>
  <c r="B1078" i="1" l="1"/>
  <c r="A1077" i="1"/>
  <c r="N1077" i="1"/>
  <c r="B1079" i="1" l="1"/>
  <c r="A1078" i="1"/>
  <c r="N1078" i="1"/>
  <c r="B1080" i="1" l="1"/>
  <c r="A1079" i="1"/>
  <c r="N1079" i="1"/>
  <c r="B1081" i="1" l="1"/>
  <c r="A1080" i="1"/>
  <c r="N1080" i="1"/>
  <c r="H9" i="3" l="1"/>
  <c r="K9" i="3" s="1"/>
  <c r="B1082" i="1"/>
  <c r="A1081" i="1"/>
  <c r="N1081" i="1"/>
  <c r="B1083" i="1" l="1"/>
  <c r="A1082" i="1"/>
  <c r="N1082" i="1"/>
  <c r="B1084" i="1" l="1"/>
  <c r="A1083" i="1"/>
  <c r="N1083" i="1"/>
  <c r="B1085" i="1" l="1"/>
  <c r="A1084" i="1"/>
  <c r="N1084" i="1"/>
  <c r="B1086" i="1" l="1"/>
  <c r="A1085" i="1"/>
  <c r="N1085" i="1"/>
  <c r="B1087" i="1" l="1"/>
  <c r="A1086" i="1"/>
  <c r="N1086" i="1"/>
  <c r="B1088" i="1" l="1"/>
  <c r="A1087" i="1"/>
  <c r="N1087" i="1"/>
  <c r="B1089" i="1" l="1"/>
  <c r="A1088" i="1"/>
  <c r="N1088" i="1"/>
  <c r="B1090" i="1" l="1"/>
  <c r="A1089" i="1"/>
  <c r="N1089" i="1"/>
  <c r="B1091" i="1" l="1"/>
  <c r="A1090" i="1"/>
  <c r="N1090" i="1"/>
  <c r="B1092" i="1" l="1"/>
  <c r="A1091" i="1"/>
  <c r="N1091" i="1"/>
  <c r="B1093" i="1" l="1"/>
  <c r="A1092" i="1"/>
  <c r="N1092" i="1"/>
  <c r="B1094" i="1" l="1"/>
  <c r="A1093" i="1"/>
  <c r="N1093" i="1"/>
  <c r="B1095" i="1" l="1"/>
  <c r="A1094" i="1"/>
  <c r="N1094" i="1"/>
  <c r="B1096" i="1" l="1"/>
  <c r="A1095" i="1"/>
  <c r="N1095" i="1"/>
  <c r="B1097" i="1" l="1"/>
  <c r="A1096" i="1"/>
  <c r="N1096" i="1"/>
  <c r="B1098" i="1" l="1"/>
  <c r="A1097" i="1"/>
  <c r="N1097" i="1"/>
  <c r="B1099" i="1" l="1"/>
  <c r="A1098" i="1"/>
  <c r="N1098" i="1"/>
  <c r="B1100" i="1" l="1"/>
  <c r="A1099" i="1"/>
  <c r="N1099" i="1"/>
  <c r="B1101" i="1" l="1"/>
  <c r="A1100" i="1"/>
  <c r="N1100" i="1"/>
  <c r="B1102" i="1" l="1"/>
  <c r="A1101" i="1"/>
  <c r="N1101" i="1"/>
  <c r="B1103" i="1" l="1"/>
  <c r="A1102" i="1"/>
  <c r="N1102" i="1"/>
  <c r="B1104" i="1" l="1"/>
  <c r="A1103" i="1"/>
  <c r="N1103" i="1"/>
  <c r="B1105" i="1" l="1"/>
  <c r="A1104" i="1"/>
  <c r="N1104" i="1"/>
  <c r="A1105" i="1" l="1"/>
  <c r="B1106" i="1"/>
  <c r="N1105" i="1"/>
  <c r="A1106" i="1" l="1"/>
  <c r="B1107" i="1"/>
  <c r="N1106" i="1"/>
  <c r="H19" i="5" l="1"/>
  <c r="A1107" i="1"/>
  <c r="N1107" i="1"/>
  <c r="J2" i="3" l="1"/>
  <c r="J4" i="3"/>
  <c r="J9" i="3"/>
  <c r="H2" i="3"/>
  <c r="K2" i="3" s="1"/>
  <c r="H4" i="3"/>
  <c r="K4" i="3" s="1"/>
</calcChain>
</file>

<file path=xl/sharedStrings.xml><?xml version="1.0" encoding="utf-8"?>
<sst xmlns="http://schemas.openxmlformats.org/spreadsheetml/2006/main" count="2651" uniqueCount="157">
  <si>
    <t>day</t>
  </si>
  <si>
    <t>Available
for Sales</t>
  </si>
  <si>
    <t>Comment</t>
  </si>
  <si>
    <t>Montag</t>
  </si>
  <si>
    <t>Dienstag</t>
  </si>
  <si>
    <t>Mittwoch</t>
  </si>
  <si>
    <t>Donnerstag</t>
  </si>
  <si>
    <t>Freitag</t>
  </si>
  <si>
    <t>Samstag</t>
  </si>
  <si>
    <t>Sonntag</t>
  </si>
  <si>
    <t>BIOCLEAN</t>
  </si>
  <si>
    <t>ECLAZ</t>
  </si>
  <si>
    <t>ECLAZ ONE</t>
  </si>
  <si>
    <t>SIGMA</t>
  </si>
  <si>
    <t>INVEST</t>
  </si>
  <si>
    <t>LUX</t>
  </si>
  <si>
    <t>VX</t>
  </si>
  <si>
    <t>PV SINT</t>
  </si>
  <si>
    <t>TIMELESS</t>
  </si>
  <si>
    <t>Einstellzeit (h)</t>
  </si>
  <si>
    <t>Geschw. (m/min)</t>
  </si>
  <si>
    <t>Ausbringung Budget (m²/h)</t>
  </si>
  <si>
    <t>Umstellung</t>
  </si>
  <si>
    <t>Mindestlänge (Tage)</t>
  </si>
  <si>
    <t>Maximallänge (Tage)</t>
  </si>
  <si>
    <r>
      <rPr>
        <sz val="8"/>
        <rFont val="Calibri"/>
        <family val="2"/>
      </rPr>
      <t>∑</t>
    </r>
    <r>
      <rPr>
        <sz val="8"/>
        <rFont val="Calibri"/>
        <family val="2"/>
        <scheme val="minor"/>
      </rPr>
      <t xml:space="preserve"> Umstellungen</t>
    </r>
  </si>
  <si>
    <t>coating</t>
  </si>
  <si>
    <t>date</t>
  </si>
  <si>
    <t>week</t>
  </si>
  <si>
    <t>W</t>
  </si>
  <si>
    <t>K</t>
  </si>
  <si>
    <t>coating 1</t>
  </si>
  <si>
    <t>coating 2</t>
  </si>
  <si>
    <t>Einzel</t>
  </si>
  <si>
    <t>Mo-DI / Mi-Do</t>
  </si>
  <si>
    <t>Fr-So</t>
  </si>
  <si>
    <t>Mo-Do</t>
  </si>
  <si>
    <t>Fr-Di / Mi-So</t>
  </si>
  <si>
    <t>ganze Woche</t>
  </si>
  <si>
    <t>BioClean TOP</t>
  </si>
  <si>
    <t>aber nicht WE</t>
  </si>
  <si>
    <t>Kampagne kürzer als vorgesehen (oder WE für Sigma)</t>
  </si>
  <si>
    <t>Kampagne nach Plan</t>
  </si>
  <si>
    <t>Kampagne länger als vorgesehen</t>
  </si>
  <si>
    <t>wegen Jahresmengen in der Regel nicht realisierbar</t>
  </si>
  <si>
    <t>production 1 (h)</t>
  </si>
  <si>
    <t>production 2 (h)</t>
  </si>
  <si>
    <t>output target 1 (M²)</t>
  </si>
  <si>
    <t>output target 2 (M²)</t>
  </si>
  <si>
    <t>yield target (M²)</t>
  </si>
  <si>
    <t>Erwarteter Verbrauch Einstellglas (M²)</t>
  </si>
  <si>
    <t>HS</t>
  </si>
  <si>
    <t>Timeless</t>
  </si>
  <si>
    <t>Vorspannbare Produkte:</t>
  </si>
  <si>
    <t>VC II</t>
  </si>
  <si>
    <t>nein</t>
  </si>
  <si>
    <t>BIO-Versuch 18 - 20h</t>
  </si>
  <si>
    <t>Abbruch wegen WAMA-Spuren</t>
  </si>
  <si>
    <t>Abbruch wegen Kratzern</t>
  </si>
  <si>
    <t>Sigma Versuch 6h</t>
  </si>
  <si>
    <t>MAG Temperofen in Wartung</t>
  </si>
  <si>
    <t>Bioclean</t>
  </si>
  <si>
    <t>Overcoatversuche TiOx</t>
  </si>
  <si>
    <t>ECLAZ Produktion muss ggf. verlängert werden</t>
  </si>
  <si>
    <t>Produktion abebrochen / Fluten</t>
  </si>
  <si>
    <t>PLT XNII</t>
  </si>
  <si>
    <t>PLT ONE</t>
  </si>
  <si>
    <t>PLT ONE II</t>
  </si>
  <si>
    <t>Fluten &amp; PLT XN</t>
  </si>
  <si>
    <t>PLT XN</t>
  </si>
  <si>
    <t>Versuch PLT XN-T</t>
  </si>
  <si>
    <t>PLT XN-T</t>
  </si>
  <si>
    <t>VIEWCL II</t>
  </si>
  <si>
    <t>PLT VX</t>
  </si>
  <si>
    <t>Ausfall Timeless</t>
  </si>
  <si>
    <t>Ag/TiOx (D. Peyrot)</t>
  </si>
  <si>
    <t>evtl. ECLAZ</t>
  </si>
  <si>
    <t>evtl. PLT ONE</t>
  </si>
  <si>
    <t>Fluten</t>
  </si>
  <si>
    <t>Setupwechsel für Versuch</t>
  </si>
  <si>
    <t>BioClean NextGen</t>
  </si>
  <si>
    <t>ECLAZ ONE Solar Control Versuch</t>
  </si>
  <si>
    <t>XN II Zn insertion (D. Peyrot)</t>
  </si>
  <si>
    <t>Wartung Klimaanlage SIGMA</t>
  </si>
  <si>
    <t>in KW50</t>
  </si>
  <si>
    <t>(keine Laserproduktion</t>
  </si>
  <si>
    <t>möglich, 2 Tage)</t>
  </si>
  <si>
    <t>-</t>
  </si>
  <si>
    <t>ja</t>
  </si>
  <si>
    <t>ECLAZ ONE Solar Control</t>
  </si>
  <si>
    <t>24 Std. Versuch</t>
  </si>
  <si>
    <r>
      <rPr>
        <sz val="8"/>
        <rFont val="Calibri"/>
        <family val="2"/>
      </rPr>
      <t>∑</t>
    </r>
    <r>
      <rPr>
        <sz val="8"/>
        <rFont val="Calibri"/>
        <family val="2"/>
        <scheme val="minor"/>
      </rPr>
      <t xml:space="preserve"> Budget 2022 (m²)</t>
    </r>
  </si>
  <si>
    <t xml:space="preserve"> Planung 2022 (m²)</t>
  </si>
  <si>
    <t xml:space="preserve">Wartung Optoplex </t>
  </si>
  <si>
    <t>mit reduzierter Geschwindigkeit</t>
  </si>
  <si>
    <t>Validierung SnZn-OC ECLAZ</t>
  </si>
  <si>
    <t>Validierung SnZn-OC XN</t>
  </si>
  <si>
    <t xml:space="preserve"> </t>
  </si>
  <si>
    <t>ECLAZ ONE g53 trial</t>
  </si>
  <si>
    <t xml:space="preserve">Keine Produktion </t>
  </si>
  <si>
    <t>Scherbenziehen</t>
  </si>
  <si>
    <t>@ Float</t>
  </si>
  <si>
    <t>Final validation ECLAZ ONE new version</t>
  </si>
  <si>
    <t>Leck nach Wartung - Start TML 22:00 Uhr</t>
  </si>
  <si>
    <t>Start 15:00 Uhr</t>
  </si>
  <si>
    <t>Start ~16:00 Uhr</t>
  </si>
  <si>
    <t>Start Produktion 21:00</t>
  </si>
  <si>
    <t>Verschiebung ECLAZ ONE</t>
  </si>
  <si>
    <t>ECLAZ ONE / XN in Prüfung</t>
  </si>
  <si>
    <t>XN Opti MoM</t>
  </si>
  <si>
    <t>Kathode defekt - BIOCLEAN nicht möglich</t>
  </si>
  <si>
    <t>ECLAZ Mid iron</t>
  </si>
  <si>
    <t>ECLAZ Einstellung nicht gelungen</t>
  </si>
  <si>
    <t>Invest</t>
  </si>
  <si>
    <t>SF @ Torgau</t>
  </si>
  <si>
    <r>
      <t xml:space="preserve">SF @ Torgau / </t>
    </r>
    <r>
      <rPr>
        <b/>
        <sz val="11"/>
        <color rgb="FFFF0000"/>
        <rFont val="Calibri"/>
        <family val="2"/>
        <scheme val="minor"/>
      </rPr>
      <t>Verzögerung W</t>
    </r>
  </si>
  <si>
    <r>
      <t xml:space="preserve">Verzögerung </t>
    </r>
    <r>
      <rPr>
        <b/>
        <sz val="11"/>
        <color rgb="FFFF0000"/>
        <rFont val="Calibri"/>
        <family val="2"/>
        <scheme val="minor"/>
      </rPr>
      <t>W</t>
    </r>
  </si>
  <si>
    <t>Defekt d. Anlage</t>
  </si>
  <si>
    <t>mid-iron Versuch</t>
  </si>
  <si>
    <t>Backup: ECLAZ 2,9mm &amp; 8mm</t>
  </si>
  <si>
    <t>Laserwartung! SIGMA offline</t>
  </si>
  <si>
    <t>Wochen­tag</t>
  </si>
  <si>
    <t>Feiertag</t>
  </si>
  <si>
    <t>Neujahrs­tag</t>
  </si>
  <si>
    <t>Karfreitag</t>
  </si>
  <si>
    <t>Oster­montag</t>
  </si>
  <si>
    <t>Tag der Arbeit / 1. Mai</t>
  </si>
  <si>
    <t>Donners­tag</t>
  </si>
  <si>
    <t>Christi Himmel­fahrt</t>
  </si>
  <si>
    <t>Pfingst­montag</t>
  </si>
  <si>
    <t>Fronleich­nam</t>
  </si>
  <si>
    <t>Tag der Deutschen Einheit</t>
  </si>
  <si>
    <t>Aller­heiligen</t>
  </si>
  <si>
    <t>1. Weih­nachtstag</t>
  </si>
  <si>
    <t>2. Weih­nachtstag</t>
  </si>
  <si>
    <t>Datum</t>
  </si>
  <si>
    <t>1. Novem­ber 2023</t>
  </si>
  <si>
    <t>25. Dezem­ber 2023</t>
  </si>
  <si>
    <t>26. Dezem­ber 2023</t>
  </si>
  <si>
    <r>
      <t xml:space="preserve">Laserwartung! SIGMA offline
</t>
    </r>
    <r>
      <rPr>
        <b/>
        <sz val="10"/>
        <color theme="1"/>
        <rFont val="Calibri"/>
        <family val="2"/>
        <scheme val="minor"/>
      </rPr>
      <t xml:space="preserve"> Start Wartung</t>
    </r>
  </si>
  <si>
    <t>50% Ausbringung</t>
  </si>
  <si>
    <t>BIOCLEAN falls ECLAZ ONE Freitag nicht möglich ist</t>
  </si>
  <si>
    <t>ECLAZ Einstellung nicht möglich</t>
  </si>
  <si>
    <t>Keine Produktion, XN produziert</t>
  </si>
  <si>
    <t>Mit ECLAZ ONE ORAÉ Produktion</t>
  </si>
  <si>
    <t>Mit ECLAZ ORAÉ Produktion</t>
  </si>
  <si>
    <t>ZiAl durchgesputtert -</t>
  </si>
  <si>
    <t>frühzeitig in</t>
  </si>
  <si>
    <t>Wartung</t>
  </si>
  <si>
    <t>W/XN</t>
  </si>
  <si>
    <t>XN/ECLAZ</t>
  </si>
  <si>
    <t>geplanter Start XN</t>
  </si>
  <si>
    <t>Mid-iron Versuch (E3)</t>
  </si>
  <si>
    <t>Verschoben vom 17.03 (Prod.)</t>
  </si>
  <si>
    <t>keine Produktion</t>
  </si>
  <si>
    <t>Produktion nicht abgeschlossen</t>
  </si>
  <si>
    <t>Keine Produktion wegen Quali.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</si>
</sst>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dd/mm"/>
    <numFmt numFmtId="166" formatCode="_-* #,##0.00\ _D_M_-;\-* #,##0.00\ _D_M_-;_-* &quot;-&quot;??\ _D_M_-;_-@_-"/>
    <numFmt numFmtId="167" formatCode="_-* #,##0\ _€_-;\-* #,##0\ _€_-;_-* &quot;-&quot;??\ _€_-;_-@_-"/>
    <numFmt numFmtId="168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b/>
      <sz val="8"/>
      <color indexed="53"/>
      <name val="Arial"/>
      <family val="2"/>
    </font>
    <font>
      <b/>
      <sz val="14"/>
      <color indexed="4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4" tint="-0.499984740745262"/>
      <name val="Calibri"/>
      <family val="2"/>
    </font>
    <font>
      <i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3" fillId="0" borderId="0"/>
  </cellStyleXfs>
  <cellXfs count="13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4" xfId="0" applyBorder="1"/>
    <xf numFmtId="165" fontId="0" fillId="0" borderId="4" xfId="0" applyNumberFormat="1" applyBorder="1"/>
    <xf numFmtId="0" fontId="9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0" fillId="0" borderId="12" xfId="0" applyNumberFormat="1" applyBorder="1"/>
    <xf numFmtId="14" fontId="0" fillId="0" borderId="7" xfId="0" applyNumberFormat="1" applyBorder="1"/>
    <xf numFmtId="0" fontId="0" fillId="0" borderId="4" xfId="0" applyBorder="1"/>
    <xf numFmtId="0" fontId="0" fillId="0" borderId="13" xfId="0" applyBorder="1"/>
    <xf numFmtId="1" fontId="0" fillId="0" borderId="8" xfId="0" applyNumberFormat="1" applyBorder="1"/>
    <xf numFmtId="1" fontId="0" fillId="0" borderId="14" xfId="0" applyNumberFormat="1" applyBorder="1"/>
    <xf numFmtId="14" fontId="2" fillId="5" borderId="7" xfId="0" applyNumberFormat="1" applyFont="1" applyFill="1" applyBorder="1"/>
    <xf numFmtId="0" fontId="0" fillId="8" borderId="4" xfId="0" applyFill="1" applyBorder="1"/>
    <xf numFmtId="1" fontId="0" fillId="8" borderId="8" xfId="0" applyNumberFormat="1" applyFill="1" applyBorder="1"/>
    <xf numFmtId="14" fontId="2" fillId="5" borderId="9" xfId="0" applyNumberFormat="1" applyFont="1" applyFill="1" applyBorder="1"/>
    <xf numFmtId="0" fontId="0" fillId="8" borderId="10" xfId="0" applyFill="1" applyBorder="1"/>
    <xf numFmtId="1" fontId="0" fillId="8" borderId="11" xfId="0" applyNumberFormat="1" applyFill="1" applyBorder="1"/>
    <xf numFmtId="165" fontId="0" fillId="5" borderId="12" xfId="0" applyNumberFormat="1" applyFill="1" applyBorder="1"/>
    <xf numFmtId="0" fontId="3" fillId="0" borderId="4" xfId="0" applyFont="1" applyBorder="1" applyAlignment="1">
      <alignment horizontal="center" vertical="center"/>
    </xf>
    <xf numFmtId="0" fontId="0" fillId="8" borderId="13" xfId="0" applyFill="1" applyBorder="1"/>
    <xf numFmtId="0" fontId="3" fillId="0" borderId="15" xfId="0" applyFont="1" applyBorder="1" applyAlignment="1">
      <alignment horizontal="center" vertical="center" wrapText="1"/>
    </xf>
    <xf numFmtId="0" fontId="7" fillId="0" borderId="0" xfId="0" applyFont="1" applyBorder="1"/>
    <xf numFmtId="165" fontId="0" fillId="5" borderId="16" xfId="0" applyNumberFormat="1" applyFill="1" applyBorder="1"/>
    <xf numFmtId="164" fontId="7" fillId="7" borderId="13" xfId="5" applyFont="1" applyFill="1" applyBorder="1"/>
    <xf numFmtId="0" fontId="9" fillId="2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9" xfId="0" applyFont="1" applyFill="1" applyBorder="1" applyAlignment="1">
      <alignment horizontal="left" vertical="top" wrapText="1"/>
    </xf>
    <xf numFmtId="164" fontId="7" fillId="7" borderId="12" xfId="5" applyFont="1" applyFill="1" applyBorder="1"/>
    <xf numFmtId="0" fontId="0" fillId="4" borderId="20" xfId="0" applyFill="1" applyBorder="1"/>
    <xf numFmtId="1" fontId="16" fillId="0" borderId="0" xfId="7" quotePrefix="1" applyNumberFormat="1" applyFont="1" applyBorder="1" applyAlignment="1">
      <alignment horizontal="left" vertical="center"/>
    </xf>
    <xf numFmtId="1" fontId="17" fillId="0" borderId="0" xfId="7" applyNumberFormat="1" applyFont="1" applyAlignment="1">
      <alignment vertical="center"/>
    </xf>
    <xf numFmtId="1" fontId="13" fillId="0" borderId="0" xfId="7" applyNumberFormat="1" applyAlignment="1">
      <alignment vertical="center"/>
    </xf>
    <xf numFmtId="1" fontId="18" fillId="0" borderId="0" xfId="7" applyNumberFormat="1" applyFont="1" applyBorder="1" applyAlignment="1">
      <alignment horizontal="left" vertical="center"/>
    </xf>
    <xf numFmtId="1" fontId="14" fillId="0" borderId="0" xfId="7" applyNumberFormat="1" applyFont="1" applyBorder="1" applyAlignment="1">
      <alignment vertical="center"/>
    </xf>
    <xf numFmtId="1" fontId="14" fillId="0" borderId="0" xfId="7" applyNumberFormat="1" applyFont="1" applyFill="1" applyBorder="1" applyAlignment="1">
      <alignment vertical="center"/>
    </xf>
    <xf numFmtId="49" fontId="15" fillId="10" borderId="4" xfId="7" applyNumberFormat="1" applyFont="1" applyFill="1" applyBorder="1" applyAlignment="1" applyProtection="1">
      <alignment horizontal="left" vertical="center"/>
      <protection locked="0"/>
    </xf>
    <xf numFmtId="49" fontId="19" fillId="0" borderId="0" xfId="7" applyNumberFormat="1" applyFont="1" applyBorder="1" applyAlignment="1" applyProtection="1">
      <alignment vertical="center"/>
      <protection locked="0"/>
    </xf>
    <xf numFmtId="1" fontId="15" fillId="0" borderId="0" xfId="7" applyNumberFormat="1" applyFont="1" applyFill="1" applyAlignment="1">
      <alignment horizontal="left" vertical="center"/>
    </xf>
    <xf numFmtId="0" fontId="19" fillId="0" borderId="0" xfId="7" applyNumberFormat="1" applyFont="1" applyBorder="1" applyAlignment="1" applyProtection="1">
      <alignment vertical="center"/>
      <protection locked="0"/>
    </xf>
    <xf numFmtId="49" fontId="15" fillId="0" borderId="4" xfId="7" applyNumberFormat="1" applyFont="1" applyFill="1" applyBorder="1" applyAlignment="1" applyProtection="1">
      <alignment horizontal="left" vertical="center"/>
      <protection locked="0"/>
    </xf>
    <xf numFmtId="14" fontId="19" fillId="0" borderId="0" xfId="7" applyNumberFormat="1" applyFont="1" applyBorder="1" applyAlignment="1" applyProtection="1">
      <alignment vertical="center"/>
      <protection locked="0"/>
    </xf>
    <xf numFmtId="1" fontId="8" fillId="0" borderId="0" xfId="7" applyNumberFormat="1" applyFont="1" applyAlignment="1">
      <alignment vertical="center"/>
    </xf>
    <xf numFmtId="1" fontId="20" fillId="0" borderId="0" xfId="7" applyNumberFormat="1" applyFont="1" applyBorder="1" applyAlignment="1">
      <alignment horizontal="left" vertical="center"/>
    </xf>
    <xf numFmtId="49" fontId="15" fillId="9" borderId="4" xfId="7" applyNumberFormat="1" applyFont="1" applyFill="1" applyBorder="1" applyAlignment="1" applyProtection="1">
      <alignment horizontal="left" vertical="center"/>
      <protection locked="0"/>
    </xf>
    <xf numFmtId="49" fontId="15" fillId="11" borderId="4" xfId="7" applyNumberFormat="1" applyFont="1" applyFill="1" applyBorder="1" applyAlignment="1" applyProtection="1">
      <alignment horizontal="left" vertical="center"/>
      <protection locked="0"/>
    </xf>
    <xf numFmtId="49" fontId="21" fillId="9" borderId="4" xfId="7" applyNumberFormat="1" applyFont="1" applyFill="1" applyBorder="1" applyAlignment="1" applyProtection="1">
      <alignment horizontal="left" vertical="center"/>
      <protection locked="0"/>
    </xf>
    <xf numFmtId="49" fontId="21" fillId="10" borderId="4" xfId="7" applyNumberFormat="1" applyFont="1" applyFill="1" applyBorder="1" applyAlignment="1" applyProtection="1">
      <alignment horizontal="left" vertical="center"/>
      <protection locked="0"/>
    </xf>
    <xf numFmtId="49" fontId="15" fillId="0" borderId="0" xfId="7" applyNumberFormat="1" applyFont="1" applyBorder="1" applyAlignment="1" applyProtection="1">
      <alignment vertical="center"/>
      <protection locked="0"/>
    </xf>
    <xf numFmtId="0" fontId="15" fillId="0" borderId="0" xfId="7" applyNumberFormat="1" applyFont="1" applyBorder="1" applyAlignment="1" applyProtection="1">
      <alignment vertical="center"/>
      <protection locked="0"/>
    </xf>
    <xf numFmtId="49" fontId="15" fillId="12" borderId="4" xfId="7" applyNumberFormat="1" applyFont="1" applyFill="1" applyBorder="1" applyAlignment="1" applyProtection="1">
      <alignment horizontal="left" vertical="center"/>
      <protection locked="0"/>
    </xf>
    <xf numFmtId="49" fontId="21" fillId="11" borderId="4" xfId="7" applyNumberFormat="1" applyFont="1" applyFill="1" applyBorder="1" applyAlignment="1" applyProtection="1">
      <alignment horizontal="left" vertical="center"/>
      <protection locked="0"/>
    </xf>
    <xf numFmtId="49" fontId="21" fillId="12" borderId="4" xfId="7" applyNumberFormat="1" applyFont="1" applyFill="1" applyBorder="1" applyAlignment="1" applyProtection="1">
      <alignment horizontal="left" vertical="center"/>
      <protection locked="0"/>
    </xf>
    <xf numFmtId="49" fontId="21" fillId="0" borderId="4" xfId="7" applyNumberFormat="1" applyFont="1" applyFill="1" applyBorder="1" applyAlignment="1" applyProtection="1">
      <alignment horizontal="left" vertical="center"/>
      <protection locked="0"/>
    </xf>
    <xf numFmtId="1" fontId="20" fillId="0" borderId="0" xfId="7" applyNumberFormat="1" applyFont="1" applyBorder="1" applyAlignment="1">
      <alignment vertical="center"/>
    </xf>
    <xf numFmtId="1" fontId="20" fillId="0" borderId="0" xfId="7" applyNumberFormat="1" applyFont="1" applyAlignment="1">
      <alignment vertical="center"/>
    </xf>
    <xf numFmtId="1" fontId="21" fillId="0" borderId="0" xfId="7" applyNumberFormat="1" applyFont="1" applyFill="1" applyAlignment="1">
      <alignment horizontal="left" vertical="center"/>
    </xf>
    <xf numFmtId="49" fontId="21" fillId="0" borderId="0" xfId="7" applyNumberFormat="1" applyFont="1" applyBorder="1" applyAlignment="1" applyProtection="1">
      <alignment vertical="center"/>
      <protection locked="0"/>
    </xf>
    <xf numFmtId="0" fontId="21" fillId="0" borderId="0" xfId="7" applyNumberFormat="1" applyFont="1" applyBorder="1" applyAlignment="1" applyProtection="1">
      <alignment vertical="center"/>
      <protection locked="0"/>
    </xf>
    <xf numFmtId="14" fontId="15" fillId="0" borderId="0" xfId="7" applyNumberFormat="1" applyFont="1" applyBorder="1" applyAlignment="1" applyProtection="1">
      <alignment vertical="center"/>
      <protection locked="0"/>
    </xf>
    <xf numFmtId="1" fontId="17" fillId="0" borderId="0" xfId="7" applyNumberFormat="1" applyFont="1" applyBorder="1" applyAlignment="1">
      <alignment vertical="center"/>
    </xf>
    <xf numFmtId="1" fontId="15" fillId="9" borderId="0" xfId="7" applyNumberFormat="1" applyFont="1" applyFill="1" applyBorder="1" applyAlignment="1">
      <alignment vertical="center"/>
    </xf>
    <xf numFmtId="1" fontId="14" fillId="9" borderId="0" xfId="7" applyNumberFormat="1" applyFont="1" applyFill="1" applyBorder="1" applyAlignment="1">
      <alignment vertical="center"/>
    </xf>
    <xf numFmtId="1" fontId="15" fillId="11" borderId="0" xfId="7" applyNumberFormat="1" applyFont="1" applyFill="1" applyAlignment="1">
      <alignment vertical="center"/>
    </xf>
    <xf numFmtId="1" fontId="14" fillId="11" borderId="0" xfId="7" applyNumberFormat="1" applyFont="1" applyFill="1" applyBorder="1" applyAlignment="1">
      <alignment vertical="center"/>
    </xf>
    <xf numFmtId="1" fontId="15" fillId="12" borderId="0" xfId="7" applyNumberFormat="1" applyFont="1" applyFill="1" applyAlignment="1">
      <alignment vertical="center"/>
    </xf>
    <xf numFmtId="1" fontId="14" fillId="12" borderId="0" xfId="7" applyNumberFormat="1" applyFont="1" applyFill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0" fillId="4" borderId="25" xfId="0" applyFill="1" applyBorder="1"/>
    <xf numFmtId="0" fontId="0" fillId="4" borderId="26" xfId="0" applyFill="1" applyBorder="1"/>
    <xf numFmtId="0" fontId="12" fillId="0" borderId="27" xfId="0" applyFont="1" applyFill="1" applyBorder="1" applyAlignment="1">
      <alignment horizontal="center" vertical="center" wrapText="1"/>
    </xf>
    <xf numFmtId="0" fontId="7" fillId="7" borderId="12" xfId="5" applyNumberFormat="1" applyFont="1" applyFill="1" applyBorder="1"/>
    <xf numFmtId="0" fontId="7" fillId="7" borderId="13" xfId="5" applyNumberFormat="1" applyFont="1" applyFill="1" applyBorder="1"/>
    <xf numFmtId="0" fontId="7" fillId="7" borderId="7" xfId="5" applyNumberFormat="1" applyFont="1" applyFill="1" applyBorder="1"/>
    <xf numFmtId="0" fontId="7" fillId="7" borderId="4" xfId="5" applyNumberFormat="1" applyFont="1" applyFill="1" applyBorder="1"/>
    <xf numFmtId="167" fontId="0" fillId="0" borderId="13" xfId="5" applyNumberFormat="1" applyFont="1" applyBorder="1"/>
    <xf numFmtId="167" fontId="0" fillId="8" borderId="4" xfId="5" applyNumberFormat="1" applyFont="1" applyFill="1" applyBorder="1"/>
    <xf numFmtId="167" fontId="0" fillId="8" borderId="10" xfId="5" applyNumberFormat="1" applyFont="1" applyFill="1" applyBorder="1"/>
    <xf numFmtId="167" fontId="7" fillId="6" borderId="13" xfId="5" applyNumberFormat="1" applyFont="1" applyFill="1" applyBorder="1"/>
    <xf numFmtId="167" fontId="7" fillId="6" borderId="0" xfId="5" applyNumberFormat="1" applyFont="1" applyFill="1" applyBorder="1"/>
    <xf numFmtId="167" fontId="7" fillId="6" borderId="4" xfId="5" applyNumberFormat="1" applyFont="1" applyFill="1" applyBorder="1"/>
    <xf numFmtId="167" fontId="0" fillId="0" borderId="0" xfId="0" applyNumberFormat="1"/>
    <xf numFmtId="167" fontId="7" fillId="6" borderId="17" xfId="5" applyNumberFormat="1" applyFont="1" applyFill="1" applyBorder="1"/>
    <xf numFmtId="167" fontId="0" fillId="8" borderId="18" xfId="5" applyNumberFormat="1" applyFont="1" applyFill="1" applyBorder="1"/>
    <xf numFmtId="0" fontId="22" fillId="0" borderId="4" xfId="0" applyFont="1" applyBorder="1"/>
    <xf numFmtId="0" fontId="23" fillId="13" borderId="21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/>
    </xf>
    <xf numFmtId="0" fontId="3" fillId="0" borderId="0" xfId="0" applyFont="1"/>
    <xf numFmtId="167" fontId="3" fillId="0" borderId="0" xfId="0" applyNumberFormat="1" applyFont="1"/>
    <xf numFmtId="0" fontId="23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8" borderId="10" xfId="0" applyFont="1" applyFill="1" applyBorder="1"/>
    <xf numFmtId="0" fontId="3" fillId="11" borderId="2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11" borderId="29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168" fontId="25" fillId="2" borderId="31" xfId="3" applyNumberFormat="1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>
      <alignment horizontal="center"/>
    </xf>
    <xf numFmtId="0" fontId="2" fillId="0" borderId="4" xfId="0" applyFont="1" applyBorder="1"/>
    <xf numFmtId="0" fontId="3" fillId="9" borderId="15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/>
    </xf>
    <xf numFmtId="0" fontId="3" fillId="9" borderId="18" xfId="0" quotePrefix="1" applyFont="1" applyFill="1" applyBorder="1" applyAlignment="1">
      <alignment horizontal="center" vertical="center"/>
    </xf>
    <xf numFmtId="0" fontId="26" fillId="0" borderId="4" xfId="0" applyFont="1" applyBorder="1"/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14" fontId="0" fillId="0" borderId="0" xfId="0" applyNumberFormat="1"/>
    <xf numFmtId="14" fontId="10" fillId="5" borderId="9" xfId="0" applyNumberFormat="1" applyFont="1" applyFill="1" applyBorder="1"/>
    <xf numFmtId="165" fontId="10" fillId="5" borderId="16" xfId="0" applyNumberFormat="1" applyFont="1" applyFill="1" applyBorder="1"/>
    <xf numFmtId="165" fontId="10" fillId="5" borderId="12" xfId="0" applyNumberFormat="1" applyFont="1" applyFill="1" applyBorder="1"/>
    <xf numFmtId="14" fontId="10" fillId="0" borderId="7" xfId="0" applyNumberFormat="1" applyFont="1" applyBorder="1"/>
    <xf numFmtId="14" fontId="10" fillId="0" borderId="12" xfId="0" applyNumberFormat="1" applyFont="1" applyBorder="1"/>
    <xf numFmtId="0" fontId="10" fillId="8" borderId="18" xfId="0" applyFont="1" applyFill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</cellXfs>
  <cellStyles count="8">
    <cellStyle name="Komma" xfId="5" builtinId="3"/>
    <cellStyle name="Komma 2" xfId="1" xr:uid="{00000000-0005-0000-0000-000001000000}"/>
    <cellStyle name="Komma 3" xfId="2" xr:uid="{00000000-0005-0000-0000-000002000000}"/>
    <cellStyle name="Standard" xfId="0" builtinId="0"/>
    <cellStyle name="Standard 11" xfId="6" xr:uid="{00000000-0005-0000-0000-000004000000}"/>
    <cellStyle name="Standard 2" xfId="3" xr:uid="{00000000-0005-0000-0000-000005000000}"/>
    <cellStyle name="Standard 3" xfId="4" xr:uid="{00000000-0005-0000-0000-000006000000}"/>
    <cellStyle name="Standard 4" xfId="7" xr:uid="{00000000-0005-0000-0000-000007000000}"/>
  </cellStyles>
  <dxfs count="612"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 filterMode="1">
    <pageSetUpPr fitToPage="1"/>
  </sheetPr>
  <dimension ref="A1:N3285"/>
  <sheetViews>
    <sheetView showGridLines="0" tabSelected="1" view="pageBreakPreview" zoomScale="110" zoomScaleNormal="110" zoomScaleSheetLayoutView="110" workbookViewId="0">
      <pane ySplit="490" topLeftCell="A877" activePane="bottomLeft" state="frozen"/>
      <selection pane="bottomLeft" activeCell="E900" sqref="A1:N3285"/>
    </sheetView>
  </sheetViews>
  <sheetFormatPr baseColWidth="10" defaultColWidth="5.5546875" defaultRowHeight="14.4" x14ac:dyDescent="0.3"/>
  <cols>
    <col min="1" max="1" width="6.88671875" customWidth="1"/>
    <col min="2" max="2" width="7.109375" style="7" customWidth="1"/>
    <col min="3" max="3" width="11.109375" style="6" bestFit="1" customWidth="1"/>
    <col min="4" max="4" width="12.5546875" style="6" customWidth="1"/>
    <col min="5" max="5" width="14" style="12" customWidth="1"/>
    <col min="6" max="6" width="12.5546875" style="12" customWidth="1"/>
    <col min="7" max="7" width="9.88671875" style="12" customWidth="1"/>
    <col min="8" max="8" width="12" style="6" customWidth="1"/>
    <col min="9" max="9" width="9" style="12" customWidth="1"/>
    <col min="10" max="10" width="10.6640625" style="6" customWidth="1"/>
    <col min="11" max="11" width="13" style="6" customWidth="1"/>
    <col min="12" max="12" width="29.109375" style="9" customWidth="1"/>
    <col min="13" max="13" width="13.6640625" style="23" customWidth="1"/>
    <col min="14" max="14" width="5.5546875" bestFit="1" customWidth="1"/>
  </cols>
  <sheetData>
    <row r="1" spans="1:14" s="5" customFormat="1" ht="45" customHeight="1" thickBot="1" x14ac:dyDescent="0.35">
      <c r="A1" s="1" t="s">
        <v>28</v>
      </c>
      <c r="B1" s="2" t="s">
        <v>27</v>
      </c>
      <c r="C1" s="3" t="s">
        <v>0</v>
      </c>
      <c r="D1" s="3" t="s">
        <v>31</v>
      </c>
      <c r="E1" s="3" t="s">
        <v>45</v>
      </c>
      <c r="F1" s="3" t="s">
        <v>32</v>
      </c>
      <c r="G1" s="3" t="s">
        <v>46</v>
      </c>
      <c r="H1" s="3" t="s">
        <v>47</v>
      </c>
      <c r="I1" s="3" t="s">
        <v>48</v>
      </c>
      <c r="J1" s="3" t="s">
        <v>49</v>
      </c>
      <c r="K1" s="4" t="s">
        <v>1</v>
      </c>
      <c r="L1" s="8" t="s">
        <v>2</v>
      </c>
      <c r="M1" s="29" t="s">
        <v>22</v>
      </c>
    </row>
    <row r="2" spans="1:14" ht="15" hidden="1" customHeight="1" x14ac:dyDescent="0.3">
      <c r="A2" s="104">
        <f>_xlfn.ISOWEEKNUM(B2)</f>
        <v>53</v>
      </c>
      <c r="B2" s="22">
        <v>44193</v>
      </c>
      <c r="C2" s="10" t="s">
        <v>3</v>
      </c>
      <c r="D2" s="12"/>
      <c r="E2" s="13" t="e">
        <f>IF(VLOOKUP(D2,Budget!A:B,2,FALSE)&lt;&gt;0,IF(G2=0,24,24-G2),0)</f>
        <v>#N/A</v>
      </c>
      <c r="F2" s="13"/>
      <c r="G2" s="13"/>
      <c r="H2" s="85" t="e">
        <f>IF(E2=0,0,IF(M2="ja",(VLOOKUP(D2,Budget!A:F,6,FALSE)*(E2-(VLOOKUP(D2,Budget!A:F,3,FALSE)))),VLOOKUP($D2,Budget!$A$1:$F$19,6,FALSE)*E2))</f>
        <v>#N/A</v>
      </c>
      <c r="I2" s="85">
        <f>IF(F2=0,0,IF(M2="ja",((VLOOKUP(F2,Budget!A:F,6,FALSE)*(E2-(VLOOKUP(F2,Budget!A:F,3,FALSE))))),VLOOKUP($D2,Budget!A:F,5,FALSE)*E2))</f>
        <v>0</v>
      </c>
      <c r="J2" s="85" t="e">
        <f t="shared" ref="J2:J8" si="0">H2+I2</f>
        <v>#N/A</v>
      </c>
      <c r="K2" s="15"/>
      <c r="L2" s="72"/>
      <c r="M2" s="80" t="s">
        <v>55</v>
      </c>
      <c r="N2">
        <f>YEAR(B2)</f>
        <v>2020</v>
      </c>
    </row>
    <row r="3" spans="1:14" ht="15" hidden="1" customHeight="1" x14ac:dyDescent="0.3">
      <c r="A3" s="105">
        <f t="shared" ref="A3:A66" si="1">_xlfn.ISOWEEKNUM(B3)</f>
        <v>53</v>
      </c>
      <c r="B3" s="22">
        <v>44194</v>
      </c>
      <c r="C3" s="11" t="s">
        <v>4</v>
      </c>
      <c r="D3" s="12"/>
      <c r="E3" s="13" t="e">
        <f>IF(VLOOKUP(D3,Budget!A:B,2,FALSE)&lt;&gt;0,IF(G3=0,24,24-G3),0)</f>
        <v>#N/A</v>
      </c>
      <c r="G3" s="13"/>
      <c r="H3" s="85" t="e">
        <f>IF(E3=0,0,IF(M3="ja",(VLOOKUP(D3,Budget!A:F,6,FALSE)*(E3-(VLOOKUP(D3,Budget!A:F,3,FALSE)))),VLOOKUP($D3,Budget!$A$1:$F$19,6,FALSE)*E3))</f>
        <v>#N/A</v>
      </c>
      <c r="I3" s="85">
        <f>IF(F3=0,0,IF(M3="ja",((VLOOKUP(F3,Budget!A:F,6,FALSE)*(E3-(VLOOKUP(F3,Budget!A:F,3,FALSE))))),VLOOKUP($D3,Budget!A:F,5,FALSE)*E3))</f>
        <v>0</v>
      </c>
      <c r="J3" s="85" t="e">
        <f t="shared" si="0"/>
        <v>#N/A</v>
      </c>
      <c r="K3" s="14"/>
      <c r="L3" s="73" t="s">
        <v>57</v>
      </c>
      <c r="M3" s="80" t="e">
        <f t="shared" ref="M3:M8" si="2">IF(E3=0,"nein",IF(OR(E3&lt;&gt;24,F2&lt;&gt;0,D3&lt;&gt;D2),"ja","nein"))</f>
        <v>#N/A</v>
      </c>
      <c r="N3">
        <f t="shared" ref="N3:N66" si="3">YEAR(B3)</f>
        <v>2020</v>
      </c>
    </row>
    <row r="4" spans="1:14" ht="15" hidden="1" customHeight="1" x14ac:dyDescent="0.3">
      <c r="A4" s="105">
        <f t="shared" si="1"/>
        <v>53</v>
      </c>
      <c r="B4" s="22">
        <v>44195</v>
      </c>
      <c r="C4" s="11" t="s">
        <v>5</v>
      </c>
      <c r="D4" s="12"/>
      <c r="E4" s="13" t="e">
        <f>IF(VLOOKUP(D4,Budget!A:B,2,FALSE)&lt;&gt;0,IF(G4=0,24,24-G4),0)</f>
        <v>#N/A</v>
      </c>
      <c r="G4" s="13"/>
      <c r="H4" s="85" t="e">
        <f>IF(E4=0,0,IF(M4="ja",(VLOOKUP(D4,Budget!A:F,6,FALSE)*(E4-(VLOOKUP(D4,Budget!A:F,3,FALSE)))),VLOOKUP($D4,Budget!$A$1:$F$19,6,FALSE)*E4))</f>
        <v>#N/A</v>
      </c>
      <c r="I4" s="85">
        <f>IF(F4=0,0,IF(M4="ja",((VLOOKUP(F4,Budget!A:F,6,FALSE)*(E4-(VLOOKUP(F4,Budget!A:F,3,FALSE))))),VLOOKUP($D4,Budget!A:F,5,FALSE)*E4))</f>
        <v>0</v>
      </c>
      <c r="J4" s="85" t="e">
        <f t="shared" si="0"/>
        <v>#N/A</v>
      </c>
      <c r="K4" s="14"/>
      <c r="L4" s="73"/>
      <c r="M4" s="80" t="e">
        <f t="shared" si="2"/>
        <v>#N/A</v>
      </c>
      <c r="N4">
        <f t="shared" si="3"/>
        <v>2020</v>
      </c>
    </row>
    <row r="5" spans="1:14" ht="15" hidden="1" customHeight="1" x14ac:dyDescent="0.3">
      <c r="A5" s="103">
        <f t="shared" si="1"/>
        <v>53</v>
      </c>
      <c r="B5" s="22">
        <v>44196</v>
      </c>
      <c r="C5" s="11" t="s">
        <v>6</v>
      </c>
      <c r="D5" s="12"/>
      <c r="E5" s="13" t="e">
        <f>IF(VLOOKUP(D5,Budget!A:B,2,FALSE)&lt;&gt;0,IF(G5=0,24,24-G5),0)</f>
        <v>#N/A</v>
      </c>
      <c r="G5" s="13"/>
      <c r="H5" s="85" t="e">
        <f>IF(E5=0,0,IF(M5="ja",(VLOOKUP(D5,Budget!A:F,6,FALSE)*(E5-(VLOOKUP(D5,Budget!A:F,3,FALSE)))),VLOOKUP($D5,Budget!$A$1:$F$19,6,FALSE)*E5))</f>
        <v>#N/A</v>
      </c>
      <c r="I5" s="85">
        <f>IF(F5=0,0,IF(M5="ja",((VLOOKUP(F5,Budget!A:F,6,FALSE)*(E5-(VLOOKUP(F5,Budget!A:F,3,FALSE))))),VLOOKUP($D5,Budget!A:F,5,FALSE)*E5))</f>
        <v>0</v>
      </c>
      <c r="J5" s="85" t="e">
        <f t="shared" si="0"/>
        <v>#N/A</v>
      </c>
      <c r="K5" s="14"/>
      <c r="L5" s="73"/>
      <c r="M5" s="80" t="e">
        <f t="shared" si="2"/>
        <v>#N/A</v>
      </c>
      <c r="N5">
        <f t="shared" si="3"/>
        <v>2020</v>
      </c>
    </row>
    <row r="6" spans="1:14" ht="15" hidden="1" customHeight="1" x14ac:dyDescent="0.3">
      <c r="A6" s="105">
        <f t="shared" si="1"/>
        <v>53</v>
      </c>
      <c r="B6" s="22">
        <v>44197</v>
      </c>
      <c r="C6" s="11" t="s">
        <v>7</v>
      </c>
      <c r="D6" s="12"/>
      <c r="E6" s="13" t="e">
        <f>IF(VLOOKUP(D6,Budget!A:B,2,FALSE)&lt;&gt;0,IF(G6=0,24,24-G6),0)</f>
        <v>#N/A</v>
      </c>
      <c r="G6" s="13"/>
      <c r="H6" s="85" t="e">
        <f>IF(E6=0,0,IF(M6="ja",(VLOOKUP(D6,Budget!A:F,6,FALSE)*(E6-(VLOOKUP(D6,Budget!A:F,3,FALSE)))),VLOOKUP($D6,Budget!$A$1:$F$19,6,FALSE)*E6))</f>
        <v>#N/A</v>
      </c>
      <c r="I6" s="85">
        <f>IF(F6=0,0,IF(M6="ja",((VLOOKUP(F6,Budget!A:F,6,FALSE)*(E6-(VLOOKUP(F6,Budget!A:F,3,FALSE))))),VLOOKUP($D6,Budget!A:F,5,FALSE)*E6))</f>
        <v>0</v>
      </c>
      <c r="J6" s="85" t="e">
        <f t="shared" si="0"/>
        <v>#N/A</v>
      </c>
      <c r="K6" s="14"/>
      <c r="L6" s="25" t="s">
        <v>58</v>
      </c>
      <c r="M6" s="80" t="e">
        <f t="shared" si="2"/>
        <v>#N/A</v>
      </c>
      <c r="N6">
        <f t="shared" si="3"/>
        <v>2021</v>
      </c>
    </row>
    <row r="7" spans="1:14" ht="15" hidden="1" customHeight="1" x14ac:dyDescent="0.3">
      <c r="A7" s="105">
        <f t="shared" si="1"/>
        <v>53</v>
      </c>
      <c r="B7" s="22">
        <v>44198</v>
      </c>
      <c r="C7" s="16" t="s">
        <v>8</v>
      </c>
      <c r="D7" s="17" t="s">
        <v>29</v>
      </c>
      <c r="E7" s="24">
        <f>IF(VLOOKUP(D7,Budget!A:B,2,FALSE)&lt;&gt;0,IF(G7=0,24,24-G7),0)</f>
        <v>0</v>
      </c>
      <c r="F7" s="17"/>
      <c r="G7" s="17"/>
      <c r="H7" s="86">
        <f>IF(E7=0,0,IF(M7="ja",(VLOOKUP(D7,Budget!A:F,6,FALSE)*(E7-(VLOOKUP(D7,Budget!A:F,3,FALSE)))),VLOOKUP($D7,Budget!$A$1:$F$19,6,FALSE)*E7))</f>
        <v>0</v>
      </c>
      <c r="I7" s="86">
        <f>IF(F7=0,0,IF(M7="ja",((VLOOKUP(F7,Budget!A:F,6,FALSE)*(E7-(VLOOKUP(F7,Budget!A:F,3,FALSE))))),VLOOKUP($D7,Budget!A:F,5,FALSE)*E7))</f>
        <v>0</v>
      </c>
      <c r="J7" s="86">
        <f t="shared" si="0"/>
        <v>0</v>
      </c>
      <c r="K7" s="18"/>
      <c r="L7" s="75" t="s">
        <v>68</v>
      </c>
      <c r="M7" s="76" t="str">
        <f t="shared" si="2"/>
        <v>nein</v>
      </c>
      <c r="N7">
        <f t="shared" si="3"/>
        <v>2021</v>
      </c>
    </row>
    <row r="8" spans="1:14" ht="15.75" hidden="1" customHeight="1" thickBot="1" x14ac:dyDescent="0.35">
      <c r="A8" s="105">
        <f t="shared" si="1"/>
        <v>53</v>
      </c>
      <c r="B8" s="27">
        <v>44199</v>
      </c>
      <c r="C8" s="19" t="s">
        <v>9</v>
      </c>
      <c r="D8" s="20" t="s">
        <v>69</v>
      </c>
      <c r="E8" s="20">
        <f>IF(VLOOKUP(D8,Budget!A:B,2,FALSE)&lt;&gt;0,IF(G8=0,24,24-G8),0)</f>
        <v>24</v>
      </c>
      <c r="F8" s="20"/>
      <c r="G8" s="20"/>
      <c r="H8" s="93">
        <f>IF(E8=0,0,IF(M8="ja",(VLOOKUP(D8,Budget!A:F,6,FALSE)*(E8-(VLOOKUP(D8,Budget!A:F,3,FALSE)))),VLOOKUP($D8,Budget!$A$1:$F$19,6,FALSE)*E8))</f>
        <v>38269.757143831848</v>
      </c>
      <c r="I8" s="93">
        <f>IF(F8=0,0,IF(M8="ja",((VLOOKUP(F8,Budget!A:F,6,FALSE)*(E8-(VLOOKUP(F8,Budget!A:F,3,FALSE))))),VLOOKUP($D8,Budget!A:F,5,FALSE)*E8))</f>
        <v>0</v>
      </c>
      <c r="J8" s="87">
        <f t="shared" si="0"/>
        <v>38269.757143831848</v>
      </c>
      <c r="K8" s="21"/>
      <c r="L8" s="74"/>
      <c r="M8" s="77" t="str">
        <f t="shared" si="2"/>
        <v>ja</v>
      </c>
      <c r="N8">
        <f t="shared" si="3"/>
        <v>2021</v>
      </c>
    </row>
    <row r="9" spans="1:14" ht="15" hidden="1" customHeight="1" x14ac:dyDescent="0.3">
      <c r="A9" s="104">
        <f t="shared" si="1"/>
        <v>1</v>
      </c>
      <c r="B9" s="22">
        <v>44200</v>
      </c>
      <c r="C9" s="10" t="s">
        <v>3</v>
      </c>
      <c r="D9" s="12" t="s">
        <v>69</v>
      </c>
      <c r="E9" s="13">
        <f>IF(VLOOKUP(D9,Budget!A:B,2,FALSE)&lt;&gt;0,IF(G9=0,24,24-G9),0)</f>
        <v>24</v>
      </c>
      <c r="F9" s="13"/>
      <c r="G9" s="13"/>
      <c r="H9" s="85">
        <f>IF(E9=0,0,IF(M9="ja",(VLOOKUP(D9,Budget!A:F,6,FALSE)*(E9-(VLOOKUP(D9,Budget!A:F,3,FALSE)))),VLOOKUP($D9,Budget!$A$1:$F$19,6,FALSE)*E9))</f>
        <v>42919.35380616656</v>
      </c>
      <c r="I9" s="85">
        <f>IF(F9=0,0,IF(M9="ja",((VLOOKUP(F9,Budget!A:F,6,FALSE)*(E9-(VLOOKUP(F9,Budget!A:F,3,FALSE))))),VLOOKUP($D9,Budget!A:F,5,FALSE)*E9))</f>
        <v>0</v>
      </c>
      <c r="J9" s="85">
        <f>H9+I9</f>
        <v>42919.35380616656</v>
      </c>
      <c r="K9" s="15"/>
      <c r="L9" s="72"/>
      <c r="M9" s="80" t="s">
        <v>55</v>
      </c>
      <c r="N9">
        <f t="shared" si="3"/>
        <v>2021</v>
      </c>
    </row>
    <row r="10" spans="1:14" ht="15" hidden="1" customHeight="1" x14ac:dyDescent="0.3">
      <c r="A10" s="105">
        <f t="shared" si="1"/>
        <v>1</v>
      </c>
      <c r="B10" s="22">
        <v>44201</v>
      </c>
      <c r="C10" s="11" t="s">
        <v>4</v>
      </c>
      <c r="D10" s="12" t="s">
        <v>65</v>
      </c>
      <c r="E10" s="13">
        <f>IF(VLOOKUP(D10,Budget!A:B,2,FALSE)&lt;&gt;0,IF(G10=0,24,24-G10),0)</f>
        <v>24</v>
      </c>
      <c r="G10" s="13"/>
      <c r="H10" s="85">
        <f>IF(E10=0,0,IF(M10="ja",(VLOOKUP(D10,Budget!A:F,6,FALSE)*(E10-(VLOOKUP(D10,Budget!A:F,3,FALSE)))),VLOOKUP($D10,Budget!$A$1:$F$19,6,FALSE)*E10))</f>
        <v>22220.983707552332</v>
      </c>
      <c r="I10" s="85">
        <f>IF(F10=0,0,IF(M10="ja",((VLOOKUP(F10,Budget!A:F,6,FALSE)*(E10-(VLOOKUP(F10,Budget!A:F,3,FALSE))))),VLOOKUP($D10,Budget!A:F,5,FALSE)*E10))</f>
        <v>0</v>
      </c>
      <c r="J10" s="85">
        <f t="shared" ref="J10:J73" si="4">H10+I10</f>
        <v>22220.983707552332</v>
      </c>
      <c r="K10" s="14"/>
      <c r="L10" s="73"/>
      <c r="M10" s="80" t="str">
        <f t="shared" ref="M10:M73" si="5">IF(E10=0,"nein",IF(OR(E10&lt;&gt;24,F9&lt;&gt;0,D10&lt;&gt;D9),"ja","nein"))</f>
        <v>ja</v>
      </c>
      <c r="N10">
        <f t="shared" si="3"/>
        <v>2021</v>
      </c>
    </row>
    <row r="11" spans="1:14" ht="15" hidden="1" customHeight="1" x14ac:dyDescent="0.3">
      <c r="A11" s="105">
        <f t="shared" si="1"/>
        <v>1</v>
      </c>
      <c r="B11" s="22">
        <v>44202</v>
      </c>
      <c r="C11" s="11" t="s">
        <v>5</v>
      </c>
      <c r="D11" s="12" t="s">
        <v>65</v>
      </c>
      <c r="E11" s="13">
        <f>IF(VLOOKUP(D11,Budget!A:B,2,FALSE)&lt;&gt;0,IF(G11=0,24,24-G11),0)</f>
        <v>24</v>
      </c>
      <c r="G11" s="13"/>
      <c r="H11" s="85">
        <f>IF(E11=0,0,IF(M11="ja",(VLOOKUP(D11,Budget!A:F,6,FALSE)*(E11-(VLOOKUP(D11,Budget!A:F,3,FALSE)))),VLOOKUP($D11,Budget!$A$1:$F$19,6,FALSE)*E11))</f>
        <v>35553.573932083731</v>
      </c>
      <c r="I11" s="85">
        <f>IF(F11=0,0,IF(M11="ja",((VLOOKUP(F11,Budget!A:F,6,FALSE)*(E11-(VLOOKUP(F11,Budget!A:F,3,FALSE))))),VLOOKUP($D11,Budget!A:F,5,FALSE)*E11))</f>
        <v>0</v>
      </c>
      <c r="J11" s="85">
        <f t="shared" si="4"/>
        <v>35553.573932083731</v>
      </c>
      <c r="K11" s="14"/>
      <c r="L11" s="73"/>
      <c r="M11" s="80" t="str">
        <f t="shared" si="5"/>
        <v>nein</v>
      </c>
      <c r="N11">
        <f t="shared" si="3"/>
        <v>2021</v>
      </c>
    </row>
    <row r="12" spans="1:14" ht="15" hidden="1" customHeight="1" x14ac:dyDescent="0.3">
      <c r="A12" s="103">
        <f t="shared" si="1"/>
        <v>1</v>
      </c>
      <c r="B12" s="22">
        <v>44203</v>
      </c>
      <c r="C12" s="11" t="s">
        <v>6</v>
      </c>
      <c r="D12" s="12" t="s">
        <v>11</v>
      </c>
      <c r="E12" s="13">
        <f>IF(VLOOKUP(D12,Budget!A:B,2,FALSE)&lt;&gt;0,IF(G12=0,24,24-G12),0)</f>
        <v>24</v>
      </c>
      <c r="G12" s="13"/>
      <c r="H12" s="85">
        <f>IF(E12=0,0,IF(M12="ja",(VLOOKUP(D12,Budget!A:F,6,FALSE)*(E12-(VLOOKUP(D12,Budget!A:F,3,FALSE)))),VLOOKUP($D12,Budget!$A$1:$F$19,6,FALSE)*E12))</f>
        <v>30030</v>
      </c>
      <c r="I12" s="85">
        <f>IF(F12=0,0,IF(M12="ja",((VLOOKUP(F12,Budget!A:F,6,FALSE)*(E12-(VLOOKUP(F12,Budget!A:F,3,FALSE))))),VLOOKUP($D12,Budget!A:F,5,FALSE)*E12))</f>
        <v>0</v>
      </c>
      <c r="J12" s="85">
        <f t="shared" si="4"/>
        <v>30030</v>
      </c>
      <c r="K12" s="14"/>
      <c r="L12" s="73"/>
      <c r="M12" s="80" t="str">
        <f t="shared" si="5"/>
        <v>ja</v>
      </c>
      <c r="N12">
        <f t="shared" si="3"/>
        <v>2021</v>
      </c>
    </row>
    <row r="13" spans="1:14" ht="15" hidden="1" customHeight="1" x14ac:dyDescent="0.3">
      <c r="A13" s="105">
        <f t="shared" si="1"/>
        <v>1</v>
      </c>
      <c r="B13" s="22">
        <v>44204</v>
      </c>
      <c r="C13" s="11" t="s">
        <v>7</v>
      </c>
      <c r="D13" s="12" t="s">
        <v>11</v>
      </c>
      <c r="E13" s="13">
        <f>IF(VLOOKUP(D13,Budget!A:B,2,FALSE)&lt;&gt;0,IF(G13=0,24,24-G13),0)</f>
        <v>24</v>
      </c>
      <c r="G13" s="13"/>
      <c r="H13" s="85">
        <f>IF(E13=0,0,IF(M13="ja",(VLOOKUP(D13,Budget!A:F,6,FALSE)*(E13-(VLOOKUP(D13,Budget!A:F,3,FALSE)))),VLOOKUP($D13,Budget!$A$1:$F$19,6,FALSE)*E13))</f>
        <v>36960</v>
      </c>
      <c r="I13" s="85">
        <f>IF(F13=0,0,IF(M13="ja",((VLOOKUP(F13,Budget!A:F,6,FALSE)*(E13-(VLOOKUP(F13,Budget!A:F,3,FALSE))))),VLOOKUP($D13,Budget!A:F,5,FALSE)*E13))</f>
        <v>0</v>
      </c>
      <c r="J13" s="85">
        <f t="shared" si="4"/>
        <v>36960</v>
      </c>
      <c r="K13" s="14"/>
      <c r="L13" s="25"/>
      <c r="M13" s="80" t="str">
        <f t="shared" si="5"/>
        <v>nein</v>
      </c>
      <c r="N13">
        <f t="shared" si="3"/>
        <v>2021</v>
      </c>
    </row>
    <row r="14" spans="1:14" ht="15" hidden="1" customHeight="1" x14ac:dyDescent="0.3">
      <c r="A14" s="105">
        <f t="shared" si="1"/>
        <v>1</v>
      </c>
      <c r="B14" s="22">
        <v>44205</v>
      </c>
      <c r="C14" s="16" t="s">
        <v>8</v>
      </c>
      <c r="D14" s="17" t="s">
        <v>11</v>
      </c>
      <c r="E14" s="24">
        <f>IF(VLOOKUP(D14,Budget!A:B,2,FALSE)&lt;&gt;0,IF(G14=0,24,24-G14),0)</f>
        <v>24</v>
      </c>
      <c r="F14" s="17"/>
      <c r="G14" s="17"/>
      <c r="H14" s="86">
        <f>IF(E14=0,0,IF(M14="ja",(VLOOKUP(D14,Budget!A:F,6,FALSE)*(E14-(VLOOKUP(D14,Budget!A:F,3,FALSE)))),VLOOKUP($D14,Budget!$A$1:$F$19,6,FALSE)*E14))</f>
        <v>36960</v>
      </c>
      <c r="I14" s="86">
        <f>IF(F14=0,0,IF(M14="ja",((VLOOKUP(F14,Budget!A:F,6,FALSE)*(E14-(VLOOKUP(F14,Budget!A:F,3,FALSE))))),VLOOKUP($D14,Budget!A:F,5,FALSE)*E14))</f>
        <v>0</v>
      </c>
      <c r="J14" s="86">
        <f t="shared" si="4"/>
        <v>36960</v>
      </c>
      <c r="K14" s="18"/>
      <c r="L14" s="75"/>
      <c r="M14" s="76" t="str">
        <f t="shared" si="5"/>
        <v>nein</v>
      </c>
      <c r="N14">
        <f t="shared" si="3"/>
        <v>2021</v>
      </c>
    </row>
    <row r="15" spans="1:14" ht="15.75" hidden="1" customHeight="1" thickBot="1" x14ac:dyDescent="0.35">
      <c r="A15" s="105">
        <f t="shared" si="1"/>
        <v>1</v>
      </c>
      <c r="B15" s="27">
        <v>44206</v>
      </c>
      <c r="C15" s="19" t="s">
        <v>9</v>
      </c>
      <c r="D15" s="20" t="s">
        <v>11</v>
      </c>
      <c r="E15" s="20">
        <f>IF(VLOOKUP(D15,Budget!A:B,2,FALSE)&lt;&gt;0,IF(G15=0,24,24-G15),0)</f>
        <v>24</v>
      </c>
      <c r="F15" s="20"/>
      <c r="G15" s="20"/>
      <c r="H15" s="93">
        <f>IF(E15=0,0,IF(M15="ja",(VLOOKUP(D15,Budget!A:F,6,FALSE)*(E15-(VLOOKUP(D15,Budget!A:F,3,FALSE)))),VLOOKUP($D15,Budget!$A$1:$F$19,6,FALSE)*E15))</f>
        <v>36960</v>
      </c>
      <c r="I15" s="93">
        <f>IF(F15=0,0,IF(M15="ja",((VLOOKUP(F15,Budget!A:F,6,FALSE)*(E15-(VLOOKUP(F15,Budget!A:F,3,FALSE))))),VLOOKUP($D15,Budget!A:F,5,FALSE)*E15))</f>
        <v>0</v>
      </c>
      <c r="J15" s="87">
        <f t="shared" si="4"/>
        <v>36960</v>
      </c>
      <c r="K15" s="21"/>
      <c r="L15" s="74"/>
      <c r="M15" s="77" t="str">
        <f t="shared" si="5"/>
        <v>nein</v>
      </c>
      <c r="N15">
        <f t="shared" si="3"/>
        <v>2021</v>
      </c>
    </row>
    <row r="16" spans="1:14" ht="15" hidden="1" customHeight="1" x14ac:dyDescent="0.3">
      <c r="A16" s="104">
        <f t="shared" si="1"/>
        <v>2</v>
      </c>
      <c r="B16" s="22">
        <v>44207</v>
      </c>
      <c r="C16" s="10" t="s">
        <v>3</v>
      </c>
      <c r="D16" s="12" t="s">
        <v>11</v>
      </c>
      <c r="E16" s="13">
        <f>IF(VLOOKUP(D16,Budget!A:B,2,FALSE)&lt;&gt;0,IF(G16=0,24,24-G16),0)</f>
        <v>24</v>
      </c>
      <c r="F16" s="13"/>
      <c r="G16" s="13"/>
      <c r="H16" s="85">
        <f>IF(E16=0,0,IF(M16="ja",(VLOOKUP(D16,Budget!A:F,6,FALSE)*(E16-(VLOOKUP(D16,Budget!A:F,3,FALSE)))),VLOOKUP($D16,Budget!$A$1:$F$19,6,FALSE)*E16))</f>
        <v>36960</v>
      </c>
      <c r="I16" s="85">
        <f>IF(F16=0,0,IF(M16="ja",((VLOOKUP(F16,Budget!A:F,6,FALSE)*(E16-(VLOOKUP(F16,Budget!A:F,3,FALSE))))),VLOOKUP($D16,Budget!A:F,5,FALSE)*E16))</f>
        <v>0</v>
      </c>
      <c r="J16" s="85">
        <f t="shared" si="4"/>
        <v>36960</v>
      </c>
      <c r="K16" s="15"/>
      <c r="L16" s="72"/>
      <c r="M16" s="80" t="str">
        <f t="shared" si="5"/>
        <v>nein</v>
      </c>
      <c r="N16">
        <f t="shared" si="3"/>
        <v>2021</v>
      </c>
    </row>
    <row r="17" spans="1:14" ht="15" hidden="1" customHeight="1" x14ac:dyDescent="0.3">
      <c r="A17" s="105">
        <f t="shared" si="1"/>
        <v>2</v>
      </c>
      <c r="B17" s="22">
        <v>44208</v>
      </c>
      <c r="C17" s="11" t="s">
        <v>4</v>
      </c>
      <c r="D17" s="12" t="s">
        <v>11</v>
      </c>
      <c r="E17" s="13">
        <f>IF(VLOOKUP(D17,Budget!A:B,2,FALSE)&lt;&gt;0,IF(G17=0,24,24-G17),0)</f>
        <v>24</v>
      </c>
      <c r="G17" s="13"/>
      <c r="H17" s="85">
        <f>IF(E17=0,0,IF(M17="ja",(VLOOKUP(D17,Budget!A:F,6,FALSE)*(E17-(VLOOKUP(D17,Budget!A:F,3,FALSE)))),VLOOKUP($D17,Budget!$A$1:$F$19,6,FALSE)*E17))</f>
        <v>36960</v>
      </c>
      <c r="I17" s="85">
        <f>IF(F17=0,0,IF(M17="ja",((VLOOKUP(F17,Budget!A:F,6,FALSE)*(E17-(VLOOKUP(F17,Budget!A:F,3,FALSE))))),VLOOKUP($D17,Budget!A:F,5,FALSE)*E17))</f>
        <v>0</v>
      </c>
      <c r="J17" s="85">
        <f t="shared" si="4"/>
        <v>36960</v>
      </c>
      <c r="K17" s="14"/>
      <c r="L17" s="73"/>
      <c r="M17" s="80" t="str">
        <f t="shared" si="5"/>
        <v>nein</v>
      </c>
      <c r="N17">
        <f t="shared" si="3"/>
        <v>2021</v>
      </c>
    </row>
    <row r="18" spans="1:14" ht="15" hidden="1" customHeight="1" x14ac:dyDescent="0.3">
      <c r="A18" s="105">
        <f t="shared" si="1"/>
        <v>2</v>
      </c>
      <c r="B18" s="22">
        <v>44209</v>
      </c>
      <c r="C18" s="11" t="s">
        <v>5</v>
      </c>
      <c r="D18" s="12" t="s">
        <v>69</v>
      </c>
      <c r="E18" s="13">
        <f>IF(VLOOKUP(D18,Budget!A:B,2,FALSE)&lt;&gt;0,IF(G18=0,24,24-G18),0)</f>
        <v>24</v>
      </c>
      <c r="G18" s="13"/>
      <c r="H18" s="85">
        <f>IF(E18=0,0,IF(M18="ja",(VLOOKUP(D18,Budget!A:F,6,FALSE)*(E18-(VLOOKUP(D18,Budget!A:F,3,FALSE)))),VLOOKUP($D18,Budget!$A$1:$F$19,6,FALSE)*E18))</f>
        <v>38269.757143831848</v>
      </c>
      <c r="I18" s="85">
        <f>IF(F18=0,0,IF(M18="ja",((VLOOKUP(F18,Budget!A:F,6,FALSE)*(E18-(VLOOKUP(F18,Budget!A:F,3,FALSE))))),VLOOKUP($D18,Budget!A:F,5,FALSE)*E18))</f>
        <v>0</v>
      </c>
      <c r="J18" s="85">
        <f t="shared" si="4"/>
        <v>38269.757143831848</v>
      </c>
      <c r="K18" s="14"/>
      <c r="L18" s="73"/>
      <c r="M18" s="80" t="str">
        <f t="shared" si="5"/>
        <v>ja</v>
      </c>
      <c r="N18">
        <f t="shared" si="3"/>
        <v>2021</v>
      </c>
    </row>
    <row r="19" spans="1:14" ht="15" hidden="1" customHeight="1" x14ac:dyDescent="0.3">
      <c r="A19" s="103">
        <f t="shared" si="1"/>
        <v>2</v>
      </c>
      <c r="B19" s="22">
        <v>44210</v>
      </c>
      <c r="C19" s="11" t="s">
        <v>6</v>
      </c>
      <c r="D19" s="12" t="s">
        <v>69</v>
      </c>
      <c r="E19" s="13">
        <f>IF(VLOOKUP(D19,Budget!A:B,2,FALSE)&lt;&gt;0,IF(G19=0,24,24-G19),0)</f>
        <v>24</v>
      </c>
      <c r="G19" s="13"/>
      <c r="H19" s="85">
        <f>IF(E19=0,0,IF(M19="ja",(VLOOKUP(D19,Budget!A:F,6,FALSE)*(E19-(VLOOKUP(D19,Budget!A:F,3,FALSE)))),VLOOKUP($D19,Budget!$A$1:$F$19,6,FALSE)*E19))</f>
        <v>42919.35380616656</v>
      </c>
      <c r="I19" s="85">
        <f>IF(F19=0,0,IF(M19="ja",((VLOOKUP(F19,Budget!A:F,6,FALSE)*(E19-(VLOOKUP(F19,Budget!A:F,3,FALSE))))),VLOOKUP($D19,Budget!A:F,5,FALSE)*E19))</f>
        <v>0</v>
      </c>
      <c r="J19" s="85">
        <f t="shared" si="4"/>
        <v>42919.35380616656</v>
      </c>
      <c r="K19" s="14"/>
      <c r="L19" s="73"/>
      <c r="M19" s="80" t="str">
        <f t="shared" si="5"/>
        <v>nein</v>
      </c>
      <c r="N19">
        <f t="shared" si="3"/>
        <v>2021</v>
      </c>
    </row>
    <row r="20" spans="1:14" ht="15" hidden="1" customHeight="1" x14ac:dyDescent="0.3">
      <c r="A20" s="105">
        <f t="shared" si="1"/>
        <v>2</v>
      </c>
      <c r="B20" s="22">
        <v>44211</v>
      </c>
      <c r="C20" s="11" t="s">
        <v>7</v>
      </c>
      <c r="D20" s="12" t="s">
        <v>13</v>
      </c>
      <c r="E20" s="13">
        <f>IF(VLOOKUP(D20,Budget!A:B,2,FALSE)&lt;&gt;0,IF(G20=0,24,24-G20),0)</f>
        <v>0</v>
      </c>
      <c r="G20" s="13" t="s">
        <v>29</v>
      </c>
      <c r="H20" s="85">
        <f>IF(E20=0,0,IF(M20="ja",(VLOOKUP(D20,Budget!A:F,6,FALSE)*(E20-(VLOOKUP(D20,Budget!A:F,3,FALSE)))),VLOOKUP($D20,Budget!$A$1:$F$19,6,FALSE)*E20))</f>
        <v>0</v>
      </c>
      <c r="I20" s="85">
        <f>IF(F20=0,0,IF(M20="ja",((VLOOKUP(F20,Budget!A:F,6,FALSE)*(E20-(VLOOKUP(F20,Budget!A:F,3,FALSE))))),VLOOKUP($D20,Budget!A:F,5,FALSE)*E20))</f>
        <v>0</v>
      </c>
      <c r="J20" s="85">
        <f t="shared" si="4"/>
        <v>0</v>
      </c>
      <c r="K20" s="14"/>
      <c r="L20" s="25" t="s">
        <v>56</v>
      </c>
      <c r="M20" s="80" t="str">
        <f t="shared" si="5"/>
        <v>nein</v>
      </c>
      <c r="N20">
        <f t="shared" si="3"/>
        <v>2021</v>
      </c>
    </row>
    <row r="21" spans="1:14" ht="15" hidden="1" customHeight="1" x14ac:dyDescent="0.3">
      <c r="A21" s="105">
        <f t="shared" si="1"/>
        <v>2</v>
      </c>
      <c r="B21" s="22">
        <v>44212</v>
      </c>
      <c r="C21" s="16" t="s">
        <v>8</v>
      </c>
      <c r="D21" s="17" t="s">
        <v>29</v>
      </c>
      <c r="E21" s="24">
        <f>IF(VLOOKUP(D21,Budget!A:B,2,FALSE)&lt;&gt;0,IF(G21=0,24,24-G21),0)</f>
        <v>0</v>
      </c>
      <c r="F21" s="17"/>
      <c r="G21" s="17"/>
      <c r="H21" s="86">
        <f>IF(E21=0,0,IF(M21="ja",(VLOOKUP(D21,Budget!A:F,6,FALSE)*(E21-(VLOOKUP(D21,Budget!A:F,3,FALSE)))),VLOOKUP($D21,Budget!$A$1:$F$19,6,FALSE)*E21))</f>
        <v>0</v>
      </c>
      <c r="I21" s="86">
        <f>IF(F21=0,0,IF(M21="ja",((VLOOKUP(F21,Budget!A:F,6,FALSE)*(E21-(VLOOKUP(F21,Budget!A:F,3,FALSE))))),VLOOKUP($D21,Budget!A:F,5,FALSE)*E21))</f>
        <v>0</v>
      </c>
      <c r="J21" s="86">
        <f t="shared" si="4"/>
        <v>0</v>
      </c>
      <c r="K21" s="18"/>
      <c r="L21" s="75"/>
      <c r="M21" s="76" t="str">
        <f t="shared" si="5"/>
        <v>nein</v>
      </c>
      <c r="N21">
        <f t="shared" si="3"/>
        <v>2021</v>
      </c>
    </row>
    <row r="22" spans="1:14" ht="15.75" hidden="1" customHeight="1" thickBot="1" x14ac:dyDescent="0.35">
      <c r="A22" s="105">
        <f t="shared" si="1"/>
        <v>2</v>
      </c>
      <c r="B22" s="27">
        <v>44213</v>
      </c>
      <c r="C22" s="19" t="s">
        <v>9</v>
      </c>
      <c r="D22" s="20" t="s">
        <v>29</v>
      </c>
      <c r="E22" s="20">
        <f>IF(VLOOKUP(D22,Budget!A:B,2,FALSE)&lt;&gt;0,IF(G22=0,24,24-G22),0)</f>
        <v>0</v>
      </c>
      <c r="F22" s="20"/>
      <c r="G22" s="20"/>
      <c r="H22" s="93">
        <f>IF(E22=0,0,IF(M22="ja",(VLOOKUP(D22,Budget!A:F,6,FALSE)*(E22-(VLOOKUP(D22,Budget!A:F,3,FALSE)))),VLOOKUP($D22,Budget!$A$1:$F$19,6,FALSE)*E22))</f>
        <v>0</v>
      </c>
      <c r="I22" s="93">
        <f>IF(F22=0,0,IF(M22="ja",((VLOOKUP(F22,Budget!A:F,6,FALSE)*(E22-(VLOOKUP(F22,Budget!A:F,3,FALSE))))),VLOOKUP($D22,Budget!A:F,5,FALSE)*E22))</f>
        <v>0</v>
      </c>
      <c r="J22" s="87">
        <f t="shared" si="4"/>
        <v>0</v>
      </c>
      <c r="K22" s="21"/>
      <c r="L22" s="74"/>
      <c r="M22" s="77" t="str">
        <f t="shared" si="5"/>
        <v>nein</v>
      </c>
      <c r="N22">
        <f t="shared" si="3"/>
        <v>2021</v>
      </c>
    </row>
    <row r="23" spans="1:14" ht="15" hidden="1" customHeight="1" x14ac:dyDescent="0.3">
      <c r="A23" s="104">
        <f t="shared" si="1"/>
        <v>3</v>
      </c>
      <c r="B23" s="22">
        <v>44214</v>
      </c>
      <c r="C23" s="10" t="s">
        <v>3</v>
      </c>
      <c r="D23" s="12" t="s">
        <v>29</v>
      </c>
      <c r="E23" s="13">
        <f>IF(VLOOKUP(D23,Budget!A:B,2,FALSE)&lt;&gt;0,IF(G23=0,24,24-G23),0)</f>
        <v>0</v>
      </c>
      <c r="F23" s="13"/>
      <c r="G23" s="13"/>
      <c r="H23" s="85">
        <f>IF(E23=0,0,IF(M23="ja",(VLOOKUP(D23,Budget!A:F,6,FALSE)*(E23-(VLOOKUP(D23,Budget!A:F,3,FALSE)))),VLOOKUP($D23,Budget!$A$1:$F$19,6,FALSE)*E23))</f>
        <v>0</v>
      </c>
      <c r="I23" s="85">
        <f>IF(F23=0,0,IF(M23="ja",((VLOOKUP(F23,Budget!A:F,6,FALSE)*(E23-(VLOOKUP(F23,Budget!A:F,3,FALSE))))),VLOOKUP($D23,Budget!A:F,5,FALSE)*E23))</f>
        <v>0</v>
      </c>
      <c r="J23" s="85">
        <f t="shared" si="4"/>
        <v>0</v>
      </c>
      <c r="K23" s="15"/>
      <c r="L23" s="72"/>
      <c r="M23" s="80" t="str">
        <f t="shared" si="5"/>
        <v>nein</v>
      </c>
      <c r="N23">
        <f t="shared" si="3"/>
        <v>2021</v>
      </c>
    </row>
    <row r="24" spans="1:14" ht="15" hidden="1" customHeight="1" x14ac:dyDescent="0.3">
      <c r="A24" s="105">
        <f t="shared" si="1"/>
        <v>3</v>
      </c>
      <c r="B24" s="22">
        <v>44215</v>
      </c>
      <c r="C24" s="11" t="s">
        <v>4</v>
      </c>
      <c r="D24" s="12" t="s">
        <v>29</v>
      </c>
      <c r="E24" s="13">
        <f>IF(VLOOKUP(D24,Budget!A:B,2,FALSE)&lt;&gt;0,IF(G24=0,24,24-G24),0)</f>
        <v>0</v>
      </c>
      <c r="G24" s="13"/>
      <c r="H24" s="85">
        <f>IF(E24=0,0,IF(M24="ja",(VLOOKUP(D24,Budget!A:F,6,FALSE)*(E24-(VLOOKUP(D24,Budget!A:F,3,FALSE)))),VLOOKUP($D24,Budget!$A$1:$F$19,6,FALSE)*E24))</f>
        <v>0</v>
      </c>
      <c r="I24" s="85">
        <f>IF(F24=0,0,IF(M24="ja",((VLOOKUP(F24,Budget!A:F,6,FALSE)*(E24-(VLOOKUP(F24,Budget!A:F,3,FALSE))))),VLOOKUP($D24,Budget!A:F,5,FALSE)*E24))</f>
        <v>0</v>
      </c>
      <c r="J24" s="85">
        <f t="shared" si="4"/>
        <v>0</v>
      </c>
      <c r="K24" s="14"/>
      <c r="L24" s="73"/>
      <c r="M24" s="80" t="str">
        <f t="shared" si="5"/>
        <v>nein</v>
      </c>
      <c r="N24">
        <f t="shared" si="3"/>
        <v>2021</v>
      </c>
    </row>
    <row r="25" spans="1:14" ht="15" hidden="1" customHeight="1" x14ac:dyDescent="0.3">
      <c r="A25" s="105">
        <f t="shared" si="1"/>
        <v>3</v>
      </c>
      <c r="B25" s="22">
        <v>44216</v>
      </c>
      <c r="C25" s="11" t="s">
        <v>5</v>
      </c>
      <c r="D25" s="12" t="s">
        <v>29</v>
      </c>
      <c r="E25" s="13">
        <f>IF(VLOOKUP(D25,Budget!A:B,2,FALSE)&lt;&gt;0,IF(G25=0,24,24-G25),0)</f>
        <v>0</v>
      </c>
      <c r="G25" s="13"/>
      <c r="H25" s="85">
        <f>IF(E25=0,0,IF(M25="ja",(VLOOKUP(D25,Budget!A:F,6,FALSE)*(E25-(VLOOKUP(D25,Budget!A:F,3,FALSE)))),VLOOKUP($D25,Budget!$A$1:$F$19,6,FALSE)*E25))</f>
        <v>0</v>
      </c>
      <c r="I25" s="85">
        <f>IF(F25=0,0,IF(M25="ja",((VLOOKUP(F25,Budget!A:F,6,FALSE)*(E25-(VLOOKUP(F25,Budget!A:F,3,FALSE))))),VLOOKUP($D25,Budget!A:F,5,FALSE)*E25))</f>
        <v>0</v>
      </c>
      <c r="J25" s="85">
        <f t="shared" si="4"/>
        <v>0</v>
      </c>
      <c r="K25" s="14"/>
      <c r="L25" s="73"/>
      <c r="M25" s="80" t="str">
        <f t="shared" si="5"/>
        <v>nein</v>
      </c>
      <c r="N25">
        <f t="shared" si="3"/>
        <v>2021</v>
      </c>
    </row>
    <row r="26" spans="1:14" ht="15" hidden="1" customHeight="1" x14ac:dyDescent="0.3">
      <c r="A26" s="103">
        <f t="shared" si="1"/>
        <v>3</v>
      </c>
      <c r="B26" s="22">
        <v>44217</v>
      </c>
      <c r="C26" s="11" t="s">
        <v>6</v>
      </c>
      <c r="D26" s="12" t="s">
        <v>29</v>
      </c>
      <c r="E26" s="13">
        <f>IF(VLOOKUP(D26,Budget!A:B,2,FALSE)&lt;&gt;0,IF(G26=0,24,24-G26),0)</f>
        <v>0</v>
      </c>
      <c r="F26" s="94"/>
      <c r="G26" s="13"/>
      <c r="H26" s="85">
        <f>IF(E26=0,0,IF(M26="ja",(VLOOKUP(D26,Budget!A:F,6,FALSE)*(E26-(VLOOKUP(D26,Budget!A:F,3,FALSE)))),VLOOKUP($D26,Budget!$A$1:$F$19,6,FALSE)*E26))</f>
        <v>0</v>
      </c>
      <c r="I26" s="85">
        <f>IF(F26=0,0,IF(M26="ja",((VLOOKUP(F26,Budget!A:F,6,FALSE)*(E26-(VLOOKUP(F26,Budget!A:F,3,FALSE))))),VLOOKUP($D26,Budget!A:F,5,FALSE)*E26))</f>
        <v>0</v>
      </c>
      <c r="J26" s="85">
        <f t="shared" si="4"/>
        <v>0</v>
      </c>
      <c r="K26" s="14"/>
      <c r="L26" s="73"/>
      <c r="M26" s="80" t="str">
        <f t="shared" si="5"/>
        <v>nein</v>
      </c>
      <c r="N26">
        <f t="shared" si="3"/>
        <v>2021</v>
      </c>
    </row>
    <row r="27" spans="1:14" ht="15" hidden="1" customHeight="1" x14ac:dyDescent="0.3">
      <c r="A27" s="105">
        <f t="shared" si="1"/>
        <v>3</v>
      </c>
      <c r="B27" s="22">
        <v>44218</v>
      </c>
      <c r="C27" s="11" t="s">
        <v>7</v>
      </c>
      <c r="D27" s="94" t="s">
        <v>30</v>
      </c>
      <c r="E27" s="13">
        <f>IF(VLOOKUP(D27,Budget!A:B,2,FALSE)&lt;&gt;0,IF(G27=0,24,24-G27),0)</f>
        <v>0</v>
      </c>
      <c r="G27" s="13"/>
      <c r="H27" s="85">
        <f>IF(E27=0,0,IF(M27="ja",(VLOOKUP(D27,Budget!A:F,6,FALSE)*(E27-(VLOOKUP(D27,Budget!A:F,3,FALSE)))),VLOOKUP($D27,Budget!$A$1:$F$19,6,FALSE)*E27))</f>
        <v>0</v>
      </c>
      <c r="I27" s="85">
        <f>IF(F27=0,0,IF(M27="ja",((VLOOKUP(F27,Budget!A:F,6,FALSE)*(E27-(VLOOKUP(F27,Budget!A:F,3,FALSE))))),VLOOKUP($D27,Budget!A:F,5,FALSE)*E27))</f>
        <v>0</v>
      </c>
      <c r="J27" s="85">
        <f t="shared" si="4"/>
        <v>0</v>
      </c>
      <c r="K27" s="14"/>
      <c r="L27" s="25"/>
      <c r="M27" s="80" t="str">
        <f t="shared" si="5"/>
        <v>nein</v>
      </c>
      <c r="N27">
        <f t="shared" si="3"/>
        <v>2021</v>
      </c>
    </row>
    <row r="28" spans="1:14" ht="15" hidden="1" customHeight="1" x14ac:dyDescent="0.3">
      <c r="A28" s="105">
        <f t="shared" si="1"/>
        <v>3</v>
      </c>
      <c r="B28" s="22">
        <v>44219</v>
      </c>
      <c r="C28" s="16" t="s">
        <v>8</v>
      </c>
      <c r="D28" s="17" t="s">
        <v>30</v>
      </c>
      <c r="E28" s="24">
        <f>IF(VLOOKUP(D28,Budget!A:B,2,FALSE)&lt;&gt;0,IF(G28=0,24,24-G28),0)</f>
        <v>0</v>
      </c>
      <c r="F28" s="17"/>
      <c r="G28" s="17"/>
      <c r="H28" s="86">
        <f>IF(E28=0,0,IF(M28="ja",(VLOOKUP(D28,Budget!A:F,6,FALSE)*(E28-(VLOOKUP(D28,Budget!A:F,3,FALSE)))),VLOOKUP($D28,Budget!$A$1:$F$19,6,FALSE)*E28))</f>
        <v>0</v>
      </c>
      <c r="I28" s="86">
        <f>IF(F28=0,0,IF(M28="ja",((VLOOKUP(F28,Budget!A:F,6,FALSE)*(E28-(VLOOKUP(F28,Budget!A:F,3,FALSE))))),VLOOKUP($D28,Budget!A:F,5,FALSE)*E28))</f>
        <v>0</v>
      </c>
      <c r="J28" s="86">
        <f t="shared" si="4"/>
        <v>0</v>
      </c>
      <c r="K28" s="18"/>
      <c r="L28" s="75"/>
      <c r="M28" s="76" t="str">
        <f t="shared" si="5"/>
        <v>nein</v>
      </c>
      <c r="N28">
        <f t="shared" si="3"/>
        <v>2021</v>
      </c>
    </row>
    <row r="29" spans="1:14" ht="15.75" hidden="1" customHeight="1" thickBot="1" x14ac:dyDescent="0.35">
      <c r="A29" s="105">
        <f t="shared" si="1"/>
        <v>3</v>
      </c>
      <c r="B29" s="27">
        <v>44220</v>
      </c>
      <c r="C29" s="19" t="s">
        <v>9</v>
      </c>
      <c r="D29" s="20" t="s">
        <v>69</v>
      </c>
      <c r="E29" s="20">
        <v>12</v>
      </c>
      <c r="F29" s="20"/>
      <c r="G29" s="20"/>
      <c r="H29" s="93">
        <f>IF(E29=0,0,IF(M29="ja",(VLOOKUP(D29,Budget!A:F,6,FALSE)*(E29-(VLOOKUP(D29,Budget!A:F,3,FALSE)))),VLOOKUP($D29,Budget!$A$1:$F$19,6,FALSE)*E29))</f>
        <v>16810.080240748572</v>
      </c>
      <c r="I29" s="93">
        <f>IF(F29=0,0,IF(M29="ja",((VLOOKUP(F29,Budget!A:F,6,FALSE)*(E29-(VLOOKUP(F29,Budget!A:F,3,FALSE))))),VLOOKUP($D29,Budget!A:F,5,FALSE)*E29))</f>
        <v>0</v>
      </c>
      <c r="J29" s="87">
        <f t="shared" si="4"/>
        <v>16810.080240748572</v>
      </c>
      <c r="K29" s="21"/>
      <c r="L29" s="74"/>
      <c r="M29" s="77" t="str">
        <f t="shared" si="5"/>
        <v>ja</v>
      </c>
      <c r="N29">
        <f t="shared" si="3"/>
        <v>2021</v>
      </c>
    </row>
    <row r="30" spans="1:14" ht="15" hidden="1" customHeight="1" x14ac:dyDescent="0.3">
      <c r="A30" s="104">
        <f t="shared" si="1"/>
        <v>4</v>
      </c>
      <c r="B30" s="22">
        <v>44221</v>
      </c>
      <c r="C30" s="10" t="s">
        <v>3</v>
      </c>
      <c r="D30" s="12" t="s">
        <v>69</v>
      </c>
      <c r="E30" s="13">
        <f>IF(VLOOKUP(D30,Budget!A:B,2,FALSE)&lt;&gt;0,IF(G30=0,24,24-G30),0)</f>
        <v>24</v>
      </c>
      <c r="F30" s="13"/>
      <c r="G30" s="13"/>
      <c r="H30" s="85">
        <f>IF(E30=0,0,IF(M30="ja",(VLOOKUP(D30,Budget!A:F,6,FALSE)*(E30-(VLOOKUP(D30,Budget!A:F,3,FALSE)))),VLOOKUP($D30,Budget!$A$1:$F$19,6,FALSE)*E30))</f>
        <v>42919.35380616656</v>
      </c>
      <c r="I30" s="85">
        <f>IF(F30=0,0,IF(M30="ja",((VLOOKUP(F30,Budget!A:F,6,FALSE)*(E30-(VLOOKUP(F30,Budget!A:F,3,FALSE))))),VLOOKUP($D30,Budget!A:F,5,FALSE)*E30))</f>
        <v>0</v>
      </c>
      <c r="J30" s="85">
        <f t="shared" si="4"/>
        <v>42919.35380616656</v>
      </c>
      <c r="K30" s="15"/>
      <c r="L30" s="72"/>
      <c r="M30" s="80" t="str">
        <f t="shared" si="5"/>
        <v>nein</v>
      </c>
      <c r="N30">
        <f t="shared" si="3"/>
        <v>2021</v>
      </c>
    </row>
    <row r="31" spans="1:14" ht="15" hidden="1" customHeight="1" x14ac:dyDescent="0.3">
      <c r="A31" s="105">
        <f t="shared" si="1"/>
        <v>4</v>
      </c>
      <c r="B31" s="22">
        <v>44222</v>
      </c>
      <c r="C31" s="11" t="s">
        <v>4</v>
      </c>
      <c r="D31" s="12" t="s">
        <v>11</v>
      </c>
      <c r="E31" s="13">
        <f>IF(VLOOKUP(D31,Budget!A:B,2,FALSE)&lt;&gt;0,IF(G31=0,24,24-G31),0)</f>
        <v>24</v>
      </c>
      <c r="G31" s="13"/>
      <c r="H31" s="85">
        <f>IF(E31=0,0,IF(M31="ja",(VLOOKUP(D31,Budget!A:F,6,FALSE)*(E31-(VLOOKUP(D31,Budget!A:F,3,FALSE)))),VLOOKUP($D31,Budget!$A$1:$F$19,6,FALSE)*E31))</f>
        <v>30030</v>
      </c>
      <c r="I31" s="85">
        <f>IF(F31=0,0,IF(M31="ja",((VLOOKUP(F31,Budget!A:F,6,FALSE)*(E31-(VLOOKUP(F31,Budget!A:F,3,FALSE))))),VLOOKUP($D31,Budget!A:F,5,FALSE)*E31))</f>
        <v>0</v>
      </c>
      <c r="J31" s="85">
        <f t="shared" si="4"/>
        <v>30030</v>
      </c>
      <c r="K31" s="14"/>
      <c r="L31" s="73"/>
      <c r="M31" s="80" t="str">
        <f t="shared" si="5"/>
        <v>ja</v>
      </c>
      <c r="N31">
        <f t="shared" si="3"/>
        <v>2021</v>
      </c>
    </row>
    <row r="32" spans="1:14" ht="15" hidden="1" customHeight="1" x14ac:dyDescent="0.3">
      <c r="A32" s="105">
        <f t="shared" si="1"/>
        <v>4</v>
      </c>
      <c r="B32" s="22">
        <v>44223</v>
      </c>
      <c r="C32" s="11" t="s">
        <v>5</v>
      </c>
      <c r="D32" s="12" t="s">
        <v>11</v>
      </c>
      <c r="E32" s="13">
        <f>IF(VLOOKUP(D32,Budget!A:B,2,FALSE)&lt;&gt;0,IF(G32=0,24,24-G32),0)</f>
        <v>24</v>
      </c>
      <c r="G32" s="13"/>
      <c r="H32" s="85">
        <f>IF(E32=0,0,IF(M32="ja",(VLOOKUP(D32,Budget!A:F,6,FALSE)*(E32-(VLOOKUP(D32,Budget!A:F,3,FALSE)))),VLOOKUP($D32,Budget!$A$1:$F$19,6,FALSE)*E32))</f>
        <v>36960</v>
      </c>
      <c r="I32" s="85">
        <f>IF(F32=0,0,IF(M32="ja",((VLOOKUP(F32,Budget!A:F,6,FALSE)*(E32-(VLOOKUP(F32,Budget!A:F,3,FALSE))))),VLOOKUP($D32,Budget!A:F,5,FALSE)*E32))</f>
        <v>0</v>
      </c>
      <c r="J32" s="85">
        <f t="shared" si="4"/>
        <v>36960</v>
      </c>
      <c r="K32" s="14"/>
      <c r="L32" s="73"/>
      <c r="M32" s="80" t="str">
        <f t="shared" si="5"/>
        <v>nein</v>
      </c>
      <c r="N32">
        <f t="shared" si="3"/>
        <v>2021</v>
      </c>
    </row>
    <row r="33" spans="1:14" ht="15" hidden="1" customHeight="1" x14ac:dyDescent="0.3">
      <c r="A33" s="103">
        <f t="shared" si="1"/>
        <v>4</v>
      </c>
      <c r="B33" s="22">
        <v>44224</v>
      </c>
      <c r="C33" s="11" t="s">
        <v>6</v>
      </c>
      <c r="D33" s="12" t="s">
        <v>11</v>
      </c>
      <c r="E33" s="13">
        <f>IF(VLOOKUP(D33,Budget!A:B,2,FALSE)&lt;&gt;0,IF(G33=0,24,24-G33),0)</f>
        <v>24</v>
      </c>
      <c r="G33" s="13"/>
      <c r="H33" s="85">
        <f>IF(E33=0,0,IF(M33="ja",(VLOOKUP(D33,Budget!A:F,6,FALSE)*(E33-(VLOOKUP(D33,Budget!A:F,3,FALSE)))),VLOOKUP($D33,Budget!$A$1:$F$19,6,FALSE)*E33))</f>
        <v>36960</v>
      </c>
      <c r="I33" s="85">
        <f>IF(F33=0,0,IF(M33="ja",((VLOOKUP(F33,Budget!A:F,6,FALSE)*(E33-(VLOOKUP(F33,Budget!A:F,3,FALSE))))),VLOOKUP($D33,Budget!A:F,5,FALSE)*E33))</f>
        <v>0</v>
      </c>
      <c r="J33" s="85">
        <f t="shared" si="4"/>
        <v>36960</v>
      </c>
      <c r="K33" s="14"/>
      <c r="L33" s="73"/>
      <c r="M33" s="80" t="str">
        <f t="shared" si="5"/>
        <v>nein</v>
      </c>
      <c r="N33">
        <f t="shared" si="3"/>
        <v>2021</v>
      </c>
    </row>
    <row r="34" spans="1:14" ht="15" hidden="1" customHeight="1" x14ac:dyDescent="0.3">
      <c r="A34" s="105">
        <f t="shared" si="1"/>
        <v>4</v>
      </c>
      <c r="B34" s="22">
        <v>44225</v>
      </c>
      <c r="C34" s="11" t="s">
        <v>7</v>
      </c>
      <c r="D34" s="12" t="s">
        <v>11</v>
      </c>
      <c r="E34" s="13">
        <f>IF(VLOOKUP(D34,Budget!A:B,2,FALSE)&lt;&gt;0,IF(G34=0,24,24-G34),0)</f>
        <v>24</v>
      </c>
      <c r="G34" s="13"/>
      <c r="H34" s="85">
        <f>IF(E34=0,0,IF(M34="ja",(VLOOKUP(D34,Budget!A:F,6,FALSE)*(E34-(VLOOKUP(D34,Budget!A:F,3,FALSE)))),VLOOKUP($D34,Budget!$A$1:$F$19,6,FALSE)*E34))</f>
        <v>36960</v>
      </c>
      <c r="I34" s="85">
        <f>IF(F34=0,0,IF(M34="ja",((VLOOKUP(F34,Budget!A:F,6,FALSE)*(E34-(VLOOKUP(F34,Budget!A:F,3,FALSE))))),VLOOKUP($D34,Budget!A:F,5,FALSE)*E34))</f>
        <v>0</v>
      </c>
      <c r="J34" s="85">
        <f t="shared" si="4"/>
        <v>36960</v>
      </c>
      <c r="K34" s="14"/>
      <c r="L34" s="25"/>
      <c r="M34" s="80" t="str">
        <f t="shared" si="5"/>
        <v>nein</v>
      </c>
      <c r="N34">
        <f t="shared" si="3"/>
        <v>2021</v>
      </c>
    </row>
    <row r="35" spans="1:14" ht="15" hidden="1" customHeight="1" x14ac:dyDescent="0.3">
      <c r="A35" s="105">
        <f t="shared" si="1"/>
        <v>4</v>
      </c>
      <c r="B35" s="22">
        <v>44226</v>
      </c>
      <c r="C35" s="16" t="s">
        <v>8</v>
      </c>
      <c r="D35" s="17" t="s">
        <v>11</v>
      </c>
      <c r="E35" s="24">
        <f>IF(VLOOKUP(D35,Budget!A:B,2,FALSE)&lt;&gt;0,IF(G35=0,24,24-G35),0)</f>
        <v>24</v>
      </c>
      <c r="F35" s="17"/>
      <c r="G35" s="17"/>
      <c r="H35" s="86">
        <f>IF(E35=0,0,IF(M35="ja",(VLOOKUP(D35,Budget!A:F,6,FALSE)*(E35-(VLOOKUP(D35,Budget!A:F,3,FALSE)))),VLOOKUP($D35,Budget!$A$1:$F$19,6,FALSE)*E35))</f>
        <v>36960</v>
      </c>
      <c r="I35" s="86">
        <f>IF(F35=0,0,IF(M35="ja",((VLOOKUP(F35,Budget!A:F,6,FALSE)*(E35-(VLOOKUP(F35,Budget!A:F,3,FALSE))))),VLOOKUP($D35,Budget!A:F,5,FALSE)*E35))</f>
        <v>0</v>
      </c>
      <c r="J35" s="86">
        <f t="shared" si="4"/>
        <v>36960</v>
      </c>
      <c r="K35" s="18"/>
      <c r="L35" s="75"/>
      <c r="M35" s="76" t="str">
        <f t="shared" si="5"/>
        <v>nein</v>
      </c>
      <c r="N35">
        <f t="shared" si="3"/>
        <v>2021</v>
      </c>
    </row>
    <row r="36" spans="1:14" ht="15.75" hidden="1" customHeight="1" thickBot="1" x14ac:dyDescent="0.35">
      <c r="A36" s="105">
        <f t="shared" si="1"/>
        <v>4</v>
      </c>
      <c r="B36" s="27">
        <v>44227</v>
      </c>
      <c r="C36" s="19" t="s">
        <v>9</v>
      </c>
      <c r="D36" s="20" t="s">
        <v>11</v>
      </c>
      <c r="E36" s="20">
        <f>IF(VLOOKUP(D36,Budget!A:B,2,FALSE)&lt;&gt;0,IF(G36=0,24,24-G36),0)</f>
        <v>24</v>
      </c>
      <c r="F36" s="20"/>
      <c r="G36" s="20"/>
      <c r="H36" s="93">
        <f>IF(E36=0,0,IF(M36="ja",(VLOOKUP(D36,Budget!A:F,6,FALSE)*(E36-(VLOOKUP(D36,Budget!A:F,3,FALSE)))),VLOOKUP($D36,Budget!$A$1:$F$19,6,FALSE)*E36))</f>
        <v>36960</v>
      </c>
      <c r="I36" s="93">
        <f>IF(F36=0,0,IF(M36="ja",((VLOOKUP(F36,Budget!A:F,6,FALSE)*(E36-(VLOOKUP(F36,Budget!A:F,3,FALSE))))),VLOOKUP($D36,Budget!A:F,5,FALSE)*E36))</f>
        <v>0</v>
      </c>
      <c r="J36" s="87">
        <f t="shared" si="4"/>
        <v>36960</v>
      </c>
      <c r="K36" s="21"/>
      <c r="L36" s="74"/>
      <c r="M36" s="77" t="str">
        <f t="shared" si="5"/>
        <v>nein</v>
      </c>
      <c r="N36">
        <f t="shared" si="3"/>
        <v>2021</v>
      </c>
    </row>
    <row r="37" spans="1:14" ht="15" hidden="1" customHeight="1" x14ac:dyDescent="0.3">
      <c r="A37" s="104">
        <f t="shared" si="1"/>
        <v>5</v>
      </c>
      <c r="B37" s="22">
        <v>44228</v>
      </c>
      <c r="C37" s="10" t="s">
        <v>3</v>
      </c>
      <c r="D37" s="12" t="s">
        <v>11</v>
      </c>
      <c r="E37" s="13">
        <f>IF(VLOOKUP(D37,Budget!A:B,2,FALSE)&lt;&gt;0,IF(G37=0,24,24-G37),0)</f>
        <v>24</v>
      </c>
      <c r="F37" s="13"/>
      <c r="G37" s="13"/>
      <c r="H37" s="85">
        <f>IF(E37=0,0,IF(M37="ja",(VLOOKUP(D37,Budget!A:F,6,FALSE)*(E37-(VLOOKUP(D37,Budget!A:F,3,FALSE)))),VLOOKUP($D37,Budget!$A$1:$F$19,6,FALSE)*E37))</f>
        <v>36960</v>
      </c>
      <c r="I37" s="85">
        <f>IF(F37=0,0,IF(M37="ja",((VLOOKUP(F37,Budget!A:F,6,FALSE)*(E37-(VLOOKUP(F37,Budget!A:F,3,FALSE))))),VLOOKUP($D37,Budget!A:F,5,FALSE)*E37))</f>
        <v>0</v>
      </c>
      <c r="J37" s="85">
        <f t="shared" si="4"/>
        <v>36960</v>
      </c>
      <c r="K37" s="15"/>
      <c r="L37" s="72"/>
      <c r="M37" s="80" t="str">
        <f t="shared" si="5"/>
        <v>nein</v>
      </c>
      <c r="N37">
        <f t="shared" si="3"/>
        <v>2021</v>
      </c>
    </row>
    <row r="38" spans="1:14" ht="15" hidden="1" customHeight="1" x14ac:dyDescent="0.3">
      <c r="A38" s="105">
        <f t="shared" si="1"/>
        <v>5</v>
      </c>
      <c r="B38" s="22">
        <v>44229</v>
      </c>
      <c r="C38" s="11" t="s">
        <v>4</v>
      </c>
      <c r="D38" s="12" t="s">
        <v>65</v>
      </c>
      <c r="E38" s="13">
        <f>IF(VLOOKUP(D38,Budget!A:B,2,FALSE)&lt;&gt;0,IF(G38=0,24,24-G38),0)</f>
        <v>24</v>
      </c>
      <c r="G38" s="13"/>
      <c r="H38" s="85">
        <f>IF(E38=0,0,IF(M38="ja",(VLOOKUP(D38,Budget!A:F,6,FALSE)*(E38-(VLOOKUP(D38,Budget!A:F,3,FALSE)))),VLOOKUP($D38,Budget!$A$1:$F$19,6,FALSE)*E38))</f>
        <v>22220.983707552332</v>
      </c>
      <c r="I38" s="85">
        <f>IF(F38=0,0,IF(M38="ja",((VLOOKUP(F38,Budget!A:F,6,FALSE)*(E38-(VLOOKUP(F38,Budget!A:F,3,FALSE))))),VLOOKUP($D38,Budget!A:F,5,FALSE)*E38))</f>
        <v>0</v>
      </c>
      <c r="J38" s="85">
        <f t="shared" si="4"/>
        <v>22220.983707552332</v>
      </c>
      <c r="K38" s="14"/>
      <c r="L38" s="73"/>
      <c r="M38" s="80" t="str">
        <f t="shared" si="5"/>
        <v>ja</v>
      </c>
      <c r="N38">
        <f t="shared" si="3"/>
        <v>2021</v>
      </c>
    </row>
    <row r="39" spans="1:14" ht="15" hidden="1" customHeight="1" x14ac:dyDescent="0.3">
      <c r="A39" s="105">
        <f t="shared" si="1"/>
        <v>5</v>
      </c>
      <c r="B39" s="22">
        <v>44230</v>
      </c>
      <c r="C39" s="11" t="s">
        <v>5</v>
      </c>
      <c r="D39" s="12" t="s">
        <v>65</v>
      </c>
      <c r="E39" s="13">
        <f>IF(VLOOKUP(D39,Budget!A:B,2,FALSE)&lt;&gt;0,IF(G39=0,24,24-G39),0)</f>
        <v>24</v>
      </c>
      <c r="G39" s="13"/>
      <c r="H39" s="85">
        <f>IF(E39=0,0,IF(M39="ja",(VLOOKUP(D39,Budget!A:F,6,FALSE)*(E39-(VLOOKUP(D39,Budget!A:F,3,FALSE)))),VLOOKUP($D39,Budget!$A$1:$F$19,6,FALSE)*E39))</f>
        <v>35553.573932083731</v>
      </c>
      <c r="I39" s="85">
        <f>IF(F39=0,0,IF(M39="ja",((VLOOKUP(F39,Budget!A:F,6,FALSE)*(E39-(VLOOKUP(F39,Budget!A:F,3,FALSE))))),VLOOKUP($D39,Budget!A:F,5,FALSE)*E39))</f>
        <v>0</v>
      </c>
      <c r="J39" s="85">
        <f t="shared" si="4"/>
        <v>35553.573932083731</v>
      </c>
      <c r="K39" s="14"/>
      <c r="L39" s="73"/>
      <c r="M39" s="80" t="str">
        <f t="shared" si="5"/>
        <v>nein</v>
      </c>
      <c r="N39">
        <f t="shared" si="3"/>
        <v>2021</v>
      </c>
    </row>
    <row r="40" spans="1:14" ht="15" hidden="1" customHeight="1" x14ac:dyDescent="0.3">
      <c r="A40" s="103">
        <f t="shared" si="1"/>
        <v>5</v>
      </c>
      <c r="B40" s="22">
        <v>44231</v>
      </c>
      <c r="C40" s="11" t="s">
        <v>6</v>
      </c>
      <c r="D40" s="12" t="s">
        <v>65</v>
      </c>
      <c r="E40" s="13">
        <f>IF(VLOOKUP(D40,Budget!A:B,2,FALSE)&lt;&gt;0,IF(G40=0,24,24-G40),0)</f>
        <v>24</v>
      </c>
      <c r="G40" s="13"/>
      <c r="H40" s="85">
        <f>IF(E40=0,0,IF(M40="ja",(VLOOKUP(D40,Budget!A:F,6,FALSE)*(E40-(VLOOKUP(D40,Budget!A:F,3,FALSE)))),VLOOKUP($D40,Budget!$A$1:$F$19,6,FALSE)*E40))</f>
        <v>35553.573932083731</v>
      </c>
      <c r="I40" s="85">
        <f>IF(F40=0,0,IF(M40="ja",((VLOOKUP(F40,Budget!A:F,6,FALSE)*(E40-(VLOOKUP(F40,Budget!A:F,3,FALSE))))),VLOOKUP($D40,Budget!A:F,5,FALSE)*E40))</f>
        <v>0</v>
      </c>
      <c r="J40" s="85">
        <f t="shared" si="4"/>
        <v>35553.573932083731</v>
      </c>
      <c r="K40" s="14"/>
      <c r="L40" s="73"/>
      <c r="M40" s="80" t="str">
        <f>IF(E40=0,"nein",IF(OR(E40&lt;&gt;24,F39&lt;&gt;0,D40&lt;&gt;D39),"ja","nein"))</f>
        <v>nein</v>
      </c>
      <c r="N40">
        <f t="shared" si="3"/>
        <v>2021</v>
      </c>
    </row>
    <row r="41" spans="1:14" ht="15" hidden="1" customHeight="1" x14ac:dyDescent="0.3">
      <c r="A41" s="105">
        <f t="shared" si="1"/>
        <v>5</v>
      </c>
      <c r="B41" s="22">
        <v>44232</v>
      </c>
      <c r="C41" s="11" t="s">
        <v>7</v>
      </c>
      <c r="D41" s="12" t="s">
        <v>12</v>
      </c>
      <c r="E41" s="13">
        <f>IF(VLOOKUP(D41,Budget!A:B,2,FALSE)&lt;&gt;0,IF(G41=0,24,24-G41),0)</f>
        <v>18</v>
      </c>
      <c r="F41" s="12" t="s">
        <v>13</v>
      </c>
      <c r="G41" s="13">
        <v>6</v>
      </c>
      <c r="H41" s="85">
        <f>IF(E41=0,0,IF(M41="ja",(VLOOKUP(D41,Budget!A:F,6,FALSE)*(E41-(VLOOKUP(D41,Budget!A:F,3,FALSE)))),VLOOKUP($D41,Budget!$A$1:$F$19,6,FALSE)*E41))</f>
        <v>18480</v>
      </c>
      <c r="I41" s="85">
        <f>IF(F41=0,0,IF(M41="ja",((VLOOKUP(F41,Budget!A:F,6,FALSE)*(E41-(VLOOKUP(F41,Budget!A:F,3,FALSE))))),VLOOKUP($D41,Budget!A:F,5,FALSE)*E41))</f>
        <v>0</v>
      </c>
      <c r="J41" s="85">
        <f t="shared" si="4"/>
        <v>18480</v>
      </c>
      <c r="K41" s="14"/>
      <c r="L41" s="25" t="s">
        <v>59</v>
      </c>
      <c r="M41" s="80" t="str">
        <f t="shared" si="5"/>
        <v>ja</v>
      </c>
      <c r="N41">
        <f t="shared" si="3"/>
        <v>2021</v>
      </c>
    </row>
    <row r="42" spans="1:14" ht="15" hidden="1" customHeight="1" x14ac:dyDescent="0.3">
      <c r="A42" s="105">
        <f t="shared" si="1"/>
        <v>5</v>
      </c>
      <c r="B42" s="22">
        <v>44233</v>
      </c>
      <c r="C42" s="16" t="s">
        <v>8</v>
      </c>
      <c r="D42" s="17" t="s">
        <v>12</v>
      </c>
      <c r="E42" s="24">
        <f>IF(VLOOKUP(D42,Budget!A:B,2,FALSE)&lt;&gt;0,IF(G42=0,24,24-G42),0)</f>
        <v>24</v>
      </c>
      <c r="F42" s="17"/>
      <c r="G42" s="17"/>
      <c r="H42" s="86">
        <f>IF(E42=0,0,IF(M42="ja",(VLOOKUP(D42,Budget!A:F,6,FALSE)*(E42-(VLOOKUP(D42,Budget!A:F,3,FALSE)))),VLOOKUP($D42,Budget!$A$1:$F$19,6,FALSE)*E42))</f>
        <v>27720</v>
      </c>
      <c r="I42" s="86">
        <f>IF(F42=0,0,IF(M42="ja",((VLOOKUP(F42,Budget!A:F,6,FALSE)*(E42-(VLOOKUP(F42,Budget!A:F,3,FALSE))))),VLOOKUP($D42,Budget!A:F,5,FALSE)*E42))</f>
        <v>0</v>
      </c>
      <c r="J42" s="86">
        <f t="shared" si="4"/>
        <v>27720</v>
      </c>
      <c r="K42" s="18"/>
      <c r="L42" s="75"/>
      <c r="M42" s="76" t="str">
        <f t="shared" si="5"/>
        <v>ja</v>
      </c>
      <c r="N42">
        <f t="shared" si="3"/>
        <v>2021</v>
      </c>
    </row>
    <row r="43" spans="1:14" ht="15.75" hidden="1" customHeight="1" thickBot="1" x14ac:dyDescent="0.35">
      <c r="A43" s="105">
        <f t="shared" si="1"/>
        <v>5</v>
      </c>
      <c r="B43" s="27">
        <v>44234</v>
      </c>
      <c r="C43" s="19" t="s">
        <v>9</v>
      </c>
      <c r="D43" s="20" t="s">
        <v>12</v>
      </c>
      <c r="E43" s="20">
        <f>IF(VLOOKUP(D43,Budget!A:B,2,FALSE)&lt;&gt;0,IF(G43=0,24,24-G43),0)</f>
        <v>16</v>
      </c>
      <c r="F43" s="20" t="s">
        <v>69</v>
      </c>
      <c r="G43" s="20">
        <v>8</v>
      </c>
      <c r="H43" s="93">
        <f>IF(E43=0,0,IF(M43="ja",(VLOOKUP(D43,Budget!A:F,6,FALSE)*(E43-(VLOOKUP(D43,Budget!A:F,3,FALSE)))),VLOOKUP($D43,Budget!$A$1:$F$19,6,FALSE)*E43))</f>
        <v>15400</v>
      </c>
      <c r="I43" s="93">
        <f>IF(F43=0,0,IF(M43="ja",((VLOOKUP(F43,Budget!A:F,6,FALSE)*(E43-(VLOOKUP(F43,Budget!A:F,3,FALSE))))),VLOOKUP($D43,Budget!A:F,5,FALSE)*E43))</f>
        <v>23963.305875109665</v>
      </c>
      <c r="J43" s="87">
        <f t="shared" si="4"/>
        <v>39363.305875109669</v>
      </c>
      <c r="K43" s="21"/>
      <c r="L43" s="74"/>
      <c r="M43" s="77" t="str">
        <f t="shared" si="5"/>
        <v>ja</v>
      </c>
      <c r="N43">
        <f t="shared" si="3"/>
        <v>2021</v>
      </c>
    </row>
    <row r="44" spans="1:14" ht="15" hidden="1" customHeight="1" x14ac:dyDescent="0.3">
      <c r="A44" s="104">
        <f t="shared" si="1"/>
        <v>6</v>
      </c>
      <c r="B44" s="22">
        <v>44235</v>
      </c>
      <c r="C44" s="10" t="s">
        <v>3</v>
      </c>
      <c r="D44" s="12" t="s">
        <v>69</v>
      </c>
      <c r="E44" s="13">
        <f>IF(VLOOKUP(D44,Budget!A:B,2,FALSE)&lt;&gt;0,IF(G44=0,24,24-G44),0)</f>
        <v>24</v>
      </c>
      <c r="F44" s="13"/>
      <c r="G44" s="13"/>
      <c r="H44" s="85">
        <f>IF(E44=0,0,IF(M44="ja",(VLOOKUP(D44,Budget!A:F,6,FALSE)*(E44-(VLOOKUP(D44,Budget!A:F,3,FALSE)))),VLOOKUP($D44,Budget!$A$1:$F$19,6,FALSE)*E44))</f>
        <v>38269.757143831848</v>
      </c>
      <c r="I44" s="85">
        <f>IF(F44=0,0,IF(M44="ja",((VLOOKUP(F44,Budget!A:F,6,FALSE)*(E44-(VLOOKUP(F44,Budget!A:F,3,FALSE))))),VLOOKUP($D44,Budget!A:F,5,FALSE)*E44))</f>
        <v>0</v>
      </c>
      <c r="J44" s="85">
        <f t="shared" si="4"/>
        <v>38269.757143831848</v>
      </c>
      <c r="K44" s="15"/>
      <c r="L44" s="72"/>
      <c r="M44" s="80" t="str">
        <f t="shared" si="5"/>
        <v>ja</v>
      </c>
      <c r="N44">
        <f t="shared" si="3"/>
        <v>2021</v>
      </c>
    </row>
    <row r="45" spans="1:14" ht="15" hidden="1" customHeight="1" x14ac:dyDescent="0.3">
      <c r="A45" s="105">
        <f t="shared" si="1"/>
        <v>6</v>
      </c>
      <c r="B45" s="22">
        <v>44236</v>
      </c>
      <c r="C45" s="11" t="s">
        <v>4</v>
      </c>
      <c r="D45" s="12" t="s">
        <v>72</v>
      </c>
      <c r="E45" s="13">
        <f>IF(VLOOKUP(D45,Budget!A:B,2,FALSE)&lt;&gt;0,IF(G45=0,24,24-G45),0)</f>
        <v>0</v>
      </c>
      <c r="G45" s="13"/>
      <c r="H45" s="85">
        <f>IF(E45=0,0,IF(M45="ja",(VLOOKUP(D45,Budget!A:F,6,FALSE)*(E45-(VLOOKUP(D45,Budget!A:F,3,FALSE)))),VLOOKUP($D45,Budget!$A$1:$F$19,6,FALSE)*E45))</f>
        <v>0</v>
      </c>
      <c r="I45" s="85">
        <f>IF(F45=0,0,IF(M45="ja",((VLOOKUP(F45,Budget!A:F,6,FALSE)*(E45-(VLOOKUP(F45,Budget!A:F,3,FALSE))))),VLOOKUP($D45,Budget!A:F,5,FALSE)*E45))</f>
        <v>0</v>
      </c>
      <c r="J45" s="85">
        <f t="shared" si="4"/>
        <v>0</v>
      </c>
      <c r="K45" s="14"/>
      <c r="L45" s="73"/>
      <c r="M45" s="80" t="str">
        <f t="shared" si="5"/>
        <v>nein</v>
      </c>
      <c r="N45">
        <f t="shared" si="3"/>
        <v>2021</v>
      </c>
    </row>
    <row r="46" spans="1:14" ht="15" hidden="1" customHeight="1" x14ac:dyDescent="0.3">
      <c r="A46" s="105">
        <f t="shared" si="1"/>
        <v>6</v>
      </c>
      <c r="B46" s="22">
        <v>44237</v>
      </c>
      <c r="C46" s="11" t="s">
        <v>5</v>
      </c>
      <c r="D46" s="12" t="s">
        <v>72</v>
      </c>
      <c r="E46" s="13">
        <f>IF(VLOOKUP(D46,Budget!A:B,2,FALSE)&lt;&gt;0,IF(G46=0,24,24-G46),0)</f>
        <v>0</v>
      </c>
      <c r="G46" s="13"/>
      <c r="H46" s="85">
        <f>IF(E46=0,0,IF(M46="ja",(VLOOKUP(D46,Budget!A:F,6,FALSE)*(E46-(VLOOKUP(D46,Budget!A:F,3,FALSE)))),VLOOKUP($D46,Budget!$A$1:$F$19,6,FALSE)*E46))</f>
        <v>0</v>
      </c>
      <c r="I46" s="85">
        <f>IF(F46=0,0,IF(M46="ja",((VLOOKUP(F46,Budget!A:F,6,FALSE)*(E46-(VLOOKUP(F46,Budget!A:F,3,FALSE))))),VLOOKUP($D46,Budget!A:F,5,FALSE)*E46))</f>
        <v>0</v>
      </c>
      <c r="J46" s="85">
        <f t="shared" si="4"/>
        <v>0</v>
      </c>
      <c r="K46" s="14"/>
      <c r="L46" s="73"/>
      <c r="M46" s="80" t="str">
        <f t="shared" si="5"/>
        <v>nein</v>
      </c>
      <c r="N46">
        <f t="shared" si="3"/>
        <v>2021</v>
      </c>
    </row>
    <row r="47" spans="1:14" ht="15" hidden="1" customHeight="1" x14ac:dyDescent="0.3">
      <c r="A47" s="103">
        <f t="shared" si="1"/>
        <v>6</v>
      </c>
      <c r="B47" s="22">
        <v>44238</v>
      </c>
      <c r="C47" s="11" t="s">
        <v>6</v>
      </c>
      <c r="D47" s="12" t="s">
        <v>72</v>
      </c>
      <c r="E47" s="13">
        <f>IF(VLOOKUP(D47,Budget!A:B,2,FALSE)&lt;&gt;0,IF(G47=0,24,24-G47),0)</f>
        <v>0</v>
      </c>
      <c r="G47" s="13"/>
      <c r="H47" s="85">
        <f>IF(E47=0,0,IF(M47="ja",(VLOOKUP(D47,Budget!A:F,6,FALSE)*(E47-(VLOOKUP(D47,Budget!A:F,3,FALSE)))),VLOOKUP($D47,Budget!$A$1:$F$19,6,FALSE)*E47))</f>
        <v>0</v>
      </c>
      <c r="I47" s="85">
        <f>IF(F47=0,0,IF(M47="ja",((VLOOKUP(F47,Budget!A:F,6,FALSE)*(E47-(VLOOKUP(F47,Budget!A:F,3,FALSE))))),VLOOKUP($D47,Budget!A:F,5,FALSE)*E47))</f>
        <v>0</v>
      </c>
      <c r="J47" s="85">
        <f t="shared" si="4"/>
        <v>0</v>
      </c>
      <c r="K47" s="14"/>
      <c r="L47" s="73"/>
      <c r="M47" s="80" t="str">
        <f t="shared" si="5"/>
        <v>nein</v>
      </c>
      <c r="N47">
        <f t="shared" si="3"/>
        <v>2021</v>
      </c>
    </row>
    <row r="48" spans="1:14" ht="15" hidden="1" customHeight="1" x14ac:dyDescent="0.3">
      <c r="A48" s="105">
        <f t="shared" si="1"/>
        <v>6</v>
      </c>
      <c r="B48" s="22">
        <v>44239</v>
      </c>
      <c r="C48" s="11" t="s">
        <v>7</v>
      </c>
      <c r="D48" s="12" t="s">
        <v>72</v>
      </c>
      <c r="E48" s="13">
        <f>IF(VLOOKUP(D48,Budget!A:B,2,FALSE)&lt;&gt;0,IF(G48=0,24,24-G48),0)</f>
        <v>0</v>
      </c>
      <c r="G48" s="13"/>
      <c r="H48" s="85">
        <f>IF(E48=0,0,IF(M48="ja",(VLOOKUP(D48,Budget!A:F,6,FALSE)*(E48-(VLOOKUP(D48,Budget!A:F,3,FALSE)))),VLOOKUP($D48,Budget!$A$1:$F$19,6,FALSE)*E48))</f>
        <v>0</v>
      </c>
      <c r="I48" s="85">
        <f>IF(F48=0,0,IF(M48="ja",((VLOOKUP(F48,Budget!A:F,6,FALSE)*(E48-(VLOOKUP(F48,Budget!A:F,3,FALSE))))),VLOOKUP($D48,Budget!A:F,5,FALSE)*E48))</f>
        <v>0</v>
      </c>
      <c r="J48" s="85">
        <f t="shared" si="4"/>
        <v>0</v>
      </c>
      <c r="K48" s="14"/>
      <c r="L48" s="25"/>
      <c r="M48" s="80" t="str">
        <f t="shared" si="5"/>
        <v>nein</v>
      </c>
      <c r="N48">
        <f t="shared" si="3"/>
        <v>2021</v>
      </c>
    </row>
    <row r="49" spans="1:14" ht="15" hidden="1" customHeight="1" x14ac:dyDescent="0.3">
      <c r="A49" s="105">
        <f t="shared" si="1"/>
        <v>6</v>
      </c>
      <c r="B49" s="22">
        <v>44240</v>
      </c>
      <c r="C49" s="16" t="s">
        <v>8</v>
      </c>
      <c r="D49" s="17" t="s">
        <v>72</v>
      </c>
      <c r="E49" s="24">
        <f>IF(VLOOKUP(D49,Budget!A:B,2,FALSE)&lt;&gt;0,IF(G49=0,24,24-G49),0)</f>
        <v>0</v>
      </c>
      <c r="F49" s="17"/>
      <c r="G49" s="17"/>
      <c r="H49" s="86">
        <f>IF(E49=0,0,IF(M49="ja",(VLOOKUP(D49,Budget!A:F,6,FALSE)*(E49-(VLOOKUP(D49,Budget!A:F,3,FALSE)))),VLOOKUP($D49,Budget!$A$1:$F$19,6,FALSE)*E49))</f>
        <v>0</v>
      </c>
      <c r="I49" s="86">
        <f>IF(F49=0,0,IF(M49="ja",((VLOOKUP(F49,Budget!A:F,6,FALSE)*(E49-(VLOOKUP(F49,Budget!A:F,3,FALSE))))),VLOOKUP($D49,Budget!A:F,5,FALSE)*E49))</f>
        <v>0</v>
      </c>
      <c r="J49" s="86">
        <f t="shared" si="4"/>
        <v>0</v>
      </c>
      <c r="K49" s="18"/>
      <c r="L49" s="75"/>
      <c r="M49" s="76" t="str">
        <f t="shared" si="5"/>
        <v>nein</v>
      </c>
      <c r="N49">
        <f t="shared" si="3"/>
        <v>2021</v>
      </c>
    </row>
    <row r="50" spans="1:14" ht="15.75" hidden="1" customHeight="1" thickBot="1" x14ac:dyDescent="0.35">
      <c r="A50" s="105">
        <f t="shared" si="1"/>
        <v>6</v>
      </c>
      <c r="B50" s="27">
        <v>44241</v>
      </c>
      <c r="C50" s="19" t="s">
        <v>9</v>
      </c>
      <c r="D50" s="12" t="s">
        <v>18</v>
      </c>
      <c r="E50" s="20">
        <f>IF(VLOOKUP(D50,Budget!A:B,2,FALSE)&lt;&gt;0,IF(G50=0,24,24-G50),0)</f>
        <v>24</v>
      </c>
      <c r="F50" s="20"/>
      <c r="G50" s="20"/>
      <c r="H50" s="93">
        <f>IF(E50=0,0,IF(M50="ja",(VLOOKUP(D50,Budget!A:F,6,FALSE)*(E50-(VLOOKUP(D50,Budget!A:F,3,FALSE)))),VLOOKUP($D50,Budget!$A$1:$F$19,6,FALSE)*E50))</f>
        <v>25200</v>
      </c>
      <c r="I50" s="93">
        <f>IF(F50=0,0,IF(M50="ja",((VLOOKUP(F50,Budget!A:F,6,FALSE)*(E50-(VLOOKUP(F50,Budget!A:F,3,FALSE))))),VLOOKUP($D50,Budget!A:F,5,FALSE)*E50))</f>
        <v>0</v>
      </c>
      <c r="J50" s="87">
        <f t="shared" si="4"/>
        <v>25200</v>
      </c>
      <c r="K50" s="21"/>
      <c r="L50" s="74"/>
      <c r="M50" s="77" t="str">
        <f t="shared" si="5"/>
        <v>ja</v>
      </c>
      <c r="N50">
        <f t="shared" si="3"/>
        <v>2021</v>
      </c>
    </row>
    <row r="51" spans="1:14" ht="15" hidden="1" customHeight="1" x14ac:dyDescent="0.3">
      <c r="A51" s="104">
        <f t="shared" si="1"/>
        <v>7</v>
      </c>
      <c r="B51" s="22">
        <v>44242</v>
      </c>
      <c r="C51" s="10" t="s">
        <v>3</v>
      </c>
      <c r="D51" s="12" t="s">
        <v>18</v>
      </c>
      <c r="E51" s="13">
        <f>IF(VLOOKUP(D51,Budget!A:B,2,FALSE)&lt;&gt;0,IF(G51=0,24,24-G51),0)</f>
        <v>24</v>
      </c>
      <c r="F51" s="13"/>
      <c r="G51" s="13"/>
      <c r="H51" s="85">
        <f>IF(E51=0,0,IF(M51="ja",(VLOOKUP(D51,Budget!A:F,6,FALSE)*(E51-(VLOOKUP(D51,Budget!A:F,3,FALSE)))),VLOOKUP($D51,Budget!$A$1:$F$19,6,FALSE)*E51))</f>
        <v>28800</v>
      </c>
      <c r="I51" s="85">
        <f>IF(F51=0,0,IF(M51="ja",((VLOOKUP(F51,Budget!A:F,6,FALSE)*(E51-(VLOOKUP(F51,Budget!A:F,3,FALSE))))),VLOOKUP($D51,Budget!A:F,5,FALSE)*E51))</f>
        <v>0</v>
      </c>
      <c r="J51" s="85">
        <f t="shared" si="4"/>
        <v>28800</v>
      </c>
      <c r="K51" s="15"/>
      <c r="L51" s="72"/>
      <c r="M51" s="80" t="str">
        <f t="shared" si="5"/>
        <v>nein</v>
      </c>
      <c r="N51">
        <f t="shared" si="3"/>
        <v>2021</v>
      </c>
    </row>
    <row r="52" spans="1:14" ht="15" hidden="1" customHeight="1" x14ac:dyDescent="0.3">
      <c r="A52" s="105">
        <f t="shared" si="1"/>
        <v>7</v>
      </c>
      <c r="B52" s="22">
        <v>44243</v>
      </c>
      <c r="C52" s="11" t="s">
        <v>4</v>
      </c>
      <c r="D52" s="12" t="s">
        <v>51</v>
      </c>
      <c r="E52" s="13" t="e">
        <f>IF(VLOOKUP(D52,Budget!A:B,2,FALSE)&lt;&gt;0,IF(G52=0,24,24-G52),0)</f>
        <v>#N/A</v>
      </c>
      <c r="H52" s="85" t="e">
        <f>IF(E52=0,0,IF(M52="ja",(VLOOKUP(D52,Budget!A:F,6,FALSE)*(E52-(VLOOKUP(D52,Budget!A:F,3,FALSE)))),VLOOKUP($D52,Budget!$A$1:$F$19,6,FALSE)*E52))</f>
        <v>#N/A</v>
      </c>
      <c r="I52" s="85">
        <f>IF(F52=0,0,IF(M52="ja",((VLOOKUP(F52,Budget!A:F,6,FALSE)*(E52-(VLOOKUP(F52,Budget!A:F,3,FALSE))))),VLOOKUP($D52,Budget!A:F,5,FALSE)*E52))</f>
        <v>0</v>
      </c>
      <c r="J52" s="85" t="e">
        <f t="shared" si="4"/>
        <v>#N/A</v>
      </c>
      <c r="K52" s="14"/>
      <c r="L52" s="73"/>
      <c r="M52" s="80" t="e">
        <f t="shared" si="5"/>
        <v>#N/A</v>
      </c>
      <c r="N52">
        <f t="shared" si="3"/>
        <v>2021</v>
      </c>
    </row>
    <row r="53" spans="1:14" ht="15" hidden="1" customHeight="1" x14ac:dyDescent="0.3">
      <c r="A53" s="105">
        <f t="shared" si="1"/>
        <v>7</v>
      </c>
      <c r="B53" s="22">
        <v>44244</v>
      </c>
      <c r="C53" s="11" t="s">
        <v>5</v>
      </c>
      <c r="D53" s="12" t="s">
        <v>51</v>
      </c>
      <c r="E53" s="13" t="e">
        <f>IF(VLOOKUP(D53,Budget!A:B,2,FALSE)&lt;&gt;0,IF(G53=0,24,24-G53),0)</f>
        <v>#N/A</v>
      </c>
      <c r="H53" s="85" t="e">
        <f>IF(E53=0,0,IF(M53="ja",(VLOOKUP(D53,Budget!A:F,6,FALSE)*(E53-(VLOOKUP(D53,Budget!A:F,3,FALSE)))),VLOOKUP($D53,Budget!$A$1:$F$19,6,FALSE)*E53))</f>
        <v>#N/A</v>
      </c>
      <c r="I53" s="85">
        <f>IF(F53=0,0,IF(M53="ja",((VLOOKUP(F53,Budget!A:F,6,FALSE)*(E53-(VLOOKUP(F53,Budget!A:F,3,FALSE))))),VLOOKUP($D53,Budget!A:F,5,FALSE)*E53))</f>
        <v>0</v>
      </c>
      <c r="J53" s="85" t="e">
        <f t="shared" si="4"/>
        <v>#N/A</v>
      </c>
      <c r="K53" s="14"/>
      <c r="L53" s="25"/>
      <c r="M53" s="80" t="e">
        <f t="shared" si="5"/>
        <v>#N/A</v>
      </c>
      <c r="N53">
        <f t="shared" si="3"/>
        <v>2021</v>
      </c>
    </row>
    <row r="54" spans="1:14" ht="15" hidden="1" customHeight="1" x14ac:dyDescent="0.3">
      <c r="A54" s="103">
        <f t="shared" si="1"/>
        <v>7</v>
      </c>
      <c r="B54" s="22">
        <v>44245</v>
      </c>
      <c r="C54" s="11" t="s">
        <v>6</v>
      </c>
      <c r="D54" s="12" t="s">
        <v>69</v>
      </c>
      <c r="E54" s="13">
        <f>IF(VLOOKUP(D54,Budget!A:B,2,FALSE)&lt;&gt;0,IF(G54=0,24,24-G54),0)</f>
        <v>24</v>
      </c>
      <c r="G54" s="13"/>
      <c r="H54" s="85">
        <f>IF(E54=0,0,IF(M54="ja",(VLOOKUP(D54,Budget!A:F,6,FALSE)*(E54-(VLOOKUP(D54,Budget!A:F,3,FALSE)))),VLOOKUP($D54,Budget!$A$1:$F$19,6,FALSE)*E54))</f>
        <v>38269.757143831848</v>
      </c>
      <c r="I54" s="85">
        <f>IF(F54=0,0,IF(M54="ja",((VLOOKUP(F54,Budget!A:F,6,FALSE)*(E54-(VLOOKUP(F54,Budget!A:F,3,FALSE))))),VLOOKUP($D54,Budget!A:F,5,FALSE)*E54))</f>
        <v>0</v>
      </c>
      <c r="J54" s="85">
        <f t="shared" si="4"/>
        <v>38269.757143831848</v>
      </c>
      <c r="K54" s="14"/>
      <c r="L54" s="73"/>
      <c r="M54" s="80" t="str">
        <f t="shared" si="5"/>
        <v>ja</v>
      </c>
      <c r="N54">
        <f t="shared" si="3"/>
        <v>2021</v>
      </c>
    </row>
    <row r="55" spans="1:14" ht="15" hidden="1" customHeight="1" x14ac:dyDescent="0.3">
      <c r="A55" s="105">
        <f t="shared" si="1"/>
        <v>7</v>
      </c>
      <c r="B55" s="22">
        <v>44246</v>
      </c>
      <c r="C55" s="11" t="s">
        <v>7</v>
      </c>
      <c r="D55" s="12" t="s">
        <v>69</v>
      </c>
      <c r="E55" s="13">
        <v>18</v>
      </c>
      <c r="G55" s="13"/>
      <c r="H55" s="85">
        <f>IF(E55=0,0,IF(M55="ja",(VLOOKUP(D55,Budget!A:F,6,FALSE)*(E55-(VLOOKUP(D55,Budget!A:F,3,FALSE)))),VLOOKUP($D55,Budget!$A$1:$F$19,6,FALSE)*E55))</f>
        <v>27539.918692290212</v>
      </c>
      <c r="I55" s="85">
        <f>IF(F55=0,0,IF(M55="ja",((VLOOKUP(F55,Budget!A:F,6,FALSE)*(E55-(VLOOKUP(F55,Budget!A:F,3,FALSE))))),VLOOKUP($D55,Budget!A:F,5,FALSE)*E55))</f>
        <v>0</v>
      </c>
      <c r="J55" s="85">
        <f t="shared" si="4"/>
        <v>27539.918692290212</v>
      </c>
      <c r="K55" s="14"/>
      <c r="L55" s="25"/>
      <c r="M55" s="80" t="str">
        <f t="shared" si="5"/>
        <v>ja</v>
      </c>
      <c r="N55">
        <f t="shared" si="3"/>
        <v>2021</v>
      </c>
    </row>
    <row r="56" spans="1:14" ht="15" hidden="1" customHeight="1" x14ac:dyDescent="0.3">
      <c r="A56" s="105">
        <f t="shared" si="1"/>
        <v>7</v>
      </c>
      <c r="B56" s="22">
        <v>44247</v>
      </c>
      <c r="C56" s="16" t="s">
        <v>8</v>
      </c>
      <c r="D56" s="17" t="s">
        <v>69</v>
      </c>
      <c r="E56" s="24">
        <f>IF(VLOOKUP(D56,Budget!A:B,2,FALSE)&lt;&gt;0,IF(G56=0,24,24-G56),0)</f>
        <v>24</v>
      </c>
      <c r="F56" s="17"/>
      <c r="G56" s="17"/>
      <c r="H56" s="86">
        <f>IF(E56=0,0,IF(M56="ja",(VLOOKUP(D56,Budget!A:F,6,FALSE)*(E56-(VLOOKUP(D56,Budget!A:F,3,FALSE)))),VLOOKUP($D56,Budget!$A$1:$F$19,6,FALSE)*E56))</f>
        <v>42919.35380616656</v>
      </c>
      <c r="I56" s="86">
        <f>IF(F56=0,0,IF(M56="ja",((VLOOKUP(F56,Budget!A:F,6,FALSE)*(E56-(VLOOKUP(F56,Budget!A:F,3,FALSE))))),VLOOKUP($D56,Budget!A:F,5,FALSE)*E56))</f>
        <v>0</v>
      </c>
      <c r="J56" s="86">
        <f t="shared" si="4"/>
        <v>42919.35380616656</v>
      </c>
      <c r="K56" s="18"/>
      <c r="L56" s="75"/>
      <c r="M56" s="76" t="s">
        <v>55</v>
      </c>
      <c r="N56">
        <f t="shared" si="3"/>
        <v>2021</v>
      </c>
    </row>
    <row r="57" spans="1:14" ht="15.75" hidden="1" customHeight="1" thickBot="1" x14ac:dyDescent="0.35">
      <c r="A57" s="105">
        <f t="shared" si="1"/>
        <v>7</v>
      </c>
      <c r="B57" s="27">
        <v>44248</v>
      </c>
      <c r="C57" s="19" t="s">
        <v>9</v>
      </c>
      <c r="D57" s="20" t="s">
        <v>69</v>
      </c>
      <c r="E57" s="20">
        <f>IF(VLOOKUP(D57,Budget!A:B,2,FALSE)&lt;&gt;0,IF(G57=0,24,24-G57),0)</f>
        <v>24</v>
      </c>
      <c r="F57" s="20"/>
      <c r="G57" s="20"/>
      <c r="H57" s="93">
        <f>IF(E57=0,0,IF(M57="ja",(VLOOKUP(D57,Budget!A:F,6,FALSE)*(E57-(VLOOKUP(D57,Budget!A:F,3,FALSE)))),VLOOKUP($D57,Budget!$A$1:$F$19,6,FALSE)*E57))</f>
        <v>42919.35380616656</v>
      </c>
      <c r="I57" s="93">
        <f>IF(F57=0,0,IF(M57="ja",((VLOOKUP(F57,Budget!A:F,6,FALSE)*(E57-(VLOOKUP(F57,Budget!A:F,3,FALSE))))),VLOOKUP($D57,Budget!A:F,5,FALSE)*E57))</f>
        <v>0</v>
      </c>
      <c r="J57" s="87">
        <f t="shared" si="4"/>
        <v>42919.35380616656</v>
      </c>
      <c r="K57" s="21"/>
      <c r="L57" s="74"/>
      <c r="M57" s="77" t="str">
        <f t="shared" si="5"/>
        <v>nein</v>
      </c>
      <c r="N57">
        <f t="shared" si="3"/>
        <v>2021</v>
      </c>
    </row>
    <row r="58" spans="1:14" ht="15" hidden="1" customHeight="1" x14ac:dyDescent="0.3">
      <c r="A58" s="104">
        <f t="shared" si="1"/>
        <v>8</v>
      </c>
      <c r="B58" s="22">
        <v>44249</v>
      </c>
      <c r="C58" s="10" t="s">
        <v>3</v>
      </c>
      <c r="D58" s="12" t="s">
        <v>69</v>
      </c>
      <c r="E58" s="13">
        <f>IF(VLOOKUP(D58,Budget!A:B,2,FALSE)&lt;&gt;0,IF(G58=0,24,24-G58),0)</f>
        <v>24</v>
      </c>
      <c r="F58" s="13"/>
      <c r="G58" s="13"/>
      <c r="H58" s="85">
        <f>IF(E58=0,0,IF(M58="ja",(VLOOKUP(D58,Budget!A:F,6,FALSE)*(E58-(VLOOKUP(D58,Budget!A:F,3,FALSE)))),VLOOKUP($D58,Budget!$A$1:$F$19,6,FALSE)*E58))</f>
        <v>42919.35380616656</v>
      </c>
      <c r="I58" s="85">
        <f>IF(F58=0,0,IF(M58="ja",((VLOOKUP(F58,Budget!A:F,6,FALSE)*(E58-(VLOOKUP(F58,Budget!A:F,3,FALSE))))),VLOOKUP($D58,Budget!A:F,5,FALSE)*E58))</f>
        <v>0</v>
      </c>
      <c r="J58" s="85">
        <f t="shared" si="4"/>
        <v>42919.35380616656</v>
      </c>
      <c r="K58" s="15"/>
      <c r="L58" s="102" t="s">
        <v>60</v>
      </c>
      <c r="M58" s="80" t="str">
        <f t="shared" si="5"/>
        <v>nein</v>
      </c>
      <c r="N58">
        <f t="shared" si="3"/>
        <v>2021</v>
      </c>
    </row>
    <row r="59" spans="1:14" ht="15" hidden="1" customHeight="1" x14ac:dyDescent="0.3">
      <c r="A59" s="105">
        <f t="shared" si="1"/>
        <v>8</v>
      </c>
      <c r="B59" s="22">
        <v>44250</v>
      </c>
      <c r="C59" s="11" t="s">
        <v>4</v>
      </c>
      <c r="D59" s="12" t="s">
        <v>11</v>
      </c>
      <c r="E59" s="13">
        <f>IF(VLOOKUP(D59,Budget!A:B,2,FALSE)&lt;&gt;0,IF(G59=0,24,24-G59),0)</f>
        <v>24</v>
      </c>
      <c r="G59" s="13"/>
      <c r="H59" s="85">
        <f>IF(E59=0,0,IF(M59="ja",(VLOOKUP(D59,Budget!A:F,6,FALSE)*(E59-(VLOOKUP(D59,Budget!A:F,3,FALSE)))),VLOOKUP($D59,Budget!$A$1:$F$19,6,FALSE)*E59))</f>
        <v>30030</v>
      </c>
      <c r="I59" s="85">
        <f>IF(F59=0,0,IF(M59="ja",((VLOOKUP(F59,Budget!A:F,6,FALSE)*(E59-(VLOOKUP(F59,Budget!A:F,3,FALSE))))),VLOOKUP($D59,Budget!A:F,5,FALSE)*E59))</f>
        <v>0</v>
      </c>
      <c r="J59" s="85">
        <f t="shared" si="4"/>
        <v>30030</v>
      </c>
      <c r="K59" s="14"/>
      <c r="L59" s="73" t="s">
        <v>60</v>
      </c>
      <c r="M59" s="80" t="str">
        <f t="shared" si="5"/>
        <v>ja</v>
      </c>
      <c r="N59">
        <f t="shared" si="3"/>
        <v>2021</v>
      </c>
    </row>
    <row r="60" spans="1:14" ht="15" hidden="1" customHeight="1" x14ac:dyDescent="0.3">
      <c r="A60" s="105">
        <f t="shared" si="1"/>
        <v>8</v>
      </c>
      <c r="B60" s="22">
        <v>44251</v>
      </c>
      <c r="C60" s="11" t="s">
        <v>5</v>
      </c>
      <c r="D60" s="12" t="s">
        <v>11</v>
      </c>
      <c r="E60" s="13">
        <f>IF(VLOOKUP(D60,Budget!A:B,2,FALSE)&lt;&gt;0,IF(G60=0,24,24-G60),0)</f>
        <v>24</v>
      </c>
      <c r="G60" s="13"/>
      <c r="H60" s="85">
        <f>IF(E60=0,0,IF(M60="ja",(VLOOKUP(D60,Budget!A:F,6,FALSE)*(E60-(VLOOKUP(D60,Budget!A:F,3,FALSE)))),VLOOKUP($D60,Budget!$A$1:$F$19,6,FALSE)*E60))</f>
        <v>36960</v>
      </c>
      <c r="I60" s="85">
        <f>IF(F60=0,0,IF(M60="ja",((VLOOKUP(F60,Budget!A:F,6,FALSE)*(E60-(VLOOKUP(F60,Budget!A:F,3,FALSE))))),VLOOKUP($D60,Budget!A:F,5,FALSE)*E60))</f>
        <v>0</v>
      </c>
      <c r="J60" s="85">
        <f t="shared" si="4"/>
        <v>36960</v>
      </c>
      <c r="K60" s="14"/>
      <c r="L60" s="25" t="s">
        <v>60</v>
      </c>
      <c r="M60" s="80" t="str">
        <f t="shared" si="5"/>
        <v>nein</v>
      </c>
      <c r="N60">
        <f t="shared" si="3"/>
        <v>2021</v>
      </c>
    </row>
    <row r="61" spans="1:14" ht="15" hidden="1" customHeight="1" x14ac:dyDescent="0.3">
      <c r="A61" s="103">
        <f t="shared" si="1"/>
        <v>8</v>
      </c>
      <c r="B61" s="22">
        <v>44252</v>
      </c>
      <c r="C61" s="11" t="s">
        <v>6</v>
      </c>
      <c r="D61" s="12" t="s">
        <v>11</v>
      </c>
      <c r="E61" s="13">
        <f>IF(VLOOKUP(D61,Budget!A:B,2,FALSE)&lt;&gt;0,IF(G61=0,24,24-G61),0)</f>
        <v>24</v>
      </c>
      <c r="G61" s="13"/>
      <c r="H61" s="85">
        <f>IF(E61=0,0,IF(M61="ja",(VLOOKUP(D61,Budget!A:F,6,FALSE)*(E61-(VLOOKUP(D61,Budget!A:F,3,FALSE)))),VLOOKUP($D61,Budget!$A$1:$F$19,6,FALSE)*E61))</f>
        <v>36960</v>
      </c>
      <c r="I61" s="85">
        <f>IF(F61=0,0,IF(M61="ja",((VLOOKUP(F61,Budget!A:F,6,FALSE)*(E61-(VLOOKUP(F61,Budget!A:F,3,FALSE))))),VLOOKUP($D61,Budget!A:F,5,FALSE)*E61))</f>
        <v>0</v>
      </c>
      <c r="J61" s="85">
        <f t="shared" si="4"/>
        <v>36960</v>
      </c>
      <c r="K61" s="14"/>
      <c r="L61" s="73" t="s">
        <v>60</v>
      </c>
      <c r="M61" s="80" t="str">
        <f t="shared" si="5"/>
        <v>nein</v>
      </c>
      <c r="N61">
        <f t="shared" si="3"/>
        <v>2021</v>
      </c>
    </row>
    <row r="62" spans="1:14" ht="15" hidden="1" customHeight="1" x14ac:dyDescent="0.3">
      <c r="A62" s="105">
        <f t="shared" si="1"/>
        <v>8</v>
      </c>
      <c r="B62" s="22">
        <v>44253</v>
      </c>
      <c r="C62" s="11" t="s">
        <v>7</v>
      </c>
      <c r="D62" s="12" t="s">
        <v>11</v>
      </c>
      <c r="E62" s="13">
        <v>18</v>
      </c>
      <c r="F62" s="12" t="s">
        <v>13</v>
      </c>
      <c r="G62" s="13">
        <v>6</v>
      </c>
      <c r="H62" s="85">
        <f>IF(E62=0,0,IF(M62="ja",(VLOOKUP(D62,Budget!A:F,6,FALSE)*(E62-(VLOOKUP(D62,Budget!A:F,3,FALSE)))),VLOOKUP($D62,Budget!$A$1:$F$19,6,FALSE)*E62))</f>
        <v>20790</v>
      </c>
      <c r="I62" s="85">
        <f>IF(F62=0,0,IF(M62="ja",((VLOOKUP(F62,Budget!A:F,6,FALSE)*(E62-(VLOOKUP(F62,Budget!A:F,3,FALSE))))),VLOOKUP($D62,Budget!A:F,5,FALSE)*E62))</f>
        <v>0</v>
      </c>
      <c r="J62" s="85">
        <f t="shared" si="4"/>
        <v>20790</v>
      </c>
      <c r="K62" s="14"/>
      <c r="L62" s="25" t="s">
        <v>59</v>
      </c>
      <c r="M62" s="80" t="str">
        <f t="shared" si="5"/>
        <v>ja</v>
      </c>
      <c r="N62">
        <f t="shared" si="3"/>
        <v>2021</v>
      </c>
    </row>
    <row r="63" spans="1:14" ht="15" hidden="1" customHeight="1" x14ac:dyDescent="0.3">
      <c r="A63" s="105">
        <f t="shared" si="1"/>
        <v>8</v>
      </c>
      <c r="B63" s="22">
        <v>44254</v>
      </c>
      <c r="C63" s="16" t="s">
        <v>8</v>
      </c>
      <c r="D63" s="17" t="s">
        <v>11</v>
      </c>
      <c r="E63" s="24">
        <f>IF(VLOOKUP(D63,Budget!A:B,2,FALSE)&lt;&gt;0,IF(G63=0,24,24-G63),0)</f>
        <v>24</v>
      </c>
      <c r="F63" s="17"/>
      <c r="G63" s="17"/>
      <c r="H63" s="86">
        <f>IF(E63=0,0,IF(M63="ja",(VLOOKUP(D63,Budget!A:F,6,FALSE)*(E63-(VLOOKUP(D63,Budget!A:F,3,FALSE)))),VLOOKUP($D63,Budget!$A$1:$F$19,6,FALSE)*E63))</f>
        <v>36960</v>
      </c>
      <c r="I63" s="86">
        <f>IF(F63=0,0,IF(M63="ja",((VLOOKUP(F63,Budget!A:F,6,FALSE)*(E63-(VLOOKUP(F63,Budget!A:F,3,FALSE))))),VLOOKUP($D63,Budget!A:F,5,FALSE)*E63))</f>
        <v>0</v>
      </c>
      <c r="J63" s="86">
        <f t="shared" si="4"/>
        <v>36960</v>
      </c>
      <c r="K63" s="18"/>
      <c r="L63" s="75"/>
      <c r="M63" s="76" t="s">
        <v>55</v>
      </c>
      <c r="N63">
        <f t="shared" si="3"/>
        <v>2021</v>
      </c>
    </row>
    <row r="64" spans="1:14" ht="15.75" hidden="1" customHeight="1" thickBot="1" x14ac:dyDescent="0.35">
      <c r="A64" s="105">
        <f t="shared" si="1"/>
        <v>8</v>
      </c>
      <c r="B64" s="27">
        <v>44255</v>
      </c>
      <c r="C64" s="19" t="s">
        <v>9</v>
      </c>
      <c r="D64" s="20" t="s">
        <v>11</v>
      </c>
      <c r="E64" s="20">
        <f>IF(VLOOKUP(D64,Budget!A:B,2,FALSE)&lt;&gt;0,IF(G64=0,24,24-G64),0)</f>
        <v>24</v>
      </c>
      <c r="F64" s="20"/>
      <c r="G64" s="20"/>
      <c r="H64" s="93">
        <f>IF(E64=0,0,IF(M64="ja",(VLOOKUP(D64,Budget!A:F,6,FALSE)*(E64-(VLOOKUP(D64,Budget!A:F,3,FALSE)))),VLOOKUP($D64,Budget!$A$1:$F$19,6,FALSE)*E64))</f>
        <v>36960</v>
      </c>
      <c r="I64" s="93">
        <f>IF(F64=0,0,IF(M64="ja",((VLOOKUP(F64,Budget!A:F,6,FALSE)*(E64-(VLOOKUP(F64,Budget!A:F,3,FALSE))))),VLOOKUP($D64,Budget!A:F,5,FALSE)*E64))</f>
        <v>0</v>
      </c>
      <c r="J64" s="87">
        <f t="shared" si="4"/>
        <v>36960</v>
      </c>
      <c r="K64" s="21"/>
      <c r="L64" s="74"/>
      <c r="M64" s="77" t="str">
        <f t="shared" si="5"/>
        <v>nein</v>
      </c>
      <c r="N64">
        <f t="shared" si="3"/>
        <v>2021</v>
      </c>
    </row>
    <row r="65" spans="1:14" ht="15" hidden="1" customHeight="1" x14ac:dyDescent="0.3">
      <c r="A65" s="104">
        <f t="shared" si="1"/>
        <v>9</v>
      </c>
      <c r="B65" s="22">
        <v>44256</v>
      </c>
      <c r="C65" s="10" t="s">
        <v>3</v>
      </c>
      <c r="D65" s="12" t="s">
        <v>11</v>
      </c>
      <c r="E65" s="13">
        <v>12</v>
      </c>
      <c r="F65" s="13" t="s">
        <v>66</v>
      </c>
      <c r="G65" s="13">
        <v>12</v>
      </c>
      <c r="H65" s="85">
        <f>IF(E65=0,0,IF(M65="ja",(VLOOKUP(D65,Budget!A:F,6,FALSE)*(E65-(VLOOKUP(D65,Budget!A:F,3,FALSE)))),VLOOKUP($D65,Budget!$A$1:$F$19,6,FALSE)*E65))</f>
        <v>11550</v>
      </c>
      <c r="I65" s="85">
        <f>IF(F65=0,0,IF(M65="ja",((VLOOKUP(F65,Budget!A:F,6,FALSE)*(E65-(VLOOKUP(F65,Budget!A:F,3,FALSE))))),VLOOKUP($D65,Budget!A:F,5,FALSE)*E65))</f>
        <v>13854.930885099249</v>
      </c>
      <c r="J65" s="85">
        <f t="shared" si="4"/>
        <v>25404.930885099249</v>
      </c>
      <c r="K65" s="15"/>
      <c r="L65" s="72"/>
      <c r="M65" s="80" t="str">
        <f t="shared" si="5"/>
        <v>ja</v>
      </c>
      <c r="N65">
        <f t="shared" si="3"/>
        <v>2021</v>
      </c>
    </row>
    <row r="66" spans="1:14" ht="15" hidden="1" customHeight="1" x14ac:dyDescent="0.3">
      <c r="A66" s="105">
        <f t="shared" si="1"/>
        <v>9</v>
      </c>
      <c r="B66" s="22">
        <v>44257</v>
      </c>
      <c r="C66" s="11" t="s">
        <v>4</v>
      </c>
      <c r="D66" s="12" t="s">
        <v>66</v>
      </c>
      <c r="E66" s="13">
        <v>12</v>
      </c>
      <c r="F66" s="12" t="s">
        <v>69</v>
      </c>
      <c r="G66" s="13">
        <v>12</v>
      </c>
      <c r="H66" s="85">
        <f>IF(E66=0,0,IF(M66="ja",(VLOOKUP(D66,Budget!A:F,6,FALSE)*(E66-(VLOOKUP(D66,Budget!A:F,3,FALSE)))),VLOOKUP($D66,Budget!$A$1:$F$19,6,FALSE)*E66))</f>
        <v>13854.930885099249</v>
      </c>
      <c r="I66" s="85">
        <f>IF(F66=0,0,IF(M66="ja",((VLOOKUP(F66,Budget!A:F,6,FALSE)*(E66-(VLOOKUP(F66,Budget!A:F,3,FALSE))))),VLOOKUP($D66,Budget!A:F,5,FALSE)*E66))</f>
        <v>16810.080240748572</v>
      </c>
      <c r="J66" s="85">
        <f t="shared" si="4"/>
        <v>30665.011125847821</v>
      </c>
      <c r="K66" s="14"/>
      <c r="L66" s="73"/>
      <c r="M66" s="80" t="str">
        <f t="shared" si="5"/>
        <v>ja</v>
      </c>
      <c r="N66">
        <f t="shared" si="3"/>
        <v>2021</v>
      </c>
    </row>
    <row r="67" spans="1:14" ht="15" hidden="1" customHeight="1" x14ac:dyDescent="0.3">
      <c r="A67" s="105">
        <f t="shared" ref="A67:A130" si="6">_xlfn.ISOWEEKNUM(B67)</f>
        <v>9</v>
      </c>
      <c r="B67" s="22">
        <v>44258</v>
      </c>
      <c r="C67" s="11" t="s">
        <v>5</v>
      </c>
      <c r="D67" s="12" t="s">
        <v>69</v>
      </c>
      <c r="E67" s="13">
        <f>IF(VLOOKUP(D67,Budget!A:B,2,FALSE)&lt;&gt;0,IF(G67=0,24,24-G67),0)</f>
        <v>24</v>
      </c>
      <c r="G67" s="13"/>
      <c r="H67" s="85">
        <f>IF(E67=0,0,IF(M67="ja",(VLOOKUP(D67,Budget!A:F,6,FALSE)*(E67-(VLOOKUP(D67,Budget!A:F,3,FALSE)))),VLOOKUP($D67,Budget!$A$1:$F$19,6,FALSE)*E67))</f>
        <v>38269.757143831848</v>
      </c>
      <c r="I67" s="85">
        <f>IF(F67=0,0,IF(M67="ja",((VLOOKUP(F67,Budget!A:F,6,FALSE)*(E67-(VLOOKUP(F67,Budget!A:F,3,FALSE))))),VLOOKUP($D67,Budget!A:F,5,FALSE)*E67))</f>
        <v>0</v>
      </c>
      <c r="J67" s="85">
        <f t="shared" si="4"/>
        <v>38269.757143831848</v>
      </c>
      <c r="K67" s="14"/>
      <c r="L67" s="73"/>
      <c r="M67" s="80" t="str">
        <f t="shared" si="5"/>
        <v>ja</v>
      </c>
      <c r="N67">
        <f t="shared" ref="N67:N130" si="7">YEAR(B67)</f>
        <v>2021</v>
      </c>
    </row>
    <row r="68" spans="1:14" ht="15" hidden="1" customHeight="1" x14ac:dyDescent="0.3">
      <c r="A68" s="103">
        <f t="shared" si="6"/>
        <v>9</v>
      </c>
      <c r="B68" s="22">
        <v>44259</v>
      </c>
      <c r="C68" s="11" t="s">
        <v>6</v>
      </c>
      <c r="D68" s="12" t="s">
        <v>69</v>
      </c>
      <c r="E68" s="13">
        <f>IF(VLOOKUP(D68,Budget!A:B,2,FALSE)&lt;&gt;0,IF(G68=0,24,24-G68),0)</f>
        <v>24</v>
      </c>
      <c r="G68" s="13"/>
      <c r="H68" s="85">
        <f>IF(E68=0,0,IF(M68="ja",(VLOOKUP(D68,Budget!A:F,6,FALSE)*(E68-(VLOOKUP(D68,Budget!A:F,3,FALSE)))),VLOOKUP($D68,Budget!$A$1:$F$19,6,FALSE)*E68))</f>
        <v>42919.35380616656</v>
      </c>
      <c r="I68" s="85">
        <f>IF(F68=0,0,IF(M68="ja",((VLOOKUP(F68,Budget!A:F,6,FALSE)*(E68-(VLOOKUP(F68,Budget!A:F,3,FALSE))))),VLOOKUP($D68,Budget!A:F,5,FALSE)*E68))</f>
        <v>0</v>
      </c>
      <c r="J68" s="85">
        <f t="shared" si="4"/>
        <v>42919.35380616656</v>
      </c>
      <c r="K68" s="14"/>
      <c r="L68" s="73"/>
      <c r="M68" s="80" t="str">
        <f t="shared" si="5"/>
        <v>nein</v>
      </c>
      <c r="N68">
        <f t="shared" si="7"/>
        <v>2021</v>
      </c>
    </row>
    <row r="69" spans="1:14" ht="15" hidden="1" customHeight="1" x14ac:dyDescent="0.3">
      <c r="A69" s="105">
        <f t="shared" si="6"/>
        <v>9</v>
      </c>
      <c r="B69" s="22">
        <v>44260</v>
      </c>
      <c r="C69" s="11" t="s">
        <v>7</v>
      </c>
      <c r="D69" s="12" t="s">
        <v>69</v>
      </c>
      <c r="E69" s="13">
        <v>24</v>
      </c>
      <c r="G69" s="13"/>
      <c r="H69" s="85">
        <f>IF(E69=0,0,IF(M69="ja",(VLOOKUP(D69,Budget!A:F,6,FALSE)*(E69-(VLOOKUP(D69,Budget!A:F,3,FALSE)))),VLOOKUP($D69,Budget!$A$1:$F$19,6,FALSE)*E69))</f>
        <v>42919.35380616656</v>
      </c>
      <c r="I69" s="85">
        <f>IF(F69=0,0,IF(M69="ja",((VLOOKUP(F69,Budget!A:F,6,FALSE)*(E69-(VLOOKUP(F69,Budget!A:F,3,FALSE))))),VLOOKUP($D69,Budget!A:F,5,FALSE)*E69))</f>
        <v>0</v>
      </c>
      <c r="J69" s="85">
        <f>H69+I69</f>
        <v>42919.35380616656</v>
      </c>
      <c r="K69" s="14"/>
      <c r="L69" s="25"/>
      <c r="M69" s="80" t="str">
        <f>IF(E69=0,"nein",IF(OR(E69&lt;&gt;24,F68&lt;&gt;0,D69&lt;&gt;D68),"ja","nein"))</f>
        <v>nein</v>
      </c>
      <c r="N69">
        <f t="shared" si="7"/>
        <v>2021</v>
      </c>
    </row>
    <row r="70" spans="1:14" ht="15" hidden="1" customHeight="1" x14ac:dyDescent="0.3">
      <c r="A70" s="105">
        <f t="shared" si="6"/>
        <v>9</v>
      </c>
      <c r="B70" s="22">
        <v>44261</v>
      </c>
      <c r="C70" s="16" t="s">
        <v>8</v>
      </c>
      <c r="D70" s="17" t="s">
        <v>61</v>
      </c>
      <c r="E70" s="24">
        <f>IF(VLOOKUP(D70,Budget!A:B,2,FALSE)&lt;&gt;0,IF(G70=0,24,24-G70),0)</f>
        <v>24</v>
      </c>
      <c r="F70" s="17"/>
      <c r="G70" s="17"/>
      <c r="H70" s="86">
        <f>IF(E70=0,0,IF(M70="ja",(VLOOKUP(D70,Budget!A:F,6,FALSE)*(E70-(VLOOKUP(D70,Budget!A:F,3,FALSE)))),VLOOKUP($D70,Budget!$A$1:$F$19,6,FALSE)*E70))</f>
        <v>9843.7955001031441</v>
      </c>
      <c r="I70" s="86">
        <f>IF(F70=0,0,IF(M70="ja",((VLOOKUP(F70,Budget!A:F,6,FALSE)*(E70-(VLOOKUP(F70,Budget!A:F,3,FALSE))))),VLOOKUP($D70,Budget!A:F,5,FALSE)*E70))</f>
        <v>0</v>
      </c>
      <c r="J70" s="86">
        <f>H70+I70</f>
        <v>9843.7955001031441</v>
      </c>
      <c r="K70" s="18"/>
      <c r="L70" s="75"/>
      <c r="M70" s="76" t="str">
        <f t="shared" si="5"/>
        <v>ja</v>
      </c>
      <c r="N70">
        <f t="shared" si="7"/>
        <v>2021</v>
      </c>
    </row>
    <row r="71" spans="1:14" ht="15.75" hidden="1" customHeight="1" thickBot="1" x14ac:dyDescent="0.35">
      <c r="A71" s="105">
        <f t="shared" si="6"/>
        <v>9</v>
      </c>
      <c r="B71" s="27">
        <v>44262</v>
      </c>
      <c r="C71" s="19" t="s">
        <v>9</v>
      </c>
      <c r="D71" s="20" t="s">
        <v>61</v>
      </c>
      <c r="E71" s="20">
        <f>IF(VLOOKUP(D71,Budget!A:B,2,FALSE)&lt;&gt;0,IF(G71=0,24,24-G71),0)</f>
        <v>24</v>
      </c>
      <c r="F71" s="20"/>
      <c r="G71" s="20"/>
      <c r="H71" s="93">
        <f>IF(E71=0,0,IF(M71="ja",(VLOOKUP(D71,Budget!A:F,6,FALSE)*(E71-(VLOOKUP(D71,Budget!A:F,3,FALSE)))),VLOOKUP($D71,Budget!$A$1:$F$19,6,FALSE)*E71))</f>
        <v>11812.554600123773</v>
      </c>
      <c r="I71" s="93">
        <f>IF(F71=0,0,IF(M71="ja",((VLOOKUP(F71,Budget!A:F,6,FALSE)*(E71-(VLOOKUP(F71,Budget!A:F,3,FALSE))))),VLOOKUP($D71,Budget!A:F,5,FALSE)*E71))</f>
        <v>0</v>
      </c>
      <c r="J71" s="87">
        <f>H71+I71</f>
        <v>11812.554600123773</v>
      </c>
      <c r="K71" s="21"/>
      <c r="L71" s="74"/>
      <c r="M71" s="77" t="str">
        <f t="shared" si="5"/>
        <v>nein</v>
      </c>
      <c r="N71">
        <f t="shared" si="7"/>
        <v>2021</v>
      </c>
    </row>
    <row r="72" spans="1:14" ht="15" hidden="1" customHeight="1" x14ac:dyDescent="0.3">
      <c r="A72" s="104">
        <f t="shared" si="6"/>
        <v>10</v>
      </c>
      <c r="B72" s="22">
        <v>44263</v>
      </c>
      <c r="C72" s="10" t="s">
        <v>3</v>
      </c>
      <c r="D72" s="12" t="s">
        <v>29</v>
      </c>
      <c r="E72" s="13">
        <f>IF(VLOOKUP(D72,Budget!A:B,2,FALSE)&lt;&gt;0,IF(G72=0,24,24-G72),0)</f>
        <v>0</v>
      </c>
      <c r="F72" s="13"/>
      <c r="G72" s="13"/>
      <c r="H72" s="85">
        <f>IF(E72=0,0,IF(M72="ja",(VLOOKUP(D72,Budget!A:F,6,FALSE)*(E72-(VLOOKUP(D72,Budget!A:F,3,FALSE)))),VLOOKUP($D72,Budget!$A$1:$F$19,6,FALSE)*E72))</f>
        <v>0</v>
      </c>
      <c r="I72" s="85">
        <f>IF(F72=0,0,IF(M72="ja",((VLOOKUP(F72,Budget!A:F,6,FALSE)*(E72-(VLOOKUP(F72,Budget!A:F,3,FALSE))))),VLOOKUP($D72,Budget!A:F,5,FALSE)*E72))</f>
        <v>0</v>
      </c>
      <c r="J72" s="85">
        <f>H72+I72</f>
        <v>0</v>
      </c>
      <c r="K72" s="15"/>
      <c r="L72" s="72"/>
      <c r="M72" s="80" t="str">
        <f t="shared" si="5"/>
        <v>nein</v>
      </c>
      <c r="N72">
        <f t="shared" si="7"/>
        <v>2021</v>
      </c>
    </row>
    <row r="73" spans="1:14" ht="15" hidden="1" customHeight="1" x14ac:dyDescent="0.3">
      <c r="A73" s="105">
        <f t="shared" si="6"/>
        <v>10</v>
      </c>
      <c r="B73" s="22">
        <v>44264</v>
      </c>
      <c r="C73" s="11" t="s">
        <v>4</v>
      </c>
      <c r="D73" s="12" t="s">
        <v>29</v>
      </c>
      <c r="E73" s="13">
        <f>IF(VLOOKUP(D73,Budget!A:B,2,FALSE)&lt;&gt;0,IF(G73=0,24,24-G73),0)</f>
        <v>0</v>
      </c>
      <c r="G73" s="13"/>
      <c r="H73" s="85">
        <f>IF(E73=0,0,IF(M73="ja",(VLOOKUP(D73,Budget!A:F,6,FALSE)*(E73-(VLOOKUP(D73,Budget!A:F,3,FALSE)))),VLOOKUP($D73,Budget!$A$1:$F$19,6,FALSE)*E73))</f>
        <v>0</v>
      </c>
      <c r="I73" s="85">
        <f>IF(F73=0,0,IF(M73="ja",((VLOOKUP(F73,Budget!A:F,6,FALSE)*(E73-(VLOOKUP(F73,Budget!A:F,3,FALSE))))),VLOOKUP($D73,Budget!A:F,5,FALSE)*E73))</f>
        <v>0</v>
      </c>
      <c r="J73" s="85">
        <f t="shared" si="4"/>
        <v>0</v>
      </c>
      <c r="K73" s="14"/>
      <c r="L73" s="73"/>
      <c r="M73" s="80" t="str">
        <f t="shared" si="5"/>
        <v>nein</v>
      </c>
      <c r="N73">
        <f t="shared" si="7"/>
        <v>2021</v>
      </c>
    </row>
    <row r="74" spans="1:14" ht="15" hidden="1" customHeight="1" x14ac:dyDescent="0.3">
      <c r="A74" s="105">
        <f t="shared" si="6"/>
        <v>10</v>
      </c>
      <c r="B74" s="22">
        <v>44265</v>
      </c>
      <c r="C74" s="11" t="s">
        <v>5</v>
      </c>
      <c r="D74" s="12" t="s">
        <v>30</v>
      </c>
      <c r="E74" s="13">
        <f>IF(VLOOKUP(D74,Budget!A:B,2,FALSE)&lt;&gt;0,IF(G74=0,24,24-G74),0)</f>
        <v>0</v>
      </c>
      <c r="G74" s="13"/>
      <c r="H74" s="85">
        <f>IF(E74=0,0,IF(M74="ja",(VLOOKUP(D74,Budget!A:F,6,FALSE)*(E74-(VLOOKUP(D74,Budget!A:F,3,FALSE)))),VLOOKUP($D74,Budget!$A$1:$F$19,6,FALSE)*E74))</f>
        <v>0</v>
      </c>
      <c r="I74" s="85">
        <f>IF(F74=0,0,IF(M74="ja",((VLOOKUP(F74,Budget!A:F,6,FALSE)*(E74-(VLOOKUP(F74,Budget!A:F,3,FALSE))))),VLOOKUP($D74,Budget!A:F,5,FALSE)*E74))</f>
        <v>0</v>
      </c>
      <c r="J74" s="85">
        <f t="shared" ref="J74:J137" si="8">H74+I74</f>
        <v>0</v>
      </c>
      <c r="K74" s="14"/>
      <c r="L74" s="73"/>
      <c r="M74" s="80" t="str">
        <f t="shared" ref="M74:M137" si="9">IF(E74=0,"nein",IF(OR(E74&lt;&gt;24,F73&lt;&gt;0,D74&lt;&gt;D73),"ja","nein"))</f>
        <v>nein</v>
      </c>
      <c r="N74">
        <f t="shared" si="7"/>
        <v>2021</v>
      </c>
    </row>
    <row r="75" spans="1:14" ht="15" hidden="1" customHeight="1" x14ac:dyDescent="0.3">
      <c r="A75" s="103">
        <f t="shared" si="6"/>
        <v>10</v>
      </c>
      <c r="B75" s="22">
        <v>44266</v>
      </c>
      <c r="C75" s="11" t="s">
        <v>6</v>
      </c>
      <c r="D75" s="12" t="s">
        <v>30</v>
      </c>
      <c r="E75" s="13">
        <v>12</v>
      </c>
      <c r="F75" s="12" t="s">
        <v>69</v>
      </c>
      <c r="G75" s="13">
        <v>12</v>
      </c>
      <c r="H75" s="85">
        <f>IF(E75=0,0,IF(M75="ja",(VLOOKUP(D75,Budget!A:F,6,FALSE)*(E75-(VLOOKUP(D75,Budget!A:F,3,FALSE)))),VLOOKUP($D75,Budget!$A$1:$F$19,6,FALSE)*E75))</f>
        <v>0</v>
      </c>
      <c r="I75" s="85">
        <f>IF(F75=0,0,IF(M75="ja",((VLOOKUP(F75,Budget!A:F,6,FALSE)*(E75-(VLOOKUP(F75,Budget!A:F,3,FALSE))))),VLOOKUP($D75,Budget!A:F,5,FALSE)*E75))</f>
        <v>16810.080240748572</v>
      </c>
      <c r="J75" s="85">
        <f t="shared" si="8"/>
        <v>16810.080240748572</v>
      </c>
      <c r="K75" s="14"/>
      <c r="L75" s="73"/>
      <c r="M75" s="80" t="str">
        <f t="shared" si="9"/>
        <v>ja</v>
      </c>
      <c r="N75">
        <f t="shared" si="7"/>
        <v>2021</v>
      </c>
    </row>
    <row r="76" spans="1:14" ht="15" hidden="1" customHeight="1" x14ac:dyDescent="0.3">
      <c r="A76" s="105">
        <f t="shared" si="6"/>
        <v>10</v>
      </c>
      <c r="B76" s="22">
        <v>44267</v>
      </c>
      <c r="C76" s="11" t="s">
        <v>7</v>
      </c>
      <c r="D76" s="12" t="s">
        <v>69</v>
      </c>
      <c r="E76" s="13">
        <f>IF(VLOOKUP(D76,Budget!A:B,2,FALSE)&lt;&gt;0,IF(G76=0,24,24-G76),0)</f>
        <v>24</v>
      </c>
      <c r="G76" s="13"/>
      <c r="H76" s="85">
        <f>IF(E76=0,0,IF(M76="ja",(VLOOKUP(D76,Budget!A:F,6,FALSE)*(E76-(VLOOKUP(D76,Budget!A:F,3,FALSE)))),VLOOKUP($D76,Budget!$A$1:$F$19,6,FALSE)*E76))</f>
        <v>42919.35380616656</v>
      </c>
      <c r="I76" s="85">
        <f>IF(F76=0,0,IF(M76="ja",((VLOOKUP(F76,Budget!A:F,6,FALSE)*(E76-(VLOOKUP(F76,Budget!A:F,3,FALSE))))),VLOOKUP($D76,Budget!A:F,5,FALSE)*E76))</f>
        <v>0</v>
      </c>
      <c r="J76" s="85">
        <f t="shared" si="8"/>
        <v>42919.35380616656</v>
      </c>
      <c r="K76" s="14"/>
      <c r="L76" s="25"/>
      <c r="M76" s="80" t="s">
        <v>55</v>
      </c>
      <c r="N76">
        <f t="shared" si="7"/>
        <v>2021</v>
      </c>
    </row>
    <row r="77" spans="1:14" ht="15" hidden="1" customHeight="1" x14ac:dyDescent="0.3">
      <c r="A77" s="105">
        <f t="shared" si="6"/>
        <v>10</v>
      </c>
      <c r="B77" s="22">
        <v>44268</v>
      </c>
      <c r="C77" s="16" t="s">
        <v>8</v>
      </c>
      <c r="D77" s="17" t="s">
        <v>69</v>
      </c>
      <c r="E77" s="24">
        <f>IF(VLOOKUP(D77,Budget!A:B,2,FALSE)&lt;&gt;0,IF(G77=0,24,24-G77),0)</f>
        <v>24</v>
      </c>
      <c r="F77" s="17"/>
      <c r="G77" s="17"/>
      <c r="H77" s="86">
        <f>IF(E77=0,0,IF(M77="ja",(VLOOKUP(D77,Budget!A:F,6,FALSE)*(E77-(VLOOKUP(D77,Budget!A:F,3,FALSE)))),VLOOKUP($D77,Budget!$A$1:$F$19,6,FALSE)*E77))</f>
        <v>42919.35380616656</v>
      </c>
      <c r="I77" s="86">
        <f>IF(F77=0,0,IF(M77="ja",((VLOOKUP(F77,Budget!A:F,6,FALSE)*(E77-(VLOOKUP(F77,Budget!A:F,3,FALSE))))),VLOOKUP($D77,Budget!A:F,5,FALSE)*E77))</f>
        <v>0</v>
      </c>
      <c r="J77" s="86">
        <f t="shared" si="8"/>
        <v>42919.35380616656</v>
      </c>
      <c r="K77" s="18"/>
      <c r="L77" s="75"/>
      <c r="M77" s="76" t="str">
        <f t="shared" si="9"/>
        <v>nein</v>
      </c>
      <c r="N77">
        <f t="shared" si="7"/>
        <v>2021</v>
      </c>
    </row>
    <row r="78" spans="1:14" ht="15.75" hidden="1" customHeight="1" thickBot="1" x14ac:dyDescent="0.35">
      <c r="A78" s="105">
        <f t="shared" si="6"/>
        <v>10</v>
      </c>
      <c r="B78" s="27">
        <v>44269</v>
      </c>
      <c r="C78" s="19" t="s">
        <v>9</v>
      </c>
      <c r="D78" s="20" t="s">
        <v>69</v>
      </c>
      <c r="E78" s="20">
        <f>IF(VLOOKUP(D78,Budget!A:B,2,FALSE)&lt;&gt;0,IF(G78=0,24,24-G78),0)</f>
        <v>24</v>
      </c>
      <c r="F78" s="20"/>
      <c r="G78" s="20"/>
      <c r="H78" s="93">
        <f>IF(E78=0,0,IF(M78="ja",(VLOOKUP(D78,Budget!A:F,6,FALSE)*(E78-(VLOOKUP(D78,Budget!A:F,3,FALSE)))),VLOOKUP($D78,Budget!$A$1:$F$19,6,FALSE)*E78))</f>
        <v>42919.35380616656</v>
      </c>
      <c r="I78" s="93">
        <f>IF(F78=0,0,IF(M78="ja",((VLOOKUP(F78,Budget!A:F,6,FALSE)*(E78-(VLOOKUP(F78,Budget!A:F,3,FALSE))))),VLOOKUP($D78,Budget!A:F,5,FALSE)*E78))</f>
        <v>0</v>
      </c>
      <c r="J78" s="87">
        <f t="shared" si="8"/>
        <v>42919.35380616656</v>
      </c>
      <c r="K78" s="21"/>
      <c r="L78" s="74"/>
      <c r="M78" s="77" t="str">
        <f t="shared" si="9"/>
        <v>nein</v>
      </c>
      <c r="N78">
        <f t="shared" si="7"/>
        <v>2021</v>
      </c>
    </row>
    <row r="79" spans="1:14" ht="15" hidden="1" customHeight="1" x14ac:dyDescent="0.3">
      <c r="A79" s="104">
        <f t="shared" si="6"/>
        <v>11</v>
      </c>
      <c r="B79" s="22">
        <v>44270</v>
      </c>
      <c r="C79" s="10" t="s">
        <v>3</v>
      </c>
      <c r="D79" s="12" t="s">
        <v>69</v>
      </c>
      <c r="E79" s="13">
        <f>IF(VLOOKUP(D79,Budget!A:B,2,FALSE)&lt;&gt;0,IF(G79=0,24,24-G79),0)</f>
        <v>24</v>
      </c>
      <c r="F79" s="13"/>
      <c r="G79" s="13"/>
      <c r="H79" s="85">
        <f>IF(E79=0,0,IF(M79="ja",(VLOOKUP(D79,Budget!A:F,6,FALSE)*(E79-(VLOOKUP(D79,Budget!A:F,3,FALSE)))),VLOOKUP($D79,Budget!$A$1:$F$19,6,FALSE)*E79))</f>
        <v>42919.35380616656</v>
      </c>
      <c r="I79" s="85">
        <f>IF(F79=0,0,IF(M79="ja",((VLOOKUP(F79,Budget!A:F,6,FALSE)*(E79-(VLOOKUP(F79,Budget!A:F,3,FALSE))))),VLOOKUP($D79,Budget!A:F,5,FALSE)*E79))</f>
        <v>0</v>
      </c>
      <c r="J79" s="85">
        <f t="shared" si="8"/>
        <v>42919.35380616656</v>
      </c>
      <c r="K79" s="15"/>
      <c r="L79" s="72"/>
      <c r="M79" s="80" t="str">
        <f t="shared" si="9"/>
        <v>nein</v>
      </c>
      <c r="N79">
        <f t="shared" si="7"/>
        <v>2021</v>
      </c>
    </row>
    <row r="80" spans="1:14" ht="15" hidden="1" customHeight="1" x14ac:dyDescent="0.3">
      <c r="A80" s="105">
        <f t="shared" si="6"/>
        <v>11</v>
      </c>
      <c r="B80" s="22">
        <v>44271</v>
      </c>
      <c r="C80" s="11" t="s">
        <v>4</v>
      </c>
      <c r="D80" s="12" t="s">
        <v>69</v>
      </c>
      <c r="E80" s="13">
        <f>IF(VLOOKUP(D80,Budget!A:B,2,FALSE)&lt;&gt;0,IF(G80=0,24,24-G80),0)</f>
        <v>24</v>
      </c>
      <c r="G80" s="13"/>
      <c r="H80" s="85">
        <f>IF(E80=0,0,IF(M80="ja",(VLOOKUP(D80,Budget!A:F,6,FALSE)*(E80-(VLOOKUP(D80,Budget!A:F,3,FALSE)))),VLOOKUP($D80,Budget!$A$1:$F$19,6,FALSE)*E80))</f>
        <v>42919.35380616656</v>
      </c>
      <c r="I80" s="85">
        <f>IF(F80=0,0,IF(M80="ja",((VLOOKUP(F80,Budget!A:F,6,FALSE)*(E80-(VLOOKUP(F80,Budget!A:F,3,FALSE))))),VLOOKUP($D80,Budget!A:F,5,FALSE)*E80))</f>
        <v>0</v>
      </c>
      <c r="J80" s="85">
        <f t="shared" si="8"/>
        <v>42919.35380616656</v>
      </c>
      <c r="K80" s="14"/>
      <c r="L80" s="73"/>
      <c r="M80" s="80" t="str">
        <f t="shared" si="9"/>
        <v>nein</v>
      </c>
      <c r="N80">
        <f t="shared" si="7"/>
        <v>2021</v>
      </c>
    </row>
    <row r="81" spans="1:14" ht="15" hidden="1" customHeight="1" x14ac:dyDescent="0.3">
      <c r="A81" s="105">
        <f t="shared" si="6"/>
        <v>11</v>
      </c>
      <c r="B81" s="22">
        <v>44272</v>
      </c>
      <c r="C81" s="11" t="s">
        <v>5</v>
      </c>
      <c r="D81" s="12" t="s">
        <v>69</v>
      </c>
      <c r="E81" s="13">
        <f>IF(VLOOKUP(D81,Budget!A:B,2,FALSE)&lt;&gt;0,IF(G81=0,24,24-G81),0)</f>
        <v>23</v>
      </c>
      <c r="F81" s="12" t="s">
        <v>13</v>
      </c>
      <c r="G81" s="13">
        <v>1</v>
      </c>
      <c r="H81" s="85">
        <f>IF(E81=0,0,IF(M81="ja",(VLOOKUP(D81,Budget!A:F,6,FALSE)*(E81-(VLOOKUP(D81,Budget!A:F,3,FALSE)))),VLOOKUP($D81,Budget!$A$1:$F$19,6,FALSE)*E81))</f>
        <v>41131.047397576287</v>
      </c>
      <c r="I81" s="85">
        <f>IF(F81=0,0,IF(M81="ja",((VLOOKUP(F81,Budget!A:F,6,FALSE)*(E81-(VLOOKUP(F81,Budget!A:F,3,FALSE))))),VLOOKUP($D81,Budget!A:F,5,FALSE)*E81))</f>
        <v>0</v>
      </c>
      <c r="J81" s="85">
        <f t="shared" si="8"/>
        <v>41131.047397576287</v>
      </c>
      <c r="K81" s="14"/>
      <c r="L81" s="73" t="s">
        <v>70</v>
      </c>
      <c r="M81" s="80" t="s">
        <v>55</v>
      </c>
      <c r="N81">
        <f t="shared" si="7"/>
        <v>2021</v>
      </c>
    </row>
    <row r="82" spans="1:14" ht="15" hidden="1" customHeight="1" x14ac:dyDescent="0.3">
      <c r="A82" s="103">
        <f t="shared" si="6"/>
        <v>11</v>
      </c>
      <c r="B82" s="22">
        <v>44273</v>
      </c>
      <c r="C82" s="11" t="s">
        <v>6</v>
      </c>
      <c r="D82" s="12" t="s">
        <v>69</v>
      </c>
      <c r="E82" s="13">
        <f>IF(VLOOKUP(D82,Budget!A:B,2,FALSE)&lt;&gt;0,IF(G82=0,24,24-G82),0)</f>
        <v>24</v>
      </c>
      <c r="G82" s="13"/>
      <c r="H82" s="85">
        <f>IF(E82=0,0,IF(M82="ja",(VLOOKUP(D82,Budget!A:F,6,FALSE)*(E82-(VLOOKUP(D82,Budget!A:F,3,FALSE)))),VLOOKUP($D82,Budget!$A$1:$F$19,6,FALSE)*E82))</f>
        <v>42919.35380616656</v>
      </c>
      <c r="I82" s="85">
        <f>IF(F82=0,0,IF(M82="ja",((VLOOKUP(F82,Budget!A:F,6,FALSE)*(E82-(VLOOKUP(F82,Budget!A:F,3,FALSE))))),VLOOKUP($D82,Budget!A:F,5,FALSE)*E82))</f>
        <v>0</v>
      </c>
      <c r="J82" s="85">
        <f t="shared" si="8"/>
        <v>42919.35380616656</v>
      </c>
      <c r="K82" s="14"/>
      <c r="L82" s="73"/>
      <c r="M82" s="80" t="s">
        <v>55</v>
      </c>
      <c r="N82">
        <f t="shared" si="7"/>
        <v>2021</v>
      </c>
    </row>
    <row r="83" spans="1:14" ht="15" hidden="1" customHeight="1" x14ac:dyDescent="0.3">
      <c r="A83" s="105">
        <f t="shared" si="6"/>
        <v>11</v>
      </c>
      <c r="B83" s="22">
        <v>44274</v>
      </c>
      <c r="C83" s="11" t="s">
        <v>7</v>
      </c>
      <c r="D83" s="12" t="s">
        <v>11</v>
      </c>
      <c r="E83" s="13">
        <f>IF(VLOOKUP(D83,Budget!A:B,2,FALSE)&lt;&gt;0,IF(G83=0,24,24-G83),0)</f>
        <v>24</v>
      </c>
      <c r="G83" s="13"/>
      <c r="H83" s="85">
        <f>IF(E83=0,0,IF(M83="ja",(VLOOKUP(D83,Budget!A:F,6,FALSE)*(E83-(VLOOKUP(D83,Budget!A:F,3,FALSE)))),VLOOKUP($D83,Budget!$A$1:$F$19,6,FALSE)*E83))</f>
        <v>30030</v>
      </c>
      <c r="I83" s="85">
        <f>IF(F83=0,0,IF(M83="ja",((VLOOKUP(F83,Budget!A:F,6,FALSE)*(E83-(VLOOKUP(F83,Budget!A:F,3,FALSE))))),VLOOKUP($D83,Budget!A:F,5,FALSE)*E83))</f>
        <v>0</v>
      </c>
      <c r="J83" s="85">
        <f t="shared" si="8"/>
        <v>30030</v>
      </c>
      <c r="K83" s="14"/>
      <c r="L83" s="25"/>
      <c r="M83" s="80" t="str">
        <f t="shared" si="9"/>
        <v>ja</v>
      </c>
      <c r="N83">
        <f t="shared" si="7"/>
        <v>2021</v>
      </c>
    </row>
    <row r="84" spans="1:14" ht="15" hidden="1" customHeight="1" x14ac:dyDescent="0.3">
      <c r="A84" s="105">
        <f t="shared" si="6"/>
        <v>11</v>
      </c>
      <c r="B84" s="22">
        <v>44275</v>
      </c>
      <c r="C84" s="16" t="s">
        <v>8</v>
      </c>
      <c r="D84" s="17" t="s">
        <v>11</v>
      </c>
      <c r="E84" s="24">
        <f>IF(VLOOKUP(D84,Budget!A:B,2,FALSE)&lt;&gt;0,IF(G84=0,24,24-G84),0)</f>
        <v>24</v>
      </c>
      <c r="F84" s="17"/>
      <c r="G84" s="17"/>
      <c r="H84" s="86">
        <f>IF(E84=0,0,IF(M84="ja",(VLOOKUP(D84,Budget!A:F,6,FALSE)*(E84-(VLOOKUP(D84,Budget!A:F,3,FALSE)))),VLOOKUP($D84,Budget!$A$1:$F$19,6,FALSE)*E84))</f>
        <v>36960</v>
      </c>
      <c r="I84" s="86">
        <f>IF(F84=0,0,IF(M84="ja",((VLOOKUP(F84,Budget!A:F,6,FALSE)*(E84-(VLOOKUP(F84,Budget!A:F,3,FALSE))))),VLOOKUP($D84,Budget!A:F,5,FALSE)*E84))</f>
        <v>0</v>
      </c>
      <c r="J84" s="86">
        <f t="shared" si="8"/>
        <v>36960</v>
      </c>
      <c r="K84" s="18"/>
      <c r="L84" s="75"/>
      <c r="M84" s="76" t="str">
        <f t="shared" si="9"/>
        <v>nein</v>
      </c>
      <c r="N84">
        <f t="shared" si="7"/>
        <v>2021</v>
      </c>
    </row>
    <row r="85" spans="1:14" ht="15.75" hidden="1" customHeight="1" thickBot="1" x14ac:dyDescent="0.35">
      <c r="A85" s="105">
        <f t="shared" si="6"/>
        <v>11</v>
      </c>
      <c r="B85" s="27">
        <v>44276</v>
      </c>
      <c r="C85" s="19" t="s">
        <v>9</v>
      </c>
      <c r="D85" s="20" t="s">
        <v>11</v>
      </c>
      <c r="E85" s="20">
        <f>IF(VLOOKUP(D85,Budget!A:B,2,FALSE)&lt;&gt;0,IF(G85=0,24,24-G85),0)</f>
        <v>24</v>
      </c>
      <c r="F85" s="20"/>
      <c r="G85" s="20"/>
      <c r="H85" s="93">
        <f>IF(E85=0,0,IF(M85="ja",(VLOOKUP(D85,Budget!A:F,6,FALSE)*(E85-(VLOOKUP(D85,Budget!A:F,3,FALSE)))),VLOOKUP($D85,Budget!$A$1:$F$19,6,FALSE)*E85))</f>
        <v>36960</v>
      </c>
      <c r="I85" s="93">
        <f>IF(F85=0,0,IF(M85="ja",((VLOOKUP(F85,Budget!A:F,6,FALSE)*(E85-(VLOOKUP(F85,Budget!A:F,3,FALSE))))),VLOOKUP($D85,Budget!A:F,5,FALSE)*E85))</f>
        <v>0</v>
      </c>
      <c r="J85" s="87">
        <f t="shared" si="8"/>
        <v>36960</v>
      </c>
      <c r="K85" s="21"/>
      <c r="L85" s="74"/>
      <c r="M85" s="77" t="str">
        <f t="shared" si="9"/>
        <v>nein</v>
      </c>
      <c r="N85">
        <f t="shared" si="7"/>
        <v>2021</v>
      </c>
    </row>
    <row r="86" spans="1:14" ht="15" hidden="1" customHeight="1" x14ac:dyDescent="0.3">
      <c r="A86" s="104">
        <f t="shared" si="6"/>
        <v>12</v>
      </c>
      <c r="B86" s="22">
        <v>44277</v>
      </c>
      <c r="C86" s="10" t="s">
        <v>3</v>
      </c>
      <c r="D86" s="12" t="s">
        <v>11</v>
      </c>
      <c r="E86" s="13">
        <f>IF(VLOOKUP(D86,Budget!A:B,2,FALSE)&lt;&gt;0,IF(G86=0,24,24-G86),0)</f>
        <v>24</v>
      </c>
      <c r="F86" s="13"/>
      <c r="G86" s="13"/>
      <c r="H86" s="85">
        <f>IF(E86=0,0,IF(M86="ja",(VLOOKUP(D86,Budget!A:F,6,FALSE)*(E86-(VLOOKUP(D86,Budget!A:F,3,FALSE)))),VLOOKUP($D86,Budget!$A$1:$F$19,6,FALSE)*E86))</f>
        <v>36960</v>
      </c>
      <c r="I86" s="85">
        <f>IF(F86=0,0,IF(M86="ja",((VLOOKUP(F86,Budget!A:F,6,FALSE)*(E86-(VLOOKUP(F86,Budget!A:F,3,FALSE))))),VLOOKUP($D86,Budget!A:F,5,FALSE)*E86))</f>
        <v>0</v>
      </c>
      <c r="J86" s="85">
        <f t="shared" si="8"/>
        <v>36960</v>
      </c>
      <c r="K86" s="15"/>
      <c r="L86" s="72"/>
      <c r="M86" s="80" t="str">
        <f t="shared" si="9"/>
        <v>nein</v>
      </c>
      <c r="N86">
        <f t="shared" si="7"/>
        <v>2021</v>
      </c>
    </row>
    <row r="87" spans="1:14" ht="15" hidden="1" customHeight="1" x14ac:dyDescent="0.3">
      <c r="A87" s="105">
        <f t="shared" si="6"/>
        <v>12</v>
      </c>
      <c r="B87" s="22">
        <v>44278</v>
      </c>
      <c r="C87" s="11" t="s">
        <v>4</v>
      </c>
      <c r="D87" s="12" t="s">
        <v>11</v>
      </c>
      <c r="E87" s="13">
        <f>IF(VLOOKUP(D87,Budget!A:B,2,FALSE)&lt;&gt;0,IF(G87=0,24,24-G87),0)</f>
        <v>24</v>
      </c>
      <c r="G87" s="13"/>
      <c r="H87" s="85">
        <f>IF(E87=0,0,IF(M87="ja",(VLOOKUP(D87,Budget!A:F,6,FALSE)*(E87-(VLOOKUP(D87,Budget!A:F,3,FALSE)))),VLOOKUP($D87,Budget!$A$1:$F$19,6,FALSE)*E87))</f>
        <v>36960</v>
      </c>
      <c r="I87" s="85">
        <f>IF(F87=0,0,IF(M87="ja",((VLOOKUP(F87,Budget!A:F,6,FALSE)*(E87-(VLOOKUP(F87,Budget!A:F,3,FALSE))))),VLOOKUP($D87,Budget!A:F,5,FALSE)*E87))</f>
        <v>0</v>
      </c>
      <c r="J87" s="85">
        <f t="shared" si="8"/>
        <v>36960</v>
      </c>
      <c r="K87" s="14"/>
      <c r="L87" s="73"/>
      <c r="M87" s="80" t="str">
        <f t="shared" si="9"/>
        <v>nein</v>
      </c>
      <c r="N87">
        <f t="shared" si="7"/>
        <v>2021</v>
      </c>
    </row>
    <row r="88" spans="1:14" ht="15" hidden="1" customHeight="1" x14ac:dyDescent="0.3">
      <c r="A88" s="105">
        <f t="shared" si="6"/>
        <v>12</v>
      </c>
      <c r="B88" s="22">
        <v>44279</v>
      </c>
      <c r="C88" s="11" t="s">
        <v>5</v>
      </c>
      <c r="D88" s="12" t="s">
        <v>11</v>
      </c>
      <c r="E88" s="13">
        <f>IF(VLOOKUP(D88,Budget!A:B,2,FALSE)&lt;&gt;0,IF(G88=0,24,24-G88),0)</f>
        <v>16</v>
      </c>
      <c r="F88" s="12" t="s">
        <v>13</v>
      </c>
      <c r="G88" s="13">
        <v>8</v>
      </c>
      <c r="H88" s="85">
        <f>IF(E88=0,0,IF(M88="ja",(VLOOKUP(D88,Budget!A:F,6,FALSE)*(E88-(VLOOKUP(D88,Budget!A:F,3,FALSE)))),VLOOKUP($D88,Budget!$A$1:$F$19,6,FALSE)*E88))</f>
        <v>24640</v>
      </c>
      <c r="I88" s="85">
        <f>IF(F88=0,0,IF(M88="ja",((VLOOKUP(F88,Budget!A:F,6,FALSE)*(E88-(VLOOKUP(F88,Budget!A:F,3,FALSE))))),VLOOKUP($D88,Budget!A:F,5,FALSE)*E88))</f>
        <v>0</v>
      </c>
      <c r="J88" s="85">
        <f t="shared" si="8"/>
        <v>24640</v>
      </c>
      <c r="K88" s="14"/>
      <c r="L88" s="73" t="s">
        <v>62</v>
      </c>
      <c r="M88" s="80" t="s">
        <v>55</v>
      </c>
      <c r="N88">
        <f t="shared" si="7"/>
        <v>2021</v>
      </c>
    </row>
    <row r="89" spans="1:14" ht="15" hidden="1" customHeight="1" x14ac:dyDescent="0.3">
      <c r="A89" s="103">
        <f t="shared" si="6"/>
        <v>12</v>
      </c>
      <c r="B89" s="22">
        <v>44280</v>
      </c>
      <c r="C89" s="11" t="s">
        <v>6</v>
      </c>
      <c r="D89" s="12" t="s">
        <v>11</v>
      </c>
      <c r="E89" s="13">
        <f>IF(VLOOKUP(D89,Budget!A:B,2,FALSE)&lt;&gt;0,IF(G89=0,24,24-G89),0)</f>
        <v>24</v>
      </c>
      <c r="G89" s="13"/>
      <c r="H89" s="85">
        <f>IF(E89=0,0,IF(M89="ja",(VLOOKUP(D89,Budget!A:F,6,FALSE)*(E89-(VLOOKUP(D89,Budget!A:F,3,FALSE)))),VLOOKUP($D89,Budget!$A$1:$F$19,6,FALSE)*E89))</f>
        <v>36960</v>
      </c>
      <c r="I89" s="85">
        <f>IF(F89=0,0,IF(M89="ja",((VLOOKUP(F89,Budget!A:F,6,FALSE)*(E89-(VLOOKUP(F89,Budget!A:F,3,FALSE))))),VLOOKUP($D89,Budget!A:F,5,FALSE)*E89))</f>
        <v>0</v>
      </c>
      <c r="J89" s="85">
        <f t="shared" si="8"/>
        <v>36960</v>
      </c>
      <c r="K89" s="14"/>
      <c r="L89" s="73"/>
      <c r="M89" s="80" t="s">
        <v>55</v>
      </c>
      <c r="N89">
        <f t="shared" si="7"/>
        <v>2021</v>
      </c>
    </row>
    <row r="90" spans="1:14" ht="15" hidden="1" customHeight="1" x14ac:dyDescent="0.3">
      <c r="A90" s="105">
        <f t="shared" si="6"/>
        <v>12</v>
      </c>
      <c r="B90" s="22">
        <v>44281</v>
      </c>
      <c r="C90" s="11" t="s">
        <v>7</v>
      </c>
      <c r="D90" s="12" t="s">
        <v>12</v>
      </c>
      <c r="E90" s="13">
        <f>IF(VLOOKUP(D90,Budget!A:B,2,FALSE)&lt;&gt;0,IF(G90=0,24,24-G90),0)</f>
        <v>24</v>
      </c>
      <c r="G90" s="13"/>
      <c r="H90" s="85">
        <f>IF(E90=0,0,IF(M90="ja",(VLOOKUP(D90,Budget!A:F,6,FALSE)*(E90-(VLOOKUP(D90,Budget!A:F,3,FALSE)))),VLOOKUP($D90,Budget!$A$1:$F$19,6,FALSE)*E90))</f>
        <v>27720</v>
      </c>
      <c r="I90" s="85">
        <f>IF(F90=0,0,IF(M90="ja",((VLOOKUP(F90,Budget!A:F,6,FALSE)*(E90-(VLOOKUP(F90,Budget!A:F,3,FALSE))))),VLOOKUP($D90,Budget!A:F,5,FALSE)*E90))</f>
        <v>0</v>
      </c>
      <c r="J90" s="85">
        <f t="shared" si="8"/>
        <v>27720</v>
      </c>
      <c r="K90" s="14"/>
      <c r="L90" s="25"/>
      <c r="M90" s="80" t="str">
        <f t="shared" si="9"/>
        <v>ja</v>
      </c>
      <c r="N90">
        <f t="shared" si="7"/>
        <v>2021</v>
      </c>
    </row>
    <row r="91" spans="1:14" ht="15" hidden="1" customHeight="1" x14ac:dyDescent="0.3">
      <c r="A91" s="105">
        <f t="shared" si="6"/>
        <v>12</v>
      </c>
      <c r="B91" s="22">
        <v>44282</v>
      </c>
      <c r="C91" s="16" t="s">
        <v>8</v>
      </c>
      <c r="D91" s="17" t="s">
        <v>12</v>
      </c>
      <c r="E91" s="24">
        <f>IF(VLOOKUP(D91,Budget!A:B,2,FALSE)&lt;&gt;0,IF(G91=0,24,24-G91),0)</f>
        <v>24</v>
      </c>
      <c r="F91" s="17"/>
      <c r="G91" s="17"/>
      <c r="H91" s="86">
        <f>IF(E91=0,0,IF(M91="ja",(VLOOKUP(D91,Budget!A:F,6,FALSE)*(E91-(VLOOKUP(D91,Budget!A:F,3,FALSE)))),VLOOKUP($D91,Budget!$A$1:$F$19,6,FALSE)*E91))</f>
        <v>36960</v>
      </c>
      <c r="I91" s="86">
        <f>IF(F91=0,0,IF(M91="ja",((VLOOKUP(F91,Budget!A:F,6,FALSE)*(E91-(VLOOKUP(F91,Budget!A:F,3,FALSE))))),VLOOKUP($D91,Budget!A:F,5,FALSE)*E91))</f>
        <v>0</v>
      </c>
      <c r="J91" s="86">
        <f t="shared" si="8"/>
        <v>36960</v>
      </c>
      <c r="K91" s="18"/>
      <c r="L91" s="75"/>
      <c r="M91" s="76" t="str">
        <f t="shared" si="9"/>
        <v>nein</v>
      </c>
      <c r="N91">
        <f t="shared" si="7"/>
        <v>2021</v>
      </c>
    </row>
    <row r="92" spans="1:14" ht="15.75" hidden="1" customHeight="1" thickBot="1" x14ac:dyDescent="0.35">
      <c r="A92" s="105">
        <f t="shared" si="6"/>
        <v>12</v>
      </c>
      <c r="B92" s="27">
        <v>44283</v>
      </c>
      <c r="C92" s="19" t="s">
        <v>9</v>
      </c>
      <c r="D92" s="20" t="s">
        <v>12</v>
      </c>
      <c r="E92" s="20">
        <f>IF(VLOOKUP(D92,Budget!A:B,2,FALSE)&lt;&gt;0,IF(G92=0,24,24-G92),0)</f>
        <v>24</v>
      </c>
      <c r="F92" s="20"/>
      <c r="G92" s="20"/>
      <c r="H92" s="93">
        <f>IF(E92=0,0,IF(M92="ja",(VLOOKUP(D92,Budget!A:F,6,FALSE)*(E92-(VLOOKUP(D92,Budget!A:F,3,FALSE)))),VLOOKUP($D92,Budget!$A$1:$F$19,6,FALSE)*E92))</f>
        <v>36960</v>
      </c>
      <c r="I92" s="93">
        <f>IF(F92=0,0,IF(M92="ja",((VLOOKUP(F92,Budget!A:F,6,FALSE)*(E92-(VLOOKUP(F92,Budget!A:F,3,FALSE))))),VLOOKUP($D92,Budget!A:F,5,FALSE)*E92))</f>
        <v>0</v>
      </c>
      <c r="J92" s="87">
        <f t="shared" si="8"/>
        <v>36960</v>
      </c>
      <c r="K92" s="21"/>
      <c r="L92" s="74"/>
      <c r="M92" s="77" t="str">
        <f t="shared" si="9"/>
        <v>nein</v>
      </c>
      <c r="N92">
        <f t="shared" si="7"/>
        <v>2021</v>
      </c>
    </row>
    <row r="93" spans="1:14" ht="15" hidden="1" customHeight="1" x14ac:dyDescent="0.3">
      <c r="A93" s="104">
        <f t="shared" si="6"/>
        <v>13</v>
      </c>
      <c r="B93" s="22">
        <v>44284</v>
      </c>
      <c r="C93" s="10" t="s">
        <v>3</v>
      </c>
      <c r="D93" s="12" t="s">
        <v>65</v>
      </c>
      <c r="E93" s="13">
        <f>IF(VLOOKUP(D93,Budget!A:B,2,FALSE)&lt;&gt;0,IF(G93=0,24,24-G93),0)</f>
        <v>24</v>
      </c>
      <c r="F93" s="13"/>
      <c r="G93" s="13"/>
      <c r="H93" s="85">
        <f>IF(E93=0,0,IF(M93="ja",(VLOOKUP(D93,Budget!A:F,6,FALSE)*(E93-(VLOOKUP(D93,Budget!A:F,3,FALSE)))),VLOOKUP($D93,Budget!$A$1:$F$19,6,FALSE)*E93))</f>
        <v>35553.573932083731</v>
      </c>
      <c r="I93" s="85">
        <f>IF(F93=0,0,IF(M93="ja",((VLOOKUP(F93,Budget!A:F,6,FALSE)*(E93-(VLOOKUP(F93,Budget!A:F,3,FALSE))))),VLOOKUP($D93,Budget!A:F,5,FALSE)*E93))</f>
        <v>0</v>
      </c>
      <c r="J93" s="85">
        <f t="shared" si="8"/>
        <v>35553.573932083731</v>
      </c>
      <c r="K93" s="15"/>
      <c r="L93" s="72"/>
      <c r="M93" s="80" t="s">
        <v>55</v>
      </c>
      <c r="N93">
        <f t="shared" si="7"/>
        <v>2021</v>
      </c>
    </row>
    <row r="94" spans="1:14" ht="15" hidden="1" customHeight="1" x14ac:dyDescent="0.3">
      <c r="A94" s="105">
        <f t="shared" si="6"/>
        <v>13</v>
      </c>
      <c r="B94" s="22">
        <v>44285</v>
      </c>
      <c r="C94" s="11" t="s">
        <v>4</v>
      </c>
      <c r="D94" s="12" t="s">
        <v>65</v>
      </c>
      <c r="E94" s="13">
        <f>IF(VLOOKUP(D94,Budget!A:B,2,FALSE)&lt;&gt;0,IF(G94=0,24,24-G94),0)</f>
        <v>24</v>
      </c>
      <c r="G94" s="13"/>
      <c r="H94" s="85">
        <f>IF(E94=0,0,IF(M94="ja",(VLOOKUP(D94,Budget!A:F,6,FALSE)*(E94-(VLOOKUP(D94,Budget!A:F,3,FALSE)))),VLOOKUP($D94,Budget!$A$1:$F$19,6,FALSE)*E94))</f>
        <v>35553.573932083731</v>
      </c>
      <c r="I94" s="85">
        <f>IF(F94=0,0,IF(M94="ja",((VLOOKUP(F94,Budget!A:F,6,FALSE)*(E94-(VLOOKUP(F94,Budget!A:F,3,FALSE))))),VLOOKUP($D94,Budget!A:F,5,FALSE)*E94))</f>
        <v>0</v>
      </c>
      <c r="J94" s="85">
        <f t="shared" si="8"/>
        <v>35553.573932083731</v>
      </c>
      <c r="K94" s="14"/>
      <c r="L94" s="73"/>
      <c r="M94" s="80" t="str">
        <f t="shared" si="9"/>
        <v>nein</v>
      </c>
      <c r="N94">
        <f t="shared" si="7"/>
        <v>2021</v>
      </c>
    </row>
    <row r="95" spans="1:14" ht="15" hidden="1" customHeight="1" x14ac:dyDescent="0.3">
      <c r="A95" s="105">
        <f t="shared" si="6"/>
        <v>13</v>
      </c>
      <c r="B95" s="22">
        <v>44286</v>
      </c>
      <c r="C95" s="11" t="s">
        <v>5</v>
      </c>
      <c r="D95" s="12" t="s">
        <v>13</v>
      </c>
      <c r="E95" s="13">
        <f>IF(VLOOKUP(D95,Budget!A:B,2,FALSE)&lt;&gt;0,IF(G95=0,24,24-G95),0)</f>
        <v>0</v>
      </c>
      <c r="G95" s="13"/>
      <c r="H95" s="85">
        <f>IF(E95=0,0,IF(M95="ja",(VLOOKUP(D95,Budget!A:F,6,FALSE)*(E95-(VLOOKUP(D95,Budget!A:F,3,FALSE)))),VLOOKUP($D95,Budget!$A$1:$F$19,6,FALSE)*E95))</f>
        <v>0</v>
      </c>
      <c r="I95" s="85">
        <f>IF(F95=0,0,IF(M95="ja",((VLOOKUP(F95,Budget!A:F,6,FALSE)*(E95-(VLOOKUP(F95,Budget!A:F,3,FALSE))))),VLOOKUP($D95,Budget!A:F,5,FALSE)*E95))</f>
        <v>0</v>
      </c>
      <c r="J95" s="85">
        <f t="shared" si="8"/>
        <v>0</v>
      </c>
      <c r="K95" s="14"/>
      <c r="L95" s="73"/>
      <c r="M95" s="80" t="str">
        <f t="shared" si="9"/>
        <v>nein</v>
      </c>
      <c r="N95">
        <f t="shared" si="7"/>
        <v>2021</v>
      </c>
    </row>
    <row r="96" spans="1:14" ht="15" hidden="1" customHeight="1" x14ac:dyDescent="0.3">
      <c r="A96" s="103">
        <f t="shared" si="6"/>
        <v>13</v>
      </c>
      <c r="B96" s="22">
        <v>44287</v>
      </c>
      <c r="C96" s="11" t="s">
        <v>6</v>
      </c>
      <c r="D96" s="12" t="s">
        <v>65</v>
      </c>
      <c r="E96" s="13">
        <f>IF(VLOOKUP(D96,Budget!A:B,2,FALSE)&lt;&gt;0,IF(G96=0,24,24-G96),0)</f>
        <v>24</v>
      </c>
      <c r="G96" s="13"/>
      <c r="H96" s="85">
        <f>IF(E96=0,0,IF(M96="ja",(VLOOKUP(D96,Budget!A:F,6,FALSE)*(E96-(VLOOKUP(D96,Budget!A:F,3,FALSE)))),VLOOKUP($D96,Budget!$A$1:$F$19,6,FALSE)*E96))</f>
        <v>22220.983707552332</v>
      </c>
      <c r="I96" s="85">
        <f>IF(F96=0,0,IF(M96="ja",((VLOOKUP(F96,Budget!A:F,6,FALSE)*(E96-(VLOOKUP(F96,Budget!A:F,3,FALSE))))),VLOOKUP($D96,Budget!A:F,5,FALSE)*E96))</f>
        <v>0</v>
      </c>
      <c r="J96" s="85">
        <f t="shared" si="8"/>
        <v>22220.983707552332</v>
      </c>
      <c r="K96" s="14"/>
      <c r="L96" s="73"/>
      <c r="M96" s="80" t="str">
        <f t="shared" si="9"/>
        <v>ja</v>
      </c>
      <c r="N96">
        <f t="shared" si="7"/>
        <v>2021</v>
      </c>
    </row>
    <row r="97" spans="1:14" ht="15" hidden="1" customHeight="1" x14ac:dyDescent="0.3">
      <c r="A97" s="105">
        <f t="shared" si="6"/>
        <v>13</v>
      </c>
      <c r="B97" s="22">
        <v>44288</v>
      </c>
      <c r="C97" s="11" t="s">
        <v>7</v>
      </c>
      <c r="D97" s="12" t="s">
        <v>69</v>
      </c>
      <c r="E97" s="13">
        <f>IF(VLOOKUP(D97,Budget!A:B,2,FALSE)&lt;&gt;0,IF(G97=0,24,24-G97),0)</f>
        <v>24</v>
      </c>
      <c r="G97" s="13"/>
      <c r="H97" s="85">
        <f>IF(E97=0,0,IF(M97="ja",(VLOOKUP(D97,Budget!A:F,6,FALSE)*(E97-(VLOOKUP(D97,Budget!A:F,3,FALSE)))),VLOOKUP($D97,Budget!$A$1:$F$19,6,FALSE)*E97))</f>
        <v>38269.757143831848</v>
      </c>
      <c r="I97" s="85">
        <f>IF(F97=0,0,IF(M97="ja",((VLOOKUP(F97,Budget!A:F,6,FALSE)*(E97-(VLOOKUP(F97,Budget!A:F,3,FALSE))))),VLOOKUP($D97,Budget!A:F,5,FALSE)*E97))</f>
        <v>0</v>
      </c>
      <c r="J97" s="85">
        <f t="shared" si="8"/>
        <v>38269.757143831848</v>
      </c>
      <c r="K97" s="14"/>
      <c r="L97" s="25"/>
      <c r="M97" s="80" t="str">
        <f t="shared" si="9"/>
        <v>ja</v>
      </c>
      <c r="N97">
        <f t="shared" si="7"/>
        <v>2021</v>
      </c>
    </row>
    <row r="98" spans="1:14" ht="15" hidden="1" customHeight="1" x14ac:dyDescent="0.3">
      <c r="A98" s="105">
        <f t="shared" si="6"/>
        <v>13</v>
      </c>
      <c r="B98" s="22">
        <v>44289</v>
      </c>
      <c r="C98" s="16" t="s">
        <v>8</v>
      </c>
      <c r="D98" s="17" t="s">
        <v>69</v>
      </c>
      <c r="E98" s="24">
        <f>IF(VLOOKUP(D98,Budget!A:B,2,FALSE)&lt;&gt;0,IF(G98=0,24,24-G98),0)</f>
        <v>24</v>
      </c>
      <c r="F98" s="17"/>
      <c r="G98" s="17"/>
      <c r="H98" s="86">
        <f>IF(E98=0,0,IF(M98="ja",(VLOOKUP(D98,Budget!A:F,6,FALSE)*(E98-(VLOOKUP(D98,Budget!A:F,3,FALSE)))),VLOOKUP($D98,Budget!$A$1:$F$19,6,FALSE)*E98))</f>
        <v>42919.35380616656</v>
      </c>
      <c r="I98" s="86">
        <f>IF(F98=0,0,IF(M98="ja",((VLOOKUP(F98,Budget!A:F,6,FALSE)*(E98-(VLOOKUP(F98,Budget!A:F,3,FALSE))))),VLOOKUP($D98,Budget!A:F,5,FALSE)*E98))</f>
        <v>0</v>
      </c>
      <c r="J98" s="86">
        <f t="shared" si="8"/>
        <v>42919.35380616656</v>
      </c>
      <c r="K98" s="18"/>
      <c r="L98" s="75"/>
      <c r="M98" s="76" t="str">
        <f t="shared" si="9"/>
        <v>nein</v>
      </c>
      <c r="N98">
        <f t="shared" si="7"/>
        <v>2021</v>
      </c>
    </row>
    <row r="99" spans="1:14" ht="15.75" hidden="1" customHeight="1" thickBot="1" x14ac:dyDescent="0.35">
      <c r="A99" s="105">
        <f t="shared" si="6"/>
        <v>13</v>
      </c>
      <c r="B99" s="27">
        <v>44290</v>
      </c>
      <c r="C99" s="19" t="s">
        <v>9</v>
      </c>
      <c r="D99" s="20" t="s">
        <v>69</v>
      </c>
      <c r="E99" s="20">
        <f>IF(VLOOKUP(D99,Budget!A:B,2,FALSE)&lt;&gt;0,IF(G99=0,24,24-G99),0)</f>
        <v>24</v>
      </c>
      <c r="F99" s="20"/>
      <c r="G99" s="20"/>
      <c r="H99" s="93">
        <f>IF(E99=0,0,IF(M99="ja",(VLOOKUP(D99,Budget!A:F,6,FALSE)*(E99-(VLOOKUP(D99,Budget!A:F,3,FALSE)))),VLOOKUP($D99,Budget!$A$1:$F$19,6,FALSE)*E99))</f>
        <v>42919.35380616656</v>
      </c>
      <c r="I99" s="93">
        <f>IF(F99=0,0,IF(M99="ja",((VLOOKUP(F99,Budget!A:F,6,FALSE)*(E99-(VLOOKUP(F99,Budget!A:F,3,FALSE))))),VLOOKUP($D99,Budget!A:F,5,FALSE)*E99))</f>
        <v>0</v>
      </c>
      <c r="J99" s="87">
        <f t="shared" si="8"/>
        <v>42919.35380616656</v>
      </c>
      <c r="K99" s="21"/>
      <c r="L99" s="74"/>
      <c r="M99" s="77" t="str">
        <f t="shared" si="9"/>
        <v>nein</v>
      </c>
      <c r="N99">
        <f t="shared" si="7"/>
        <v>2021</v>
      </c>
    </row>
    <row r="100" spans="1:14" ht="15" hidden="1" customHeight="1" x14ac:dyDescent="0.3">
      <c r="A100" s="104">
        <f t="shared" si="6"/>
        <v>14</v>
      </c>
      <c r="B100" s="22">
        <v>44291</v>
      </c>
      <c r="C100" s="10" t="s">
        <v>3</v>
      </c>
      <c r="D100" s="12" t="s">
        <v>69</v>
      </c>
      <c r="E100" s="13">
        <f>IF(VLOOKUP(D100,Budget!A:B,2,FALSE)&lt;&gt;0,IF(G100=0,24,24-G100),0)</f>
        <v>24</v>
      </c>
      <c r="F100" s="13"/>
      <c r="G100" s="13"/>
      <c r="H100" s="85">
        <f>IF(E100=0,0,IF(M100="ja",(VLOOKUP(D100,Budget!A:F,6,FALSE)*(E100-(VLOOKUP(D100,Budget!A:F,3,FALSE)))),VLOOKUP($D100,Budget!$A$1:$F$19,6,FALSE)*E100))</f>
        <v>42919.35380616656</v>
      </c>
      <c r="I100" s="85">
        <f>IF(F100=0,0,IF(M100="ja",((VLOOKUP(F100,Budget!A:F,6,FALSE)*(E100-(VLOOKUP(F100,Budget!A:F,3,FALSE))))),VLOOKUP($D100,Budget!A:F,5,FALSE)*E100))</f>
        <v>0</v>
      </c>
      <c r="J100" s="85">
        <f t="shared" si="8"/>
        <v>42919.35380616656</v>
      </c>
      <c r="K100" s="15"/>
      <c r="L100" s="95"/>
      <c r="M100" s="80" t="str">
        <f t="shared" si="9"/>
        <v>nein</v>
      </c>
      <c r="N100">
        <f t="shared" si="7"/>
        <v>2021</v>
      </c>
    </row>
    <row r="101" spans="1:14" ht="15" hidden="1" customHeight="1" x14ac:dyDescent="0.3">
      <c r="A101" s="105">
        <f t="shared" si="6"/>
        <v>14</v>
      </c>
      <c r="B101" s="22">
        <v>44292</v>
      </c>
      <c r="C101" s="11" t="s">
        <v>4</v>
      </c>
      <c r="D101" s="12" t="s">
        <v>69</v>
      </c>
      <c r="E101" s="13">
        <f>IF(VLOOKUP(D101,Budget!A:B,2,FALSE)&lt;&gt;0,IF(G101=0,24,24-G101),0)</f>
        <v>24</v>
      </c>
      <c r="G101" s="13"/>
      <c r="H101" s="85">
        <f>IF(E101=0,0,IF(M101="ja",(VLOOKUP(D101,Budget!A:F,6,FALSE)*(E101-(VLOOKUP(D101,Budget!A:F,3,FALSE)))),VLOOKUP($D101,Budget!$A$1:$F$19,6,FALSE)*E101))</f>
        <v>42919.35380616656</v>
      </c>
      <c r="I101" s="85">
        <f>IF(F101=0,0,IF(M101="ja",((VLOOKUP(F101,Budget!A:F,6,FALSE)*(E101-(VLOOKUP(F101,Budget!A:F,3,FALSE))))),VLOOKUP($D101,Budget!A:F,5,FALSE)*E101))</f>
        <v>0</v>
      </c>
      <c r="J101" s="85">
        <f t="shared" si="8"/>
        <v>42919.35380616656</v>
      </c>
      <c r="K101" s="14"/>
      <c r="L101" s="73"/>
      <c r="M101" s="80" t="str">
        <f t="shared" si="9"/>
        <v>nein</v>
      </c>
      <c r="N101">
        <f t="shared" si="7"/>
        <v>2021</v>
      </c>
    </row>
    <row r="102" spans="1:14" ht="15" hidden="1" customHeight="1" x14ac:dyDescent="0.3">
      <c r="A102" s="105">
        <f t="shared" si="6"/>
        <v>14</v>
      </c>
      <c r="B102" s="22">
        <v>44293</v>
      </c>
      <c r="C102" s="11" t="s">
        <v>5</v>
      </c>
      <c r="D102" s="12" t="s">
        <v>69</v>
      </c>
      <c r="E102" s="13">
        <f>IF(VLOOKUP(D102,Budget!A:B,2,FALSE)&lt;&gt;0,IF(G102=0,24,24-G102),0)</f>
        <v>24</v>
      </c>
      <c r="G102" s="13"/>
      <c r="H102" s="85">
        <f>IF(E102=0,0,IF(M102="ja",(VLOOKUP(D102,Budget!A:F,6,FALSE)*(E102-(VLOOKUP(D102,Budget!A:F,3,FALSE)))),VLOOKUP($D102,Budget!$A$1:$F$19,6,FALSE)*E102))</f>
        <v>42919.35380616656</v>
      </c>
      <c r="I102" s="85">
        <f>IF(F102=0,0,IF(M102="ja",((VLOOKUP(F102,Budget!A:F,6,FALSE)*(E102-(VLOOKUP(F102,Budget!A:F,3,FALSE))))),VLOOKUP($D102,Budget!A:F,5,FALSE)*E102))</f>
        <v>0</v>
      </c>
      <c r="J102" s="85">
        <f t="shared" si="8"/>
        <v>42919.35380616656</v>
      </c>
      <c r="K102" s="14"/>
      <c r="L102" s="73"/>
      <c r="M102" s="80" t="str">
        <f t="shared" si="9"/>
        <v>nein</v>
      </c>
      <c r="N102">
        <f t="shared" si="7"/>
        <v>2021</v>
      </c>
    </row>
    <row r="103" spans="1:14" ht="15" hidden="1" customHeight="1" x14ac:dyDescent="0.3">
      <c r="A103" s="103">
        <f t="shared" si="6"/>
        <v>14</v>
      </c>
      <c r="B103" s="22">
        <v>44294</v>
      </c>
      <c r="C103" s="11" t="s">
        <v>6</v>
      </c>
      <c r="D103" s="12" t="s">
        <v>11</v>
      </c>
      <c r="E103" s="13">
        <f>IF(VLOOKUP(D103,Budget!A:B,2,FALSE)&lt;&gt;0,IF(G103=0,24,24-G103),0)</f>
        <v>24</v>
      </c>
      <c r="G103" s="13"/>
      <c r="H103" s="85">
        <f>IF(E103=0,0,IF(M103="ja",(VLOOKUP(D103,Budget!A:F,6,FALSE)*(E103-(VLOOKUP(D103,Budget!A:F,3,FALSE)))),VLOOKUP($D103,Budget!$A$1:$F$19,6,FALSE)*E103))</f>
        <v>30030</v>
      </c>
      <c r="I103" s="85">
        <f>IF(F103=0,0,IF(M103="ja",((VLOOKUP(F103,Budget!A:F,6,FALSE)*(E103-(VLOOKUP(F103,Budget!A:F,3,FALSE))))),VLOOKUP($D103,Budget!A:F,5,FALSE)*E103))</f>
        <v>0</v>
      </c>
      <c r="J103" s="85">
        <f t="shared" si="8"/>
        <v>30030</v>
      </c>
      <c r="K103" s="14"/>
      <c r="L103" s="73"/>
      <c r="M103" s="80" t="str">
        <f t="shared" si="9"/>
        <v>ja</v>
      </c>
      <c r="N103">
        <f t="shared" si="7"/>
        <v>2021</v>
      </c>
    </row>
    <row r="104" spans="1:14" ht="15" hidden="1" customHeight="1" x14ac:dyDescent="0.3">
      <c r="A104" s="105">
        <f t="shared" si="6"/>
        <v>14</v>
      </c>
      <c r="B104" s="22">
        <v>44295</v>
      </c>
      <c r="C104" s="11" t="s">
        <v>7</v>
      </c>
      <c r="D104" s="12" t="s">
        <v>11</v>
      </c>
      <c r="E104" s="13">
        <f>IF(VLOOKUP(D104,Budget!A:B,2,FALSE)&lt;&gt;0,IF(G104=0,24,24-G104),0)</f>
        <v>24</v>
      </c>
      <c r="G104" s="13"/>
      <c r="H104" s="85">
        <f>IF(E104=0,0,IF(M104="ja",(VLOOKUP(D104,Budget!A:F,6,FALSE)*(E104-(VLOOKUP(D104,Budget!A:F,3,FALSE)))),VLOOKUP($D104,Budget!$A$1:$F$19,6,FALSE)*E104))</f>
        <v>36960</v>
      </c>
      <c r="I104" s="85">
        <f>IF(F104=0,0,IF(M104="ja",((VLOOKUP(F104,Budget!A:F,6,FALSE)*(E104-(VLOOKUP(F104,Budget!A:F,3,FALSE))))),VLOOKUP($D104,Budget!A:F,5,FALSE)*E104))</f>
        <v>0</v>
      </c>
      <c r="J104" s="85">
        <f t="shared" si="8"/>
        <v>36960</v>
      </c>
      <c r="K104" s="14"/>
      <c r="L104" s="25"/>
      <c r="M104" s="80" t="str">
        <f t="shared" si="9"/>
        <v>nein</v>
      </c>
      <c r="N104">
        <f t="shared" si="7"/>
        <v>2021</v>
      </c>
    </row>
    <row r="105" spans="1:14" ht="15" hidden="1" customHeight="1" x14ac:dyDescent="0.3">
      <c r="A105" s="105">
        <f t="shared" si="6"/>
        <v>14</v>
      </c>
      <c r="B105" s="22">
        <v>44296</v>
      </c>
      <c r="C105" s="16" t="s">
        <v>8</v>
      </c>
      <c r="D105" s="17" t="s">
        <v>11</v>
      </c>
      <c r="E105" s="24">
        <f>IF(VLOOKUP(D105,Budget!A:B,2,FALSE)&lt;&gt;0,IF(G105=0,24,24-G105),0)</f>
        <v>24</v>
      </c>
      <c r="F105" s="17"/>
      <c r="G105" s="17"/>
      <c r="H105" s="86">
        <f>IF(E105=0,0,IF(M105="ja",(VLOOKUP(D105,Budget!A:F,6,FALSE)*(E105-(VLOOKUP(D105,Budget!A:F,3,FALSE)))),VLOOKUP($D105,Budget!$A$1:$F$19,6,FALSE)*E105))</f>
        <v>36960</v>
      </c>
      <c r="I105" s="86">
        <f>IF(F105=0,0,IF(M105="ja",((VLOOKUP(F105,Budget!A:F,6,FALSE)*(E105-(VLOOKUP(F105,Budget!A:F,3,FALSE))))),VLOOKUP($D105,Budget!A:F,5,FALSE)*E105))</f>
        <v>0</v>
      </c>
      <c r="J105" s="86">
        <f t="shared" si="8"/>
        <v>36960</v>
      </c>
      <c r="K105" s="18"/>
      <c r="L105" s="75"/>
      <c r="M105" s="76" t="str">
        <f t="shared" si="9"/>
        <v>nein</v>
      </c>
      <c r="N105">
        <f t="shared" si="7"/>
        <v>2021</v>
      </c>
    </row>
    <row r="106" spans="1:14" ht="15.75" hidden="1" customHeight="1" thickBot="1" x14ac:dyDescent="0.35">
      <c r="A106" s="105">
        <f t="shared" si="6"/>
        <v>14</v>
      </c>
      <c r="B106" s="27">
        <v>44297</v>
      </c>
      <c r="C106" s="19" t="s">
        <v>9</v>
      </c>
      <c r="D106" s="20" t="s">
        <v>69</v>
      </c>
      <c r="E106" s="20">
        <f>IF(VLOOKUP(D106,Budget!A:B,2,FALSE)&lt;&gt;0,IF(G106=0,24,24-G106),0)</f>
        <v>24</v>
      </c>
      <c r="F106" s="20"/>
      <c r="G106" s="20"/>
      <c r="H106" s="93">
        <f>IF(E106=0,0,IF(M106="ja",(VLOOKUP(D106,Budget!A:F,6,FALSE)*(E106-(VLOOKUP(D106,Budget!A:F,3,FALSE)))),VLOOKUP($D106,Budget!$A$1:$F$19,6,FALSE)*E106))</f>
        <v>38269.757143831848</v>
      </c>
      <c r="I106" s="93">
        <f>IF(F106=0,0,IF(M106="ja",((VLOOKUP(F106,Budget!A:F,6,FALSE)*(E106-(VLOOKUP(F106,Budget!A:F,3,FALSE))))),VLOOKUP($D106,Budget!A:F,5,FALSE)*E106))</f>
        <v>0</v>
      </c>
      <c r="J106" s="87">
        <f t="shared" si="8"/>
        <v>38269.757143831848</v>
      </c>
      <c r="K106" s="21"/>
      <c r="L106" s="74"/>
      <c r="M106" s="77" t="str">
        <f t="shared" si="9"/>
        <v>ja</v>
      </c>
      <c r="N106">
        <f t="shared" si="7"/>
        <v>2021</v>
      </c>
    </row>
    <row r="107" spans="1:14" ht="15" hidden="1" customHeight="1" thickBot="1" x14ac:dyDescent="0.3">
      <c r="A107" s="104">
        <f t="shared" si="6"/>
        <v>15</v>
      </c>
      <c r="B107" s="22">
        <v>44298</v>
      </c>
      <c r="C107" s="10" t="s">
        <v>3</v>
      </c>
      <c r="D107" s="12" t="s">
        <v>69</v>
      </c>
      <c r="E107" s="13">
        <f>IF(VLOOKUP(D107,Budget!A:B,2,FALSE)&lt;&gt;0,IF(G107=0,24,24-G107),0)</f>
        <v>24</v>
      </c>
      <c r="F107" s="13"/>
      <c r="G107" s="13"/>
      <c r="H107" s="85">
        <f>IF(E107=0,0,IF(M107="ja",(VLOOKUP(D107,Budget!A:F,6,FALSE)*(E107-(VLOOKUP(D107,Budget!A:F,3,FALSE)))),VLOOKUP($D107,Budget!$A$1:$F$19,6,FALSE)*E107))</f>
        <v>42919.35380616656</v>
      </c>
      <c r="I107" s="85">
        <f>IF(F107=0,0,IF(M107="ja",((VLOOKUP(F107,Budget!A:F,6,FALSE)*(E107-(VLOOKUP(F107,Budget!A:F,3,FALSE))))),VLOOKUP($D107,Budget!A:F,5,FALSE)*E107))</f>
        <v>0</v>
      </c>
      <c r="J107" s="85">
        <f t="shared" si="8"/>
        <v>42919.35380616656</v>
      </c>
      <c r="K107" s="15"/>
      <c r="L107" s="72"/>
      <c r="M107" s="80" t="str">
        <f t="shared" si="9"/>
        <v>nein</v>
      </c>
      <c r="N107">
        <f t="shared" si="7"/>
        <v>2021</v>
      </c>
    </row>
    <row r="108" spans="1:14" ht="15" hidden="1" customHeight="1" thickBot="1" x14ac:dyDescent="0.3">
      <c r="A108" s="105">
        <f t="shared" si="6"/>
        <v>15</v>
      </c>
      <c r="B108" s="22">
        <v>44299</v>
      </c>
      <c r="C108" s="11" t="s">
        <v>4</v>
      </c>
      <c r="D108" s="12" t="s">
        <v>13</v>
      </c>
      <c r="E108" s="13">
        <f>IF(VLOOKUP(D108,Budget!A:B,2,FALSE)&lt;&gt;0,IF(G108=0,24,24-G108),0)</f>
        <v>0</v>
      </c>
      <c r="F108" s="12" t="s">
        <v>66</v>
      </c>
      <c r="G108" s="13">
        <v>2</v>
      </c>
      <c r="H108" s="85">
        <f>IF(E108=0,0,IF(M108="ja",(VLOOKUP(D108,Budget!A:F,6,FALSE)*(E108-(VLOOKUP(D108,Budget!A:F,3,FALSE)))),VLOOKUP($D108,Budget!$A$1:$F$19,6,FALSE)*E108))</f>
        <v>0</v>
      </c>
      <c r="I108" s="85">
        <f>IF(F108=0,0,IF(M108="ja",((VLOOKUP(F108,Budget!A:F,6,FALSE)*(E108-(VLOOKUP(F108,Budget!A:F,3,FALSE))))),VLOOKUP($D108,Budget!A:F,5,FALSE)*E108))</f>
        <v>0</v>
      </c>
      <c r="J108" s="85">
        <f t="shared" si="8"/>
        <v>0</v>
      </c>
      <c r="K108" s="14"/>
      <c r="L108" s="72"/>
      <c r="M108" s="80" t="str">
        <f t="shared" si="9"/>
        <v>nein</v>
      </c>
      <c r="N108">
        <f t="shared" si="7"/>
        <v>2021</v>
      </c>
    </row>
    <row r="109" spans="1:14" ht="15" hidden="1" customHeight="1" x14ac:dyDescent="0.3">
      <c r="A109" s="105">
        <f t="shared" si="6"/>
        <v>15</v>
      </c>
      <c r="B109" s="22">
        <v>44300</v>
      </c>
      <c r="C109" s="11" t="s">
        <v>5</v>
      </c>
      <c r="D109" s="12" t="s">
        <v>66</v>
      </c>
      <c r="E109" s="13">
        <f>IF(VLOOKUP(D109,Budget!A:B,2,FALSE)&lt;&gt;0,IF(G109=0,24,24-G109),0)</f>
        <v>24</v>
      </c>
      <c r="G109" s="13">
        <v>0</v>
      </c>
      <c r="H109" s="85">
        <f>IF(E109=0,0,IF(M109="ja",(VLOOKUP(D109,Budget!A:F,6,FALSE)*(E109-(VLOOKUP(D109,Budget!A:F,3,FALSE)))),VLOOKUP($D109,Budget!$A$1:$F$19,6,FALSE)*E109))</f>
        <v>32328.172065231582</v>
      </c>
      <c r="I109" s="85">
        <f>IF(F109=0,0,IF(M109="ja",((VLOOKUP(F109,Budget!A:F,6,FALSE)*(E109-(VLOOKUP(F109,Budget!A:F,3,FALSE))))),VLOOKUP($D109,Budget!A:F,5,FALSE)*E109))</f>
        <v>0</v>
      </c>
      <c r="J109" s="85">
        <f t="shared" si="8"/>
        <v>32328.172065231582</v>
      </c>
      <c r="K109" s="14"/>
      <c r="L109" s="72" t="s">
        <v>63</v>
      </c>
      <c r="M109" s="80" t="str">
        <f t="shared" si="9"/>
        <v>ja</v>
      </c>
      <c r="N109">
        <f t="shared" si="7"/>
        <v>2021</v>
      </c>
    </row>
    <row r="110" spans="1:14" ht="15" hidden="1" customHeight="1" x14ac:dyDescent="0.3">
      <c r="A110" s="103">
        <f t="shared" si="6"/>
        <v>15</v>
      </c>
      <c r="B110" s="22">
        <v>44301</v>
      </c>
      <c r="C110" s="11" t="s">
        <v>6</v>
      </c>
      <c r="D110" s="12" t="s">
        <v>11</v>
      </c>
      <c r="E110" s="13">
        <f>IF(VLOOKUP(D110,Budget!A:B,2,FALSE)&lt;&gt;0,IF(G110=0,24,24-G110),0)</f>
        <v>24</v>
      </c>
      <c r="G110" s="13"/>
      <c r="H110" s="85">
        <f>IF(E110=0,0,IF(M110="ja",(VLOOKUP(D110,Budget!A:F,6,FALSE)*(E110-(VLOOKUP(D110,Budget!A:F,3,FALSE)))),VLOOKUP($D110,Budget!$A$1:$F$19,6,FALSE)*E110))</f>
        <v>30030</v>
      </c>
      <c r="I110" s="85">
        <f>IF(F110=0,0,IF(M110="ja",((VLOOKUP(F110,Budget!A:F,6,FALSE)*(E110-(VLOOKUP(F110,Budget!A:F,3,FALSE))))),VLOOKUP($D110,Budget!A:F,5,FALSE)*E110))</f>
        <v>0</v>
      </c>
      <c r="J110" s="85">
        <f t="shared" si="8"/>
        <v>30030</v>
      </c>
      <c r="K110" s="14"/>
      <c r="L110" s="73"/>
      <c r="M110" s="80" t="str">
        <f t="shared" si="9"/>
        <v>ja</v>
      </c>
      <c r="N110">
        <f t="shared" si="7"/>
        <v>2021</v>
      </c>
    </row>
    <row r="111" spans="1:14" ht="15" hidden="1" customHeight="1" x14ac:dyDescent="0.3">
      <c r="A111" s="105">
        <f t="shared" si="6"/>
        <v>15</v>
      </c>
      <c r="B111" s="22">
        <v>44302</v>
      </c>
      <c r="C111" s="11" t="s">
        <v>7</v>
      </c>
      <c r="D111" s="12" t="s">
        <v>11</v>
      </c>
      <c r="E111" s="13">
        <f>IF(VLOOKUP(D111,Budget!A:B,2,FALSE)&lt;&gt;0,IF(G111=0,24,24-G111),0)</f>
        <v>24</v>
      </c>
      <c r="G111" s="13"/>
      <c r="H111" s="85">
        <f>IF(E111=0,0,IF(M111="ja",(VLOOKUP(D111,Budget!A:F,6,FALSE)*(E111-(VLOOKUP(D111,Budget!A:F,3,FALSE)))),VLOOKUP($D111,Budget!$A$1:$F$19,6,FALSE)*E111))</f>
        <v>36960</v>
      </c>
      <c r="I111" s="85">
        <f>IF(F111=0,0,IF(M111="ja",((VLOOKUP(F111,Budget!A:F,6,FALSE)*(E111-(VLOOKUP(F111,Budget!A:F,3,FALSE))))),VLOOKUP($D111,Budget!A:F,5,FALSE)*E111))</f>
        <v>0</v>
      </c>
      <c r="J111" s="85">
        <f t="shared" si="8"/>
        <v>36960</v>
      </c>
      <c r="K111" s="14"/>
      <c r="L111" s="25"/>
      <c r="M111" s="80" t="str">
        <f t="shared" si="9"/>
        <v>nein</v>
      </c>
      <c r="N111">
        <f t="shared" si="7"/>
        <v>2021</v>
      </c>
    </row>
    <row r="112" spans="1:14" ht="15" hidden="1" customHeight="1" x14ac:dyDescent="0.3">
      <c r="A112" s="105">
        <f t="shared" si="6"/>
        <v>15</v>
      </c>
      <c r="B112" s="22">
        <v>44303</v>
      </c>
      <c r="C112" s="16" t="s">
        <v>8</v>
      </c>
      <c r="D112" s="17" t="s">
        <v>11</v>
      </c>
      <c r="E112" s="24">
        <f>IF(VLOOKUP(D112,Budget!A:B,2,FALSE)&lt;&gt;0,IF(G112=0,24,24-G112),0)</f>
        <v>24</v>
      </c>
      <c r="F112" s="17"/>
      <c r="G112" s="17"/>
      <c r="H112" s="86">
        <f>IF(E112=0,0,IF(M112="ja",(VLOOKUP(D112,Budget!A:F,6,FALSE)*(E112-(VLOOKUP(D112,Budget!A:F,3,FALSE)))),VLOOKUP($D112,Budget!$A$1:$F$19,6,FALSE)*E112))</f>
        <v>36960</v>
      </c>
      <c r="I112" s="86">
        <f>IF(F112=0,0,IF(M112="ja",((VLOOKUP(F112,Budget!A:F,6,FALSE)*(E112-(VLOOKUP(F112,Budget!A:F,3,FALSE))))),VLOOKUP($D112,Budget!A:F,5,FALSE)*E112))</f>
        <v>0</v>
      </c>
      <c r="J112" s="86">
        <f t="shared" si="8"/>
        <v>36960</v>
      </c>
      <c r="K112" s="18"/>
      <c r="L112" s="75"/>
      <c r="M112" s="76" t="str">
        <f t="shared" si="9"/>
        <v>nein</v>
      </c>
      <c r="N112">
        <f t="shared" si="7"/>
        <v>2021</v>
      </c>
    </row>
    <row r="113" spans="1:14" ht="15.75" hidden="1" customHeight="1" thickBot="1" x14ac:dyDescent="0.35">
      <c r="A113" s="105">
        <f t="shared" si="6"/>
        <v>15</v>
      </c>
      <c r="B113" s="27">
        <v>44304</v>
      </c>
      <c r="C113" s="19" t="s">
        <v>9</v>
      </c>
      <c r="D113" s="20" t="s">
        <v>11</v>
      </c>
      <c r="E113" s="20">
        <f>IF(VLOOKUP(D113,Budget!A:B,2,FALSE)&lt;&gt;0,IF(G113=0,24,24-G113),0)</f>
        <v>22</v>
      </c>
      <c r="F113" s="20" t="s">
        <v>29</v>
      </c>
      <c r="G113" s="20">
        <v>2</v>
      </c>
      <c r="H113" s="93">
        <f>IF(E113=0,0,IF(M113="ja",(VLOOKUP(D113,Budget!A:F,6,FALSE)*(E113-(VLOOKUP(D113,Budget!A:F,3,FALSE)))),VLOOKUP($D113,Budget!$A$1:$F$19,6,FALSE)*E113))</f>
        <v>26950</v>
      </c>
      <c r="I113" s="93">
        <f>IF(F113=0,0,IF(M113="ja",((VLOOKUP(F113,Budget!A:F,6,FALSE)*(E113-(VLOOKUP(F113,Budget!A:F,3,FALSE))))),VLOOKUP($D113,Budget!A:F,5,FALSE)*E113))</f>
        <v>0</v>
      </c>
      <c r="J113" s="87">
        <f t="shared" si="8"/>
        <v>26950</v>
      </c>
      <c r="K113" s="21"/>
      <c r="L113" s="74"/>
      <c r="M113" s="77" t="str">
        <f t="shared" si="9"/>
        <v>ja</v>
      </c>
      <c r="N113">
        <f t="shared" si="7"/>
        <v>2021</v>
      </c>
    </row>
    <row r="114" spans="1:14" ht="15" hidden="1" customHeight="1" x14ac:dyDescent="0.3">
      <c r="A114" s="104">
        <f t="shared" si="6"/>
        <v>16</v>
      </c>
      <c r="B114" s="22">
        <v>44305</v>
      </c>
      <c r="C114" s="10" t="s">
        <v>3</v>
      </c>
      <c r="D114" s="13" t="s">
        <v>29</v>
      </c>
      <c r="E114" s="13">
        <f>IF(VLOOKUP(D114,Budget!A:B,2,FALSE)&lt;&gt;0,IF(G114=0,24,24-G114),0)</f>
        <v>0</v>
      </c>
      <c r="F114" s="13"/>
      <c r="G114" s="13"/>
      <c r="H114" s="85">
        <f>IF(E114=0,0,IF(M114="ja",(VLOOKUP(D114,Budget!A:F,6,FALSE)*(E114-(VLOOKUP(D114,Budget!A:F,3,FALSE)))),VLOOKUP($D114,Budget!$A$1:$F$19,6,FALSE)*E114))</f>
        <v>0</v>
      </c>
      <c r="I114" s="85">
        <f>IF(F114=0,0,IF(M114="ja",((VLOOKUP(F114,Budget!A:F,6,FALSE)*(E114-(VLOOKUP(F114,Budget!A:F,3,FALSE))))),VLOOKUP($D114,Budget!A:F,5,FALSE)*E114))</f>
        <v>0</v>
      </c>
      <c r="J114" s="85">
        <f t="shared" si="8"/>
        <v>0</v>
      </c>
      <c r="K114" s="15"/>
      <c r="L114" s="72"/>
      <c r="M114" s="80" t="str">
        <f t="shared" si="9"/>
        <v>nein</v>
      </c>
      <c r="N114">
        <f t="shared" si="7"/>
        <v>2021</v>
      </c>
    </row>
    <row r="115" spans="1:14" ht="15" hidden="1" customHeight="1" x14ac:dyDescent="0.3">
      <c r="A115" s="105">
        <f t="shared" si="6"/>
        <v>16</v>
      </c>
      <c r="B115" s="22">
        <v>44306</v>
      </c>
      <c r="C115" s="11" t="s">
        <v>4</v>
      </c>
      <c r="D115" s="12" t="s">
        <v>29</v>
      </c>
      <c r="E115" s="13">
        <f>IF(VLOOKUP(D115,Budget!A:B,2,FALSE)&lt;&gt;0,IF(G115=0,24,24-G115),0)</f>
        <v>0</v>
      </c>
      <c r="G115" s="13"/>
      <c r="H115" s="85">
        <f>IF(E115=0,0,IF(M115="ja",(VLOOKUP(D115,Budget!A:F,6,FALSE)*(E115-(VLOOKUP(D115,Budget!A:F,3,FALSE)))),VLOOKUP($D115,Budget!$A$1:$F$19,6,FALSE)*E115))</f>
        <v>0</v>
      </c>
      <c r="I115" s="85">
        <f>IF(F115=0,0,IF(M115="ja",((VLOOKUP(F115,Budget!A:F,6,FALSE)*(E115-(VLOOKUP(F115,Budget!A:F,3,FALSE))))),VLOOKUP($D115,Budget!A:F,5,FALSE)*E115))</f>
        <v>0</v>
      </c>
      <c r="J115" s="85">
        <f t="shared" si="8"/>
        <v>0</v>
      </c>
      <c r="K115" s="14"/>
      <c r="L115" s="73"/>
      <c r="M115" s="80" t="str">
        <f t="shared" si="9"/>
        <v>nein</v>
      </c>
      <c r="N115">
        <f t="shared" si="7"/>
        <v>2021</v>
      </c>
    </row>
    <row r="116" spans="1:14" hidden="1" x14ac:dyDescent="0.3">
      <c r="A116" s="105">
        <f t="shared" si="6"/>
        <v>16</v>
      </c>
      <c r="B116" s="22">
        <v>44307</v>
      </c>
      <c r="C116" s="11" t="s">
        <v>5</v>
      </c>
      <c r="D116" s="12" t="s">
        <v>29</v>
      </c>
      <c r="E116" s="13">
        <f>IF(VLOOKUP(D116,Budget!A:B,2,FALSE)&lt;&gt;0,IF(G116=0,24,24-G116),0)</f>
        <v>0</v>
      </c>
      <c r="G116" s="13"/>
      <c r="H116" s="85">
        <f>IF(E116=0,0,IF(M116="ja",(VLOOKUP(D116,Budget!A:F,6,FALSE)*(E116-(VLOOKUP(D116,Budget!A:F,3,FALSE)))),VLOOKUP($D116,Budget!$A$1:$F$19,6,FALSE)*E116))</f>
        <v>0</v>
      </c>
      <c r="I116" s="85">
        <f>IF(F116=0,0,IF(M116="ja",((VLOOKUP(F116,Budget!A:F,6,FALSE)*(E116-(VLOOKUP(F116,Budget!A:F,3,FALSE))))),VLOOKUP($D116,Budget!A:F,5,FALSE)*E116))</f>
        <v>0</v>
      </c>
      <c r="J116" s="85">
        <f t="shared" si="8"/>
        <v>0</v>
      </c>
      <c r="K116" s="14"/>
      <c r="L116" s="73"/>
      <c r="M116" s="80" t="str">
        <f t="shared" si="9"/>
        <v>nein</v>
      </c>
      <c r="N116">
        <f t="shared" si="7"/>
        <v>2021</v>
      </c>
    </row>
    <row r="117" spans="1:14" hidden="1" x14ac:dyDescent="0.3">
      <c r="A117" s="103">
        <f t="shared" si="6"/>
        <v>16</v>
      </c>
      <c r="B117" s="22">
        <v>44308</v>
      </c>
      <c r="C117" s="11" t="s">
        <v>6</v>
      </c>
      <c r="D117" s="12" t="s">
        <v>29</v>
      </c>
      <c r="E117" s="13">
        <f>IF(VLOOKUP(D117,Budget!A:B,2,FALSE)&lt;&gt;0,IF(G117=0,24,24-G117),0)</f>
        <v>0</v>
      </c>
      <c r="G117" s="13"/>
      <c r="H117" s="85">
        <f>IF(E117=0,0,IF(M117="ja",(VLOOKUP(D117,Budget!A:F,6,FALSE)*(E117-(VLOOKUP(D117,Budget!A:F,3,FALSE)))),VLOOKUP($D117,Budget!$A$1:$F$19,6,FALSE)*E117))</f>
        <v>0</v>
      </c>
      <c r="I117" s="85">
        <f>IF(F117=0,0,IF(M117="ja",((VLOOKUP(F117,Budget!A:F,6,FALSE)*(E117-(VLOOKUP(F117,Budget!A:F,3,FALSE))))),VLOOKUP($D117,Budget!A:F,5,FALSE)*E117))</f>
        <v>0</v>
      </c>
      <c r="J117" s="85">
        <f t="shared" si="8"/>
        <v>0</v>
      </c>
      <c r="K117" s="14"/>
      <c r="L117" s="73"/>
      <c r="M117" s="80" t="str">
        <f t="shared" si="9"/>
        <v>nein</v>
      </c>
      <c r="N117">
        <f t="shared" si="7"/>
        <v>2021</v>
      </c>
    </row>
    <row r="118" spans="1:14" hidden="1" x14ac:dyDescent="0.3">
      <c r="A118" s="105">
        <f t="shared" si="6"/>
        <v>16</v>
      </c>
      <c r="B118" s="22">
        <v>44309</v>
      </c>
      <c r="C118" s="11" t="s">
        <v>7</v>
      </c>
      <c r="D118" s="12" t="s">
        <v>29</v>
      </c>
      <c r="E118" s="13">
        <f>IF(VLOOKUP(D118,Budget!A:B,2,FALSE)&lt;&gt;0,IF(G118=0,24,24-G118),0)</f>
        <v>0</v>
      </c>
      <c r="G118" s="13"/>
      <c r="H118" s="85">
        <f>IF(E118=0,0,IF(M118="ja",(VLOOKUP(D118,Budget!A:F,6,FALSE)*(E118-(VLOOKUP(D118,Budget!A:F,3,FALSE)))),VLOOKUP($D118,Budget!$A$1:$F$19,6,FALSE)*E118))</f>
        <v>0</v>
      </c>
      <c r="I118" s="85">
        <f>IF(F118=0,0,IF(M118="ja",((VLOOKUP(F118,Budget!A:F,6,FALSE)*(E118-(VLOOKUP(F118,Budget!A:F,3,FALSE))))),VLOOKUP($D118,Budget!A:F,5,FALSE)*E118))</f>
        <v>0</v>
      </c>
      <c r="J118" s="85">
        <f t="shared" si="8"/>
        <v>0</v>
      </c>
      <c r="K118" s="14"/>
      <c r="L118" s="25"/>
      <c r="M118" s="80" t="str">
        <f t="shared" si="9"/>
        <v>nein</v>
      </c>
      <c r="N118">
        <f t="shared" si="7"/>
        <v>2021</v>
      </c>
    </row>
    <row r="119" spans="1:14" hidden="1" x14ac:dyDescent="0.3">
      <c r="A119" s="105">
        <f t="shared" si="6"/>
        <v>16</v>
      </c>
      <c r="B119" s="22">
        <v>44310</v>
      </c>
      <c r="C119" s="16" t="s">
        <v>8</v>
      </c>
      <c r="D119" s="17" t="s">
        <v>30</v>
      </c>
      <c r="E119" s="24">
        <f>IF(VLOOKUP(D119,Budget!A:B,2,FALSE)&lt;&gt;0,IF(G119=0,24,24-G119),0)</f>
        <v>0</v>
      </c>
      <c r="F119" s="17"/>
      <c r="G119" s="17"/>
      <c r="H119" s="86">
        <f>IF(E119=0,0,IF(M119="ja",(VLOOKUP(D119,Budget!A:F,6,FALSE)*(E119-(VLOOKUP(D119,Budget!A:F,3,FALSE)))),VLOOKUP($D119,Budget!$A$1:$F$19,6,FALSE)*E119))</f>
        <v>0</v>
      </c>
      <c r="I119" s="86">
        <f>IF(F119=0,0,IF(M119="ja",((VLOOKUP(F119,Budget!A:F,6,FALSE)*(E119-(VLOOKUP(F119,Budget!A:F,3,FALSE))))),VLOOKUP($D119,Budget!A:F,5,FALSE)*E119))</f>
        <v>0</v>
      </c>
      <c r="J119" s="86">
        <f t="shared" si="8"/>
        <v>0</v>
      </c>
      <c r="K119" s="18"/>
      <c r="L119" s="75"/>
      <c r="M119" s="76" t="str">
        <f t="shared" si="9"/>
        <v>nein</v>
      </c>
      <c r="N119">
        <f t="shared" si="7"/>
        <v>2021</v>
      </c>
    </row>
    <row r="120" spans="1:14" ht="15" hidden="1" thickBot="1" x14ac:dyDescent="0.35">
      <c r="A120" s="105">
        <f t="shared" si="6"/>
        <v>16</v>
      </c>
      <c r="B120" s="27">
        <v>44311</v>
      </c>
      <c r="C120" s="19" t="s">
        <v>9</v>
      </c>
      <c r="D120" s="20" t="s">
        <v>30</v>
      </c>
      <c r="E120" s="20">
        <f>IF(VLOOKUP(D120,Budget!A:B,2,FALSE)&lt;&gt;0,IF(G120=0,24,24-G120),0)</f>
        <v>0</v>
      </c>
      <c r="F120" s="20"/>
      <c r="G120" s="20"/>
      <c r="H120" s="93">
        <f>IF(E120=0,0,IF(M120="ja",(VLOOKUP(D120,Budget!A:F,6,FALSE)*(E120-(VLOOKUP(D120,Budget!A:F,3,FALSE)))),VLOOKUP($D120,Budget!$A$1:$F$19,6,FALSE)*E120))</f>
        <v>0</v>
      </c>
      <c r="I120" s="93">
        <f>IF(F120=0,0,IF(M120="ja",((VLOOKUP(F120,Budget!A:F,6,FALSE)*(E120-(VLOOKUP(F120,Budget!A:F,3,FALSE))))),VLOOKUP($D120,Budget!A:F,5,FALSE)*E120))</f>
        <v>0</v>
      </c>
      <c r="J120" s="87">
        <f t="shared" si="8"/>
        <v>0</v>
      </c>
      <c r="K120" s="21"/>
      <c r="L120" s="74"/>
      <c r="M120" s="77" t="str">
        <f t="shared" si="9"/>
        <v>nein</v>
      </c>
      <c r="N120">
        <f t="shared" si="7"/>
        <v>2021</v>
      </c>
    </row>
    <row r="121" spans="1:14" hidden="1" x14ac:dyDescent="0.3">
      <c r="A121" s="104">
        <f t="shared" si="6"/>
        <v>17</v>
      </c>
      <c r="B121" s="22">
        <v>44312</v>
      </c>
      <c r="C121" s="10" t="s">
        <v>3</v>
      </c>
      <c r="D121" s="12" t="s">
        <v>18</v>
      </c>
      <c r="E121" s="13">
        <f>IF(VLOOKUP(D121,Budget!A:B,2,FALSE)&lt;&gt;0,IF(G121=0,24,24-G121),0)</f>
        <v>24</v>
      </c>
      <c r="F121" s="13"/>
      <c r="G121" s="13"/>
      <c r="H121" s="85">
        <f>IF(E121=0,0,IF(M121="ja",(VLOOKUP(D121,Budget!A:F,6,FALSE)*(E121-(VLOOKUP(D121,Budget!A:F,3,FALSE)))),VLOOKUP($D121,Budget!$A$1:$F$19,6,FALSE)*E121))</f>
        <v>25200</v>
      </c>
      <c r="I121" s="85">
        <f>IF(F121=0,0,IF(M121="ja",((VLOOKUP(F121,Budget!A:F,6,FALSE)*(E121-(VLOOKUP(F121,Budget!A:F,3,FALSE))))),VLOOKUP($D121,Budget!A:F,5,FALSE)*E121))</f>
        <v>0</v>
      </c>
      <c r="J121" s="85">
        <f t="shared" si="8"/>
        <v>25200</v>
      </c>
      <c r="K121" s="15"/>
      <c r="L121" s="72"/>
      <c r="M121" s="80" t="str">
        <f t="shared" si="9"/>
        <v>ja</v>
      </c>
      <c r="N121">
        <f t="shared" si="7"/>
        <v>2021</v>
      </c>
    </row>
    <row r="122" spans="1:14" hidden="1" x14ac:dyDescent="0.3">
      <c r="A122" s="105">
        <f t="shared" si="6"/>
        <v>17</v>
      </c>
      <c r="B122" s="22">
        <v>44313</v>
      </c>
      <c r="C122" s="11" t="s">
        <v>4</v>
      </c>
      <c r="D122" s="12" t="s">
        <v>69</v>
      </c>
      <c r="E122" s="13">
        <f>IF(VLOOKUP(D122,Budget!A:B,2,FALSE)&lt;&gt;0,IF(G122=0,24,24-G122),0)</f>
        <v>24</v>
      </c>
      <c r="G122" s="13"/>
      <c r="H122" s="85">
        <f>IF(E122=0,0,IF(M122="ja",(VLOOKUP(D122,Budget!A:F,6,FALSE)*(E122-(VLOOKUP(D122,Budget!A:F,3,FALSE)))),VLOOKUP($D122,Budget!$A$1:$F$19,6,FALSE)*E122))</f>
        <v>38269.757143831848</v>
      </c>
      <c r="I122" s="85">
        <f>IF(F122=0,0,IF(M122="ja",((VLOOKUP(F122,Budget!A:F,6,FALSE)*(E122-(VLOOKUP(F122,Budget!A:F,3,FALSE))))),VLOOKUP($D122,Budget!A:F,5,FALSE)*E122))</f>
        <v>0</v>
      </c>
      <c r="J122" s="85">
        <f t="shared" si="8"/>
        <v>38269.757143831848</v>
      </c>
      <c r="K122" s="14"/>
      <c r="L122" s="73"/>
      <c r="M122" s="80" t="str">
        <f t="shared" si="9"/>
        <v>ja</v>
      </c>
      <c r="N122">
        <f t="shared" si="7"/>
        <v>2021</v>
      </c>
    </row>
    <row r="123" spans="1:14" hidden="1" x14ac:dyDescent="0.3">
      <c r="A123" s="105">
        <f t="shared" si="6"/>
        <v>17</v>
      </c>
      <c r="B123" s="22">
        <v>44314</v>
      </c>
      <c r="C123" s="11" t="s">
        <v>5</v>
      </c>
      <c r="D123" s="12" t="s">
        <v>69</v>
      </c>
      <c r="E123" s="13">
        <v>12</v>
      </c>
      <c r="G123" s="13"/>
      <c r="H123" s="85">
        <f>IF(E123=0,0,IF(M123="ja",(VLOOKUP(D123,Budget!A:F,6,FALSE)*(E123-(VLOOKUP(D123,Budget!A:F,3,FALSE)))),VLOOKUP($D123,Budget!$A$1:$F$19,6,FALSE)*E123))</f>
        <v>16810.080240748572</v>
      </c>
      <c r="I123" s="85">
        <f>IF(F123=0,0,IF(M123="ja",((VLOOKUP(F123,Budget!A:F,6,FALSE)*(E123-(VLOOKUP(F123,Budget!A:F,3,FALSE))))),VLOOKUP($D123,Budget!A:F,5,FALSE)*E123))</f>
        <v>0</v>
      </c>
      <c r="J123" s="85">
        <f t="shared" si="8"/>
        <v>16810.080240748572</v>
      </c>
      <c r="K123" s="14"/>
      <c r="L123" s="73"/>
      <c r="M123" s="80" t="str">
        <f t="shared" si="9"/>
        <v>ja</v>
      </c>
      <c r="N123">
        <f t="shared" si="7"/>
        <v>2021</v>
      </c>
    </row>
    <row r="124" spans="1:14" hidden="1" x14ac:dyDescent="0.3">
      <c r="A124" s="103">
        <f t="shared" si="6"/>
        <v>17</v>
      </c>
      <c r="B124" s="22">
        <v>44315</v>
      </c>
      <c r="C124" s="11" t="s">
        <v>6</v>
      </c>
      <c r="D124" s="12" t="s">
        <v>69</v>
      </c>
      <c r="E124" s="13">
        <f>IF(VLOOKUP(D124,Budget!A:B,2,FALSE)&lt;&gt;0,IF(G124=0,24,24-G124),0)</f>
        <v>24</v>
      </c>
      <c r="G124" s="13"/>
      <c r="H124" s="85">
        <f>IF(E124=0,0,IF(M124="ja",(VLOOKUP(D124,Budget!A:F,6,FALSE)*(E124-(VLOOKUP(D124,Budget!A:F,3,FALSE)))),VLOOKUP($D124,Budget!$A$1:$F$19,6,FALSE)*E124))</f>
        <v>42919.35380616656</v>
      </c>
      <c r="I124" s="85">
        <f>IF(F124=0,0,IF(M124="ja",((VLOOKUP(F124,Budget!A:F,6,FALSE)*(E124-(VLOOKUP(F124,Budget!A:F,3,FALSE))))),VLOOKUP($D124,Budget!A:F,5,FALSE)*E124))</f>
        <v>0</v>
      </c>
      <c r="J124" s="85">
        <f t="shared" si="8"/>
        <v>42919.35380616656</v>
      </c>
      <c r="K124" s="14"/>
      <c r="L124" s="73"/>
      <c r="M124" s="80" t="str">
        <f t="shared" si="9"/>
        <v>nein</v>
      </c>
      <c r="N124">
        <f t="shared" si="7"/>
        <v>2021</v>
      </c>
    </row>
    <row r="125" spans="1:14" hidden="1" x14ac:dyDescent="0.3">
      <c r="A125" s="105">
        <f t="shared" si="6"/>
        <v>17</v>
      </c>
      <c r="B125" s="22">
        <v>44316</v>
      </c>
      <c r="C125" s="11" t="s">
        <v>7</v>
      </c>
      <c r="D125" s="12" t="s">
        <v>12</v>
      </c>
      <c r="E125" s="13">
        <f>IF(VLOOKUP(D125,Budget!A:B,2,FALSE)&lt;&gt;0,IF(G125=0,24,24-G125),0)</f>
        <v>24</v>
      </c>
      <c r="G125" s="13"/>
      <c r="H125" s="85">
        <f>IF(E125=0,0,IF(M125="ja",(VLOOKUP(D125,Budget!A:F,6,FALSE)*(E125-(VLOOKUP(D125,Budget!A:F,3,FALSE)))),VLOOKUP($D125,Budget!$A$1:$F$19,6,FALSE)*E125))</f>
        <v>27720</v>
      </c>
      <c r="I125" s="85">
        <f>IF(F125=0,0,IF(M125="ja",((VLOOKUP(F125,Budget!A:F,6,FALSE)*(E125-(VLOOKUP(F125,Budget!A:F,3,FALSE))))),VLOOKUP($D125,Budget!A:F,5,FALSE)*E125))</f>
        <v>0</v>
      </c>
      <c r="J125" s="85">
        <f t="shared" si="8"/>
        <v>27720</v>
      </c>
      <c r="K125" s="14"/>
      <c r="L125" s="25"/>
      <c r="M125" s="80" t="str">
        <f t="shared" si="9"/>
        <v>ja</v>
      </c>
      <c r="N125">
        <f t="shared" si="7"/>
        <v>2021</v>
      </c>
    </row>
    <row r="126" spans="1:14" hidden="1" x14ac:dyDescent="0.3">
      <c r="A126" s="105">
        <f t="shared" si="6"/>
        <v>17</v>
      </c>
      <c r="B126" s="22">
        <v>44317</v>
      </c>
      <c r="C126" s="16" t="s">
        <v>8</v>
      </c>
      <c r="D126" s="17" t="s">
        <v>12</v>
      </c>
      <c r="E126" s="24">
        <f>IF(VLOOKUP(D126,Budget!A:B,2,FALSE)&lt;&gt;0,IF(G126=0,24,24-G126),0)</f>
        <v>24</v>
      </c>
      <c r="F126" s="17"/>
      <c r="G126" s="17"/>
      <c r="H126" s="86">
        <f>IF(E126=0,0,IF(M126="ja",(VLOOKUP(D126,Budget!A:F,6,FALSE)*(E126-(VLOOKUP(D126,Budget!A:F,3,FALSE)))),VLOOKUP($D126,Budget!$A$1:$F$19,6,FALSE)*E126))</f>
        <v>36960</v>
      </c>
      <c r="I126" s="86">
        <f>IF(F126=0,0,IF(M126="ja",((VLOOKUP(F126,Budget!A:F,6,FALSE)*(E126-(VLOOKUP(F126,Budget!A:F,3,FALSE))))),VLOOKUP($D126,Budget!A:F,5,FALSE)*E126))</f>
        <v>0</v>
      </c>
      <c r="J126" s="86">
        <f t="shared" si="8"/>
        <v>36960</v>
      </c>
      <c r="K126" s="18"/>
      <c r="L126" s="75"/>
      <c r="M126" s="76" t="str">
        <f t="shared" si="9"/>
        <v>nein</v>
      </c>
      <c r="N126">
        <f t="shared" si="7"/>
        <v>2021</v>
      </c>
    </row>
    <row r="127" spans="1:14" ht="15" hidden="1" thickBot="1" x14ac:dyDescent="0.35">
      <c r="A127" s="105">
        <f t="shared" si="6"/>
        <v>17</v>
      </c>
      <c r="B127" s="27">
        <v>44318</v>
      </c>
      <c r="C127" s="19" t="s">
        <v>9</v>
      </c>
      <c r="D127" s="20" t="s">
        <v>12</v>
      </c>
      <c r="E127" s="20">
        <f>IF(VLOOKUP(D127,Budget!A:B,2,FALSE)&lt;&gt;0,IF(G127=0,24,24-G127),0)</f>
        <v>24</v>
      </c>
      <c r="F127" s="20"/>
      <c r="G127" s="20"/>
      <c r="H127" s="93">
        <f>IF(E127=0,0,IF(M127="ja",(VLOOKUP(D127,Budget!A:F,6,FALSE)*(E127-(VLOOKUP(D127,Budget!A:F,3,FALSE)))),VLOOKUP($D127,Budget!$A$1:$F$19,6,FALSE)*E127))</f>
        <v>36960</v>
      </c>
      <c r="I127" s="93">
        <f>IF(F127=0,0,IF(M127="ja",((VLOOKUP(F127,Budget!A:F,6,FALSE)*(E127-(VLOOKUP(F127,Budget!A:F,3,FALSE))))),VLOOKUP($D127,Budget!A:F,5,FALSE)*E127))</f>
        <v>0</v>
      </c>
      <c r="J127" s="87">
        <f t="shared" si="8"/>
        <v>36960</v>
      </c>
      <c r="K127" s="21"/>
      <c r="L127" s="74"/>
      <c r="M127" s="77" t="str">
        <f t="shared" si="9"/>
        <v>nein</v>
      </c>
      <c r="N127">
        <f t="shared" si="7"/>
        <v>2021</v>
      </c>
    </row>
    <row r="128" spans="1:14" hidden="1" x14ac:dyDescent="0.3">
      <c r="A128" s="104">
        <f t="shared" si="6"/>
        <v>18</v>
      </c>
      <c r="B128" s="22">
        <v>44319</v>
      </c>
      <c r="C128" s="10" t="s">
        <v>3</v>
      </c>
      <c r="D128" s="12" t="s">
        <v>69</v>
      </c>
      <c r="E128" s="13">
        <f>IF(VLOOKUP(D128,Budget!A:B,2,FALSE)&lt;&gt;0,IF(G128=0,24,24-G128),0)</f>
        <v>24</v>
      </c>
      <c r="F128" s="13"/>
      <c r="G128" s="13"/>
      <c r="H128" s="85">
        <f>IF(E128=0,0,IF(M128="ja",(VLOOKUP(D128,Budget!A:F,6,FALSE)*(E128-(VLOOKUP(D128,Budget!A:F,3,FALSE)))),VLOOKUP($D128,Budget!$A$1:$F$19,6,FALSE)*E128))</f>
        <v>38269.757143831848</v>
      </c>
      <c r="I128" s="85">
        <f>IF(F128=0,0,IF(M128="ja",((VLOOKUP(F128,Budget!A:F,6,FALSE)*(E128-(VLOOKUP(F128,Budget!A:F,3,FALSE))))),VLOOKUP($D128,Budget!A:F,5,FALSE)*E128))</f>
        <v>0</v>
      </c>
      <c r="J128" s="85">
        <f t="shared" si="8"/>
        <v>38269.757143831848</v>
      </c>
      <c r="K128" s="15"/>
      <c r="L128" s="72"/>
      <c r="M128" s="80" t="str">
        <f t="shared" si="9"/>
        <v>ja</v>
      </c>
      <c r="N128">
        <f t="shared" si="7"/>
        <v>2021</v>
      </c>
    </row>
    <row r="129" spans="1:14" hidden="1" x14ac:dyDescent="0.3">
      <c r="A129" s="105">
        <f t="shared" si="6"/>
        <v>18</v>
      </c>
      <c r="B129" s="22">
        <v>44320</v>
      </c>
      <c r="C129" s="11" t="s">
        <v>4</v>
      </c>
      <c r="D129" s="12" t="s">
        <v>11</v>
      </c>
      <c r="E129" s="13">
        <f>IF(VLOOKUP(D129,Budget!A:B,2,FALSE)&lt;&gt;0,IF(G129=0,24,24-G129),0)</f>
        <v>24</v>
      </c>
      <c r="G129" s="13"/>
      <c r="H129" s="85">
        <f>IF(E129=0,0,IF(M129="ja",(VLOOKUP(D129,Budget!A:F,6,FALSE)*(E129-(VLOOKUP(D129,Budget!A:F,3,FALSE)))),VLOOKUP($D129,Budget!$A$1:$F$19,6,FALSE)*E129))</f>
        <v>30030</v>
      </c>
      <c r="I129" s="85">
        <f>IF(F129=0,0,IF(M129="ja",((VLOOKUP(F129,Budget!A:F,6,FALSE)*(E129-(VLOOKUP(F129,Budget!A:F,3,FALSE))))),VLOOKUP($D129,Budget!A:F,5,FALSE)*E129))</f>
        <v>0</v>
      </c>
      <c r="J129" s="85">
        <f t="shared" si="8"/>
        <v>30030</v>
      </c>
      <c r="K129" s="14"/>
      <c r="L129" s="73"/>
      <c r="M129" s="80" t="str">
        <f t="shared" si="9"/>
        <v>ja</v>
      </c>
      <c r="N129">
        <f t="shared" si="7"/>
        <v>2021</v>
      </c>
    </row>
    <row r="130" spans="1:14" hidden="1" x14ac:dyDescent="0.3">
      <c r="A130" s="105">
        <f t="shared" si="6"/>
        <v>18</v>
      </c>
      <c r="B130" s="22">
        <v>44321</v>
      </c>
      <c r="C130" s="11" t="s">
        <v>5</v>
      </c>
      <c r="D130" s="12" t="s">
        <v>11</v>
      </c>
      <c r="E130" s="13">
        <f>IF(VLOOKUP(D130,Budget!A:B,2,FALSE)&lt;&gt;0,IF(G130=0,24,24-G130),0)</f>
        <v>24</v>
      </c>
      <c r="G130" s="13"/>
      <c r="H130" s="85">
        <f>IF(E130=0,0,IF(M130="ja",(VLOOKUP(D130,Budget!A:F,6,FALSE)*(E130-(VLOOKUP(D130,Budget!A:F,3,FALSE)))),VLOOKUP($D130,Budget!$A$1:$F$19,6,FALSE)*E130))</f>
        <v>36960</v>
      </c>
      <c r="I130" s="85">
        <f>IF(F130=0,0,IF(M130="ja",((VLOOKUP(F130,Budget!A:F,6,FALSE)*(E130-(VLOOKUP(F130,Budget!A:F,3,FALSE))))),VLOOKUP($D130,Budget!A:F,5,FALSE)*E130))</f>
        <v>0</v>
      </c>
      <c r="J130" s="85">
        <f t="shared" si="8"/>
        <v>36960</v>
      </c>
      <c r="K130" s="14"/>
      <c r="L130" s="73"/>
      <c r="M130" s="80" t="str">
        <f t="shared" si="9"/>
        <v>nein</v>
      </c>
      <c r="N130">
        <f t="shared" si="7"/>
        <v>2021</v>
      </c>
    </row>
    <row r="131" spans="1:14" hidden="1" x14ac:dyDescent="0.3">
      <c r="A131" s="103">
        <f t="shared" ref="A131:A194" si="10">_xlfn.ISOWEEKNUM(B131)</f>
        <v>18</v>
      </c>
      <c r="B131" s="22">
        <v>44322</v>
      </c>
      <c r="C131" s="11" t="s">
        <v>6</v>
      </c>
      <c r="D131" s="12" t="s">
        <v>11</v>
      </c>
      <c r="E131" s="13">
        <f>IF(VLOOKUP(D131,Budget!A:B,2,FALSE)&lt;&gt;0,IF(G131=0,24,24-G131),0)</f>
        <v>24</v>
      </c>
      <c r="G131" s="13"/>
      <c r="H131" s="85">
        <f>IF(E131=0,0,IF(M131="ja",(VLOOKUP(D131,Budget!A:F,6,FALSE)*(E131-(VLOOKUP(D131,Budget!A:F,3,FALSE)))),VLOOKUP($D131,Budget!$A$1:$F$19,6,FALSE)*E131))</f>
        <v>36960</v>
      </c>
      <c r="I131" s="85">
        <f>IF(F131=0,0,IF(M131="ja",((VLOOKUP(F131,Budget!A:F,6,FALSE)*(E131-(VLOOKUP(F131,Budget!A:F,3,FALSE))))),VLOOKUP($D131,Budget!A:F,5,FALSE)*E131))</f>
        <v>0</v>
      </c>
      <c r="J131" s="85">
        <f t="shared" si="8"/>
        <v>36960</v>
      </c>
      <c r="K131" s="14"/>
      <c r="L131" s="73"/>
      <c r="M131" s="80" t="str">
        <f t="shared" si="9"/>
        <v>nein</v>
      </c>
      <c r="N131">
        <f t="shared" ref="N131:N194" si="11">YEAR(B131)</f>
        <v>2021</v>
      </c>
    </row>
    <row r="132" spans="1:14" hidden="1" x14ac:dyDescent="0.3">
      <c r="A132" s="105">
        <f t="shared" si="10"/>
        <v>18</v>
      </c>
      <c r="B132" s="22">
        <v>44323</v>
      </c>
      <c r="C132" s="11" t="s">
        <v>7</v>
      </c>
      <c r="D132" s="12" t="s">
        <v>11</v>
      </c>
      <c r="E132" s="13">
        <f>IF(VLOOKUP(D132,Budget!A:B,2,FALSE)&lt;&gt;0,IF(G132=0,24,24-G132),0)</f>
        <v>24</v>
      </c>
      <c r="G132" s="13"/>
      <c r="H132" s="85">
        <f>IF(E132=0,0,IF(M132="ja",(VLOOKUP(D132,Budget!A:F,6,FALSE)*(E132-(VLOOKUP(D132,Budget!A:F,3,FALSE)))),VLOOKUP($D132,Budget!$A$1:$F$19,6,FALSE)*E132))</f>
        <v>36960</v>
      </c>
      <c r="I132" s="85">
        <f>IF(F132=0,0,IF(M132="ja",((VLOOKUP(F132,Budget!A:F,6,FALSE)*(E132-(VLOOKUP(F132,Budget!A:F,3,FALSE))))),VLOOKUP($D132,Budget!A:F,5,FALSE)*E132))</f>
        <v>0</v>
      </c>
      <c r="J132" s="85">
        <f t="shared" si="8"/>
        <v>36960</v>
      </c>
      <c r="K132" s="14"/>
      <c r="L132" s="25"/>
      <c r="M132" s="80" t="str">
        <f t="shared" si="9"/>
        <v>nein</v>
      </c>
      <c r="N132">
        <f t="shared" si="11"/>
        <v>2021</v>
      </c>
    </row>
    <row r="133" spans="1:14" hidden="1" x14ac:dyDescent="0.3">
      <c r="A133" s="105">
        <f t="shared" si="10"/>
        <v>18</v>
      </c>
      <c r="B133" s="22">
        <v>44324</v>
      </c>
      <c r="C133" s="16" t="s">
        <v>8</v>
      </c>
      <c r="D133" s="17" t="s">
        <v>11</v>
      </c>
      <c r="E133" s="24">
        <f>IF(VLOOKUP(D133,Budget!A:B,2,FALSE)&lt;&gt;0,IF(G133=0,24,24-G133),0)</f>
        <v>24</v>
      </c>
      <c r="F133" s="17"/>
      <c r="G133" s="17"/>
      <c r="H133" s="86">
        <f>IF(E133=0,0,IF(M133="ja",(VLOOKUP(D133,Budget!A:F,6,FALSE)*(E133-(VLOOKUP(D133,Budget!A:F,3,FALSE)))),VLOOKUP($D133,Budget!$A$1:$F$19,6,FALSE)*E133))</f>
        <v>36960</v>
      </c>
      <c r="I133" s="86">
        <f>IF(F133=0,0,IF(M133="ja",((VLOOKUP(F133,Budget!A:F,6,FALSE)*(E133-(VLOOKUP(F133,Budget!A:F,3,FALSE))))),VLOOKUP($D133,Budget!A:F,5,FALSE)*E133))</f>
        <v>0</v>
      </c>
      <c r="J133" s="86">
        <f t="shared" si="8"/>
        <v>36960</v>
      </c>
      <c r="K133" s="18"/>
      <c r="L133" s="75"/>
      <c r="M133" s="76" t="str">
        <f t="shared" si="9"/>
        <v>nein</v>
      </c>
      <c r="N133">
        <f t="shared" si="11"/>
        <v>2021</v>
      </c>
    </row>
    <row r="134" spans="1:14" ht="15" hidden="1" thickBot="1" x14ac:dyDescent="0.35">
      <c r="A134" s="105">
        <f t="shared" si="10"/>
        <v>18</v>
      </c>
      <c r="B134" s="27">
        <v>44325</v>
      </c>
      <c r="C134" s="19" t="s">
        <v>9</v>
      </c>
      <c r="D134" s="20" t="s">
        <v>11</v>
      </c>
      <c r="E134" s="20">
        <f>IF(VLOOKUP(D134,Budget!A:B,2,FALSE)&lt;&gt;0,IF(G134=0,24,24-G134),0)</f>
        <v>24</v>
      </c>
      <c r="F134" s="20"/>
      <c r="G134" s="20"/>
      <c r="H134" s="93">
        <f>IF(E134=0,0,IF(M134="ja",(VLOOKUP(D134,Budget!A:F,6,FALSE)*(E134-(VLOOKUP(D134,Budget!A:F,3,FALSE)))),VLOOKUP($D134,Budget!$A$1:$F$19,6,FALSE)*E134))</f>
        <v>36960</v>
      </c>
      <c r="I134" s="93">
        <f>IF(F134=0,0,IF(M134="ja",((VLOOKUP(F134,Budget!A:F,6,FALSE)*(E134-(VLOOKUP(F134,Budget!A:F,3,FALSE))))),VLOOKUP($D134,Budget!A:F,5,FALSE)*E134))</f>
        <v>0</v>
      </c>
      <c r="J134" s="87">
        <f t="shared" si="8"/>
        <v>36960</v>
      </c>
      <c r="K134" s="21"/>
      <c r="L134" s="74"/>
      <c r="M134" s="77" t="str">
        <f t="shared" si="9"/>
        <v>nein</v>
      </c>
      <c r="N134">
        <f t="shared" si="11"/>
        <v>2021</v>
      </c>
    </row>
    <row r="135" spans="1:14" hidden="1" x14ac:dyDescent="0.3">
      <c r="A135" s="104">
        <f t="shared" si="10"/>
        <v>19</v>
      </c>
      <c r="B135" s="22">
        <v>44326</v>
      </c>
      <c r="C135" s="10" t="s">
        <v>3</v>
      </c>
      <c r="D135" s="12" t="s">
        <v>66</v>
      </c>
      <c r="E135" s="13">
        <f>IF(VLOOKUP(D135,Budget!A:B,2,FALSE)&lt;&gt;0,IF(G135=0,24,24-G135),0)</f>
        <v>24</v>
      </c>
      <c r="F135" s="13"/>
      <c r="G135" s="13"/>
      <c r="H135" s="85">
        <f>IF(E135=0,0,IF(M135="ja",(VLOOKUP(D135,Budget!A:F,6,FALSE)*(E135-(VLOOKUP(D135,Budget!A:F,3,FALSE)))),VLOOKUP($D135,Budget!$A$1:$F$19,6,FALSE)*E135))</f>
        <v>32328.172065231582</v>
      </c>
      <c r="I135" s="85">
        <f>IF(F135=0,0,IF(M135="ja",((VLOOKUP(F135,Budget!A:F,6,FALSE)*(E135-(VLOOKUP(F135,Budget!A:F,3,FALSE))))),VLOOKUP($D135,Budget!A:F,5,FALSE)*E135))</f>
        <v>0</v>
      </c>
      <c r="J135" s="85">
        <f t="shared" si="8"/>
        <v>32328.172065231582</v>
      </c>
      <c r="K135" s="15"/>
      <c r="L135" s="72"/>
      <c r="M135" s="80" t="str">
        <f t="shared" si="9"/>
        <v>ja</v>
      </c>
      <c r="N135">
        <f t="shared" si="11"/>
        <v>2021</v>
      </c>
    </row>
    <row r="136" spans="1:14" hidden="1" x14ac:dyDescent="0.3">
      <c r="A136" s="105">
        <f t="shared" si="10"/>
        <v>19</v>
      </c>
      <c r="B136" s="22">
        <v>44327</v>
      </c>
      <c r="C136" s="11" t="s">
        <v>4</v>
      </c>
      <c r="D136" s="12" t="s">
        <v>66</v>
      </c>
      <c r="E136" s="13">
        <f>IF(VLOOKUP(D136,Budget!A:B,2,FALSE)&lt;&gt;0,IF(G136=0,24,24-G136),0)</f>
        <v>24</v>
      </c>
      <c r="G136" s="13"/>
      <c r="H136" s="85">
        <f>IF(E136=0,0,IF(M136="ja",(VLOOKUP(D136,Budget!A:F,6,FALSE)*(E136-(VLOOKUP(D136,Budget!A:F,3,FALSE)))),VLOOKUP($D136,Budget!$A$1:$F$19,6,FALSE)*E136))</f>
        <v>36946.482360264665</v>
      </c>
      <c r="I136" s="85">
        <f>IF(F136=0,0,IF(M136="ja",((VLOOKUP(F136,Budget!A:F,6,FALSE)*(E136-(VLOOKUP(F136,Budget!A:F,3,FALSE))))),VLOOKUP($D136,Budget!A:F,5,FALSE)*E136))</f>
        <v>0</v>
      </c>
      <c r="J136" s="85">
        <f t="shared" si="8"/>
        <v>36946.482360264665</v>
      </c>
      <c r="K136" s="14"/>
      <c r="L136" s="73"/>
      <c r="M136" s="80" t="str">
        <f t="shared" si="9"/>
        <v>nein</v>
      </c>
      <c r="N136">
        <f t="shared" si="11"/>
        <v>2021</v>
      </c>
    </row>
    <row r="137" spans="1:14" hidden="1" x14ac:dyDescent="0.3">
      <c r="A137" s="105">
        <f t="shared" si="10"/>
        <v>19</v>
      </c>
      <c r="B137" s="22">
        <v>44328</v>
      </c>
      <c r="C137" s="11" t="s">
        <v>5</v>
      </c>
      <c r="D137" s="12" t="s">
        <v>12</v>
      </c>
      <c r="E137" s="13">
        <f>IF(VLOOKUP(D137,Budget!A:B,2,FALSE)&lt;&gt;0,IF(G137=0,24,24-G137),0)</f>
        <v>24</v>
      </c>
      <c r="G137" s="13"/>
      <c r="H137" s="85">
        <f>IF(E137=0,0,IF(M137="ja",(VLOOKUP(D137,Budget!A:F,6,FALSE)*(E137-(VLOOKUP(D137,Budget!A:F,3,FALSE)))),VLOOKUP($D137,Budget!$A$1:$F$19,6,FALSE)*E137))</f>
        <v>27720</v>
      </c>
      <c r="I137" s="85">
        <f>IF(F137=0,0,IF(M137="ja",((VLOOKUP(F137,Budget!A:F,6,FALSE)*(E137-(VLOOKUP(F137,Budget!A:F,3,FALSE))))),VLOOKUP($D137,Budget!A:F,5,FALSE)*E137))</f>
        <v>0</v>
      </c>
      <c r="J137" s="85">
        <f t="shared" si="8"/>
        <v>27720</v>
      </c>
      <c r="K137" s="14"/>
      <c r="L137" s="73"/>
      <c r="M137" s="80" t="str">
        <f t="shared" si="9"/>
        <v>ja</v>
      </c>
      <c r="N137">
        <f t="shared" si="11"/>
        <v>2021</v>
      </c>
    </row>
    <row r="138" spans="1:14" hidden="1" x14ac:dyDescent="0.3">
      <c r="A138" s="103">
        <f t="shared" si="10"/>
        <v>19</v>
      </c>
      <c r="B138" s="22">
        <v>44329</v>
      </c>
      <c r="C138" s="11" t="s">
        <v>6</v>
      </c>
      <c r="D138" s="12" t="s">
        <v>12</v>
      </c>
      <c r="E138" s="13">
        <f>IF(VLOOKUP(D138,Budget!A:B,2,FALSE)&lt;&gt;0,IF(G138=0,24,24-G138),0)</f>
        <v>24</v>
      </c>
      <c r="G138" s="13"/>
      <c r="H138" s="85">
        <f>IF(E138=0,0,IF(M138="ja",(VLOOKUP(D138,Budget!A:F,6,FALSE)*(E138-(VLOOKUP(D138,Budget!A:F,3,FALSE)))),VLOOKUP($D138,Budget!$A$1:$F$19,6,FALSE)*E138))</f>
        <v>36960</v>
      </c>
      <c r="I138" s="85">
        <f>IF(F138=0,0,IF(M138="ja",((VLOOKUP(F138,Budget!A:F,6,FALSE)*(E138-(VLOOKUP(F138,Budget!A:F,3,FALSE))))),VLOOKUP($D138,Budget!A:F,5,FALSE)*E138))</f>
        <v>0</v>
      </c>
      <c r="J138" s="85">
        <f t="shared" ref="J138:J201" si="12">H138+I138</f>
        <v>36960</v>
      </c>
      <c r="K138" s="14"/>
      <c r="L138" s="73"/>
      <c r="M138" s="80" t="str">
        <f t="shared" ref="M138:M201" si="13">IF(E138=0,"nein",IF(OR(E138&lt;&gt;24,F137&lt;&gt;0,D138&lt;&gt;D137),"ja","nein"))</f>
        <v>nein</v>
      </c>
      <c r="N138">
        <f t="shared" si="11"/>
        <v>2021</v>
      </c>
    </row>
    <row r="139" spans="1:14" hidden="1" x14ac:dyDescent="0.3">
      <c r="A139" s="105">
        <f t="shared" si="10"/>
        <v>19</v>
      </c>
      <c r="B139" s="22">
        <v>44330</v>
      </c>
      <c r="C139" s="11" t="s">
        <v>7</v>
      </c>
      <c r="D139" s="12" t="s">
        <v>69</v>
      </c>
      <c r="E139" s="13">
        <f>IF(VLOOKUP(D139,Budget!A:B,2,FALSE)&lt;&gt;0,IF(G139=0,24,24-G139),0)</f>
        <v>24</v>
      </c>
      <c r="G139" s="13"/>
      <c r="H139" s="85">
        <f>IF(E139=0,0,IF(M139="ja",(VLOOKUP(D139,Budget!A:F,6,FALSE)*(E139-(VLOOKUP(D139,Budget!A:F,3,FALSE)))),VLOOKUP($D139,Budget!$A$1:$F$19,6,FALSE)*E139))</f>
        <v>38269.757143831848</v>
      </c>
      <c r="I139" s="85">
        <f>IF(F139=0,0,IF(M139="ja",((VLOOKUP(F139,Budget!A:F,6,FALSE)*(E139-(VLOOKUP(F139,Budget!A:F,3,FALSE))))),VLOOKUP($D139,Budget!A:F,5,FALSE)*E139))</f>
        <v>0</v>
      </c>
      <c r="J139" s="85">
        <f t="shared" si="12"/>
        <v>38269.757143831848</v>
      </c>
      <c r="K139" s="14"/>
      <c r="L139" s="25"/>
      <c r="M139" s="80" t="str">
        <f t="shared" si="13"/>
        <v>ja</v>
      </c>
      <c r="N139">
        <f t="shared" si="11"/>
        <v>2021</v>
      </c>
    </row>
    <row r="140" spans="1:14" hidden="1" x14ac:dyDescent="0.3">
      <c r="A140" s="105">
        <f t="shared" si="10"/>
        <v>19</v>
      </c>
      <c r="B140" s="22">
        <v>44331</v>
      </c>
      <c r="C140" s="16" t="s">
        <v>8</v>
      </c>
      <c r="D140" s="17" t="s">
        <v>69</v>
      </c>
      <c r="E140" s="24">
        <f>IF(VLOOKUP(D140,Budget!A:B,2,FALSE)&lt;&gt;0,IF(G140=0,24,24-G140),0)</f>
        <v>24</v>
      </c>
      <c r="F140" s="17"/>
      <c r="G140" s="17"/>
      <c r="H140" s="86">
        <f>IF(E140=0,0,IF(M140="ja",(VLOOKUP(D140,Budget!A:F,6,FALSE)*(E140-(VLOOKUP(D140,Budget!A:F,3,FALSE)))),VLOOKUP($D140,Budget!$A$1:$F$19,6,FALSE)*E140))</f>
        <v>42919.35380616656</v>
      </c>
      <c r="I140" s="86">
        <f>IF(F140=0,0,IF(M140="ja",((VLOOKUP(F140,Budget!A:F,6,FALSE)*(E140-(VLOOKUP(F140,Budget!A:F,3,FALSE))))),VLOOKUP($D140,Budget!A:F,5,FALSE)*E140))</f>
        <v>0</v>
      </c>
      <c r="J140" s="86">
        <f t="shared" si="12"/>
        <v>42919.35380616656</v>
      </c>
      <c r="K140" s="18"/>
      <c r="L140" s="75"/>
      <c r="M140" s="76" t="str">
        <f t="shared" si="13"/>
        <v>nein</v>
      </c>
      <c r="N140">
        <f t="shared" si="11"/>
        <v>2021</v>
      </c>
    </row>
    <row r="141" spans="1:14" ht="15" hidden="1" thickBot="1" x14ac:dyDescent="0.35">
      <c r="A141" s="105">
        <f t="shared" si="10"/>
        <v>19</v>
      </c>
      <c r="B141" s="27">
        <v>44332</v>
      </c>
      <c r="C141" s="19" t="s">
        <v>9</v>
      </c>
      <c r="D141" s="20" t="s">
        <v>69</v>
      </c>
      <c r="E141" s="20">
        <f>IF(VLOOKUP(D141,Budget!A:B,2,FALSE)&lt;&gt;0,IF(G141=0,24,24-G141),0)</f>
        <v>24</v>
      </c>
      <c r="F141" s="20"/>
      <c r="G141" s="20"/>
      <c r="H141" s="93">
        <f>IF(E141=0,0,IF(M141="ja",(VLOOKUP(D141,Budget!A:F,6,FALSE)*(E141-(VLOOKUP(D141,Budget!A:F,3,FALSE)))),VLOOKUP($D141,Budget!$A$1:$F$19,6,FALSE)*E141))</f>
        <v>42919.35380616656</v>
      </c>
      <c r="I141" s="93">
        <f>IF(F141=0,0,IF(M141="ja",((VLOOKUP(F141,Budget!A:F,6,FALSE)*(E141-(VLOOKUP(F141,Budget!A:F,3,FALSE))))),VLOOKUP($D141,Budget!A:F,5,FALSE)*E141))</f>
        <v>0</v>
      </c>
      <c r="J141" s="87">
        <f t="shared" si="12"/>
        <v>42919.35380616656</v>
      </c>
      <c r="K141" s="21"/>
      <c r="L141" s="74"/>
      <c r="M141" s="77" t="str">
        <f t="shared" si="13"/>
        <v>nein</v>
      </c>
      <c r="N141">
        <f t="shared" si="11"/>
        <v>2021</v>
      </c>
    </row>
    <row r="142" spans="1:14" hidden="1" x14ac:dyDescent="0.3">
      <c r="A142" s="104">
        <f t="shared" si="10"/>
        <v>20</v>
      </c>
      <c r="B142" s="22">
        <v>44333</v>
      </c>
      <c r="C142" s="10" t="s">
        <v>3</v>
      </c>
      <c r="D142" s="12" t="s">
        <v>65</v>
      </c>
      <c r="E142" s="13">
        <f>IF(VLOOKUP(D142,Budget!A:B,2,FALSE)&lt;&gt;0,IF(G142=0,24,24-G142),0)</f>
        <v>24</v>
      </c>
      <c r="F142" s="13"/>
      <c r="G142" s="13"/>
      <c r="H142" s="85">
        <f>IF(E142=0,0,IF(M142="ja",(VLOOKUP(D142,Budget!A:F,6,FALSE)*(E142-(VLOOKUP(D142,Budget!A:F,3,FALSE)))),VLOOKUP($D142,Budget!$A$1:$F$19,6,FALSE)*E142))</f>
        <v>22220.983707552332</v>
      </c>
      <c r="I142" s="85">
        <f>IF(F142=0,0,IF(M142="ja",((VLOOKUP(F142,Budget!A:F,6,FALSE)*(E142-(VLOOKUP(F142,Budget!A:F,3,FALSE))))),VLOOKUP($D142,Budget!A:F,5,FALSE)*E142))</f>
        <v>0</v>
      </c>
      <c r="J142" s="85">
        <f t="shared" si="12"/>
        <v>22220.983707552332</v>
      </c>
      <c r="K142" s="15"/>
      <c r="L142" s="72"/>
      <c r="M142" s="80" t="str">
        <f t="shared" si="13"/>
        <v>ja</v>
      </c>
      <c r="N142">
        <f t="shared" si="11"/>
        <v>2021</v>
      </c>
    </row>
    <row r="143" spans="1:14" hidden="1" x14ac:dyDescent="0.3">
      <c r="A143" s="105">
        <f t="shared" si="10"/>
        <v>20</v>
      </c>
      <c r="B143" s="22">
        <v>44334</v>
      </c>
      <c r="C143" s="11" t="s">
        <v>4</v>
      </c>
      <c r="D143" s="12" t="s">
        <v>65</v>
      </c>
      <c r="E143" s="13">
        <f>IF(VLOOKUP(D143,Budget!A:B,2,FALSE)&lt;&gt;0,IF(G143=0,24,24-G143),0)</f>
        <v>24</v>
      </c>
      <c r="G143" s="13"/>
      <c r="H143" s="85">
        <f>IF(E143=0,0,IF(M143="ja",(VLOOKUP(D143,Budget!A:F,6,FALSE)*(E143-(VLOOKUP(D143,Budget!A:F,3,FALSE)))),VLOOKUP($D143,Budget!$A$1:$F$19,6,FALSE)*E143))</f>
        <v>35553.573932083731</v>
      </c>
      <c r="I143" s="85">
        <f>IF(F143=0,0,IF(M143="ja",((VLOOKUP(F143,Budget!A:F,6,FALSE)*(E143-(VLOOKUP(F143,Budget!A:F,3,FALSE))))),VLOOKUP($D143,Budget!A:F,5,FALSE)*E143))</f>
        <v>0</v>
      </c>
      <c r="J143" s="85">
        <f t="shared" si="12"/>
        <v>35553.573932083731</v>
      </c>
      <c r="K143" s="14"/>
      <c r="L143" s="73" t="s">
        <v>64</v>
      </c>
      <c r="M143" s="80" t="str">
        <f t="shared" si="13"/>
        <v>nein</v>
      </c>
      <c r="N143">
        <f t="shared" si="11"/>
        <v>2021</v>
      </c>
    </row>
    <row r="144" spans="1:14" hidden="1" x14ac:dyDescent="0.3">
      <c r="A144" s="105">
        <f t="shared" si="10"/>
        <v>20</v>
      </c>
      <c r="B144" s="22">
        <v>44335</v>
      </c>
      <c r="C144" s="11" t="s">
        <v>5</v>
      </c>
      <c r="D144" s="12" t="s">
        <v>69</v>
      </c>
      <c r="E144" s="13">
        <f>IF(VLOOKUP(D144,Budget!A:B,2,FALSE)&lt;&gt;0,IF(G144=0,24,24-G144),0)</f>
        <v>24</v>
      </c>
      <c r="G144" s="13"/>
      <c r="H144" s="85">
        <f>IF(E144=0,0,IF(M144="ja",(VLOOKUP(D144,Budget!A:F,6,FALSE)*(E144-(VLOOKUP(D144,Budget!A:F,3,FALSE)))),VLOOKUP($D144,Budget!$A$1:$F$19,6,FALSE)*E144))</f>
        <v>38269.757143831848</v>
      </c>
      <c r="I144" s="85">
        <f>IF(F144=0,0,IF(M144="ja",((VLOOKUP(F144,Budget!A:F,6,FALSE)*(E144-(VLOOKUP(F144,Budget!A:F,3,FALSE))))),VLOOKUP($D144,Budget!A:F,5,FALSE)*E144))</f>
        <v>0</v>
      </c>
      <c r="J144" s="85">
        <f t="shared" si="12"/>
        <v>38269.757143831848</v>
      </c>
      <c r="K144" s="14"/>
      <c r="L144" s="73"/>
      <c r="M144" s="80" t="str">
        <f t="shared" si="13"/>
        <v>ja</v>
      </c>
      <c r="N144">
        <f t="shared" si="11"/>
        <v>2021</v>
      </c>
    </row>
    <row r="145" spans="1:14" hidden="1" x14ac:dyDescent="0.3">
      <c r="A145" s="103">
        <f t="shared" si="10"/>
        <v>20</v>
      </c>
      <c r="B145" s="22">
        <v>44336</v>
      </c>
      <c r="C145" s="11" t="s">
        <v>6</v>
      </c>
      <c r="D145" s="12" t="s">
        <v>69</v>
      </c>
      <c r="E145" s="13">
        <f>IF(VLOOKUP(D145,Budget!A:B,2,FALSE)&lt;&gt;0,IF(G145=0,24,24-G145),0)</f>
        <v>24</v>
      </c>
      <c r="G145" s="13"/>
      <c r="H145" s="85">
        <f>IF(E145=0,0,IF(M145="ja",(VLOOKUP(D145,Budget!A:F,6,FALSE)*(E145-(VLOOKUP(D145,Budget!A:F,3,FALSE)))),VLOOKUP($D145,Budget!$A$1:$F$19,6,FALSE)*E145))</f>
        <v>42919.35380616656</v>
      </c>
      <c r="I145" s="85">
        <f>IF(F145=0,0,IF(M145="ja",((VLOOKUP(F145,Budget!A:F,6,FALSE)*(E145-(VLOOKUP(F145,Budget!A:F,3,FALSE))))),VLOOKUP($D145,Budget!A:F,5,FALSE)*E145))</f>
        <v>0</v>
      </c>
      <c r="J145" s="85">
        <f t="shared" si="12"/>
        <v>42919.35380616656</v>
      </c>
      <c r="K145" s="14"/>
      <c r="L145" s="73"/>
      <c r="M145" s="80" t="str">
        <f t="shared" si="13"/>
        <v>nein</v>
      </c>
      <c r="N145">
        <f t="shared" si="11"/>
        <v>2021</v>
      </c>
    </row>
    <row r="146" spans="1:14" hidden="1" x14ac:dyDescent="0.3">
      <c r="A146" s="105">
        <f t="shared" si="10"/>
        <v>20</v>
      </c>
      <c r="B146" s="22">
        <v>44337</v>
      </c>
      <c r="C146" s="11" t="s">
        <v>7</v>
      </c>
      <c r="D146" s="12" t="s">
        <v>11</v>
      </c>
      <c r="E146" s="13">
        <f>IF(VLOOKUP(D146,Budget!A:B,2,FALSE)&lt;&gt;0,IF(G146=0,24,24-G146),0)</f>
        <v>24</v>
      </c>
      <c r="G146" s="13"/>
      <c r="H146" s="85">
        <f>IF(E146=0,0,IF(M146="ja",(VLOOKUP(D146,Budget!A:F,6,FALSE)*(E146-(VLOOKUP(D146,Budget!A:F,3,FALSE)))),VLOOKUP($D146,Budget!$A$1:$F$19,6,FALSE)*E146))</f>
        <v>30030</v>
      </c>
      <c r="I146" s="85">
        <f>IF(F146=0,0,IF(M146="ja",((VLOOKUP(F146,Budget!A:F,6,FALSE)*(E146-(VLOOKUP(F146,Budget!A:F,3,FALSE))))),VLOOKUP($D146,Budget!A:F,5,FALSE)*E146))</f>
        <v>0</v>
      </c>
      <c r="J146" s="85">
        <f t="shared" si="12"/>
        <v>30030</v>
      </c>
      <c r="K146" s="14"/>
      <c r="L146" s="25"/>
      <c r="M146" s="80" t="str">
        <f t="shared" si="13"/>
        <v>ja</v>
      </c>
      <c r="N146">
        <f t="shared" si="11"/>
        <v>2021</v>
      </c>
    </row>
    <row r="147" spans="1:14" ht="15" hidden="1" customHeight="1" x14ac:dyDescent="0.3">
      <c r="A147" s="105">
        <f t="shared" si="10"/>
        <v>20</v>
      </c>
      <c r="B147" s="22">
        <v>44338</v>
      </c>
      <c r="C147" s="16" t="s">
        <v>8</v>
      </c>
      <c r="D147" s="17" t="s">
        <v>11</v>
      </c>
      <c r="E147" s="24">
        <f>IF(VLOOKUP(D147,Budget!A:B,2,FALSE)&lt;&gt;0,IF(G147=0,24,24-G147),0)</f>
        <v>24</v>
      </c>
      <c r="F147" s="17"/>
      <c r="G147" s="17"/>
      <c r="H147" s="86">
        <f>IF(E147=0,0,IF(M147="ja",(VLOOKUP(D147,Budget!A:F,6,FALSE)*(E147-(VLOOKUP(D147,Budget!A:F,3,FALSE)))),VLOOKUP($D147,Budget!$A$1:$F$19,6,FALSE)*E147))</f>
        <v>36960</v>
      </c>
      <c r="I147" s="86">
        <f>IF(F147=0,0,IF(M147="ja",((VLOOKUP(F147,Budget!A:F,6,FALSE)*(E147-(VLOOKUP(F147,Budget!A:F,3,FALSE))))),VLOOKUP($D147,Budget!A:F,5,FALSE)*E147))</f>
        <v>0</v>
      </c>
      <c r="J147" s="86">
        <f t="shared" si="12"/>
        <v>36960</v>
      </c>
      <c r="K147" s="18"/>
      <c r="L147" s="96"/>
      <c r="M147" s="76" t="str">
        <f t="shared" si="13"/>
        <v>nein</v>
      </c>
      <c r="N147">
        <f t="shared" si="11"/>
        <v>2021</v>
      </c>
    </row>
    <row r="148" spans="1:14" ht="15.75" hidden="1" customHeight="1" thickBot="1" x14ac:dyDescent="0.35">
      <c r="A148" s="105">
        <f t="shared" si="10"/>
        <v>20</v>
      </c>
      <c r="B148" s="27">
        <v>44339</v>
      </c>
      <c r="C148" s="19" t="s">
        <v>9</v>
      </c>
      <c r="D148" s="20" t="s">
        <v>11</v>
      </c>
      <c r="E148" s="20">
        <f>IF(VLOOKUP(D148,Budget!A:B,2,FALSE)&lt;&gt;0,IF(G148=0,24,24-G148),0)</f>
        <v>24</v>
      </c>
      <c r="F148" s="20"/>
      <c r="G148" s="20"/>
      <c r="H148" s="93">
        <f>IF(E148=0,0,IF(M148="ja",(VLOOKUP(D148,Budget!A:F,6,FALSE)*(E148-(VLOOKUP(D148,Budget!A:F,3,FALSE)))),VLOOKUP($D148,Budget!$A$1:$F$19,6,FALSE)*E148))</f>
        <v>36960</v>
      </c>
      <c r="I148" s="93">
        <f>IF(F148=0,0,IF(M148="ja",((VLOOKUP(F148,Budget!A:F,6,FALSE)*(E148-(VLOOKUP(F148,Budget!A:F,3,FALSE))))),VLOOKUP($D148,Budget!A:F,5,FALSE)*E148))</f>
        <v>0</v>
      </c>
      <c r="J148" s="87">
        <f t="shared" si="12"/>
        <v>36960</v>
      </c>
      <c r="K148" s="21"/>
      <c r="L148" s="74"/>
      <c r="M148" s="77" t="str">
        <f t="shared" si="13"/>
        <v>nein</v>
      </c>
      <c r="N148">
        <f t="shared" si="11"/>
        <v>2021</v>
      </c>
    </row>
    <row r="149" spans="1:14" ht="15" hidden="1" customHeight="1" x14ac:dyDescent="0.3">
      <c r="A149" s="104">
        <f t="shared" si="10"/>
        <v>21</v>
      </c>
      <c r="B149" s="22">
        <v>44340</v>
      </c>
      <c r="C149" s="10" t="s">
        <v>3</v>
      </c>
      <c r="D149" s="12" t="s">
        <v>11</v>
      </c>
      <c r="E149" s="13">
        <f>IF(VLOOKUP(D149,Budget!A:B,2,FALSE)&lt;&gt;0,IF(G149=0,24,24-G149),0)</f>
        <v>24</v>
      </c>
      <c r="F149" s="13"/>
      <c r="G149" s="13"/>
      <c r="H149" s="85">
        <f>IF(E149=0,0,IF(M149="ja",(VLOOKUP(D149,Budget!A:F,6,FALSE)*(E149-(VLOOKUP(D149,Budget!A:F,3,FALSE)))),VLOOKUP($D149,Budget!$A$1:$F$19,6,FALSE)*E149))</f>
        <v>36960</v>
      </c>
      <c r="I149" s="85">
        <f>IF(F149=0,0,IF(M149="ja",((VLOOKUP(F149,Budget!A:F,6,FALSE)*(E149-(VLOOKUP(F149,Budget!A:F,3,FALSE))))),VLOOKUP($D149,Budget!A:F,5,FALSE)*E149))</f>
        <v>0</v>
      </c>
      <c r="J149" s="85">
        <f t="shared" si="12"/>
        <v>36960</v>
      </c>
      <c r="K149" s="15"/>
      <c r="L149" s="72"/>
      <c r="M149" s="80" t="str">
        <f t="shared" si="13"/>
        <v>nein</v>
      </c>
      <c r="N149">
        <f t="shared" si="11"/>
        <v>2021</v>
      </c>
    </row>
    <row r="150" spans="1:14" ht="15" hidden="1" customHeight="1" x14ac:dyDescent="0.3">
      <c r="A150" s="105">
        <f t="shared" si="10"/>
        <v>21</v>
      </c>
      <c r="B150" s="22">
        <v>44341</v>
      </c>
      <c r="C150" s="11" t="s">
        <v>4</v>
      </c>
      <c r="D150" s="12" t="s">
        <v>65</v>
      </c>
      <c r="E150" s="13">
        <f>IF(VLOOKUP(D150,Budget!A:B,2,FALSE)&lt;&gt;0,IF(G150=0,24,24-G150),0)</f>
        <v>24</v>
      </c>
      <c r="G150" s="13"/>
      <c r="H150" s="85">
        <f>IF(E150=0,0,IF(M150="ja",(VLOOKUP(D150,Budget!A:F,6,FALSE)*(E150-(VLOOKUP(D150,Budget!A:F,3,FALSE)))),VLOOKUP($D150,Budget!$A$1:$F$19,6,FALSE)*E150))</f>
        <v>22220.983707552332</v>
      </c>
      <c r="I150" s="85">
        <f>IF(F150=0,0,IF(M150="ja",((VLOOKUP(F150,Budget!A:F,6,FALSE)*(E150-(VLOOKUP(F150,Budget!A:F,3,FALSE))))),VLOOKUP($D150,Budget!A:F,5,FALSE)*E150))</f>
        <v>0</v>
      </c>
      <c r="J150" s="85">
        <f t="shared" si="12"/>
        <v>22220.983707552332</v>
      </c>
      <c r="K150" s="14"/>
      <c r="L150" s="73"/>
      <c r="M150" s="80" t="str">
        <f t="shared" si="13"/>
        <v>ja</v>
      </c>
      <c r="N150">
        <f t="shared" si="11"/>
        <v>2021</v>
      </c>
    </row>
    <row r="151" spans="1:14" ht="15" hidden="1" customHeight="1" x14ac:dyDescent="0.3">
      <c r="A151" s="105">
        <f t="shared" si="10"/>
        <v>21</v>
      </c>
      <c r="B151" s="22">
        <v>44342</v>
      </c>
      <c r="C151" s="11" t="s">
        <v>5</v>
      </c>
      <c r="D151" s="12" t="s">
        <v>65</v>
      </c>
      <c r="E151" s="13">
        <f>IF(VLOOKUP(D151,Budget!A:B,2,FALSE)&lt;&gt;0,IF(G151=0,24,24-G151),0)</f>
        <v>24</v>
      </c>
      <c r="G151" s="13"/>
      <c r="H151" s="85">
        <f>IF(E151=0,0,IF(M151="ja",(VLOOKUP(D151,Budget!A:F,6,FALSE)*(E151-(VLOOKUP(D151,Budget!A:F,3,FALSE)))),VLOOKUP($D151,Budget!$A$1:$F$19,6,FALSE)*E151))</f>
        <v>35553.573932083731</v>
      </c>
      <c r="I151" s="85">
        <f>IF(F151=0,0,IF(M151="ja",((VLOOKUP(F151,Budget!A:F,6,FALSE)*(E151-(VLOOKUP(F151,Budget!A:F,3,FALSE))))),VLOOKUP($D151,Budget!A:F,5,FALSE)*E151))</f>
        <v>0</v>
      </c>
      <c r="J151" s="85">
        <f t="shared" si="12"/>
        <v>35553.573932083731</v>
      </c>
      <c r="K151" s="14"/>
      <c r="L151" s="73"/>
      <c r="M151" s="80" t="str">
        <f t="shared" si="13"/>
        <v>nein</v>
      </c>
      <c r="N151">
        <f t="shared" si="11"/>
        <v>2021</v>
      </c>
    </row>
    <row r="152" spans="1:14" ht="15" hidden="1" customHeight="1" x14ac:dyDescent="0.3">
      <c r="A152" s="103">
        <f t="shared" si="10"/>
        <v>21</v>
      </c>
      <c r="B152" s="22">
        <v>44343</v>
      </c>
      <c r="C152" s="11" t="s">
        <v>6</v>
      </c>
      <c r="D152" s="12" t="s">
        <v>65</v>
      </c>
      <c r="E152" s="13">
        <f>IF(VLOOKUP(D152,Budget!A:B,2,FALSE)&lt;&gt;0,IF(G152=0,24,24-G152),0)</f>
        <v>24</v>
      </c>
      <c r="G152" s="13"/>
      <c r="H152" s="85">
        <f>IF(E152=0,0,IF(M152="ja",(VLOOKUP(D152,Budget!A:F,6,FALSE)*(E152-(VLOOKUP(D152,Budget!A:F,3,FALSE)))),VLOOKUP($D152,Budget!$A$1:$F$19,6,FALSE)*E152))</f>
        <v>35553.573932083731</v>
      </c>
      <c r="I152" s="85">
        <f>IF(F152=0,0,IF(M152="ja",((VLOOKUP(F152,Budget!A:F,6,FALSE)*(E152-(VLOOKUP(F152,Budget!A:F,3,FALSE))))),VLOOKUP($D152,Budget!A:F,5,FALSE)*E152))</f>
        <v>0</v>
      </c>
      <c r="J152" s="85">
        <f t="shared" si="12"/>
        <v>35553.573932083731</v>
      </c>
      <c r="K152" s="14"/>
      <c r="L152" s="73"/>
      <c r="M152" s="80" t="str">
        <f t="shared" si="13"/>
        <v>nein</v>
      </c>
      <c r="N152">
        <f t="shared" si="11"/>
        <v>2021</v>
      </c>
    </row>
    <row r="153" spans="1:14" ht="15" hidden="1" customHeight="1" x14ac:dyDescent="0.3">
      <c r="A153" s="105">
        <f t="shared" si="10"/>
        <v>21</v>
      </c>
      <c r="B153" s="22">
        <v>44344</v>
      </c>
      <c r="C153" s="11" t="s">
        <v>7</v>
      </c>
      <c r="D153" s="13" t="s">
        <v>11</v>
      </c>
      <c r="E153" s="13">
        <f>IF(VLOOKUP(D153,Budget!A:B,2,FALSE)&lt;&gt;0,IF(G153=0,24,24-G153),0)</f>
        <v>24</v>
      </c>
      <c r="G153" s="13"/>
      <c r="H153" s="85">
        <f>IF(E153=0,0,IF(M153="ja",(VLOOKUP(D153,Budget!A:F,6,FALSE)*(E153-(VLOOKUP(D153,Budget!A:F,3,FALSE)))),VLOOKUP($D153,Budget!$A$1:$F$19,6,FALSE)*E153))</f>
        <v>30030</v>
      </c>
      <c r="I153" s="85">
        <f>IF(F153=0,0,IF(M153="ja",((VLOOKUP(F153,Budget!A:F,6,FALSE)*(E153-(VLOOKUP(F153,Budget!A:F,3,FALSE))))),VLOOKUP($D153,Budget!A:F,5,FALSE)*E153))</f>
        <v>0</v>
      </c>
      <c r="J153" s="85">
        <f t="shared" si="12"/>
        <v>30030</v>
      </c>
      <c r="K153" s="14"/>
      <c r="L153" s="25"/>
      <c r="M153" s="80" t="str">
        <f t="shared" si="13"/>
        <v>ja</v>
      </c>
      <c r="N153">
        <f t="shared" si="11"/>
        <v>2021</v>
      </c>
    </row>
    <row r="154" spans="1:14" ht="15" hidden="1" customHeight="1" x14ac:dyDescent="0.3">
      <c r="A154" s="105">
        <f t="shared" si="10"/>
        <v>21</v>
      </c>
      <c r="B154" s="22">
        <v>44345</v>
      </c>
      <c r="C154" s="16" t="s">
        <v>8</v>
      </c>
      <c r="D154" s="17" t="s">
        <v>11</v>
      </c>
      <c r="E154" s="24">
        <f>IF(VLOOKUP(D154,Budget!A:B,2,FALSE)&lt;&gt;0,IF(G154=0,24,24-G154),0)</f>
        <v>24</v>
      </c>
      <c r="F154" s="17"/>
      <c r="G154" s="17"/>
      <c r="H154" s="86">
        <f>IF(E154=0,0,IF(M154="ja",(VLOOKUP(D154,Budget!A:F,6,FALSE)*(E154-(VLOOKUP(D154,Budget!A:F,3,FALSE)))),VLOOKUP($D154,Budget!$A$1:$F$19,6,FALSE)*E154))</f>
        <v>36960</v>
      </c>
      <c r="I154" s="86">
        <f>IF(F154=0,0,IF(M154="ja",((VLOOKUP(F154,Budget!A:F,6,FALSE)*(E154-(VLOOKUP(F154,Budget!A:F,3,FALSE))))),VLOOKUP($D154,Budget!A:F,5,FALSE)*E154))</f>
        <v>0</v>
      </c>
      <c r="J154" s="86">
        <f t="shared" si="12"/>
        <v>36960</v>
      </c>
      <c r="K154" s="18"/>
      <c r="L154" s="75"/>
      <c r="M154" s="76" t="str">
        <f t="shared" si="13"/>
        <v>nein</v>
      </c>
      <c r="N154">
        <f t="shared" si="11"/>
        <v>2021</v>
      </c>
    </row>
    <row r="155" spans="1:14" ht="15.75" hidden="1" customHeight="1" thickBot="1" x14ac:dyDescent="0.35">
      <c r="A155" s="105">
        <f t="shared" si="10"/>
        <v>21</v>
      </c>
      <c r="B155" s="27">
        <v>44346</v>
      </c>
      <c r="C155" s="19" t="s">
        <v>9</v>
      </c>
      <c r="D155" s="20" t="s">
        <v>11</v>
      </c>
      <c r="E155" s="20">
        <f>IF(VLOOKUP(D155,Budget!A:B,2,FALSE)&lt;&gt;0,IF(G155=0,24,24-G155),0)</f>
        <v>24</v>
      </c>
      <c r="F155" s="20"/>
      <c r="G155" s="20"/>
      <c r="H155" s="93">
        <f>IF(E155=0,0,IF(M155="ja",(VLOOKUP(D155,Budget!A:F,6,FALSE)*(E155-(VLOOKUP(D155,Budget!A:F,3,FALSE)))),VLOOKUP($D155,Budget!$A$1:$F$19,6,FALSE)*E155))</f>
        <v>36960</v>
      </c>
      <c r="I155" s="93">
        <f>IF(F155=0,0,IF(M155="ja",((VLOOKUP(F155,Budget!A:F,6,FALSE)*(E155-(VLOOKUP(F155,Budget!A:F,3,FALSE))))),VLOOKUP($D155,Budget!A:F,5,FALSE)*E155))</f>
        <v>0</v>
      </c>
      <c r="J155" s="87">
        <f t="shared" si="12"/>
        <v>36960</v>
      </c>
      <c r="K155" s="21"/>
      <c r="L155" s="74"/>
      <c r="M155" s="77" t="str">
        <f t="shared" si="13"/>
        <v>nein</v>
      </c>
      <c r="N155">
        <f t="shared" si="11"/>
        <v>2021</v>
      </c>
    </row>
    <row r="156" spans="1:14" ht="15" hidden="1" customHeight="1" x14ac:dyDescent="0.3">
      <c r="A156" s="104">
        <f t="shared" si="10"/>
        <v>22</v>
      </c>
      <c r="B156" s="22">
        <v>44347</v>
      </c>
      <c r="C156" s="10" t="s">
        <v>3</v>
      </c>
      <c r="D156" s="12" t="s">
        <v>69</v>
      </c>
      <c r="E156" s="13">
        <f>IF(VLOOKUP(D156,Budget!A:B,2,FALSE)&lt;&gt;0,IF(G156=0,24,24-G156),0)</f>
        <v>24</v>
      </c>
      <c r="F156" s="13"/>
      <c r="G156" s="13"/>
      <c r="H156" s="85">
        <f>IF(E156=0,0,IF(M156="ja",(VLOOKUP(D156,Budget!A:F,6,FALSE)*(E156-(VLOOKUP(D156,Budget!A:F,3,FALSE)))),VLOOKUP($D156,Budget!$A$1:$F$19,6,FALSE)*E156))</f>
        <v>38269.757143831848</v>
      </c>
      <c r="I156" s="85">
        <f>IF(F156=0,0,IF(M156="ja",((VLOOKUP(F156,Budget!A:F,6,FALSE)*(E156-(VLOOKUP(F156,Budget!A:F,3,FALSE))))),VLOOKUP($D156,Budget!A:F,5,FALSE)*E156))</f>
        <v>0</v>
      </c>
      <c r="J156" s="85">
        <f t="shared" si="12"/>
        <v>38269.757143831848</v>
      </c>
      <c r="K156" s="15"/>
      <c r="L156" s="72"/>
      <c r="M156" s="80" t="str">
        <f t="shared" si="13"/>
        <v>ja</v>
      </c>
      <c r="N156">
        <f t="shared" si="11"/>
        <v>2021</v>
      </c>
    </row>
    <row r="157" spans="1:14" ht="15" hidden="1" customHeight="1" x14ac:dyDescent="0.3">
      <c r="A157" s="105">
        <f t="shared" si="10"/>
        <v>22</v>
      </c>
      <c r="B157" s="22">
        <v>44348</v>
      </c>
      <c r="C157" s="11" t="s">
        <v>4</v>
      </c>
      <c r="D157" s="12" t="s">
        <v>69</v>
      </c>
      <c r="E157" s="13">
        <f>IF(VLOOKUP(D157,Budget!A:B,2,FALSE)&lt;&gt;0,IF(G157=0,24,24-G157),0)</f>
        <v>24</v>
      </c>
      <c r="G157" s="13"/>
      <c r="H157" s="85">
        <f>IF(E157=0,0,IF(M157="ja",(VLOOKUP(D157,Budget!A:F,6,FALSE)*(E157-(VLOOKUP(D157,Budget!A:F,3,FALSE)))),VLOOKUP($D157,Budget!$A$1:$F$19,6,FALSE)*E157))</f>
        <v>42919.35380616656</v>
      </c>
      <c r="I157" s="85">
        <f>IF(F157=0,0,IF(M157="ja",((VLOOKUP(F157,Budget!A:F,6,FALSE)*(E157-(VLOOKUP(F157,Budget!A:F,3,FALSE))))),VLOOKUP($D157,Budget!A:F,5,FALSE)*E157))</f>
        <v>0</v>
      </c>
      <c r="J157" s="85">
        <f t="shared" si="12"/>
        <v>42919.35380616656</v>
      </c>
      <c r="K157" s="14"/>
      <c r="L157" s="73"/>
      <c r="M157" s="80" t="str">
        <f t="shared" si="13"/>
        <v>nein</v>
      </c>
      <c r="N157">
        <f t="shared" si="11"/>
        <v>2021</v>
      </c>
    </row>
    <row r="158" spans="1:14" ht="15" hidden="1" customHeight="1" x14ac:dyDescent="0.3">
      <c r="A158" s="105">
        <f t="shared" si="10"/>
        <v>22</v>
      </c>
      <c r="B158" s="22">
        <v>44349</v>
      </c>
      <c r="C158" s="11" t="s">
        <v>5</v>
      </c>
      <c r="D158" s="12" t="s">
        <v>69</v>
      </c>
      <c r="E158" s="13">
        <f>IF(VLOOKUP(D158,Budget!A:B,2,FALSE)&lt;&gt;0,IF(G158=0,24,24-G158),0)</f>
        <v>24</v>
      </c>
      <c r="G158" s="13"/>
      <c r="H158" s="85">
        <f>IF(E158=0,0,IF(M158="ja",(VLOOKUP(D158,Budget!A:F,6,FALSE)*(E158-(VLOOKUP(D158,Budget!A:F,3,FALSE)))),VLOOKUP($D158,Budget!$A$1:$F$19,6,FALSE)*E158))</f>
        <v>42919.35380616656</v>
      </c>
      <c r="I158" s="85">
        <f>IF(F158=0,0,IF(M158="ja",((VLOOKUP(F158,Budget!A:F,6,FALSE)*(E158-(VLOOKUP(F158,Budget!A:F,3,FALSE))))),VLOOKUP($D158,Budget!A:F,5,FALSE)*E158))</f>
        <v>0</v>
      </c>
      <c r="J158" s="85">
        <f t="shared" si="12"/>
        <v>42919.35380616656</v>
      </c>
      <c r="K158" s="14"/>
      <c r="L158" s="73"/>
      <c r="M158" s="80" t="str">
        <f t="shared" si="13"/>
        <v>nein</v>
      </c>
      <c r="N158">
        <f t="shared" si="11"/>
        <v>2021</v>
      </c>
    </row>
    <row r="159" spans="1:14" ht="15" hidden="1" customHeight="1" x14ac:dyDescent="0.3">
      <c r="A159" s="103">
        <f t="shared" si="10"/>
        <v>22</v>
      </c>
      <c r="B159" s="22">
        <v>44350</v>
      </c>
      <c r="C159" s="11" t="s">
        <v>6</v>
      </c>
      <c r="D159" s="12" t="s">
        <v>69</v>
      </c>
      <c r="E159" s="13">
        <f>IF(VLOOKUP(D159,Budget!A:B,2,FALSE)&lt;&gt;0,IF(G159=0,24,24-G159),0)</f>
        <v>24</v>
      </c>
      <c r="G159" s="13"/>
      <c r="H159" s="85">
        <f>IF(E159=0,0,IF(M159="ja",(VLOOKUP(D159,Budget!A:F,6,FALSE)*(E159-(VLOOKUP(D159,Budget!A:F,3,FALSE)))),VLOOKUP($D159,Budget!$A$1:$F$19,6,FALSE)*E159))</f>
        <v>42919.35380616656</v>
      </c>
      <c r="I159" s="85">
        <f>IF(F159=0,0,IF(M159="ja",((VLOOKUP(F159,Budget!A:F,6,FALSE)*(E159-(VLOOKUP(F159,Budget!A:F,3,FALSE))))),VLOOKUP($D159,Budget!A:F,5,FALSE)*E159))</f>
        <v>0</v>
      </c>
      <c r="J159" s="85">
        <f t="shared" si="12"/>
        <v>42919.35380616656</v>
      </c>
      <c r="K159" s="14"/>
      <c r="L159" s="73"/>
      <c r="M159" s="80" t="str">
        <f t="shared" si="13"/>
        <v>nein</v>
      </c>
      <c r="N159">
        <f t="shared" si="11"/>
        <v>2021</v>
      </c>
    </row>
    <row r="160" spans="1:14" ht="15" hidden="1" customHeight="1" x14ac:dyDescent="0.3">
      <c r="A160" s="105">
        <f t="shared" si="10"/>
        <v>22</v>
      </c>
      <c r="B160" s="22">
        <v>44351</v>
      </c>
      <c r="C160" s="11" t="s">
        <v>7</v>
      </c>
      <c r="D160" s="12" t="s">
        <v>69</v>
      </c>
      <c r="E160" s="13">
        <f>IF(VLOOKUP(D160,Budget!A:B,2,FALSE)&lt;&gt;0,IF(G160=0,24,24-G160),0)</f>
        <v>24</v>
      </c>
      <c r="G160" s="13"/>
      <c r="H160" s="85">
        <f>IF(E160=0,0,IF(M160="ja",(VLOOKUP(D160,Budget!A:F,6,FALSE)*(E160-(VLOOKUP(D160,Budget!A:F,3,FALSE)))),VLOOKUP($D160,Budget!$A$1:$F$19,6,FALSE)*E160))</f>
        <v>42919.35380616656</v>
      </c>
      <c r="I160" s="85">
        <f>IF(F160=0,0,IF(M160="ja",((VLOOKUP(F160,Budget!A:F,6,FALSE)*(E160-(VLOOKUP(F160,Budget!A:F,3,FALSE))))),VLOOKUP($D160,Budget!A:F,5,FALSE)*E160))</f>
        <v>0</v>
      </c>
      <c r="J160" s="85">
        <f t="shared" si="12"/>
        <v>42919.35380616656</v>
      </c>
      <c r="K160" s="14"/>
      <c r="L160" s="25"/>
      <c r="M160" s="80" t="str">
        <f t="shared" si="13"/>
        <v>nein</v>
      </c>
      <c r="N160">
        <f t="shared" si="11"/>
        <v>2021</v>
      </c>
    </row>
    <row r="161" spans="1:14" ht="15" hidden="1" customHeight="1" x14ac:dyDescent="0.3">
      <c r="A161" s="105">
        <f t="shared" si="10"/>
        <v>22</v>
      </c>
      <c r="B161" s="22">
        <v>44352</v>
      </c>
      <c r="C161" s="16" t="s">
        <v>8</v>
      </c>
      <c r="D161" s="17" t="s">
        <v>69</v>
      </c>
      <c r="E161" s="24">
        <f>IF(VLOOKUP(D161,Budget!A:B,2,FALSE)&lt;&gt;0,IF(G161=0,24,24-G161),0)</f>
        <v>24</v>
      </c>
      <c r="F161" s="17"/>
      <c r="G161" s="17"/>
      <c r="H161" s="86">
        <f>IF(E161=0,0,IF(M161="ja",(VLOOKUP(D161,Budget!A:F,6,FALSE)*(E161-(VLOOKUP(D161,Budget!A:F,3,FALSE)))),VLOOKUP($D161,Budget!$A$1:$F$19,6,FALSE)*E161))</f>
        <v>42919.35380616656</v>
      </c>
      <c r="I161" s="86">
        <f>IF(F161=0,0,IF(M161="ja",((VLOOKUP(F161,Budget!A:F,6,FALSE)*(E161-(VLOOKUP(F161,Budget!A:F,3,FALSE))))),VLOOKUP($D161,Budget!A:F,5,FALSE)*E161))</f>
        <v>0</v>
      </c>
      <c r="J161" s="86">
        <f t="shared" si="12"/>
        <v>42919.35380616656</v>
      </c>
      <c r="K161" s="18"/>
      <c r="L161" s="75"/>
      <c r="M161" s="76" t="str">
        <f t="shared" si="13"/>
        <v>nein</v>
      </c>
      <c r="N161">
        <f t="shared" si="11"/>
        <v>2021</v>
      </c>
    </row>
    <row r="162" spans="1:14" ht="15.75" hidden="1" customHeight="1" thickBot="1" x14ac:dyDescent="0.35">
      <c r="A162" s="105">
        <f t="shared" si="10"/>
        <v>22</v>
      </c>
      <c r="B162" s="27">
        <v>44353</v>
      </c>
      <c r="C162" s="19" t="s">
        <v>9</v>
      </c>
      <c r="D162" s="20" t="s">
        <v>69</v>
      </c>
      <c r="E162" s="20">
        <f>IF(VLOOKUP(D162,Budget!A:B,2,FALSE)&lt;&gt;0,IF(G162=0,24,24-G162),0)</f>
        <v>24</v>
      </c>
      <c r="F162" s="20"/>
      <c r="G162" s="20"/>
      <c r="H162" s="93">
        <f>IF(E162=0,0,IF(M162="ja",(VLOOKUP(D162,Budget!A:F,6,FALSE)*(E162-(VLOOKUP(D162,Budget!A:F,3,FALSE)))),VLOOKUP($D162,Budget!$A$1:$F$19,6,FALSE)*E162))</f>
        <v>42919.35380616656</v>
      </c>
      <c r="I162" s="93">
        <f>IF(F162=0,0,IF(M162="ja",((VLOOKUP(F162,Budget!A:F,6,FALSE)*(E162-(VLOOKUP(F162,Budget!A:F,3,FALSE))))),VLOOKUP($D162,Budget!A:F,5,FALSE)*E162))</f>
        <v>0</v>
      </c>
      <c r="J162" s="87">
        <f t="shared" si="12"/>
        <v>42919.35380616656</v>
      </c>
      <c r="K162" s="21"/>
      <c r="L162" s="74"/>
      <c r="M162" s="77" t="str">
        <f t="shared" si="13"/>
        <v>nein</v>
      </c>
      <c r="N162">
        <f t="shared" si="11"/>
        <v>2021</v>
      </c>
    </row>
    <row r="163" spans="1:14" ht="15" hidden="1" customHeight="1" x14ac:dyDescent="0.3">
      <c r="A163" s="104">
        <f t="shared" si="10"/>
        <v>23</v>
      </c>
      <c r="B163" s="22">
        <v>44354</v>
      </c>
      <c r="C163" s="10" t="s">
        <v>3</v>
      </c>
      <c r="D163" s="12" t="s">
        <v>29</v>
      </c>
      <c r="E163" s="13">
        <f>IF(VLOOKUP(D163,Budget!A:B,2,FALSE)&lt;&gt;0,IF(G163=0,24,24-G163),0)</f>
        <v>0</v>
      </c>
      <c r="F163" s="13"/>
      <c r="G163" s="13"/>
      <c r="H163" s="85">
        <f>IF(E163=0,0,IF(M163="ja",(VLOOKUP(D163,Budget!A:F,6,FALSE)*(E163-(VLOOKUP(D163,Budget!A:F,3,FALSE)))),VLOOKUP($D163,Budget!$A$1:$F$19,6,FALSE)*E163))</f>
        <v>0</v>
      </c>
      <c r="I163" s="85">
        <f>IF(F163=0,0,IF(M163="ja",((VLOOKUP(F163,Budget!A:F,6,FALSE)*(E163-(VLOOKUP(F163,Budget!A:F,3,FALSE))))),VLOOKUP($D163,Budget!A:F,5,FALSE)*E163))</f>
        <v>0</v>
      </c>
      <c r="J163" s="85">
        <f t="shared" si="12"/>
        <v>0</v>
      </c>
      <c r="K163" s="15"/>
      <c r="L163" s="72"/>
      <c r="M163" s="80" t="str">
        <f t="shared" si="13"/>
        <v>nein</v>
      </c>
      <c r="N163">
        <f t="shared" si="11"/>
        <v>2021</v>
      </c>
    </row>
    <row r="164" spans="1:14" ht="15" hidden="1" customHeight="1" x14ac:dyDescent="0.3">
      <c r="A164" s="105">
        <f t="shared" si="10"/>
        <v>23</v>
      </c>
      <c r="B164" s="22">
        <v>44355</v>
      </c>
      <c r="C164" s="11" t="s">
        <v>4</v>
      </c>
      <c r="D164" s="12" t="s">
        <v>29</v>
      </c>
      <c r="E164" s="13">
        <f>IF(VLOOKUP(D164,Budget!A:B,2,FALSE)&lt;&gt;0,IF(G164=0,24,24-G164),0)</f>
        <v>0</v>
      </c>
      <c r="G164" s="13"/>
      <c r="H164" s="85">
        <f>IF(E164=0,0,IF(M164="ja",(VLOOKUP(D164,Budget!A:F,6,FALSE)*(E164-(VLOOKUP(D164,Budget!A:F,3,FALSE)))),VLOOKUP($D164,Budget!$A$1:$F$19,6,FALSE)*E164))</f>
        <v>0</v>
      </c>
      <c r="I164" s="85">
        <f>IF(F164=0,0,IF(M164="ja",((VLOOKUP(F164,Budget!A:F,6,FALSE)*(E164-(VLOOKUP(F164,Budget!A:F,3,FALSE))))),VLOOKUP($D164,Budget!A:F,5,FALSE)*E164))</f>
        <v>0</v>
      </c>
      <c r="J164" s="85">
        <f t="shared" si="12"/>
        <v>0</v>
      </c>
      <c r="K164" s="14"/>
      <c r="L164" s="73"/>
      <c r="M164" s="80" t="str">
        <f t="shared" si="13"/>
        <v>nein</v>
      </c>
      <c r="N164">
        <f t="shared" si="11"/>
        <v>2021</v>
      </c>
    </row>
    <row r="165" spans="1:14" ht="15" hidden="1" customHeight="1" x14ac:dyDescent="0.3">
      <c r="A165" s="105">
        <f t="shared" si="10"/>
        <v>23</v>
      </c>
      <c r="B165" s="22">
        <v>44356</v>
      </c>
      <c r="C165" s="11" t="s">
        <v>5</v>
      </c>
      <c r="D165" s="13" t="s">
        <v>29</v>
      </c>
      <c r="E165" s="13">
        <f>IF(VLOOKUP(D165,Budget!A:B,2,FALSE)&lt;&gt;0,IF(G165=0,24,24-G165),0)</f>
        <v>0</v>
      </c>
      <c r="G165" s="13"/>
      <c r="H165" s="85">
        <f>IF(E165=0,0,IF(M165="ja",(VLOOKUP(D165,Budget!A:F,6,FALSE)*(E165-(VLOOKUP(D165,Budget!A:F,3,FALSE)))),VLOOKUP($D165,Budget!$A$1:$F$19,6,FALSE)*E165))</f>
        <v>0</v>
      </c>
      <c r="I165" s="85">
        <f>IF(F165=0,0,IF(M165="ja",((VLOOKUP(F165,Budget!A:F,6,FALSE)*(E165-(VLOOKUP(F165,Budget!A:F,3,FALSE))))),VLOOKUP($D165,Budget!A:F,5,FALSE)*E165))</f>
        <v>0</v>
      </c>
      <c r="J165" s="85">
        <f t="shared" si="12"/>
        <v>0</v>
      </c>
      <c r="K165" s="14"/>
      <c r="L165" s="73"/>
      <c r="M165" s="80" t="str">
        <f t="shared" si="13"/>
        <v>nein</v>
      </c>
      <c r="N165">
        <f t="shared" si="11"/>
        <v>2021</v>
      </c>
    </row>
    <row r="166" spans="1:14" ht="15" hidden="1" customHeight="1" x14ac:dyDescent="0.3">
      <c r="A166" s="103">
        <f t="shared" si="10"/>
        <v>23</v>
      </c>
      <c r="B166" s="22">
        <v>44357</v>
      </c>
      <c r="C166" s="11" t="s">
        <v>6</v>
      </c>
      <c r="D166" s="13" t="s">
        <v>30</v>
      </c>
      <c r="E166" s="13">
        <f>IF(VLOOKUP(D166,Budget!A:B,2,FALSE)&lt;&gt;0,IF(G166=0,24,24-G166),0)</f>
        <v>0</v>
      </c>
      <c r="G166" s="13"/>
      <c r="H166" s="85">
        <f>IF(E166=0,0,IF(M166="ja",(VLOOKUP(D166,Budget!A:F,6,FALSE)*(E166-(VLOOKUP(D166,Budget!A:F,3,FALSE)))),VLOOKUP($D166,Budget!$A$1:$F$19,6,FALSE)*E166))</f>
        <v>0</v>
      </c>
      <c r="I166" s="85">
        <f>IF(F166=0,0,IF(M166="ja",((VLOOKUP(F166,Budget!A:F,6,FALSE)*(E166-(VLOOKUP(F166,Budget!A:F,3,FALSE))))),VLOOKUP($D166,Budget!A:F,5,FALSE)*E166))</f>
        <v>0</v>
      </c>
      <c r="J166" s="85">
        <f t="shared" si="12"/>
        <v>0</v>
      </c>
      <c r="K166" s="14"/>
      <c r="L166" s="73"/>
      <c r="M166" s="80" t="str">
        <f t="shared" si="13"/>
        <v>nein</v>
      </c>
      <c r="N166">
        <f t="shared" si="11"/>
        <v>2021</v>
      </c>
    </row>
    <row r="167" spans="1:14" ht="15" hidden="1" customHeight="1" x14ac:dyDescent="0.3">
      <c r="A167" s="105">
        <f t="shared" si="10"/>
        <v>23</v>
      </c>
      <c r="B167" s="22">
        <v>44358</v>
      </c>
      <c r="C167" s="11" t="s">
        <v>7</v>
      </c>
      <c r="D167" s="13" t="s">
        <v>10</v>
      </c>
      <c r="E167" s="13">
        <f>IF(VLOOKUP(D167,Budget!A:B,2,FALSE)&lt;&gt;0,IF(G167=0,24,24-G167),0)</f>
        <v>24</v>
      </c>
      <c r="G167" s="13"/>
      <c r="H167" s="85">
        <f>IF(E167=0,0,IF(M167="ja",(VLOOKUP(D167,Budget!A:F,6,FALSE)*(E167-(VLOOKUP(D167,Budget!A:F,3,FALSE)))),VLOOKUP($D167,Budget!$A$1:$F$19,6,FALSE)*E167))</f>
        <v>9843.7955001031441</v>
      </c>
      <c r="I167" s="85">
        <f>IF(F167=0,0,IF(M167="ja",((VLOOKUP(F167,Budget!A:F,6,FALSE)*(E167-(VLOOKUP(F167,Budget!A:F,3,FALSE))))),VLOOKUP($D167,Budget!A:F,5,FALSE)*E167))</f>
        <v>0</v>
      </c>
      <c r="J167" s="85">
        <f t="shared" si="12"/>
        <v>9843.7955001031441</v>
      </c>
      <c r="K167" s="14"/>
      <c r="L167" s="25"/>
      <c r="M167" s="80" t="str">
        <f t="shared" si="13"/>
        <v>ja</v>
      </c>
      <c r="N167">
        <f t="shared" si="11"/>
        <v>2021</v>
      </c>
    </row>
    <row r="168" spans="1:14" ht="15" hidden="1" customHeight="1" x14ac:dyDescent="0.3">
      <c r="A168" s="105">
        <f t="shared" si="10"/>
        <v>23</v>
      </c>
      <c r="B168" s="22">
        <v>44359</v>
      </c>
      <c r="C168" s="16" t="s">
        <v>8</v>
      </c>
      <c r="D168" s="17" t="s">
        <v>10</v>
      </c>
      <c r="E168" s="24">
        <f>IF(VLOOKUP(D168,Budget!A:B,2,FALSE)&lt;&gt;0,IF(G168=0,24,24-G168),0)</f>
        <v>24</v>
      </c>
      <c r="F168" s="17"/>
      <c r="G168" s="17"/>
      <c r="H168" s="86">
        <f>IF(E168=0,0,IF(M168="ja",(VLOOKUP(D168,Budget!A:F,6,FALSE)*(E168-(VLOOKUP(D168,Budget!A:F,3,FALSE)))),VLOOKUP($D168,Budget!$A$1:$F$19,6,FALSE)*E168))</f>
        <v>11812.554600123773</v>
      </c>
      <c r="I168" s="86">
        <f>IF(F168=0,0,IF(M168="ja",((VLOOKUP(F168,Budget!A:F,6,FALSE)*(E168-(VLOOKUP(F168,Budget!A:F,3,FALSE))))),VLOOKUP($D168,Budget!A:F,5,FALSE)*E168))</f>
        <v>0</v>
      </c>
      <c r="J168" s="86">
        <f t="shared" si="12"/>
        <v>11812.554600123773</v>
      </c>
      <c r="K168" s="18"/>
      <c r="L168" s="75"/>
      <c r="M168" s="76" t="str">
        <f t="shared" si="13"/>
        <v>nein</v>
      </c>
      <c r="N168">
        <f t="shared" si="11"/>
        <v>2021</v>
      </c>
    </row>
    <row r="169" spans="1:14" ht="15.75" hidden="1" customHeight="1" thickBot="1" x14ac:dyDescent="0.35">
      <c r="A169" s="105">
        <f t="shared" si="10"/>
        <v>23</v>
      </c>
      <c r="B169" s="27">
        <v>44360</v>
      </c>
      <c r="C169" s="19" t="s">
        <v>9</v>
      </c>
      <c r="D169" s="20" t="s">
        <v>10</v>
      </c>
      <c r="E169" s="20">
        <f>IF(VLOOKUP(D169,Budget!A:B,2,FALSE)&lt;&gt;0,IF(G169=0,24,24-G169),0)</f>
        <v>24</v>
      </c>
      <c r="F169" s="20"/>
      <c r="G169" s="20"/>
      <c r="H169" s="93">
        <f>IF(E169=0,0,IF(M169="ja",(VLOOKUP(D169,Budget!A:F,6,FALSE)*(E169-(VLOOKUP(D169,Budget!A:F,3,FALSE)))),VLOOKUP($D169,Budget!$A$1:$F$19,6,FALSE)*E169))</f>
        <v>11812.554600123773</v>
      </c>
      <c r="I169" s="93">
        <f>IF(F169=0,0,IF(M169="ja",((VLOOKUP(F169,Budget!A:F,6,FALSE)*(E169-(VLOOKUP(F169,Budget!A:F,3,FALSE))))),VLOOKUP($D169,Budget!A:F,5,FALSE)*E169))</f>
        <v>0</v>
      </c>
      <c r="J169" s="87">
        <f t="shared" si="12"/>
        <v>11812.554600123773</v>
      </c>
      <c r="K169" s="21"/>
      <c r="L169" s="74"/>
      <c r="M169" s="77" t="str">
        <f t="shared" si="13"/>
        <v>nein</v>
      </c>
      <c r="N169">
        <f t="shared" si="11"/>
        <v>2021</v>
      </c>
    </row>
    <row r="170" spans="1:14" ht="15" hidden="1" customHeight="1" x14ac:dyDescent="0.3">
      <c r="A170" s="104">
        <f t="shared" si="10"/>
        <v>24</v>
      </c>
      <c r="B170" s="22">
        <v>44361</v>
      </c>
      <c r="C170" s="10" t="s">
        <v>3</v>
      </c>
      <c r="D170" s="12" t="s">
        <v>18</v>
      </c>
      <c r="E170" s="13">
        <f>IF(VLOOKUP(D170,Budget!A:B,2,FALSE)&lt;&gt;0,IF(G170=0,24,24-G170),0)</f>
        <v>24</v>
      </c>
      <c r="F170" s="13"/>
      <c r="G170" s="13"/>
      <c r="H170" s="85">
        <f>IF(E170=0,0,IF(M170="ja",(VLOOKUP(D170,Budget!A:F,6,FALSE)*(E170-(VLOOKUP(D170,Budget!A:F,3,FALSE)))),VLOOKUP($D170,Budget!$A$1:$F$19,6,FALSE)*E170))</f>
        <v>25200</v>
      </c>
      <c r="I170" s="85">
        <f>IF(F170=0,0,IF(M170="ja",((VLOOKUP(F170,Budget!A:F,6,FALSE)*(E170-(VLOOKUP(F170,Budget!A:F,3,FALSE))))),VLOOKUP($D170,Budget!A:F,5,FALSE)*E170))</f>
        <v>0</v>
      </c>
      <c r="J170" s="85">
        <f t="shared" si="12"/>
        <v>25200</v>
      </c>
      <c r="K170" s="15"/>
      <c r="L170" s="72"/>
      <c r="M170" s="80" t="str">
        <f t="shared" si="13"/>
        <v>ja</v>
      </c>
      <c r="N170">
        <f t="shared" si="11"/>
        <v>2021</v>
      </c>
    </row>
    <row r="171" spans="1:14" ht="15" hidden="1" customHeight="1" x14ac:dyDescent="0.3">
      <c r="A171" s="105">
        <f t="shared" si="10"/>
        <v>24</v>
      </c>
      <c r="B171" s="22">
        <v>44362</v>
      </c>
      <c r="C171" s="11" t="s">
        <v>4</v>
      </c>
      <c r="D171" s="13" t="s">
        <v>30</v>
      </c>
      <c r="E171" s="13">
        <f>IF(VLOOKUP(D171,Budget!A:B,2,FALSE)&lt;&gt;0,IF(G171=0,24,24-G171),0)</f>
        <v>0</v>
      </c>
      <c r="G171" s="13"/>
      <c r="H171" s="85">
        <f>IF(E171=0,0,IF(M171="ja",(VLOOKUP(D171,Budget!A:F,6,FALSE)*(E171-(VLOOKUP(D171,Budget!A:F,3,FALSE)))),VLOOKUP($D171,Budget!$A$1:$F$19,6,FALSE)*E171))</f>
        <v>0</v>
      </c>
      <c r="I171" s="85">
        <f>IF(F171=0,0,IF(M171="ja",((VLOOKUP(F171,Budget!A:F,6,FALSE)*(E171-(VLOOKUP(F171,Budget!A:F,3,FALSE))))),VLOOKUP($D171,Budget!A:F,5,FALSE)*E171))</f>
        <v>0</v>
      </c>
      <c r="J171" s="85">
        <f t="shared" si="12"/>
        <v>0</v>
      </c>
      <c r="K171" s="14"/>
      <c r="L171" s="73" t="s">
        <v>74</v>
      </c>
      <c r="M171" s="80" t="str">
        <f t="shared" si="13"/>
        <v>nein</v>
      </c>
      <c r="N171">
        <f t="shared" si="11"/>
        <v>2021</v>
      </c>
    </row>
    <row r="172" spans="1:14" ht="15" hidden="1" customHeight="1" x14ac:dyDescent="0.3">
      <c r="A172" s="105">
        <f t="shared" si="10"/>
        <v>24</v>
      </c>
      <c r="B172" s="22">
        <v>44363</v>
      </c>
      <c r="C172" s="11" t="s">
        <v>5</v>
      </c>
      <c r="D172" s="13" t="s">
        <v>69</v>
      </c>
      <c r="E172" s="13">
        <f>IF(VLOOKUP(D172,Budget!A:B,2,FALSE)&lt;&gt;0,IF(G172=0,24,24-G172),0)</f>
        <v>24</v>
      </c>
      <c r="G172" s="13"/>
      <c r="H172" s="85">
        <f>IF(E172=0,0,IF(M172="ja",(VLOOKUP(D172,Budget!A:F,6,FALSE)*(E172-(VLOOKUP(D172,Budget!A:F,3,FALSE)))),VLOOKUP($D172,Budget!$A$1:$F$19,6,FALSE)*E172))</f>
        <v>38269.757143831848</v>
      </c>
      <c r="I172" s="85">
        <f>IF(F172=0,0,IF(M172="ja",((VLOOKUP(F172,Budget!A:F,6,FALSE)*(E172-(VLOOKUP(F172,Budget!A:F,3,FALSE))))),VLOOKUP($D172,Budget!A:F,5,FALSE)*E172))</f>
        <v>0</v>
      </c>
      <c r="J172" s="85">
        <f t="shared" si="12"/>
        <v>38269.757143831848</v>
      </c>
      <c r="K172" s="14"/>
      <c r="L172" s="73"/>
      <c r="M172" s="80" t="str">
        <f t="shared" si="13"/>
        <v>ja</v>
      </c>
      <c r="N172">
        <f t="shared" si="11"/>
        <v>2021</v>
      </c>
    </row>
    <row r="173" spans="1:14" ht="15" hidden="1" customHeight="1" x14ac:dyDescent="0.3">
      <c r="A173" s="103">
        <f t="shared" si="10"/>
        <v>24</v>
      </c>
      <c r="B173" s="22">
        <v>44364</v>
      </c>
      <c r="C173" s="11" t="s">
        <v>6</v>
      </c>
      <c r="D173" s="13" t="s">
        <v>69</v>
      </c>
      <c r="E173" s="13">
        <f>IF(VLOOKUP(D173,Budget!A:B,2,FALSE)&lt;&gt;0,IF(G173=0,24,24-G173),0)</f>
        <v>24</v>
      </c>
      <c r="G173" s="13"/>
      <c r="H173" s="85">
        <f>IF(E173=0,0,IF(M173="ja",(VLOOKUP(D173,Budget!A:F,6,FALSE)*(E173-(VLOOKUP(D173,Budget!A:F,3,FALSE)))),VLOOKUP($D173,Budget!$A$1:$F$19,6,FALSE)*E173))</f>
        <v>42919.35380616656</v>
      </c>
      <c r="I173" s="85">
        <f>IF(F173=0,0,IF(M173="ja",((VLOOKUP(F173,Budget!A:F,6,FALSE)*(E173-(VLOOKUP(F173,Budget!A:F,3,FALSE))))),VLOOKUP($D173,Budget!A:F,5,FALSE)*E173))</f>
        <v>0</v>
      </c>
      <c r="J173" s="85">
        <f t="shared" si="12"/>
        <v>42919.35380616656</v>
      </c>
      <c r="K173" s="14"/>
      <c r="L173" s="73"/>
      <c r="M173" s="80" t="str">
        <f t="shared" si="13"/>
        <v>nein</v>
      </c>
      <c r="N173">
        <f t="shared" si="11"/>
        <v>2021</v>
      </c>
    </row>
    <row r="174" spans="1:14" ht="15" hidden="1" customHeight="1" x14ac:dyDescent="0.3">
      <c r="A174" s="105">
        <f t="shared" si="10"/>
        <v>24</v>
      </c>
      <c r="B174" s="22">
        <v>44365</v>
      </c>
      <c r="C174" s="11" t="s">
        <v>7</v>
      </c>
      <c r="D174" s="12" t="s">
        <v>69</v>
      </c>
      <c r="E174" s="13">
        <f>IF(VLOOKUP(D174,Budget!A:B,2,FALSE)&lt;&gt;0,IF(G174=0,24,24-G174),0)</f>
        <v>24</v>
      </c>
      <c r="G174" s="13"/>
      <c r="H174" s="85">
        <f>IF(E174=0,0,IF(M174="ja",(VLOOKUP(D174,Budget!A:F,6,FALSE)*(E174-(VLOOKUP(D174,Budget!A:F,3,FALSE)))),VLOOKUP($D174,Budget!$A$1:$F$19,6,FALSE)*E174))</f>
        <v>42919.35380616656</v>
      </c>
      <c r="I174" s="85">
        <f>IF(F174=0,0,IF(M174="ja",((VLOOKUP(F174,Budget!A:F,6,FALSE)*(E174-(VLOOKUP(F174,Budget!A:F,3,FALSE))))),VLOOKUP($D174,Budget!A:F,5,FALSE)*E174))</f>
        <v>0</v>
      </c>
      <c r="J174" s="85">
        <f t="shared" si="12"/>
        <v>42919.35380616656</v>
      </c>
      <c r="K174" s="14"/>
      <c r="L174" s="25"/>
      <c r="M174" s="80" t="str">
        <f t="shared" si="13"/>
        <v>nein</v>
      </c>
      <c r="N174">
        <f t="shared" si="11"/>
        <v>2021</v>
      </c>
    </row>
    <row r="175" spans="1:14" ht="15" hidden="1" customHeight="1" x14ac:dyDescent="0.3">
      <c r="A175" s="105">
        <f t="shared" si="10"/>
        <v>24</v>
      </c>
      <c r="B175" s="22">
        <v>44366</v>
      </c>
      <c r="C175" s="16" t="s">
        <v>8</v>
      </c>
      <c r="D175" s="17" t="s">
        <v>69</v>
      </c>
      <c r="E175" s="24">
        <f>IF(VLOOKUP(D175,Budget!A:B,2,FALSE)&lt;&gt;0,IF(G175=0,24,24-G175),0)</f>
        <v>24</v>
      </c>
      <c r="F175" s="17"/>
      <c r="G175" s="17"/>
      <c r="H175" s="86">
        <f>IF(E175=0,0,IF(M175="ja",(VLOOKUP(D175,Budget!A:F,6,FALSE)*(E175-(VLOOKUP(D175,Budget!A:F,3,FALSE)))),VLOOKUP($D175,Budget!$A$1:$F$19,6,FALSE)*E175))</f>
        <v>42919.35380616656</v>
      </c>
      <c r="I175" s="86">
        <f>IF(F175=0,0,IF(M175="ja",((VLOOKUP(F175,Budget!A:F,6,FALSE)*(E175-(VLOOKUP(F175,Budget!A:F,3,FALSE))))),VLOOKUP($D175,Budget!A:F,5,FALSE)*E175))</f>
        <v>0</v>
      </c>
      <c r="J175" s="86">
        <f t="shared" si="12"/>
        <v>42919.35380616656</v>
      </c>
      <c r="K175" s="18"/>
      <c r="L175" s="75"/>
      <c r="M175" s="76" t="str">
        <f t="shared" si="13"/>
        <v>nein</v>
      </c>
      <c r="N175">
        <f t="shared" si="11"/>
        <v>2021</v>
      </c>
    </row>
    <row r="176" spans="1:14" ht="15.75" hidden="1" customHeight="1" thickBot="1" x14ac:dyDescent="0.35">
      <c r="A176" s="105">
        <f t="shared" si="10"/>
        <v>24</v>
      </c>
      <c r="B176" s="27">
        <v>44367</v>
      </c>
      <c r="C176" s="19" t="s">
        <v>9</v>
      </c>
      <c r="D176" s="20" t="s">
        <v>18</v>
      </c>
      <c r="E176" s="20">
        <f>IF(VLOOKUP(D176,Budget!A:B,2,FALSE)&lt;&gt;0,IF(G176=0,24,24-G176),0)</f>
        <v>24</v>
      </c>
      <c r="F176" s="20"/>
      <c r="G176" s="20"/>
      <c r="H176" s="93">
        <f>IF(E176=0,0,IF(M176="ja",(VLOOKUP(D176,Budget!A:F,6,FALSE)*(E176-(VLOOKUP(D176,Budget!A:F,3,FALSE)))),VLOOKUP($D176,Budget!$A$1:$F$19,6,FALSE)*E176))</f>
        <v>25200</v>
      </c>
      <c r="I176" s="93">
        <f>IF(F176=0,0,IF(M176="ja",((VLOOKUP(F176,Budget!A:F,6,FALSE)*(E176-(VLOOKUP(F176,Budget!A:F,3,FALSE))))),VLOOKUP($D176,Budget!A:F,5,FALSE)*E176))</f>
        <v>0</v>
      </c>
      <c r="J176" s="87">
        <f t="shared" si="12"/>
        <v>25200</v>
      </c>
      <c r="K176" s="21"/>
      <c r="L176" s="74"/>
      <c r="M176" s="77" t="str">
        <f t="shared" si="13"/>
        <v>ja</v>
      </c>
      <c r="N176">
        <f t="shared" si="11"/>
        <v>2021</v>
      </c>
    </row>
    <row r="177" spans="1:14" ht="15" hidden="1" customHeight="1" x14ac:dyDescent="0.3">
      <c r="A177" s="104">
        <f t="shared" si="10"/>
        <v>25</v>
      </c>
      <c r="B177" s="22">
        <v>44368</v>
      </c>
      <c r="C177" s="10" t="s">
        <v>3</v>
      </c>
      <c r="D177" s="13" t="s">
        <v>12</v>
      </c>
      <c r="E177" s="13">
        <f>IF(VLOOKUP(D177,Budget!A:B,2,FALSE)&lt;&gt;0,IF(G177=0,24,24-G177),0)</f>
        <v>24</v>
      </c>
      <c r="F177" s="13"/>
      <c r="G177" s="13"/>
      <c r="H177" s="85">
        <f>IF(E177=0,0,IF(M177="ja",(VLOOKUP(D177,Budget!A:F,6,FALSE)*(E177-(VLOOKUP(D177,Budget!A:F,3,FALSE)))),VLOOKUP($D177,Budget!$A$1:$F$19,6,FALSE)*E177))</f>
        <v>27720</v>
      </c>
      <c r="I177" s="85">
        <f>IF(F177=0,0,IF(M177="ja",((VLOOKUP(F177,Budget!A:F,6,FALSE)*(E177-(VLOOKUP(F177,Budget!A:F,3,FALSE))))),VLOOKUP($D177,Budget!A:F,5,FALSE)*E177))</f>
        <v>0</v>
      </c>
      <c r="J177" s="85">
        <f t="shared" si="12"/>
        <v>27720</v>
      </c>
      <c r="K177" s="15"/>
      <c r="L177" s="72"/>
      <c r="M177" s="80" t="str">
        <f t="shared" si="13"/>
        <v>ja</v>
      </c>
      <c r="N177">
        <f t="shared" si="11"/>
        <v>2021</v>
      </c>
    </row>
    <row r="178" spans="1:14" ht="15" hidden="1" customHeight="1" x14ac:dyDescent="0.3">
      <c r="A178" s="105">
        <f t="shared" si="10"/>
        <v>25</v>
      </c>
      <c r="B178" s="22">
        <v>44369</v>
      </c>
      <c r="C178" s="11" t="s">
        <v>4</v>
      </c>
      <c r="D178" s="12" t="s">
        <v>12</v>
      </c>
      <c r="E178" s="13">
        <f>IF(VLOOKUP(D178,Budget!A:B,2,FALSE)&lt;&gt;0,IF(G178=0,24,24-G178),0)</f>
        <v>24</v>
      </c>
      <c r="G178" s="13"/>
      <c r="H178" s="85">
        <f>IF(E178=0,0,IF(M178="ja",(VLOOKUP(D178,Budget!A:F,6,FALSE)*(E178-(VLOOKUP(D178,Budget!A:F,3,FALSE)))),VLOOKUP($D178,Budget!$A$1:$F$19,6,FALSE)*E178))</f>
        <v>36960</v>
      </c>
      <c r="I178" s="85">
        <f>IF(F178=0,0,IF(M178="ja",((VLOOKUP(F178,Budget!A:F,6,FALSE)*(E178-(VLOOKUP(F178,Budget!A:F,3,FALSE))))),VLOOKUP($D178,Budget!A:F,5,FALSE)*E178))</f>
        <v>0</v>
      </c>
      <c r="J178" s="85">
        <f t="shared" si="12"/>
        <v>36960</v>
      </c>
      <c r="K178" s="14"/>
      <c r="L178" s="73"/>
      <c r="M178" s="80" t="str">
        <f t="shared" si="13"/>
        <v>nein</v>
      </c>
      <c r="N178">
        <f t="shared" si="11"/>
        <v>2021</v>
      </c>
    </row>
    <row r="179" spans="1:14" ht="15" hidden="1" customHeight="1" x14ac:dyDescent="0.3">
      <c r="A179" s="105">
        <f t="shared" si="10"/>
        <v>25</v>
      </c>
      <c r="B179" s="22">
        <v>44370</v>
      </c>
      <c r="C179" s="11" t="s">
        <v>5</v>
      </c>
      <c r="D179" s="12" t="s">
        <v>13</v>
      </c>
      <c r="E179" s="13">
        <f>IF(VLOOKUP(D179,Budget!A:B,2,FALSE)&lt;&gt;0,IF(G179=0,24,24-G179),0)</f>
        <v>0</v>
      </c>
      <c r="G179" s="13"/>
      <c r="H179" s="85">
        <f>IF(E179=0,0,IF(M179="ja",(VLOOKUP(D179,Budget!A:F,6,FALSE)*(E179-(VLOOKUP(D179,Budget!A:F,3,FALSE)))),VLOOKUP($D179,Budget!$A$1:$F$19,6,FALSE)*E179))</f>
        <v>0</v>
      </c>
      <c r="I179" s="85">
        <f>IF(F179=0,0,IF(M179="ja",((VLOOKUP(F179,Budget!A:F,6,FALSE)*(E179-(VLOOKUP(F179,Budget!A:F,3,FALSE))))),VLOOKUP($D179,Budget!A:F,5,FALSE)*E179))</f>
        <v>0</v>
      </c>
      <c r="J179" s="85">
        <f t="shared" si="12"/>
        <v>0</v>
      </c>
      <c r="K179" s="14"/>
      <c r="L179" s="73"/>
      <c r="M179" s="80" t="str">
        <f t="shared" si="13"/>
        <v>nein</v>
      </c>
      <c r="N179">
        <f t="shared" si="11"/>
        <v>2021</v>
      </c>
    </row>
    <row r="180" spans="1:14" ht="15" hidden="1" customHeight="1" x14ac:dyDescent="0.3">
      <c r="A180" s="103">
        <f t="shared" si="10"/>
        <v>25</v>
      </c>
      <c r="B180" s="22">
        <v>44371</v>
      </c>
      <c r="C180" s="11" t="s">
        <v>6</v>
      </c>
      <c r="D180" s="12" t="s">
        <v>12</v>
      </c>
      <c r="E180" s="13">
        <f>IF(VLOOKUP(D180,Budget!A:B,2,FALSE)&lt;&gt;0,IF(G180=0,24,24-G180),0)</f>
        <v>24</v>
      </c>
      <c r="G180" s="13"/>
      <c r="H180" s="85">
        <f>IF(E180=0,0,IF(M180="ja",(VLOOKUP(D180,Budget!A:F,6,FALSE)*(E180-(VLOOKUP(D180,Budget!A:F,3,FALSE)))),VLOOKUP($D180,Budget!$A$1:$F$19,6,FALSE)*E180))</f>
        <v>27720</v>
      </c>
      <c r="I180" s="85">
        <f>IF(F180=0,0,IF(M180="ja",((VLOOKUP(F180,Budget!A:F,6,FALSE)*(E180-(VLOOKUP(F180,Budget!A:F,3,FALSE))))),VLOOKUP($D180,Budget!A:F,5,FALSE)*E180))</f>
        <v>0</v>
      </c>
      <c r="J180" s="85">
        <f t="shared" si="12"/>
        <v>27720</v>
      </c>
      <c r="K180" s="14"/>
      <c r="L180" s="73"/>
      <c r="M180" s="80" t="str">
        <f t="shared" si="13"/>
        <v>ja</v>
      </c>
      <c r="N180">
        <f t="shared" si="11"/>
        <v>2021</v>
      </c>
    </row>
    <row r="181" spans="1:14" ht="15" hidden="1" customHeight="1" x14ac:dyDescent="0.3">
      <c r="A181" s="105">
        <f t="shared" si="10"/>
        <v>25</v>
      </c>
      <c r="B181" s="22">
        <v>44372</v>
      </c>
      <c r="C181" s="11" t="s">
        <v>7</v>
      </c>
      <c r="D181" s="12" t="s">
        <v>11</v>
      </c>
      <c r="E181" s="13">
        <f>IF(VLOOKUP(D181,Budget!A:B,2,FALSE)&lt;&gt;0,IF(G181=0,24,24-G181),0)</f>
        <v>24</v>
      </c>
      <c r="G181" s="13"/>
      <c r="H181" s="85">
        <f>IF(E181=0,0,IF(M181="ja",(VLOOKUP(D181,Budget!A:F,6,FALSE)*(E181-(VLOOKUP(D181,Budget!A:F,3,FALSE)))),VLOOKUP($D181,Budget!$A$1:$F$19,6,FALSE)*E181))</f>
        <v>30030</v>
      </c>
      <c r="I181" s="85">
        <f>IF(F181=0,0,IF(M181="ja",((VLOOKUP(F181,Budget!A:F,6,FALSE)*(E181-(VLOOKUP(F181,Budget!A:F,3,FALSE))))),VLOOKUP($D181,Budget!A:F,5,FALSE)*E181))</f>
        <v>0</v>
      </c>
      <c r="J181" s="85">
        <f t="shared" si="12"/>
        <v>30030</v>
      </c>
      <c r="K181" s="14"/>
      <c r="L181" s="25"/>
      <c r="M181" s="80" t="str">
        <f t="shared" si="13"/>
        <v>ja</v>
      </c>
      <c r="N181">
        <f t="shared" si="11"/>
        <v>2021</v>
      </c>
    </row>
    <row r="182" spans="1:14" ht="15" hidden="1" customHeight="1" x14ac:dyDescent="0.3">
      <c r="A182" s="105">
        <f t="shared" si="10"/>
        <v>25</v>
      </c>
      <c r="B182" s="22">
        <v>44373</v>
      </c>
      <c r="C182" s="16" t="s">
        <v>8</v>
      </c>
      <c r="D182" s="17" t="s">
        <v>11</v>
      </c>
      <c r="E182" s="24">
        <f>IF(VLOOKUP(D182,Budget!A:B,2,FALSE)&lt;&gt;0,IF(G182=0,24,24-G182),0)</f>
        <v>24</v>
      </c>
      <c r="F182" s="17"/>
      <c r="G182" s="17"/>
      <c r="H182" s="86">
        <f>IF(E182=0,0,IF(M182="ja",(VLOOKUP(D182,Budget!A:F,6,FALSE)*(E182-(VLOOKUP(D182,Budget!A:F,3,FALSE)))),VLOOKUP($D182,Budget!$A$1:$F$19,6,FALSE)*E182))</f>
        <v>36960</v>
      </c>
      <c r="I182" s="86">
        <f>IF(F182=0,0,IF(M182="ja",((VLOOKUP(F182,Budget!A:F,6,FALSE)*(E182-(VLOOKUP(F182,Budget!A:F,3,FALSE))))),VLOOKUP($D182,Budget!A:F,5,FALSE)*E182))</f>
        <v>0</v>
      </c>
      <c r="J182" s="86">
        <f t="shared" si="12"/>
        <v>36960</v>
      </c>
      <c r="K182" s="18"/>
      <c r="L182" s="75"/>
      <c r="M182" s="76" t="str">
        <f t="shared" si="13"/>
        <v>nein</v>
      </c>
      <c r="N182">
        <f t="shared" si="11"/>
        <v>2021</v>
      </c>
    </row>
    <row r="183" spans="1:14" ht="15.75" hidden="1" customHeight="1" thickBot="1" x14ac:dyDescent="0.35">
      <c r="A183" s="105">
        <f t="shared" si="10"/>
        <v>25</v>
      </c>
      <c r="B183" s="27">
        <v>44374</v>
      </c>
      <c r="C183" s="19" t="s">
        <v>9</v>
      </c>
      <c r="D183" s="20" t="s">
        <v>11</v>
      </c>
      <c r="E183" s="20">
        <f>IF(VLOOKUP(D183,Budget!A:B,2,FALSE)&lt;&gt;0,IF(G183=0,24,24-G183),0)</f>
        <v>24</v>
      </c>
      <c r="F183" s="20"/>
      <c r="G183" s="20"/>
      <c r="H183" s="93">
        <f>IF(E183=0,0,IF(M183="ja",(VLOOKUP(D183,Budget!A:F,6,FALSE)*(E183-(VLOOKUP(D183,Budget!A:F,3,FALSE)))),VLOOKUP($D183,Budget!$A$1:$F$19,6,FALSE)*E183))</f>
        <v>36960</v>
      </c>
      <c r="I183" s="93">
        <f>IF(F183=0,0,IF(M183="ja",((VLOOKUP(F183,Budget!A:F,6,FALSE)*(E183-(VLOOKUP(F183,Budget!A:F,3,FALSE))))),VLOOKUP($D183,Budget!A:F,5,FALSE)*E183))</f>
        <v>0</v>
      </c>
      <c r="J183" s="87">
        <f t="shared" si="12"/>
        <v>36960</v>
      </c>
      <c r="K183" s="21"/>
      <c r="L183" s="74"/>
      <c r="M183" s="77" t="str">
        <f t="shared" si="13"/>
        <v>nein</v>
      </c>
      <c r="N183">
        <f t="shared" si="11"/>
        <v>2021</v>
      </c>
    </row>
    <row r="184" spans="1:14" ht="15" hidden="1" customHeight="1" x14ac:dyDescent="0.3">
      <c r="A184" s="104">
        <f t="shared" si="10"/>
        <v>26</v>
      </c>
      <c r="B184" s="22">
        <v>44375</v>
      </c>
      <c r="C184" s="10" t="s">
        <v>3</v>
      </c>
      <c r="D184" s="12" t="s">
        <v>11</v>
      </c>
      <c r="E184" s="13">
        <f>IF(VLOOKUP(D184,Budget!A:B,2,FALSE)&lt;&gt;0,IF(G184=0,24,24-G184),0)</f>
        <v>24</v>
      </c>
      <c r="F184" s="13"/>
      <c r="G184" s="13"/>
      <c r="H184" s="85">
        <f>IF(E184=0,0,IF(M184="ja",(VLOOKUP(D184,Budget!A:F,6,FALSE)*(E184-(VLOOKUP(D184,Budget!A:F,3,FALSE)))),VLOOKUP($D184,Budget!$A$1:$F$19,6,FALSE)*E184))</f>
        <v>36960</v>
      </c>
      <c r="I184" s="85">
        <f>IF(F184=0,0,IF(M184="ja",((VLOOKUP(F184,Budget!A:F,6,FALSE)*(E184-(VLOOKUP(F184,Budget!A:F,3,FALSE))))),VLOOKUP($D184,Budget!A:F,5,FALSE)*E184))</f>
        <v>0</v>
      </c>
      <c r="J184" s="85">
        <f t="shared" si="12"/>
        <v>36960</v>
      </c>
      <c r="K184" s="15"/>
      <c r="L184" s="72"/>
      <c r="M184" s="80" t="str">
        <f t="shared" si="13"/>
        <v>nein</v>
      </c>
      <c r="N184">
        <f t="shared" si="11"/>
        <v>2021</v>
      </c>
    </row>
    <row r="185" spans="1:14" ht="15" hidden="1" customHeight="1" x14ac:dyDescent="0.3">
      <c r="A185" s="105">
        <f t="shared" si="10"/>
        <v>26</v>
      </c>
      <c r="B185" s="22">
        <v>44376</v>
      </c>
      <c r="C185" s="11" t="s">
        <v>4</v>
      </c>
      <c r="D185" s="12" t="s">
        <v>11</v>
      </c>
      <c r="E185" s="13">
        <f>IF(VLOOKUP(D185,Budget!A:B,2,FALSE)&lt;&gt;0,IF(G185=0,24,24-G185),0)</f>
        <v>24</v>
      </c>
      <c r="G185" s="13"/>
      <c r="H185" s="85">
        <f>IF(E185=0,0,IF(M185="ja",(VLOOKUP(D185,Budget!A:F,6,FALSE)*(E185-(VLOOKUP(D185,Budget!A:F,3,FALSE)))),VLOOKUP($D185,Budget!$A$1:$F$19,6,FALSE)*E185))</f>
        <v>36960</v>
      </c>
      <c r="I185" s="85">
        <f>IF(F185=0,0,IF(M185="ja",((VLOOKUP(F185,Budget!A:F,6,FALSE)*(E185-(VLOOKUP(F185,Budget!A:F,3,FALSE))))),VLOOKUP($D185,Budget!A:F,5,FALSE)*E185))</f>
        <v>0</v>
      </c>
      <c r="J185" s="85">
        <f t="shared" si="12"/>
        <v>36960</v>
      </c>
      <c r="K185" s="14"/>
      <c r="L185" s="97"/>
      <c r="M185" s="80" t="str">
        <f t="shared" si="13"/>
        <v>nein</v>
      </c>
      <c r="N185">
        <f t="shared" si="11"/>
        <v>2021</v>
      </c>
    </row>
    <row r="186" spans="1:14" ht="15" hidden="1" customHeight="1" x14ac:dyDescent="0.3">
      <c r="A186" s="105">
        <f t="shared" si="10"/>
        <v>26</v>
      </c>
      <c r="B186" s="22">
        <v>44377</v>
      </c>
      <c r="C186" s="11" t="s">
        <v>5</v>
      </c>
      <c r="D186" s="12" t="s">
        <v>11</v>
      </c>
      <c r="E186" s="13">
        <f>IF(VLOOKUP(D186,Budget!A:B,2,FALSE)&lt;&gt;0,IF(G186=0,24,24-G186),0)</f>
        <v>24</v>
      </c>
      <c r="G186" s="13"/>
      <c r="H186" s="85">
        <f>IF(E186=0,0,IF(M186="ja",(VLOOKUP(D186,Budget!A:F,6,FALSE)*(E186-(VLOOKUP(D186,Budget!A:F,3,FALSE)))),VLOOKUP($D186,Budget!$A$1:$F$19,6,FALSE)*E186))</f>
        <v>36960</v>
      </c>
      <c r="I186" s="85">
        <f>IF(F186=0,0,IF(M186="ja",((VLOOKUP(F186,Budget!A:F,6,FALSE)*(E186-(VLOOKUP(F186,Budget!A:F,3,FALSE))))),VLOOKUP($D186,Budget!A:F,5,FALSE)*E186))</f>
        <v>0</v>
      </c>
      <c r="J186" s="85">
        <f t="shared" si="12"/>
        <v>36960</v>
      </c>
      <c r="K186" s="14"/>
      <c r="L186" s="73"/>
      <c r="M186" s="80" t="str">
        <f t="shared" si="13"/>
        <v>nein</v>
      </c>
      <c r="N186">
        <f t="shared" si="11"/>
        <v>2021</v>
      </c>
    </row>
    <row r="187" spans="1:14" ht="15" hidden="1" customHeight="1" x14ac:dyDescent="0.3">
      <c r="A187" s="103">
        <f t="shared" si="10"/>
        <v>26</v>
      </c>
      <c r="B187" s="22">
        <v>44378</v>
      </c>
      <c r="C187" s="11" t="s">
        <v>6</v>
      </c>
      <c r="D187" s="12" t="s">
        <v>11</v>
      </c>
      <c r="E187" s="13">
        <f>IF(VLOOKUP(D187,Budget!A:B,2,FALSE)&lt;&gt;0,IF(G187=0,24,24-G187),0)</f>
        <v>24</v>
      </c>
      <c r="G187" s="13"/>
      <c r="H187" s="85">
        <f>IF(E187=0,0,IF(M187="ja",(VLOOKUP(D187,Budget!A:F,6,FALSE)*(E187-(VLOOKUP(D187,Budget!A:F,3,FALSE)))),VLOOKUP($D187,Budget!$A$1:$F$19,6,FALSE)*E187))</f>
        <v>36960</v>
      </c>
      <c r="I187" s="85">
        <f>IF(F187=0,0,IF(M187="ja",((VLOOKUP(F187,Budget!A:F,6,FALSE)*(E187-(VLOOKUP(F187,Budget!A:F,3,FALSE))))),VLOOKUP($D187,Budget!A:F,5,FALSE)*E187))</f>
        <v>0</v>
      </c>
      <c r="J187" s="85">
        <f t="shared" si="12"/>
        <v>36960</v>
      </c>
      <c r="K187" s="14"/>
      <c r="L187" s="73"/>
      <c r="M187" s="80" t="str">
        <f t="shared" si="13"/>
        <v>nein</v>
      </c>
      <c r="N187">
        <f t="shared" si="11"/>
        <v>2021</v>
      </c>
    </row>
    <row r="188" spans="1:14" ht="15" hidden="1" customHeight="1" x14ac:dyDescent="0.3">
      <c r="A188" s="105">
        <f t="shared" si="10"/>
        <v>26</v>
      </c>
      <c r="B188" s="22">
        <v>44379</v>
      </c>
      <c r="C188" s="11" t="s">
        <v>7</v>
      </c>
      <c r="D188" s="13" t="s">
        <v>69</v>
      </c>
      <c r="E188" s="13">
        <f>IF(VLOOKUP(D188,Budget!A:B,2,FALSE)&lt;&gt;0,IF(G188=0,24,24-G188),0)</f>
        <v>24</v>
      </c>
      <c r="G188" s="13"/>
      <c r="H188" s="85">
        <f>IF(E188=0,0,IF(M188="ja",(VLOOKUP(D188,Budget!A:F,6,FALSE)*(E188-(VLOOKUP(D188,Budget!A:F,3,FALSE)))),VLOOKUP($D188,Budget!$A$1:$F$19,6,FALSE)*E188))</f>
        <v>38269.757143831848</v>
      </c>
      <c r="I188" s="85">
        <f>IF(F188=0,0,IF(M188="ja",((VLOOKUP(F188,Budget!A:F,6,FALSE)*(E188-(VLOOKUP(F188,Budget!A:F,3,FALSE))))),VLOOKUP($D188,Budget!A:F,5,FALSE)*E188))</f>
        <v>0</v>
      </c>
      <c r="J188" s="85">
        <f t="shared" si="12"/>
        <v>38269.757143831848</v>
      </c>
      <c r="K188" s="14"/>
      <c r="L188" s="98"/>
      <c r="M188" s="80" t="str">
        <f t="shared" si="13"/>
        <v>ja</v>
      </c>
      <c r="N188">
        <f t="shared" si="11"/>
        <v>2021</v>
      </c>
    </row>
    <row r="189" spans="1:14" ht="15" hidden="1" customHeight="1" x14ac:dyDescent="0.3">
      <c r="A189" s="105">
        <f t="shared" si="10"/>
        <v>26</v>
      </c>
      <c r="B189" s="22">
        <v>44380</v>
      </c>
      <c r="C189" s="16" t="s">
        <v>8</v>
      </c>
      <c r="D189" s="17" t="s">
        <v>69</v>
      </c>
      <c r="E189" s="24">
        <f>IF(VLOOKUP(D189,Budget!A:B,2,FALSE)&lt;&gt;0,IF(G189=0,24,24-G189),0)</f>
        <v>24</v>
      </c>
      <c r="F189" s="17"/>
      <c r="G189" s="17"/>
      <c r="H189" s="86">
        <f>IF(E189=0,0,IF(M189="ja",(VLOOKUP(D189,Budget!A:F,6,FALSE)*(E189-(VLOOKUP(D189,Budget!A:F,3,FALSE)))),VLOOKUP($D189,Budget!$A$1:$F$19,6,FALSE)*E189))</f>
        <v>42919.35380616656</v>
      </c>
      <c r="I189" s="86">
        <f>IF(F189=0,0,IF(M189="ja",((VLOOKUP(F189,Budget!A:F,6,FALSE)*(E189-(VLOOKUP(F189,Budget!A:F,3,FALSE))))),VLOOKUP($D189,Budget!A:F,5,FALSE)*E189))</f>
        <v>0</v>
      </c>
      <c r="J189" s="86">
        <f t="shared" si="12"/>
        <v>42919.35380616656</v>
      </c>
      <c r="K189" s="18"/>
      <c r="L189" s="75"/>
      <c r="M189" s="76" t="str">
        <f t="shared" si="13"/>
        <v>nein</v>
      </c>
      <c r="N189">
        <f t="shared" si="11"/>
        <v>2021</v>
      </c>
    </row>
    <row r="190" spans="1:14" ht="15.75" hidden="1" customHeight="1" thickBot="1" x14ac:dyDescent="0.35">
      <c r="A190" s="105">
        <f t="shared" si="10"/>
        <v>26</v>
      </c>
      <c r="B190" s="27">
        <v>44381</v>
      </c>
      <c r="C190" s="19" t="s">
        <v>9</v>
      </c>
      <c r="D190" s="20" t="s">
        <v>69</v>
      </c>
      <c r="E190" s="20">
        <f>IF(VLOOKUP(D190,Budget!A:B,2,FALSE)&lt;&gt;0,IF(G190=0,24,24-G190),0)</f>
        <v>24</v>
      </c>
      <c r="F190" s="20"/>
      <c r="G190" s="20"/>
      <c r="H190" s="93">
        <f>IF(E190=0,0,IF(M190="ja",(VLOOKUP(D190,Budget!A:F,6,FALSE)*(E190-(VLOOKUP(D190,Budget!A:F,3,FALSE)))),VLOOKUP($D190,Budget!$A$1:$F$19,6,FALSE)*E190))</f>
        <v>42919.35380616656</v>
      </c>
      <c r="I190" s="93">
        <f>IF(F190=0,0,IF(M190="ja",((VLOOKUP(F190,Budget!A:F,6,FALSE)*(E190-(VLOOKUP(F190,Budget!A:F,3,FALSE))))),VLOOKUP($D190,Budget!A:F,5,FALSE)*E190))</f>
        <v>0</v>
      </c>
      <c r="J190" s="87">
        <f t="shared" si="12"/>
        <v>42919.35380616656</v>
      </c>
      <c r="K190" s="21"/>
      <c r="L190" s="74"/>
      <c r="M190" s="77" t="str">
        <f t="shared" si="13"/>
        <v>nein</v>
      </c>
      <c r="N190">
        <f t="shared" si="11"/>
        <v>2021</v>
      </c>
    </row>
    <row r="191" spans="1:14" ht="15" hidden="1" customHeight="1" x14ac:dyDescent="0.3">
      <c r="A191" s="104">
        <f t="shared" si="10"/>
        <v>27</v>
      </c>
      <c r="B191" s="22">
        <v>44382</v>
      </c>
      <c r="C191" s="10" t="s">
        <v>3</v>
      </c>
      <c r="D191" s="12" t="s">
        <v>69</v>
      </c>
      <c r="E191" s="13">
        <f>IF(VLOOKUP(D191,Budget!A:B,2,FALSE)&lt;&gt;0,IF(G191=0,24,24-G191),0)</f>
        <v>24</v>
      </c>
      <c r="F191" s="13"/>
      <c r="G191" s="13"/>
      <c r="H191" s="85">
        <f>IF(E191=0,0,IF(M191="ja",(VLOOKUP(D191,Budget!A:F,6,FALSE)*(E191-(VLOOKUP(D191,Budget!A:F,3,FALSE)))),VLOOKUP($D191,Budget!$A$1:$F$19,6,FALSE)*E191))</f>
        <v>42919.35380616656</v>
      </c>
      <c r="I191" s="85">
        <f>IF(F191=0,0,IF(M191="ja",((VLOOKUP(F191,Budget!A:F,6,FALSE)*(E191-(VLOOKUP(F191,Budget!A:F,3,FALSE))))),VLOOKUP($D191,Budget!A:F,5,FALSE)*E191))</f>
        <v>0</v>
      </c>
      <c r="J191" s="85">
        <f t="shared" si="12"/>
        <v>42919.35380616656</v>
      </c>
      <c r="K191" s="15"/>
      <c r="L191" s="72"/>
      <c r="M191" s="80" t="str">
        <f t="shared" si="13"/>
        <v>nein</v>
      </c>
      <c r="N191">
        <f t="shared" si="11"/>
        <v>2021</v>
      </c>
    </row>
    <row r="192" spans="1:14" ht="15" hidden="1" customHeight="1" x14ac:dyDescent="0.3">
      <c r="A192" s="105">
        <f t="shared" si="10"/>
        <v>27</v>
      </c>
      <c r="B192" s="22">
        <v>44383</v>
      </c>
      <c r="C192" s="11" t="s">
        <v>4</v>
      </c>
      <c r="D192" s="12" t="s">
        <v>12</v>
      </c>
      <c r="E192" s="13">
        <f>IF(VLOOKUP(D192,Budget!A:B,2,FALSE)&lt;&gt;0,IF(G192=0,24,24-G192),0)</f>
        <v>24</v>
      </c>
      <c r="G192" s="13"/>
      <c r="H192" s="85">
        <f>IF(E192=0,0,IF(M192="ja",(VLOOKUP(D192,Budget!A:F,6,FALSE)*(E192-(VLOOKUP(D192,Budget!A:F,3,FALSE)))),VLOOKUP($D192,Budget!$A$1:$F$19,6,FALSE)*E192))</f>
        <v>27720</v>
      </c>
      <c r="I192" s="85">
        <f>IF(F192=0,0,IF(M192="ja",((VLOOKUP(F192,Budget!A:F,6,FALSE)*(E192-(VLOOKUP(F192,Budget!A:F,3,FALSE))))),VLOOKUP($D192,Budget!A:F,5,FALSE)*E192))</f>
        <v>0</v>
      </c>
      <c r="J192" s="85">
        <f t="shared" si="12"/>
        <v>27720</v>
      </c>
      <c r="K192" s="14"/>
      <c r="L192" s="73"/>
      <c r="M192" s="80" t="str">
        <f t="shared" si="13"/>
        <v>ja</v>
      </c>
      <c r="N192">
        <f t="shared" si="11"/>
        <v>2021</v>
      </c>
    </row>
    <row r="193" spans="1:14" ht="15" hidden="1" customHeight="1" x14ac:dyDescent="0.3">
      <c r="A193" s="105">
        <f t="shared" si="10"/>
        <v>27</v>
      </c>
      <c r="B193" s="22">
        <v>44384</v>
      </c>
      <c r="C193" s="11" t="s">
        <v>5</v>
      </c>
      <c r="D193" s="12" t="s">
        <v>12</v>
      </c>
      <c r="E193" s="13">
        <f>IF(VLOOKUP(D193,Budget!A:B,2,FALSE)&lt;&gt;0,IF(G193=0,24,24-G193),0)</f>
        <v>24</v>
      </c>
      <c r="G193" s="13"/>
      <c r="H193" s="85">
        <f>IF(E193=0,0,IF(M193="ja",(VLOOKUP(D193,Budget!A:F,6,FALSE)*(E193-(VLOOKUP(D193,Budget!A:F,3,FALSE)))),VLOOKUP($D193,Budget!$A$1:$F$19,6,FALSE)*E193))</f>
        <v>36960</v>
      </c>
      <c r="I193" s="85">
        <f>IF(F193=0,0,IF(M193="ja",((VLOOKUP(F193,Budget!A:F,6,FALSE)*(E193-(VLOOKUP(F193,Budget!A:F,3,FALSE))))),VLOOKUP($D193,Budget!A:F,5,FALSE)*E193))</f>
        <v>0</v>
      </c>
      <c r="J193" s="85">
        <f t="shared" si="12"/>
        <v>36960</v>
      </c>
      <c r="K193" s="14"/>
      <c r="L193" s="73"/>
      <c r="M193" s="80" t="str">
        <f t="shared" si="13"/>
        <v>nein</v>
      </c>
      <c r="N193">
        <f t="shared" si="11"/>
        <v>2021</v>
      </c>
    </row>
    <row r="194" spans="1:14" ht="15" hidden="1" customHeight="1" x14ac:dyDescent="0.3">
      <c r="A194" s="103">
        <f t="shared" si="10"/>
        <v>27</v>
      </c>
      <c r="B194" s="22">
        <v>44385</v>
      </c>
      <c r="C194" s="11" t="s">
        <v>6</v>
      </c>
      <c r="D194" s="12" t="s">
        <v>66</v>
      </c>
      <c r="E194" s="13">
        <f>IF(VLOOKUP(D194,Budget!A:B,2,FALSE)&lt;&gt;0,IF(G194=0,24,24-G194),0)</f>
        <v>24</v>
      </c>
      <c r="G194" s="13"/>
      <c r="H194" s="85">
        <f>IF(E194=0,0,IF(M194="ja",(VLOOKUP(D194,Budget!A:F,6,FALSE)*(E194-(VLOOKUP(D194,Budget!A:F,3,FALSE)))),VLOOKUP($D194,Budget!$A$1:$F$19,6,FALSE)*E194))</f>
        <v>32328.172065231582</v>
      </c>
      <c r="I194" s="85">
        <f>IF(F194=0,0,IF(M194="ja",((VLOOKUP(F194,Budget!A:F,6,FALSE)*(E194-(VLOOKUP(F194,Budget!A:F,3,FALSE))))),VLOOKUP($D194,Budget!A:F,5,FALSE)*E194))</f>
        <v>0</v>
      </c>
      <c r="J194" s="85">
        <f t="shared" si="12"/>
        <v>32328.172065231582</v>
      </c>
      <c r="K194" s="14"/>
      <c r="L194" s="73"/>
      <c r="M194" s="80" t="str">
        <f t="shared" si="13"/>
        <v>ja</v>
      </c>
      <c r="N194">
        <f t="shared" si="11"/>
        <v>2021</v>
      </c>
    </row>
    <row r="195" spans="1:14" ht="15" hidden="1" customHeight="1" x14ac:dyDescent="0.3">
      <c r="A195" s="105">
        <f t="shared" ref="A195:A258" si="14">_xlfn.ISOWEEKNUM(B195)</f>
        <v>27</v>
      </c>
      <c r="B195" s="22">
        <v>44386</v>
      </c>
      <c r="C195" s="11" t="s">
        <v>7</v>
      </c>
      <c r="D195" s="12" t="s">
        <v>29</v>
      </c>
      <c r="E195" s="13">
        <f>IF(VLOOKUP(D195,Budget!A:B,2,FALSE)&lt;&gt;0,IF(G195=0,24,24-G195),0)</f>
        <v>0</v>
      </c>
      <c r="G195" s="13"/>
      <c r="H195" s="85">
        <f>IF(E195=0,0,IF(M195="ja",(VLOOKUP(D195,Budget!A:F,6,FALSE)*(E195-(VLOOKUP(D195,Budget!A:F,3,FALSE)))),VLOOKUP($D195,Budget!$A$1:$F$19,6,FALSE)*E195))</f>
        <v>0</v>
      </c>
      <c r="I195" s="85">
        <f>IF(F195=0,0,IF(M195="ja",((VLOOKUP(F195,Budget!A:F,6,FALSE)*(E195-(VLOOKUP(F195,Budget!A:F,3,FALSE))))),VLOOKUP($D195,Budget!A:F,5,FALSE)*E195))</f>
        <v>0</v>
      </c>
      <c r="J195" s="85">
        <f t="shared" si="12"/>
        <v>0</v>
      </c>
      <c r="K195" s="14"/>
      <c r="L195" s="25"/>
      <c r="M195" s="80" t="str">
        <f t="shared" si="13"/>
        <v>nein</v>
      </c>
      <c r="N195">
        <f t="shared" ref="N195:N258" si="15">YEAR(B195)</f>
        <v>2021</v>
      </c>
    </row>
    <row r="196" spans="1:14" ht="15" hidden="1" customHeight="1" x14ac:dyDescent="0.3">
      <c r="A196" s="105">
        <f t="shared" si="14"/>
        <v>27</v>
      </c>
      <c r="B196" s="22">
        <v>44387</v>
      </c>
      <c r="C196" s="16" t="s">
        <v>8</v>
      </c>
      <c r="D196" s="17" t="s">
        <v>30</v>
      </c>
      <c r="E196" s="24">
        <f>IF(VLOOKUP(D196,Budget!A:B,2,FALSE)&lt;&gt;0,IF(G196=0,24,24-G196),0)</f>
        <v>0</v>
      </c>
      <c r="F196" s="17" t="s">
        <v>69</v>
      </c>
      <c r="G196" s="17">
        <v>6</v>
      </c>
      <c r="H196" s="86">
        <f>IF(E196=0,0,IF(M196="ja",(VLOOKUP(D196,Budget!A:F,6,FALSE)*(E196-(VLOOKUP(D196,Budget!A:F,3,FALSE)))),VLOOKUP($D196,Budget!$A$1:$F$19,6,FALSE)*E196))</f>
        <v>0</v>
      </c>
      <c r="I196" s="86">
        <f>IF(F196=0,0,IF(M196="ja",((VLOOKUP(F196,Budget!A:F,6,FALSE)*(E196-(VLOOKUP(F196,Budget!A:F,3,FALSE))))),VLOOKUP($D196,Budget!A:F,5,FALSE)*E196))</f>
        <v>0</v>
      </c>
      <c r="J196" s="86">
        <f t="shared" si="12"/>
        <v>0</v>
      </c>
      <c r="K196" s="18"/>
      <c r="L196" s="75"/>
      <c r="M196" s="76" t="str">
        <f t="shared" si="13"/>
        <v>nein</v>
      </c>
      <c r="N196">
        <f t="shared" si="15"/>
        <v>2021</v>
      </c>
    </row>
    <row r="197" spans="1:14" ht="15.75" hidden="1" customHeight="1" thickBot="1" x14ac:dyDescent="0.35">
      <c r="A197" s="105">
        <f t="shared" si="14"/>
        <v>27</v>
      </c>
      <c r="B197" s="27">
        <v>44388</v>
      </c>
      <c r="C197" s="19" t="s">
        <v>9</v>
      </c>
      <c r="D197" s="20" t="s">
        <v>69</v>
      </c>
      <c r="E197" s="20">
        <f>IF(VLOOKUP(D197,Budget!A:B,2,FALSE)&lt;&gt;0,IF(G197=0,24,24-G197),0)</f>
        <v>24</v>
      </c>
      <c r="F197" s="20"/>
      <c r="G197" s="20"/>
      <c r="H197" s="93">
        <f>IF(E197=0,0,IF(M197="ja",(VLOOKUP(D197,Budget!A:F,6,FALSE)*(E197-(VLOOKUP(D197,Budget!A:F,3,FALSE)))),VLOOKUP($D197,Budget!$A$1:$F$19,6,FALSE)*E197))</f>
        <v>38269.757143831848</v>
      </c>
      <c r="I197" s="93">
        <f>IF(F197=0,0,IF(M197="ja",((VLOOKUP(F197,Budget!A:F,6,FALSE)*(E197-(VLOOKUP(F197,Budget!A:F,3,FALSE))))),VLOOKUP($D197,Budget!A:F,5,FALSE)*E197))</f>
        <v>0</v>
      </c>
      <c r="J197" s="87">
        <f t="shared" si="12"/>
        <v>38269.757143831848</v>
      </c>
      <c r="K197" s="21"/>
      <c r="L197" s="74"/>
      <c r="M197" s="77" t="str">
        <f t="shared" si="13"/>
        <v>ja</v>
      </c>
      <c r="N197">
        <f t="shared" si="15"/>
        <v>2021</v>
      </c>
    </row>
    <row r="198" spans="1:14" ht="15" hidden="1" customHeight="1" x14ac:dyDescent="0.3">
      <c r="A198" s="104">
        <f t="shared" si="14"/>
        <v>28</v>
      </c>
      <c r="B198" s="22">
        <v>44389</v>
      </c>
      <c r="C198" s="10" t="s">
        <v>3</v>
      </c>
      <c r="D198" s="12" t="s">
        <v>69</v>
      </c>
      <c r="E198" s="13">
        <f>IF(VLOOKUP(D198,Budget!A:B,2,FALSE)&lt;&gt;0,IF(G198=0,24,24-G198),0)</f>
        <v>24</v>
      </c>
      <c r="F198" s="13"/>
      <c r="G198" s="13"/>
      <c r="H198" s="85">
        <f>IF(E198=0,0,IF(M198="ja",(VLOOKUP(D198,Budget!A:F,6,FALSE)*(E198-(VLOOKUP(D198,Budget!A:F,3,FALSE)))),VLOOKUP($D198,Budget!$A$1:$F$19,6,FALSE)*E198))</f>
        <v>42919.35380616656</v>
      </c>
      <c r="I198" s="85">
        <f>IF(F198=0,0,IF(M198="ja",((VLOOKUP(F198,Budget!A:F,6,FALSE)*(E198-(VLOOKUP(F198,Budget!A:F,3,FALSE))))),VLOOKUP($D198,Budget!A:F,5,FALSE)*E198))</f>
        <v>0</v>
      </c>
      <c r="J198" s="85">
        <f t="shared" si="12"/>
        <v>42919.35380616656</v>
      </c>
      <c r="K198" s="15"/>
      <c r="L198" s="72"/>
      <c r="M198" s="80" t="str">
        <f t="shared" si="13"/>
        <v>nein</v>
      </c>
      <c r="N198">
        <f t="shared" si="15"/>
        <v>2021</v>
      </c>
    </row>
    <row r="199" spans="1:14" ht="15" hidden="1" customHeight="1" x14ac:dyDescent="0.3">
      <c r="A199" s="105">
        <f t="shared" si="14"/>
        <v>28</v>
      </c>
      <c r="B199" s="22">
        <v>44390</v>
      </c>
      <c r="C199" s="11" t="s">
        <v>4</v>
      </c>
      <c r="D199" s="12" t="s">
        <v>69</v>
      </c>
      <c r="E199" s="13">
        <f>IF(VLOOKUP(D199,Budget!A:B,2,FALSE)&lt;&gt;0,IF(G199=0,24,24-G199),0)</f>
        <v>24</v>
      </c>
      <c r="G199" s="13"/>
      <c r="H199" s="85">
        <f>IF(E199=0,0,IF(M199="ja",(VLOOKUP(D199,Budget!A:F,6,FALSE)*(E199-(VLOOKUP(D199,Budget!A:F,3,FALSE)))),VLOOKUP($D199,Budget!$A$1:$F$19,6,FALSE)*E199))</f>
        <v>42919.35380616656</v>
      </c>
      <c r="I199" s="85">
        <f>IF(F199=0,0,IF(M199="ja",((VLOOKUP(F199,Budget!A:F,6,FALSE)*(E199-(VLOOKUP(F199,Budget!A:F,3,FALSE))))),VLOOKUP($D199,Budget!A:F,5,FALSE)*E199))</f>
        <v>0</v>
      </c>
      <c r="J199" s="85">
        <f t="shared" si="12"/>
        <v>42919.35380616656</v>
      </c>
      <c r="K199" s="14"/>
      <c r="L199" s="73" t="s">
        <v>76</v>
      </c>
      <c r="M199" s="80" t="str">
        <f t="shared" si="13"/>
        <v>nein</v>
      </c>
      <c r="N199">
        <f t="shared" si="15"/>
        <v>2021</v>
      </c>
    </row>
    <row r="200" spans="1:14" ht="15" hidden="1" customHeight="1" x14ac:dyDescent="0.3">
      <c r="A200" s="105">
        <f t="shared" si="14"/>
        <v>28</v>
      </c>
      <c r="B200" s="22">
        <v>44391</v>
      </c>
      <c r="C200" s="11" t="s">
        <v>5</v>
      </c>
      <c r="D200" s="12" t="s">
        <v>11</v>
      </c>
      <c r="E200" s="13">
        <f>IF(VLOOKUP(D200,Budget!A:B,2,FALSE)&lt;&gt;0,IF(G200=0,24,24-G200),0)</f>
        <v>24</v>
      </c>
      <c r="G200" s="13"/>
      <c r="H200" s="85">
        <f>IF(E200=0,0,IF(M200="ja",(VLOOKUP(D200,Budget!A:F,6,FALSE)*(E200-(VLOOKUP(D200,Budget!A:F,3,FALSE)))),VLOOKUP($D200,Budget!$A$1:$F$19,6,FALSE)*E200))</f>
        <v>30030</v>
      </c>
      <c r="I200" s="85">
        <f>IF(F200=0,0,IF(M200="ja",((VLOOKUP(F200,Budget!A:F,6,FALSE)*(E200-(VLOOKUP(F200,Budget!A:F,3,FALSE))))),VLOOKUP($D200,Budget!A:F,5,FALSE)*E200))</f>
        <v>0</v>
      </c>
      <c r="J200" s="85">
        <f t="shared" si="12"/>
        <v>30030</v>
      </c>
      <c r="K200" s="14"/>
      <c r="L200" s="73" t="s">
        <v>76</v>
      </c>
      <c r="M200" s="80" t="str">
        <f t="shared" si="13"/>
        <v>ja</v>
      </c>
      <c r="N200">
        <f t="shared" si="15"/>
        <v>2021</v>
      </c>
    </row>
    <row r="201" spans="1:14" ht="15" hidden="1" customHeight="1" x14ac:dyDescent="0.3">
      <c r="A201" s="103">
        <f t="shared" si="14"/>
        <v>28</v>
      </c>
      <c r="B201" s="22">
        <v>44392</v>
      </c>
      <c r="C201" s="11" t="s">
        <v>6</v>
      </c>
      <c r="D201" s="12" t="s">
        <v>11</v>
      </c>
      <c r="E201" s="13">
        <f>IF(VLOOKUP(D201,Budget!A:B,2,FALSE)&lt;&gt;0,IF(G201=0,24,24-G201),0)</f>
        <v>24</v>
      </c>
      <c r="G201" s="13"/>
      <c r="H201" s="85">
        <f>IF(E201=0,0,IF(M201="ja",(VLOOKUP(D201,Budget!A:F,6,FALSE)*(E201-(VLOOKUP(D201,Budget!A:F,3,FALSE)))),VLOOKUP($D201,Budget!$A$1:$F$19,6,FALSE)*E201))</f>
        <v>36960</v>
      </c>
      <c r="I201" s="85">
        <f>IF(F201=0,0,IF(M201="ja",((VLOOKUP(F201,Budget!A:F,6,FALSE)*(E201-(VLOOKUP(F201,Budget!A:F,3,FALSE))))),VLOOKUP($D201,Budget!A:F,5,FALSE)*E201))</f>
        <v>0</v>
      </c>
      <c r="J201" s="85">
        <f t="shared" si="12"/>
        <v>36960</v>
      </c>
      <c r="K201" s="14"/>
      <c r="L201" s="73" t="s">
        <v>76</v>
      </c>
      <c r="M201" s="80" t="str">
        <f t="shared" si="13"/>
        <v>nein</v>
      </c>
      <c r="N201">
        <f t="shared" si="15"/>
        <v>2021</v>
      </c>
    </row>
    <row r="202" spans="1:14" ht="15" hidden="1" customHeight="1" x14ac:dyDescent="0.3">
      <c r="A202" s="105">
        <f t="shared" si="14"/>
        <v>28</v>
      </c>
      <c r="B202" s="22">
        <v>44393</v>
      </c>
      <c r="C202" s="11" t="s">
        <v>7</v>
      </c>
      <c r="D202" s="13" t="s">
        <v>66</v>
      </c>
      <c r="E202" s="13">
        <f>IF(VLOOKUP(D202,Budget!A:B,2,FALSE)&lt;&gt;0,IF(G202=0,24,24-G202),0)</f>
        <v>24</v>
      </c>
      <c r="G202" s="13"/>
      <c r="H202" s="85">
        <f>IF(E202=0,0,IF(M202="ja",(VLOOKUP(D202,Budget!A:F,6,FALSE)*(E202-(VLOOKUP(D202,Budget!A:F,3,FALSE)))),VLOOKUP($D202,Budget!$A$1:$F$19,6,FALSE)*E202))</f>
        <v>32328.172065231582</v>
      </c>
      <c r="I202" s="85">
        <f>IF(F202=0,0,IF(M202="ja",((VLOOKUP(F202,Budget!A:F,6,FALSE)*(E202-(VLOOKUP(F202,Budget!A:F,3,FALSE))))),VLOOKUP($D202,Budget!A:F,5,FALSE)*E202))</f>
        <v>0</v>
      </c>
      <c r="J202" s="85">
        <f t="shared" ref="J202:J265" si="16">H202+I202</f>
        <v>32328.172065231582</v>
      </c>
      <c r="K202" s="14"/>
      <c r="L202" s="25" t="s">
        <v>77</v>
      </c>
      <c r="M202" s="80" t="str">
        <f t="shared" ref="M202:M265" si="17">IF(E202=0,"nein",IF(OR(E202&lt;&gt;24,F201&lt;&gt;0,D202&lt;&gt;D201),"ja","nein"))</f>
        <v>ja</v>
      </c>
      <c r="N202">
        <f t="shared" si="15"/>
        <v>2021</v>
      </c>
    </row>
    <row r="203" spans="1:14" ht="15" hidden="1" customHeight="1" x14ac:dyDescent="0.3">
      <c r="A203" s="105">
        <f t="shared" si="14"/>
        <v>28</v>
      </c>
      <c r="B203" s="22">
        <v>44394</v>
      </c>
      <c r="C203" s="16" t="s">
        <v>8</v>
      </c>
      <c r="D203" s="17" t="s">
        <v>69</v>
      </c>
      <c r="E203" s="24">
        <f>IF(VLOOKUP(D203,Budget!A:B,2,FALSE)&lt;&gt;0,IF(G203=0,24,24-G203),0)</f>
        <v>24</v>
      </c>
      <c r="F203" s="17"/>
      <c r="G203" s="17"/>
      <c r="H203" s="86">
        <f>IF(E203=0,0,IF(M203="ja",(VLOOKUP(D203,Budget!A:F,6,FALSE)*(E203-(VLOOKUP(D203,Budget!A:F,3,FALSE)))),VLOOKUP($D203,Budget!$A$1:$F$19,6,FALSE)*E203))</f>
        <v>38269.757143831848</v>
      </c>
      <c r="I203" s="86">
        <f>IF(F203=0,0,IF(M203="ja",((VLOOKUP(F203,Budget!A:F,6,FALSE)*(E203-(VLOOKUP(F203,Budget!A:F,3,FALSE))))),VLOOKUP($D203,Budget!A:F,5,FALSE)*E203))</f>
        <v>0</v>
      </c>
      <c r="J203" s="86">
        <f t="shared" si="16"/>
        <v>38269.757143831848</v>
      </c>
      <c r="K203" s="18"/>
      <c r="L203" s="75"/>
      <c r="M203" s="76" t="str">
        <f t="shared" si="17"/>
        <v>ja</v>
      </c>
      <c r="N203">
        <f t="shared" si="15"/>
        <v>2021</v>
      </c>
    </row>
    <row r="204" spans="1:14" ht="15.75" hidden="1" customHeight="1" thickBot="1" x14ac:dyDescent="0.35">
      <c r="A204" s="105">
        <f t="shared" si="14"/>
        <v>28</v>
      </c>
      <c r="B204" s="27">
        <v>44395</v>
      </c>
      <c r="C204" s="19" t="s">
        <v>9</v>
      </c>
      <c r="D204" s="20" t="s">
        <v>69</v>
      </c>
      <c r="E204" s="20">
        <f>IF(VLOOKUP(D204,Budget!A:B,2,FALSE)&lt;&gt;0,IF(G204=0,24,24-G204),0)</f>
        <v>24</v>
      </c>
      <c r="F204" s="20"/>
      <c r="G204" s="20"/>
      <c r="H204" s="93">
        <f>IF(E204=0,0,IF(M204="ja",(VLOOKUP(D204,Budget!A:F,6,FALSE)*(E204-(VLOOKUP(D204,Budget!A:F,3,FALSE)))),VLOOKUP($D204,Budget!$A$1:$F$19,6,FALSE)*E204))</f>
        <v>42919.35380616656</v>
      </c>
      <c r="I204" s="93">
        <f>IF(F204=0,0,IF(M204="ja",((VLOOKUP(F204,Budget!A:F,6,FALSE)*(E204-(VLOOKUP(F204,Budget!A:F,3,FALSE))))),VLOOKUP($D204,Budget!A:F,5,FALSE)*E204))</f>
        <v>0</v>
      </c>
      <c r="J204" s="87">
        <f t="shared" si="16"/>
        <v>42919.35380616656</v>
      </c>
      <c r="K204" s="21"/>
      <c r="L204" s="74"/>
      <c r="M204" s="77" t="str">
        <f t="shared" si="17"/>
        <v>nein</v>
      </c>
      <c r="N204">
        <f t="shared" si="15"/>
        <v>2021</v>
      </c>
    </row>
    <row r="205" spans="1:14" ht="15" hidden="1" customHeight="1" x14ac:dyDescent="0.3">
      <c r="A205" s="104">
        <f t="shared" si="14"/>
        <v>29</v>
      </c>
      <c r="B205" s="22">
        <v>44396</v>
      </c>
      <c r="C205" s="10" t="s">
        <v>3</v>
      </c>
      <c r="D205" s="12" t="s">
        <v>29</v>
      </c>
      <c r="E205" s="13">
        <f>IF(VLOOKUP(D205,Budget!A:B,2,FALSE)&lt;&gt;0,IF(G205=0,24,24-G205),0)</f>
        <v>0</v>
      </c>
      <c r="F205" s="13"/>
      <c r="G205" s="13"/>
      <c r="H205" s="85">
        <f>IF(E205=0,0,IF(M205="ja",(VLOOKUP(D205,Budget!A:F,6,FALSE)*(E205-(VLOOKUP(D205,Budget!A:F,3,FALSE)))),VLOOKUP($D205,Budget!$A$1:$F$19,6,FALSE)*E205))</f>
        <v>0</v>
      </c>
      <c r="I205" s="85">
        <f>IF(F205=0,0,IF(M205="ja",((VLOOKUP(F205,Budget!A:F,6,FALSE)*(E205-(VLOOKUP(F205,Budget!A:F,3,FALSE))))),VLOOKUP($D205,Budget!A:F,5,FALSE)*E205))</f>
        <v>0</v>
      </c>
      <c r="J205" s="85">
        <f t="shared" si="16"/>
        <v>0</v>
      </c>
      <c r="K205" s="15"/>
      <c r="L205" s="72"/>
      <c r="M205" s="80" t="str">
        <f t="shared" si="17"/>
        <v>nein</v>
      </c>
      <c r="N205">
        <f t="shared" si="15"/>
        <v>2021</v>
      </c>
    </row>
    <row r="206" spans="1:14" ht="15" hidden="1" customHeight="1" x14ac:dyDescent="0.3">
      <c r="A206" s="105">
        <f t="shared" si="14"/>
        <v>29</v>
      </c>
      <c r="B206" s="22">
        <v>44397</v>
      </c>
      <c r="C206" s="11" t="s">
        <v>4</v>
      </c>
      <c r="D206" s="12" t="s">
        <v>29</v>
      </c>
      <c r="E206" s="13">
        <f>IF(VLOOKUP(D206,Budget!A:B,2,FALSE)&lt;&gt;0,IF(G206=0,24,24-G206),0)</f>
        <v>0</v>
      </c>
      <c r="G206" s="13"/>
      <c r="H206" s="85">
        <f>IF(E206=0,0,IF(M206="ja",(VLOOKUP(D206,Budget!A:F,6,FALSE)*(E206-(VLOOKUP(D206,Budget!A:F,3,FALSE)))),VLOOKUP($D206,Budget!$A$1:$F$19,6,FALSE)*E206))</f>
        <v>0</v>
      </c>
      <c r="I206" s="85">
        <f>IF(F206=0,0,IF(M206="ja",((VLOOKUP(F206,Budget!A:F,6,FALSE)*(E206-(VLOOKUP(F206,Budget!A:F,3,FALSE))))),VLOOKUP($D206,Budget!A:F,5,FALSE)*E206))</f>
        <v>0</v>
      </c>
      <c r="J206" s="85">
        <f t="shared" si="16"/>
        <v>0</v>
      </c>
      <c r="K206" s="14"/>
      <c r="L206" s="73"/>
      <c r="M206" s="80" t="str">
        <f t="shared" si="17"/>
        <v>nein</v>
      </c>
      <c r="N206">
        <f t="shared" si="15"/>
        <v>2021</v>
      </c>
    </row>
    <row r="207" spans="1:14" ht="15" hidden="1" customHeight="1" x14ac:dyDescent="0.3">
      <c r="A207" s="105">
        <f t="shared" si="14"/>
        <v>29</v>
      </c>
      <c r="B207" s="22">
        <v>44398</v>
      </c>
      <c r="C207" s="11" t="s">
        <v>5</v>
      </c>
      <c r="D207" s="12" t="s">
        <v>29</v>
      </c>
      <c r="E207" s="13">
        <f>IF(VLOOKUP(D207,Budget!A:B,2,FALSE)&lt;&gt;0,IF(G207=0,24,24-G207),0)</f>
        <v>0</v>
      </c>
      <c r="G207" s="13"/>
      <c r="H207" s="85">
        <f>IF(E207=0,0,IF(M207="ja",(VLOOKUP(D207,Budget!A:F,6,FALSE)*(E207-(VLOOKUP(D207,Budget!A:F,3,FALSE)))),VLOOKUP($D207,Budget!$A$1:$F$19,6,FALSE)*E207))</f>
        <v>0</v>
      </c>
      <c r="I207" s="85">
        <f>IF(F207=0,0,IF(M207="ja",((VLOOKUP(F207,Budget!A:F,6,FALSE)*(E207-(VLOOKUP(F207,Budget!A:F,3,FALSE))))),VLOOKUP($D207,Budget!A:F,5,FALSE)*E207))</f>
        <v>0</v>
      </c>
      <c r="J207" s="85">
        <f t="shared" si="16"/>
        <v>0</v>
      </c>
      <c r="K207" s="14"/>
      <c r="L207" s="73"/>
      <c r="M207" s="80" t="str">
        <f t="shared" si="17"/>
        <v>nein</v>
      </c>
      <c r="N207">
        <f t="shared" si="15"/>
        <v>2021</v>
      </c>
    </row>
    <row r="208" spans="1:14" ht="15" hidden="1" customHeight="1" x14ac:dyDescent="0.3">
      <c r="A208" s="103">
        <f t="shared" si="14"/>
        <v>29</v>
      </c>
      <c r="B208" s="22">
        <v>44399</v>
      </c>
      <c r="C208" s="11" t="s">
        <v>6</v>
      </c>
      <c r="D208" s="12" t="s">
        <v>29</v>
      </c>
      <c r="E208" s="13">
        <f>IF(VLOOKUP(D208,Budget!A:B,2,FALSE)&lt;&gt;0,IF(G208=0,24,24-G208),0)</f>
        <v>0</v>
      </c>
      <c r="G208" s="13"/>
      <c r="H208" s="85">
        <f>IF(E208=0,0,IF(M208="ja",(VLOOKUP(D208,Budget!A:F,6,FALSE)*(E208-(VLOOKUP(D208,Budget!A:F,3,FALSE)))),VLOOKUP($D208,Budget!$A$1:$F$19,6,FALSE)*E208))</f>
        <v>0</v>
      </c>
      <c r="I208" s="85">
        <f>IF(F208=0,0,IF(M208="ja",((VLOOKUP(F208,Budget!A:F,6,FALSE)*(E208-(VLOOKUP(F208,Budget!A:F,3,FALSE))))),VLOOKUP($D208,Budget!A:F,5,FALSE)*E208))</f>
        <v>0</v>
      </c>
      <c r="J208" s="85">
        <f t="shared" si="16"/>
        <v>0</v>
      </c>
      <c r="K208" s="14"/>
      <c r="L208" s="73"/>
      <c r="M208" s="80" t="str">
        <f t="shared" si="17"/>
        <v>nein</v>
      </c>
      <c r="N208">
        <f t="shared" si="15"/>
        <v>2021</v>
      </c>
    </row>
    <row r="209" spans="1:14" ht="15" hidden="1" customHeight="1" x14ac:dyDescent="0.3">
      <c r="A209" s="105">
        <f t="shared" si="14"/>
        <v>29</v>
      </c>
      <c r="B209" s="22">
        <v>44400</v>
      </c>
      <c r="C209" s="11" t="s">
        <v>7</v>
      </c>
      <c r="D209" s="12" t="s">
        <v>29</v>
      </c>
      <c r="E209" s="13">
        <f>IF(VLOOKUP(D209,Budget!A:B,2,FALSE)&lt;&gt;0,IF(G209=0,24,24-G209),0)</f>
        <v>0</v>
      </c>
      <c r="G209" s="13"/>
      <c r="H209" s="85">
        <f>IF(E209=0,0,IF(M209="ja",(VLOOKUP(D209,Budget!A:F,6,FALSE)*(E209-(VLOOKUP(D209,Budget!A:F,3,FALSE)))),VLOOKUP($D209,Budget!$A$1:$F$19,6,FALSE)*E209))</f>
        <v>0</v>
      </c>
      <c r="I209" s="85">
        <f>IF(F209=0,0,IF(M209="ja",((VLOOKUP(F209,Budget!A:F,6,FALSE)*(E209-(VLOOKUP(F209,Budget!A:F,3,FALSE))))),VLOOKUP($D209,Budget!A:F,5,FALSE)*E209))</f>
        <v>0</v>
      </c>
      <c r="J209" s="85">
        <f t="shared" si="16"/>
        <v>0</v>
      </c>
      <c r="K209" s="14"/>
      <c r="L209" s="25"/>
      <c r="M209" s="80" t="str">
        <f t="shared" si="17"/>
        <v>nein</v>
      </c>
      <c r="N209">
        <f t="shared" si="15"/>
        <v>2021</v>
      </c>
    </row>
    <row r="210" spans="1:14" ht="15" hidden="1" customHeight="1" x14ac:dyDescent="0.3">
      <c r="A210" s="105">
        <f t="shared" si="14"/>
        <v>29</v>
      </c>
      <c r="B210" s="22">
        <v>44401</v>
      </c>
      <c r="C210" s="16" t="s">
        <v>8</v>
      </c>
      <c r="D210" s="17" t="s">
        <v>30</v>
      </c>
      <c r="E210" s="24">
        <f>IF(VLOOKUP(D210,Budget!A:B,2,FALSE)&lt;&gt;0,IF(G210=0,24,24-G210),0)</f>
        <v>0</v>
      </c>
      <c r="F210" s="17"/>
      <c r="G210" s="17"/>
      <c r="H210" s="86">
        <f>IF(E210=0,0,IF(M210="ja",(VLOOKUP(D210,Budget!A:F,6,FALSE)*(E210-(VLOOKUP(D210,Budget!A:F,3,FALSE)))),VLOOKUP($D210,Budget!$A$1:$F$19,6,FALSE)*E210))</f>
        <v>0</v>
      </c>
      <c r="I210" s="86">
        <f>IF(F210=0,0,IF(M210="ja",((VLOOKUP(F210,Budget!A:F,6,FALSE)*(E210-(VLOOKUP(F210,Budget!A:F,3,FALSE))))),VLOOKUP($D210,Budget!A:F,5,FALSE)*E210))</f>
        <v>0</v>
      </c>
      <c r="J210" s="86">
        <f t="shared" si="16"/>
        <v>0</v>
      </c>
      <c r="K210" s="18"/>
      <c r="L210" s="75"/>
      <c r="M210" s="76" t="str">
        <f t="shared" si="17"/>
        <v>nein</v>
      </c>
      <c r="N210">
        <f t="shared" si="15"/>
        <v>2021</v>
      </c>
    </row>
    <row r="211" spans="1:14" ht="15.75" hidden="1" customHeight="1" thickBot="1" x14ac:dyDescent="0.35">
      <c r="A211" s="105">
        <f t="shared" si="14"/>
        <v>29</v>
      </c>
      <c r="B211" s="27">
        <v>44402</v>
      </c>
      <c r="C211" s="19" t="s">
        <v>9</v>
      </c>
      <c r="D211" s="20" t="s">
        <v>18</v>
      </c>
      <c r="E211" s="20">
        <f>IF(VLOOKUP(D211,Budget!A:B,2,FALSE)&lt;&gt;0,IF(G211=0,24,24-G211),0)</f>
        <v>24</v>
      </c>
      <c r="F211" s="20"/>
      <c r="G211" s="20"/>
      <c r="H211" s="93">
        <f>IF(E211=0,0,IF(M211="ja",(VLOOKUP(D211,Budget!A:F,6,FALSE)*(E211-(VLOOKUP(D211,Budget!A:F,3,FALSE)))),VLOOKUP($D211,Budget!$A$1:$F$19,6,FALSE)*E211))</f>
        <v>25200</v>
      </c>
      <c r="I211" s="93">
        <f>IF(F211=0,0,IF(M211="ja",((VLOOKUP(F211,Budget!A:F,6,FALSE)*(E211-(VLOOKUP(F211,Budget!A:F,3,FALSE))))),VLOOKUP($D211,Budget!A:F,5,FALSE)*E211))</f>
        <v>0</v>
      </c>
      <c r="J211" s="87">
        <f t="shared" si="16"/>
        <v>25200</v>
      </c>
      <c r="K211" s="21"/>
      <c r="L211" s="99"/>
      <c r="M211" s="77" t="str">
        <f t="shared" si="17"/>
        <v>ja</v>
      </c>
      <c r="N211">
        <f t="shared" si="15"/>
        <v>2021</v>
      </c>
    </row>
    <row r="212" spans="1:14" ht="15" hidden="1" customHeight="1" x14ac:dyDescent="0.3">
      <c r="A212" s="104">
        <f t="shared" si="14"/>
        <v>30</v>
      </c>
      <c r="B212" s="22">
        <v>44403</v>
      </c>
      <c r="C212" s="10" t="s">
        <v>3</v>
      </c>
      <c r="D212" s="12" t="s">
        <v>18</v>
      </c>
      <c r="E212" s="13">
        <f>IF(VLOOKUP(D212,Budget!A:B,2,FALSE)&lt;&gt;0,IF(G212=0,24,24-G212),0)</f>
        <v>24</v>
      </c>
      <c r="F212" s="13"/>
      <c r="G212" s="13"/>
      <c r="H212" s="85">
        <f>IF(E212=0,0,IF(M212="ja",(VLOOKUP(D212,Budget!A:F,6,FALSE)*(E212-(VLOOKUP(D212,Budget!A:F,3,FALSE)))),VLOOKUP($D212,Budget!$A$1:$F$19,6,FALSE)*E212))</f>
        <v>28800</v>
      </c>
      <c r="I212" s="85">
        <f>IF(F212=0,0,IF(M212="ja",((VLOOKUP(F212,Budget!A:F,6,FALSE)*(E212-(VLOOKUP(F212,Budget!A:F,3,FALSE))))),VLOOKUP($D212,Budget!A:F,5,FALSE)*E212))</f>
        <v>0</v>
      </c>
      <c r="J212" s="85">
        <f t="shared" si="16"/>
        <v>28800</v>
      </c>
      <c r="K212" s="15"/>
      <c r="L212" s="72"/>
      <c r="M212" s="80" t="str">
        <f t="shared" si="17"/>
        <v>nein</v>
      </c>
      <c r="N212">
        <f t="shared" si="15"/>
        <v>2021</v>
      </c>
    </row>
    <row r="213" spans="1:14" ht="15" hidden="1" customHeight="1" x14ac:dyDescent="0.3">
      <c r="A213" s="105">
        <f t="shared" si="14"/>
        <v>30</v>
      </c>
      <c r="B213" s="22">
        <v>44404</v>
      </c>
      <c r="C213" s="11" t="s">
        <v>4</v>
      </c>
      <c r="D213" s="12" t="s">
        <v>30</v>
      </c>
      <c r="E213" s="13">
        <f>IF(VLOOKUP(D213,Budget!A:B,2,FALSE)&lt;&gt;0,IF(G213=0,24,24-G213),0)</f>
        <v>0</v>
      </c>
      <c r="G213" s="13"/>
      <c r="H213" s="85">
        <f>IF(E213=0,0,IF(M213="ja",(VLOOKUP(D213,Budget!A:F,6,FALSE)*(E213-(VLOOKUP(D213,Budget!A:F,3,FALSE)))),VLOOKUP($D213,Budget!$A$1:$F$19,6,FALSE)*E213))</f>
        <v>0</v>
      </c>
      <c r="I213" s="85">
        <f>IF(F213=0,0,IF(M213="ja",((VLOOKUP(F213,Budget!A:F,6,FALSE)*(E213-(VLOOKUP(F213,Budget!A:F,3,FALSE))))),VLOOKUP($D213,Budget!A:F,5,FALSE)*E213))</f>
        <v>0</v>
      </c>
      <c r="J213" s="85">
        <f t="shared" si="16"/>
        <v>0</v>
      </c>
      <c r="K213" s="14"/>
      <c r="L213" s="97"/>
      <c r="M213" s="80" t="str">
        <f t="shared" si="17"/>
        <v>nein</v>
      </c>
      <c r="N213">
        <f t="shared" si="15"/>
        <v>2021</v>
      </c>
    </row>
    <row r="214" spans="1:14" ht="15" hidden="1" customHeight="1" x14ac:dyDescent="0.3">
      <c r="A214" s="105">
        <f t="shared" si="14"/>
        <v>30</v>
      </c>
      <c r="B214" s="22">
        <v>44405</v>
      </c>
      <c r="C214" s="11" t="s">
        <v>5</v>
      </c>
      <c r="D214" s="12" t="s">
        <v>69</v>
      </c>
      <c r="E214" s="13">
        <f>IF(VLOOKUP(D214,Budget!A:B,2,FALSE)&lt;&gt;0,IF(G214=0,24,24-G214),0)</f>
        <v>24</v>
      </c>
      <c r="G214" s="13"/>
      <c r="H214" s="85">
        <f>IF(E214=0,0,IF(M214="ja",(VLOOKUP(D214,Budget!A:F,6,FALSE)*(E214-(VLOOKUP(D214,Budget!A:F,3,FALSE)))),VLOOKUP($D214,Budget!$A$1:$F$19,6,FALSE)*E214))</f>
        <v>38269.757143831848</v>
      </c>
      <c r="I214" s="85">
        <f>IF(F214=0,0,IF(M214="ja",((VLOOKUP(F214,Budget!A:F,6,FALSE)*(E214-(VLOOKUP(F214,Budget!A:F,3,FALSE))))),VLOOKUP($D214,Budget!A:F,5,FALSE)*E214))</f>
        <v>0</v>
      </c>
      <c r="J214" s="85">
        <f t="shared" si="16"/>
        <v>38269.757143831848</v>
      </c>
      <c r="K214" s="14"/>
      <c r="L214" s="97"/>
      <c r="M214" s="80" t="str">
        <f t="shared" si="17"/>
        <v>ja</v>
      </c>
      <c r="N214">
        <f t="shared" si="15"/>
        <v>2021</v>
      </c>
    </row>
    <row r="215" spans="1:14" ht="15" hidden="1" customHeight="1" x14ac:dyDescent="0.3">
      <c r="A215" s="103">
        <f t="shared" si="14"/>
        <v>30</v>
      </c>
      <c r="B215" s="22">
        <v>44406</v>
      </c>
      <c r="C215" s="11" t="s">
        <v>6</v>
      </c>
      <c r="D215" s="12" t="s">
        <v>69</v>
      </c>
      <c r="E215" s="13">
        <f>IF(VLOOKUP(D215,Budget!A:B,2,FALSE)&lt;&gt;0,IF(G215=0,24,24-G215),0)</f>
        <v>24</v>
      </c>
      <c r="G215" s="13"/>
      <c r="H215" s="85">
        <f>IF(E215=0,0,IF(M215="ja",(VLOOKUP(D215,Budget!A:F,6,FALSE)*(E215-(VLOOKUP(D215,Budget!A:F,3,FALSE)))),VLOOKUP($D215,Budget!$A$1:$F$19,6,FALSE)*E215))</f>
        <v>42919.35380616656</v>
      </c>
      <c r="I215" s="85">
        <f>IF(F215=0,0,IF(M215="ja",((VLOOKUP(F215,Budget!A:F,6,FALSE)*(E215-(VLOOKUP(F215,Budget!A:F,3,FALSE))))),VLOOKUP($D215,Budget!A:F,5,FALSE)*E215))</f>
        <v>0</v>
      </c>
      <c r="J215" s="85">
        <f t="shared" si="16"/>
        <v>42919.35380616656</v>
      </c>
      <c r="K215" s="14"/>
      <c r="L215" s="73"/>
      <c r="M215" s="80" t="str">
        <f t="shared" si="17"/>
        <v>nein</v>
      </c>
      <c r="N215">
        <f t="shared" si="15"/>
        <v>2021</v>
      </c>
    </row>
    <row r="216" spans="1:14" ht="15" hidden="1" customHeight="1" x14ac:dyDescent="0.3">
      <c r="A216" s="105">
        <f t="shared" si="14"/>
        <v>30</v>
      </c>
      <c r="B216" s="22">
        <v>44407</v>
      </c>
      <c r="C216" s="11" t="s">
        <v>7</v>
      </c>
      <c r="D216" s="12" t="s">
        <v>69</v>
      </c>
      <c r="E216" s="13">
        <f>IF(VLOOKUP(D216,Budget!A:B,2,FALSE)&lt;&gt;0,IF(G216=0,24,24-G216),0)</f>
        <v>24</v>
      </c>
      <c r="G216" s="13"/>
      <c r="H216" s="85">
        <f>IF(E216=0,0,IF(M216="ja",(VLOOKUP(D216,Budget!A:F,6,FALSE)*(E216-(VLOOKUP(D216,Budget!A:F,3,FALSE)))),VLOOKUP($D216,Budget!$A$1:$F$19,6,FALSE)*E216))</f>
        <v>42919.35380616656</v>
      </c>
      <c r="I216" s="85">
        <f>IF(F216=0,0,IF(M216="ja",((VLOOKUP(F216,Budget!A:F,6,FALSE)*(E216-(VLOOKUP(F216,Budget!A:F,3,FALSE))))),VLOOKUP($D216,Budget!A:F,5,FALSE)*E216))</f>
        <v>0</v>
      </c>
      <c r="J216" s="85">
        <f t="shared" si="16"/>
        <v>42919.35380616656</v>
      </c>
      <c r="K216" s="14"/>
      <c r="L216" s="73"/>
      <c r="M216" s="80" t="str">
        <f t="shared" si="17"/>
        <v>nein</v>
      </c>
      <c r="N216">
        <f t="shared" si="15"/>
        <v>2021</v>
      </c>
    </row>
    <row r="217" spans="1:14" ht="15" hidden="1" customHeight="1" x14ac:dyDescent="0.3">
      <c r="A217" s="105">
        <f t="shared" si="14"/>
        <v>30</v>
      </c>
      <c r="B217" s="22">
        <v>44408</v>
      </c>
      <c r="C217" s="16" t="s">
        <v>8</v>
      </c>
      <c r="D217" s="17" t="s">
        <v>69</v>
      </c>
      <c r="E217" s="24">
        <f>IF(VLOOKUP(D217,Budget!A:B,2,FALSE)&lt;&gt;0,IF(G217=0,24,24-G217),0)</f>
        <v>24</v>
      </c>
      <c r="F217" s="17"/>
      <c r="G217" s="17"/>
      <c r="H217" s="86">
        <f>IF(E217=0,0,IF(M217="ja",(VLOOKUP(D217,Budget!A:F,6,FALSE)*(E217-(VLOOKUP(D217,Budget!A:F,3,FALSE)))),VLOOKUP($D217,Budget!$A$1:$F$19,6,FALSE)*E217))</f>
        <v>42919.35380616656</v>
      </c>
      <c r="I217" s="86">
        <f>IF(F217=0,0,IF(M217="ja",((VLOOKUP(F217,Budget!A:F,6,FALSE)*(E217-(VLOOKUP(F217,Budget!A:F,3,FALSE))))),VLOOKUP($D217,Budget!A:F,5,FALSE)*E217))</f>
        <v>0</v>
      </c>
      <c r="J217" s="86">
        <f t="shared" si="16"/>
        <v>42919.35380616656</v>
      </c>
      <c r="K217" s="18"/>
      <c r="L217" s="75"/>
      <c r="M217" s="76" t="str">
        <f t="shared" si="17"/>
        <v>nein</v>
      </c>
      <c r="N217">
        <f t="shared" si="15"/>
        <v>2021</v>
      </c>
    </row>
    <row r="218" spans="1:14" ht="15.75" hidden="1" customHeight="1" thickBot="1" x14ac:dyDescent="0.35">
      <c r="A218" s="105">
        <f t="shared" si="14"/>
        <v>30</v>
      </c>
      <c r="B218" s="27">
        <v>44409</v>
      </c>
      <c r="C218" s="19" t="s">
        <v>9</v>
      </c>
      <c r="D218" s="20" t="s">
        <v>69</v>
      </c>
      <c r="E218" s="20">
        <f>IF(VLOOKUP(D218,Budget!A:B,2,FALSE)&lt;&gt;0,IF(G218=0,24,24-G218),0)</f>
        <v>24</v>
      </c>
      <c r="F218" s="20"/>
      <c r="G218" s="20"/>
      <c r="H218" s="93">
        <f>IF(E218=0,0,IF(M218="ja",(VLOOKUP(D218,Budget!A:F,6,FALSE)*(E218-(VLOOKUP(D218,Budget!A:F,3,FALSE)))),VLOOKUP($D218,Budget!$A$1:$F$19,6,FALSE)*E218))</f>
        <v>42919.35380616656</v>
      </c>
      <c r="I218" s="93">
        <f>IF(F218=0,0,IF(M218="ja",((VLOOKUP(F218,Budget!A:F,6,FALSE)*(E218-(VLOOKUP(F218,Budget!A:F,3,FALSE))))),VLOOKUP($D218,Budget!A:F,5,FALSE)*E218))</f>
        <v>0</v>
      </c>
      <c r="J218" s="87">
        <f t="shared" si="16"/>
        <v>42919.35380616656</v>
      </c>
      <c r="K218" s="21"/>
      <c r="L218" s="74"/>
      <c r="M218" s="77" t="str">
        <f t="shared" si="17"/>
        <v>nein</v>
      </c>
      <c r="N218">
        <f t="shared" si="15"/>
        <v>2021</v>
      </c>
    </row>
    <row r="219" spans="1:14" ht="15" hidden="1" customHeight="1" x14ac:dyDescent="0.3">
      <c r="A219" s="104">
        <f t="shared" si="14"/>
        <v>31</v>
      </c>
      <c r="B219" s="22">
        <v>44410</v>
      </c>
      <c r="C219" s="10" t="s">
        <v>3</v>
      </c>
      <c r="D219" s="12" t="s">
        <v>69</v>
      </c>
      <c r="E219" s="13">
        <f>IF(VLOOKUP(D219,Budget!A:B,2,FALSE)&lt;&gt;0,IF(G219=0,24,24-G219),0)</f>
        <v>24</v>
      </c>
      <c r="F219" s="13"/>
      <c r="G219" s="13"/>
      <c r="H219" s="85">
        <f>IF(E219=0,0,IF(M219="ja",(VLOOKUP(D219,Budget!A:F,6,FALSE)*(E219-(VLOOKUP(D219,Budget!A:F,3,FALSE)))),VLOOKUP($D219,Budget!$A$1:$F$19,6,FALSE)*E219))</f>
        <v>42919.35380616656</v>
      </c>
      <c r="I219" s="85">
        <f>IF(F219=0,0,IF(M219="ja",((VLOOKUP(F219,Budget!A:F,6,FALSE)*(E219-(VLOOKUP(F219,Budget!A:F,3,FALSE))))),VLOOKUP($D219,Budget!A:F,5,FALSE)*E219))</f>
        <v>0</v>
      </c>
      <c r="J219" s="85">
        <f t="shared" si="16"/>
        <v>42919.35380616656</v>
      </c>
      <c r="K219" s="15"/>
      <c r="L219" s="25"/>
      <c r="M219" s="80" t="str">
        <f t="shared" si="17"/>
        <v>nein</v>
      </c>
      <c r="N219">
        <f t="shared" si="15"/>
        <v>2021</v>
      </c>
    </row>
    <row r="220" spans="1:14" ht="15" hidden="1" customHeight="1" x14ac:dyDescent="0.3">
      <c r="A220" s="105">
        <f t="shared" si="14"/>
        <v>31</v>
      </c>
      <c r="B220" s="22">
        <v>44411</v>
      </c>
      <c r="C220" s="11" t="s">
        <v>4</v>
      </c>
      <c r="D220" s="12" t="s">
        <v>69</v>
      </c>
      <c r="E220" s="13">
        <f>IF(VLOOKUP(D220,Budget!A:B,2,FALSE)&lt;&gt;0,IF(G220=0,24,24-G220),0)</f>
        <v>24</v>
      </c>
      <c r="G220" s="13"/>
      <c r="H220" s="85">
        <f>IF(E220=0,0,IF(M220="ja",(VLOOKUP(D220,Budget!A:F,6,FALSE)*(E220-(VLOOKUP(D220,Budget!A:F,3,FALSE)))),VLOOKUP($D220,Budget!$A$1:$F$19,6,FALSE)*E220))</f>
        <v>42919.35380616656</v>
      </c>
      <c r="I220" s="85">
        <f>IF(F220=0,0,IF(M220="ja",((VLOOKUP(F220,Budget!A:F,6,FALSE)*(E220-(VLOOKUP(F220,Budget!A:F,3,FALSE))))),VLOOKUP($D220,Budget!A:F,5,FALSE)*E220))</f>
        <v>0</v>
      </c>
      <c r="J220" s="85">
        <f t="shared" si="16"/>
        <v>42919.35380616656</v>
      </c>
      <c r="K220" s="14"/>
      <c r="L220" s="73"/>
      <c r="M220" s="80" t="str">
        <f t="shared" si="17"/>
        <v>nein</v>
      </c>
      <c r="N220">
        <f t="shared" si="15"/>
        <v>2021</v>
      </c>
    </row>
    <row r="221" spans="1:14" ht="15" hidden="1" customHeight="1" x14ac:dyDescent="0.3">
      <c r="A221" s="105">
        <f t="shared" si="14"/>
        <v>31</v>
      </c>
      <c r="B221" s="22">
        <v>44412</v>
      </c>
      <c r="C221" s="11" t="s">
        <v>5</v>
      </c>
      <c r="D221" s="12" t="s">
        <v>69</v>
      </c>
      <c r="E221" s="13">
        <f>IF(VLOOKUP(D221,Budget!A:B,2,FALSE)&lt;&gt;0,IF(G221=0,24,24-G221),0)</f>
        <v>24</v>
      </c>
      <c r="G221" s="13"/>
      <c r="H221" s="85">
        <f>IF(E221=0,0,IF(M221="ja",(VLOOKUP(D221,Budget!A:F,6,FALSE)*(E221-(VLOOKUP(D221,Budget!A:F,3,FALSE)))),VLOOKUP($D221,Budget!$A$1:$F$19,6,FALSE)*E221))</f>
        <v>42919.35380616656</v>
      </c>
      <c r="I221" s="85">
        <f>IF(F221=0,0,IF(M221="ja",((VLOOKUP(F221,Budget!A:F,6,FALSE)*(E221-(VLOOKUP(F221,Budget!A:F,3,FALSE))))),VLOOKUP($D221,Budget!A:F,5,FALSE)*E221))</f>
        <v>0</v>
      </c>
      <c r="J221" s="85">
        <f t="shared" si="16"/>
        <v>42919.35380616656</v>
      </c>
      <c r="K221" s="14"/>
      <c r="L221" s="25"/>
      <c r="M221" s="80" t="str">
        <f t="shared" si="17"/>
        <v>nein</v>
      </c>
      <c r="N221">
        <f t="shared" si="15"/>
        <v>2021</v>
      </c>
    </row>
    <row r="222" spans="1:14" ht="15" hidden="1" customHeight="1" x14ac:dyDescent="0.3">
      <c r="A222" s="103">
        <f t="shared" si="14"/>
        <v>31</v>
      </c>
      <c r="B222" s="22">
        <v>44413</v>
      </c>
      <c r="C222" s="11" t="s">
        <v>6</v>
      </c>
      <c r="D222" s="12" t="s">
        <v>69</v>
      </c>
      <c r="E222" s="13">
        <f>IF(VLOOKUP(D222,Budget!A:B,2,FALSE)&lt;&gt;0,IF(G222=0,24,24-G222),0)</f>
        <v>24</v>
      </c>
      <c r="G222" s="13"/>
      <c r="H222" s="85">
        <f>IF(E222=0,0,IF(M222="ja",(VLOOKUP(D222,Budget!A:F,6,FALSE)*(E222-(VLOOKUP(D222,Budget!A:F,3,FALSE)))),VLOOKUP($D222,Budget!$A$1:$F$19,6,FALSE)*E222))</f>
        <v>42919.35380616656</v>
      </c>
      <c r="I222" s="85">
        <f>IF(F222=0,0,IF(M222="ja",((VLOOKUP(F222,Budget!A:F,6,FALSE)*(E222-(VLOOKUP(F222,Budget!A:F,3,FALSE))))),VLOOKUP($D222,Budget!A:F,5,FALSE)*E222))</f>
        <v>0</v>
      </c>
      <c r="J222" s="85">
        <f t="shared" si="16"/>
        <v>42919.35380616656</v>
      </c>
      <c r="K222" s="14"/>
      <c r="L222" s="73"/>
      <c r="M222" s="80" t="str">
        <f t="shared" si="17"/>
        <v>nein</v>
      </c>
      <c r="N222">
        <f t="shared" si="15"/>
        <v>2021</v>
      </c>
    </row>
    <row r="223" spans="1:14" ht="15" hidden="1" customHeight="1" x14ac:dyDescent="0.3">
      <c r="A223" s="105">
        <f t="shared" si="14"/>
        <v>31</v>
      </c>
      <c r="B223" s="22">
        <v>44414</v>
      </c>
      <c r="C223" s="11" t="s">
        <v>7</v>
      </c>
      <c r="D223" s="12" t="s">
        <v>11</v>
      </c>
      <c r="E223" s="13">
        <f>IF(VLOOKUP(D223,Budget!A:B,2,FALSE)&lt;&gt;0,IF(G223=0,24,24-G223),0)</f>
        <v>24</v>
      </c>
      <c r="G223" s="13"/>
      <c r="H223" s="85">
        <f>IF(E223=0,0,IF(M223="ja",(VLOOKUP(D223,Budget!A:F,6,FALSE)*(E223-(VLOOKUP(D223,Budget!A:F,3,FALSE)))),VLOOKUP($D223,Budget!$A$1:$F$19,6,FALSE)*E223))</f>
        <v>30030</v>
      </c>
      <c r="I223" s="85">
        <f>IF(F223=0,0,IF(M223="ja",((VLOOKUP(F223,Budget!A:F,6,FALSE)*(E223-(VLOOKUP(F223,Budget!A:F,3,FALSE))))),VLOOKUP($D223,Budget!A:F,5,FALSE)*E223))</f>
        <v>0</v>
      </c>
      <c r="J223" s="85">
        <f t="shared" si="16"/>
        <v>30030</v>
      </c>
      <c r="K223" s="14"/>
      <c r="L223" s="25"/>
      <c r="M223" s="80" t="str">
        <f t="shared" si="17"/>
        <v>ja</v>
      </c>
      <c r="N223">
        <f t="shared" si="15"/>
        <v>2021</v>
      </c>
    </row>
    <row r="224" spans="1:14" ht="15" hidden="1" customHeight="1" x14ac:dyDescent="0.3">
      <c r="A224" s="105">
        <f t="shared" si="14"/>
        <v>31</v>
      </c>
      <c r="B224" s="22">
        <v>44415</v>
      </c>
      <c r="C224" s="16" t="s">
        <v>8</v>
      </c>
      <c r="D224" s="17" t="s">
        <v>11</v>
      </c>
      <c r="E224" s="24">
        <f>IF(VLOOKUP(D224,Budget!A:B,2,FALSE)&lt;&gt;0,IF(G224=0,24,24-G224),0)</f>
        <v>24</v>
      </c>
      <c r="F224" s="17"/>
      <c r="G224" s="17"/>
      <c r="H224" s="86">
        <f>IF(E224=0,0,IF(M224="ja",(VLOOKUP(D224,Budget!A:F,6,FALSE)*(E224-(VLOOKUP(D224,Budget!A:F,3,FALSE)))),VLOOKUP($D224,Budget!$A$1:$F$19,6,FALSE)*E224))</f>
        <v>36960</v>
      </c>
      <c r="I224" s="86">
        <f>IF(F224=0,0,IF(M224="ja",((VLOOKUP(F224,Budget!A:F,6,FALSE)*(E224-(VLOOKUP(F224,Budget!A:F,3,FALSE))))),VLOOKUP($D224,Budget!A:F,5,FALSE)*E224))</f>
        <v>0</v>
      </c>
      <c r="J224" s="86">
        <f t="shared" si="16"/>
        <v>36960</v>
      </c>
      <c r="K224" s="18"/>
      <c r="L224" s="75"/>
      <c r="M224" s="76" t="str">
        <f t="shared" si="17"/>
        <v>nein</v>
      </c>
      <c r="N224">
        <f t="shared" si="15"/>
        <v>2021</v>
      </c>
    </row>
    <row r="225" spans="1:14" ht="15.75" hidden="1" customHeight="1" thickBot="1" x14ac:dyDescent="0.35">
      <c r="A225" s="105">
        <f t="shared" si="14"/>
        <v>31</v>
      </c>
      <c r="B225" s="27">
        <v>44416</v>
      </c>
      <c r="C225" s="19" t="s">
        <v>9</v>
      </c>
      <c r="D225" s="20" t="s">
        <v>11</v>
      </c>
      <c r="E225" s="20">
        <f>IF(VLOOKUP(D225,Budget!A:B,2,FALSE)&lt;&gt;0,IF(G225=0,24,24-G225),0)</f>
        <v>24</v>
      </c>
      <c r="F225" s="20"/>
      <c r="G225" s="20"/>
      <c r="H225" s="93">
        <f>IF(E225=0,0,IF(M225="ja",(VLOOKUP(D225,Budget!A:F,6,FALSE)*(E225-(VLOOKUP(D225,Budget!A:F,3,FALSE)))),VLOOKUP($D225,Budget!$A$1:$F$19,6,FALSE)*E225))</f>
        <v>36960</v>
      </c>
      <c r="I225" s="93">
        <f>IF(F225=0,0,IF(M225="ja",((VLOOKUP(F225,Budget!A:F,6,FALSE)*(E225-(VLOOKUP(F225,Budget!A:F,3,FALSE))))),VLOOKUP($D225,Budget!A:F,5,FALSE)*E225))</f>
        <v>0</v>
      </c>
      <c r="J225" s="87">
        <f t="shared" si="16"/>
        <v>36960</v>
      </c>
      <c r="K225" s="21"/>
      <c r="L225" s="74"/>
      <c r="M225" s="77" t="str">
        <f t="shared" si="17"/>
        <v>nein</v>
      </c>
      <c r="N225">
        <f t="shared" si="15"/>
        <v>2021</v>
      </c>
    </row>
    <row r="226" spans="1:14" ht="15" hidden="1" customHeight="1" x14ac:dyDescent="0.3">
      <c r="A226" s="104">
        <f t="shared" si="14"/>
        <v>32</v>
      </c>
      <c r="B226" s="22">
        <v>44417</v>
      </c>
      <c r="C226" s="10" t="s">
        <v>3</v>
      </c>
      <c r="D226" s="12" t="s">
        <v>69</v>
      </c>
      <c r="E226" s="13">
        <f>IF(VLOOKUP(D226,Budget!A:B,2,FALSE)&lt;&gt;0,IF(G226=0,24,24-G226),0)</f>
        <v>24</v>
      </c>
      <c r="F226" s="13"/>
      <c r="G226" s="13"/>
      <c r="H226" s="85">
        <f>IF(E226=0,0,IF(M226="ja",(VLOOKUP(D226,Budget!A:F,6,FALSE)*(E226-(VLOOKUP(D226,Budget!A:F,3,FALSE)))),VLOOKUP($D226,Budget!$A$1:$F$19,6,FALSE)*E226))</f>
        <v>38269.757143831848</v>
      </c>
      <c r="I226" s="85">
        <f>IF(F226=0,0,IF(M226="ja",((VLOOKUP(F226,Budget!A:F,6,FALSE)*(E226-(VLOOKUP(F226,Budget!A:F,3,FALSE))))),VLOOKUP($D226,Budget!A:F,5,FALSE)*E226))</f>
        <v>0</v>
      </c>
      <c r="J226" s="85">
        <f t="shared" si="16"/>
        <v>38269.757143831848</v>
      </c>
      <c r="K226" s="15"/>
      <c r="L226" s="72"/>
      <c r="M226" s="80" t="str">
        <f t="shared" si="17"/>
        <v>ja</v>
      </c>
      <c r="N226">
        <f t="shared" si="15"/>
        <v>2021</v>
      </c>
    </row>
    <row r="227" spans="1:14" ht="15" hidden="1" customHeight="1" x14ac:dyDescent="0.3">
      <c r="A227" s="105">
        <f t="shared" si="14"/>
        <v>32</v>
      </c>
      <c r="B227" s="22">
        <v>44418</v>
      </c>
      <c r="C227" s="11" t="s">
        <v>4</v>
      </c>
      <c r="D227" s="12" t="s">
        <v>69</v>
      </c>
      <c r="E227" s="13">
        <f>IF(VLOOKUP(D227,Budget!A:B,2,FALSE)&lt;&gt;0,IF(G227=0,24,24-G227),0)</f>
        <v>24</v>
      </c>
      <c r="G227" s="13"/>
      <c r="H227" s="85">
        <f>IF(E227=0,0,IF(M227="ja",(VLOOKUP(D227,Budget!A:F,6,FALSE)*(E227-(VLOOKUP(D227,Budget!A:F,3,FALSE)))),VLOOKUP($D227,Budget!$A$1:$F$19,6,FALSE)*E227))</f>
        <v>42919.35380616656</v>
      </c>
      <c r="I227" s="85">
        <f>IF(F227=0,0,IF(M227="ja",((VLOOKUP(F227,Budget!A:F,6,FALSE)*(E227-(VLOOKUP(F227,Budget!A:F,3,FALSE))))),VLOOKUP($D227,Budget!A:F,5,FALSE)*E227))</f>
        <v>0</v>
      </c>
      <c r="J227" s="85">
        <f t="shared" si="16"/>
        <v>42919.35380616656</v>
      </c>
      <c r="K227" s="14"/>
      <c r="L227" s="73"/>
      <c r="M227" s="80" t="str">
        <f t="shared" si="17"/>
        <v>nein</v>
      </c>
      <c r="N227">
        <f t="shared" si="15"/>
        <v>2021</v>
      </c>
    </row>
    <row r="228" spans="1:14" ht="15" hidden="1" customHeight="1" x14ac:dyDescent="0.3">
      <c r="A228" s="105">
        <f t="shared" si="14"/>
        <v>32</v>
      </c>
      <c r="B228" s="22">
        <v>44419</v>
      </c>
      <c r="C228" s="11" t="s">
        <v>5</v>
      </c>
      <c r="D228" s="12" t="s">
        <v>69</v>
      </c>
      <c r="E228" s="13">
        <v>24</v>
      </c>
      <c r="G228" s="13"/>
      <c r="H228" s="85">
        <f>IF(E228=0,0,IF(M228="ja",(VLOOKUP(D228,Budget!A:F,6,FALSE)*(E228-(VLOOKUP(D228,Budget!A:F,3,FALSE)))),VLOOKUP($D228,Budget!$A$1:$F$19,6,FALSE)*E228))</f>
        <v>42919.35380616656</v>
      </c>
      <c r="I228" s="85">
        <f>IF(F228=0,0,IF(M228="ja",((VLOOKUP(F228,Budget!A:F,6,FALSE)*(E228-(VLOOKUP(F228,Budget!A:F,3,FALSE))))),VLOOKUP($D228,Budget!A:F,5,FALSE)*E228))</f>
        <v>0</v>
      </c>
      <c r="J228" s="85">
        <f t="shared" si="16"/>
        <v>42919.35380616656</v>
      </c>
      <c r="K228" s="14"/>
      <c r="L228" s="73" t="s">
        <v>78</v>
      </c>
      <c r="M228" s="80" t="str">
        <f>IF(E228=0,"nein",IF(OR(E228&lt;&gt;24,F227&lt;&gt;0,D228&lt;&gt;D227),"ja","nein"))</f>
        <v>nein</v>
      </c>
      <c r="N228">
        <f t="shared" si="15"/>
        <v>2021</v>
      </c>
    </row>
    <row r="229" spans="1:14" ht="15" hidden="1" customHeight="1" x14ac:dyDescent="0.3">
      <c r="A229" s="103">
        <f t="shared" si="14"/>
        <v>32</v>
      </c>
      <c r="B229" s="22">
        <v>44420</v>
      </c>
      <c r="C229" s="11" t="s">
        <v>6</v>
      </c>
      <c r="D229" s="12" t="s">
        <v>69</v>
      </c>
      <c r="E229" s="13">
        <f>IF(VLOOKUP(D229,Budget!A:B,2,FALSE)&lt;&gt;0,IF(G229=0,24,24-G229),0)</f>
        <v>24</v>
      </c>
      <c r="G229" s="13"/>
      <c r="H229" s="85">
        <f>IF(E229=0,0,IF(M229="ja",(VLOOKUP(D229,Budget!A:F,6,FALSE)*(E229-(VLOOKUP(D229,Budget!A:F,3,FALSE)))),VLOOKUP($D229,Budget!$A$1:$F$19,6,FALSE)*E229))</f>
        <v>42919.35380616656</v>
      </c>
      <c r="I229" s="85">
        <f>IF(F229=0,0,IF(M229="ja",((VLOOKUP(F229,Budget!A:F,6,FALSE)*(E229-(VLOOKUP(F229,Budget!A:F,3,FALSE))))),VLOOKUP($D229,Budget!A:F,5,FALSE)*E229))</f>
        <v>0</v>
      </c>
      <c r="J229" s="85">
        <f t="shared" si="16"/>
        <v>42919.35380616656</v>
      </c>
      <c r="K229" s="14"/>
      <c r="L229" s="73" t="s">
        <v>78</v>
      </c>
      <c r="M229" s="80" t="str">
        <f>IF(E229=0,"nein",IF(OR(E229&lt;&gt;24,F228&lt;&gt;0,D229&lt;&gt;D228),"ja","nein"))</f>
        <v>nein</v>
      </c>
      <c r="N229">
        <f t="shared" si="15"/>
        <v>2021</v>
      </c>
    </row>
    <row r="230" spans="1:14" ht="15" hidden="1" customHeight="1" x14ac:dyDescent="0.3">
      <c r="A230" s="105">
        <f t="shared" si="14"/>
        <v>32</v>
      </c>
      <c r="B230" s="22">
        <v>44421</v>
      </c>
      <c r="C230" s="11" t="s">
        <v>7</v>
      </c>
      <c r="D230" s="12" t="s">
        <v>69</v>
      </c>
      <c r="E230" s="13">
        <f>IF(VLOOKUP(D230,Budget!A:B,2,FALSE)&lt;&gt;0,IF(G230=0,24,24-G230),0)</f>
        <v>24</v>
      </c>
      <c r="G230" s="13"/>
      <c r="H230" s="85">
        <f>IF(E230=0,0,IF(M230="ja",(VLOOKUP(D230,Budget!A:F,6,FALSE)*(E230-(VLOOKUP(D230,Budget!A:F,3,FALSE)))),VLOOKUP($D230,Budget!$A$1:$F$19,6,FALSE)*E230))</f>
        <v>42919.35380616656</v>
      </c>
      <c r="I230" s="85">
        <f>IF(F230=0,0,IF(M230="ja",((VLOOKUP(F230,Budget!A:F,6,FALSE)*(E230-(VLOOKUP(F230,Budget!A:F,3,FALSE))))),VLOOKUP($D230,Budget!A:F,5,FALSE)*E230))</f>
        <v>0</v>
      </c>
      <c r="J230" s="85">
        <f t="shared" si="16"/>
        <v>42919.35380616656</v>
      </c>
      <c r="K230" s="14"/>
      <c r="L230" s="25" t="s">
        <v>78</v>
      </c>
      <c r="M230" s="80" t="str">
        <f>IF(E230=0,"nein",IF(OR(E230&lt;&gt;24,F229&lt;&gt;0,D230&lt;&gt;D229),"ja","nein"))</f>
        <v>nein</v>
      </c>
      <c r="N230">
        <f t="shared" si="15"/>
        <v>2021</v>
      </c>
    </row>
    <row r="231" spans="1:14" ht="15" hidden="1" customHeight="1" x14ac:dyDescent="0.3">
      <c r="A231" s="105">
        <f t="shared" si="14"/>
        <v>32</v>
      </c>
      <c r="B231" s="22">
        <v>44422</v>
      </c>
      <c r="C231" s="16" t="s">
        <v>8</v>
      </c>
      <c r="D231" s="17" t="s">
        <v>69</v>
      </c>
      <c r="E231" s="24">
        <f>IF(VLOOKUP(D231,Budget!A:B,2,FALSE)&lt;&gt;0,IF(G231=0,24,24-G231),0)</f>
        <v>24</v>
      </c>
      <c r="F231" s="17"/>
      <c r="G231" s="17"/>
      <c r="H231" s="86">
        <f>IF(E231=0,0,IF(M231="ja",(VLOOKUP(D231,Budget!A:F,6,FALSE)*(E231-(VLOOKUP(D231,Budget!A:F,3,FALSE)))),VLOOKUP($D231,Budget!$A$1:$F$19,6,FALSE)*E231))</f>
        <v>42919.35380616656</v>
      </c>
      <c r="I231" s="86">
        <f>IF(F231=0,0,IF(M231="ja",((VLOOKUP(F231,Budget!A:F,6,FALSE)*(E231-(VLOOKUP(F231,Budget!A:F,3,FALSE))))),VLOOKUP($D231,Budget!A:F,5,FALSE)*E231))</f>
        <v>0</v>
      </c>
      <c r="J231" s="86">
        <f t="shared" si="16"/>
        <v>42919.35380616656</v>
      </c>
      <c r="K231" s="18"/>
      <c r="L231" s="75"/>
      <c r="M231" s="76" t="str">
        <f>IF(E231=0,"nein",IF(OR(E231&lt;&gt;24,F230&lt;&gt;0,D231&lt;&gt;D230),"ja","nein"))</f>
        <v>nein</v>
      </c>
      <c r="N231">
        <f t="shared" si="15"/>
        <v>2021</v>
      </c>
    </row>
    <row r="232" spans="1:14" ht="15.75" hidden="1" customHeight="1" thickBot="1" x14ac:dyDescent="0.35">
      <c r="A232" s="105">
        <f t="shared" si="14"/>
        <v>32</v>
      </c>
      <c r="B232" s="27">
        <v>44423</v>
      </c>
      <c r="C232" s="19" t="s">
        <v>9</v>
      </c>
      <c r="D232" s="20" t="s">
        <v>69</v>
      </c>
      <c r="E232" s="20">
        <f>IF(VLOOKUP(D232,Budget!A:B,2,FALSE)&lt;&gt;0,IF(G232=0,24,24-G232),0)</f>
        <v>24</v>
      </c>
      <c r="F232" s="20"/>
      <c r="G232" s="20"/>
      <c r="H232" s="93">
        <f>IF(E232=0,0,IF(M232="ja",(VLOOKUP(D232,Budget!A:F,6,FALSE)*(E232-(VLOOKUP(D232,Budget!A:F,3,FALSE)))),VLOOKUP($D232,Budget!$A$1:$F$19,6,FALSE)*E232))</f>
        <v>42919.35380616656</v>
      </c>
      <c r="I232" s="93">
        <f>IF(F232=0,0,IF(M232="ja",((VLOOKUP(F232,Budget!A:F,6,FALSE)*(E232-(VLOOKUP(F232,Budget!A:F,3,FALSE))))),VLOOKUP($D232,Budget!A:F,5,FALSE)*E232))</f>
        <v>0</v>
      </c>
      <c r="J232" s="87">
        <f t="shared" si="16"/>
        <v>42919.35380616656</v>
      </c>
      <c r="K232" s="21"/>
      <c r="L232" s="74"/>
      <c r="M232" s="77" t="str">
        <f t="shared" si="17"/>
        <v>nein</v>
      </c>
      <c r="N232">
        <f t="shared" si="15"/>
        <v>2021</v>
      </c>
    </row>
    <row r="233" spans="1:14" ht="15" hidden="1" customHeight="1" x14ac:dyDescent="0.3">
      <c r="A233" s="104">
        <f t="shared" si="14"/>
        <v>33</v>
      </c>
      <c r="B233" s="22">
        <v>44424</v>
      </c>
      <c r="C233" s="10" t="s">
        <v>3</v>
      </c>
      <c r="D233" s="12" t="s">
        <v>69</v>
      </c>
      <c r="E233" s="13">
        <f>IF(VLOOKUP(D233,Budget!A:B,2,FALSE)&lt;&gt;0,IF(G233=0,24,24-G233),0)</f>
        <v>24</v>
      </c>
      <c r="F233" s="13"/>
      <c r="G233" s="13"/>
      <c r="H233" s="85">
        <f>IF(E233=0,0,IF(M233="ja",(VLOOKUP(D233,Budget!A:F,6,FALSE)*(E233-(VLOOKUP(D233,Budget!A:F,3,FALSE)))),VLOOKUP($D233,Budget!$A$1:$F$19,6,FALSE)*E233))</f>
        <v>42919.35380616656</v>
      </c>
      <c r="I233" s="85">
        <f>IF(F233=0,0,IF(M233="ja",((VLOOKUP(F233,Budget!A:F,6,FALSE)*(E233-(VLOOKUP(F233,Budget!A:F,3,FALSE))))),VLOOKUP($D233,Budget!A:F,5,FALSE)*E233))</f>
        <v>0</v>
      </c>
      <c r="J233" s="85">
        <f t="shared" si="16"/>
        <v>42919.35380616656</v>
      </c>
      <c r="K233" s="15"/>
      <c r="L233" s="72"/>
      <c r="M233" s="80" t="str">
        <f t="shared" si="17"/>
        <v>nein</v>
      </c>
      <c r="N233">
        <f t="shared" si="15"/>
        <v>2021</v>
      </c>
    </row>
    <row r="234" spans="1:14" ht="15" hidden="1" customHeight="1" x14ac:dyDescent="0.3">
      <c r="A234" s="105">
        <f t="shared" si="14"/>
        <v>33</v>
      </c>
      <c r="B234" s="22">
        <v>44425</v>
      </c>
      <c r="C234" s="11" t="s">
        <v>4</v>
      </c>
      <c r="D234" s="12" t="s">
        <v>11</v>
      </c>
      <c r="E234" s="13">
        <f>IF(VLOOKUP(D234,Budget!A:B,2,FALSE)&lt;&gt;0,IF(G234=0,24,24-G234),0)</f>
        <v>24</v>
      </c>
      <c r="G234" s="13"/>
      <c r="H234" s="85">
        <f>IF(E234=0,0,IF(M234="ja",(VLOOKUP(D234,Budget!A:F,6,FALSE)*(E234-(VLOOKUP(D234,Budget!A:F,3,FALSE)))),VLOOKUP($D234,Budget!$A$1:$F$19,6,FALSE)*E234))</f>
        <v>30030</v>
      </c>
      <c r="I234" s="85">
        <f>IF(F234=0,0,IF(M234="ja",((VLOOKUP(F234,Budget!A:F,6,FALSE)*(E234-(VLOOKUP(F234,Budget!A:F,3,FALSE))))),VLOOKUP($D234,Budget!A:F,5,FALSE)*E234))</f>
        <v>0</v>
      </c>
      <c r="J234" s="85">
        <f t="shared" si="16"/>
        <v>30030</v>
      </c>
      <c r="K234" s="14"/>
      <c r="L234" s="73"/>
      <c r="M234" s="80" t="str">
        <f t="shared" si="17"/>
        <v>ja</v>
      </c>
      <c r="N234">
        <f t="shared" si="15"/>
        <v>2021</v>
      </c>
    </row>
    <row r="235" spans="1:14" ht="15" hidden="1" customHeight="1" x14ac:dyDescent="0.3">
      <c r="A235" s="105">
        <f t="shared" si="14"/>
        <v>33</v>
      </c>
      <c r="B235" s="22">
        <v>44426</v>
      </c>
      <c r="C235" s="11" t="s">
        <v>5</v>
      </c>
      <c r="D235" s="12" t="s">
        <v>11</v>
      </c>
      <c r="E235" s="13">
        <f>IF(VLOOKUP(D235,Budget!A:B,2,FALSE)&lt;&gt;0,IF(G235=0,24,24-G235),0)</f>
        <v>24</v>
      </c>
      <c r="G235" s="13"/>
      <c r="H235" s="85">
        <f>IF(E235=0,0,IF(M235="ja",(VLOOKUP(D235,Budget!A:F,6,FALSE)*(E235-(VLOOKUP(D235,Budget!A:F,3,FALSE)))),VLOOKUP($D235,Budget!$A$1:$F$19,6,FALSE)*E235))</f>
        <v>36960</v>
      </c>
      <c r="I235" s="85">
        <f>IF(F235=0,0,IF(M235="ja",((VLOOKUP(F235,Budget!A:F,6,FALSE)*(E235-(VLOOKUP(F235,Budget!A:F,3,FALSE))))),VLOOKUP($D235,Budget!A:F,5,FALSE)*E235))</f>
        <v>0</v>
      </c>
      <c r="J235" s="85">
        <f t="shared" si="16"/>
        <v>36960</v>
      </c>
      <c r="K235" s="14"/>
      <c r="L235" s="73"/>
      <c r="M235" s="80" t="str">
        <f t="shared" si="17"/>
        <v>nein</v>
      </c>
      <c r="N235">
        <f t="shared" si="15"/>
        <v>2021</v>
      </c>
    </row>
    <row r="236" spans="1:14" ht="15" hidden="1" customHeight="1" x14ac:dyDescent="0.3">
      <c r="A236" s="103">
        <f t="shared" si="14"/>
        <v>33</v>
      </c>
      <c r="B236" s="22">
        <v>44427</v>
      </c>
      <c r="C236" s="11" t="s">
        <v>6</v>
      </c>
      <c r="D236" s="12" t="s">
        <v>11</v>
      </c>
      <c r="E236" s="13">
        <f>IF(VLOOKUP(D236,Budget!A:B,2,FALSE)&lt;&gt;0,IF(G236=0,24,24-G236),0)</f>
        <v>24</v>
      </c>
      <c r="G236" s="13"/>
      <c r="H236" s="85">
        <f>IF(E236=0,0,IF(M236="ja",(VLOOKUP(D236,Budget!A:F,6,FALSE)*(E236-(VLOOKUP(D236,Budget!A:F,3,FALSE)))),VLOOKUP($D236,Budget!$A$1:$F$19,6,FALSE)*E236))</f>
        <v>36960</v>
      </c>
      <c r="I236" s="85">
        <f>IF(F236=0,0,IF(M236="ja",((VLOOKUP(F236,Budget!A:F,6,FALSE)*(E236-(VLOOKUP(F236,Budget!A:F,3,FALSE))))),VLOOKUP($D236,Budget!A:F,5,FALSE)*E236))</f>
        <v>0</v>
      </c>
      <c r="J236" s="85">
        <f t="shared" si="16"/>
        <v>36960</v>
      </c>
      <c r="K236" s="14"/>
      <c r="L236" s="73"/>
      <c r="M236" s="80" t="str">
        <f t="shared" si="17"/>
        <v>nein</v>
      </c>
      <c r="N236">
        <f t="shared" si="15"/>
        <v>2021</v>
      </c>
    </row>
    <row r="237" spans="1:14" ht="15" hidden="1" customHeight="1" x14ac:dyDescent="0.3">
      <c r="A237" s="105">
        <f t="shared" si="14"/>
        <v>33</v>
      </c>
      <c r="B237" s="22">
        <v>44428</v>
      </c>
      <c r="C237" s="11" t="s">
        <v>7</v>
      </c>
      <c r="D237" s="12" t="s">
        <v>12</v>
      </c>
      <c r="E237" s="13">
        <f>IF(VLOOKUP(D237,Budget!A:B,2,FALSE)&lt;&gt;0,IF(G237=0,24,24-G237),0)</f>
        <v>24</v>
      </c>
      <c r="G237" s="13"/>
      <c r="H237" s="85">
        <f>IF(E237=0,0,IF(M237="ja",(VLOOKUP(D237,Budget!A:F,6,FALSE)*(E237-(VLOOKUP(D237,Budget!A:F,3,FALSE)))),VLOOKUP($D237,Budget!$A$1:$F$19,6,FALSE)*E237))</f>
        <v>27720</v>
      </c>
      <c r="I237" s="85">
        <f>IF(F237=0,0,IF(M237="ja",((VLOOKUP(F237,Budget!A:F,6,FALSE)*(E237-(VLOOKUP(F237,Budget!A:F,3,FALSE))))),VLOOKUP($D237,Budget!A:F,5,FALSE)*E237))</f>
        <v>0</v>
      </c>
      <c r="J237" s="85">
        <f t="shared" si="16"/>
        <v>27720</v>
      </c>
      <c r="K237" s="14"/>
      <c r="L237" s="25"/>
      <c r="M237" s="80" t="str">
        <f t="shared" si="17"/>
        <v>ja</v>
      </c>
      <c r="N237">
        <f t="shared" si="15"/>
        <v>2021</v>
      </c>
    </row>
    <row r="238" spans="1:14" ht="15" hidden="1" customHeight="1" x14ac:dyDescent="0.3">
      <c r="A238" s="105">
        <f t="shared" si="14"/>
        <v>33</v>
      </c>
      <c r="B238" s="22">
        <v>44429</v>
      </c>
      <c r="C238" s="16" t="s">
        <v>8</v>
      </c>
      <c r="D238" s="17" t="s">
        <v>12</v>
      </c>
      <c r="E238" s="24">
        <f>IF(VLOOKUP(D238,Budget!A:B,2,FALSE)&lt;&gt;0,IF(G238=0,24,24-G238),0)</f>
        <v>24</v>
      </c>
      <c r="F238" s="17"/>
      <c r="G238" s="17"/>
      <c r="H238" s="86">
        <f>IF(E238=0,0,IF(M238="ja",(VLOOKUP(D238,Budget!A:F,6,FALSE)*(E238-(VLOOKUP(D238,Budget!A:F,3,FALSE)))),VLOOKUP($D238,Budget!$A$1:$F$19,6,FALSE)*E238))</f>
        <v>36960</v>
      </c>
      <c r="I238" s="86">
        <f>IF(F238=0,0,IF(M238="ja",((VLOOKUP(F238,Budget!A:F,6,FALSE)*(E238-(VLOOKUP(F238,Budget!A:F,3,FALSE))))),VLOOKUP($D238,Budget!A:F,5,FALSE)*E238))</f>
        <v>0</v>
      </c>
      <c r="J238" s="86">
        <f t="shared" si="16"/>
        <v>36960</v>
      </c>
      <c r="K238" s="18"/>
      <c r="L238" s="75"/>
      <c r="M238" s="76" t="str">
        <f t="shared" si="17"/>
        <v>nein</v>
      </c>
      <c r="N238">
        <f t="shared" si="15"/>
        <v>2021</v>
      </c>
    </row>
    <row r="239" spans="1:14" ht="15.75" hidden="1" customHeight="1" thickBot="1" x14ac:dyDescent="0.35">
      <c r="A239" s="105">
        <f t="shared" si="14"/>
        <v>33</v>
      </c>
      <c r="B239" s="27">
        <v>44430</v>
      </c>
      <c r="C239" s="19" t="s">
        <v>9</v>
      </c>
      <c r="D239" s="20" t="s">
        <v>66</v>
      </c>
      <c r="E239" s="20">
        <f>IF(VLOOKUP(D239,Budget!A:B,2,FALSE)&lt;&gt;0,IF(G239=0,24,24-G239),0)</f>
        <v>24</v>
      </c>
      <c r="F239" s="20"/>
      <c r="G239" s="20"/>
      <c r="H239" s="93">
        <f>IF(E239=0,0,IF(M239="ja",(VLOOKUP(D239,Budget!A:F,6,FALSE)*(E239-(VLOOKUP(D239,Budget!A:F,3,FALSE)))),VLOOKUP($D239,Budget!$A$1:$F$19,6,FALSE)*E239))</f>
        <v>32328.172065231582</v>
      </c>
      <c r="I239" s="93">
        <f>IF(F239=0,0,IF(M239="ja",((VLOOKUP(F239,Budget!A:F,6,FALSE)*(E239-(VLOOKUP(F239,Budget!A:F,3,FALSE))))),VLOOKUP($D239,Budget!A:F,5,FALSE)*E239))</f>
        <v>0</v>
      </c>
      <c r="J239" s="87">
        <f t="shared" si="16"/>
        <v>32328.172065231582</v>
      </c>
      <c r="K239" s="21"/>
      <c r="L239" s="74"/>
      <c r="M239" s="77" t="str">
        <f t="shared" si="17"/>
        <v>ja</v>
      </c>
      <c r="N239">
        <f t="shared" si="15"/>
        <v>2021</v>
      </c>
    </row>
    <row r="240" spans="1:14" ht="15" hidden="1" customHeight="1" x14ac:dyDescent="0.3">
      <c r="A240" s="104">
        <f t="shared" si="14"/>
        <v>34</v>
      </c>
      <c r="B240" s="22">
        <v>44431</v>
      </c>
      <c r="C240" s="10" t="s">
        <v>3</v>
      </c>
      <c r="D240" s="12" t="s">
        <v>66</v>
      </c>
      <c r="E240" s="13">
        <f>IF(VLOOKUP(D240,Budget!A:B,2,FALSE)&lt;&gt;0,IF(G240=0,24,24-G240),0)</f>
        <v>24</v>
      </c>
      <c r="F240" s="13"/>
      <c r="G240" s="13"/>
      <c r="H240" s="85">
        <f>IF(E240=0,0,IF(M240="ja",(VLOOKUP(D240,Budget!A:F,6,FALSE)*(E240-(VLOOKUP(D240,Budget!A:F,3,FALSE)))),VLOOKUP($D240,Budget!$A$1:$F$19,6,FALSE)*E240))</f>
        <v>36946.482360264665</v>
      </c>
      <c r="I240" s="85">
        <f>IF(F240=0,0,IF(M240="ja",((VLOOKUP(F240,Budget!A:F,6,FALSE)*(E240-(VLOOKUP(F240,Budget!A:F,3,FALSE))))),VLOOKUP($D240,Budget!A:F,5,FALSE)*E240))</f>
        <v>0</v>
      </c>
      <c r="J240" s="85">
        <f t="shared" si="16"/>
        <v>36946.482360264665</v>
      </c>
      <c r="K240" s="15"/>
      <c r="L240" s="72"/>
      <c r="M240" s="80" t="str">
        <f t="shared" si="17"/>
        <v>nein</v>
      </c>
      <c r="N240">
        <f t="shared" si="15"/>
        <v>2021</v>
      </c>
    </row>
    <row r="241" spans="1:14" ht="15" hidden="1" customHeight="1" x14ac:dyDescent="0.3">
      <c r="A241" s="105">
        <f t="shared" si="14"/>
        <v>34</v>
      </c>
      <c r="B241" s="22">
        <v>44432</v>
      </c>
      <c r="C241" s="11" t="s">
        <v>4</v>
      </c>
      <c r="D241" s="12" t="s">
        <v>10</v>
      </c>
      <c r="E241" s="13">
        <f>IF(VLOOKUP(D241,Budget!A:B,2,FALSE)&lt;&gt;0,IF(G241=0,24,24-G241),0)</f>
        <v>24</v>
      </c>
      <c r="G241" s="13"/>
      <c r="H241" s="85">
        <f>IF(E241=0,0,IF(M241="ja",(VLOOKUP(D241,Budget!A:F,6,FALSE)*(E241-(VLOOKUP(D241,Budget!A:F,3,FALSE)))),VLOOKUP($D241,Budget!$A$1:$F$19,6,FALSE)*E241))</f>
        <v>9843.7955001031441</v>
      </c>
      <c r="I241" s="85">
        <f>IF(F241=0,0,IF(M241="ja",((VLOOKUP(F241,Budget!A:F,6,FALSE)*(E241-(VLOOKUP(F241,Budget!A:F,3,FALSE))))),VLOOKUP($D241,Budget!A:F,5,FALSE)*E241))</f>
        <v>0</v>
      </c>
      <c r="J241" s="85">
        <f t="shared" si="16"/>
        <v>9843.7955001031441</v>
      </c>
      <c r="K241" s="14"/>
      <c r="L241" s="73"/>
      <c r="M241" s="80" t="str">
        <f t="shared" si="17"/>
        <v>ja</v>
      </c>
      <c r="N241">
        <f t="shared" si="15"/>
        <v>2021</v>
      </c>
    </row>
    <row r="242" spans="1:14" ht="15" hidden="1" customHeight="1" x14ac:dyDescent="0.3">
      <c r="A242" s="105">
        <f t="shared" si="14"/>
        <v>34</v>
      </c>
      <c r="B242" s="22">
        <v>44433</v>
      </c>
      <c r="C242" s="11" t="s">
        <v>5</v>
      </c>
      <c r="D242" s="12" t="s">
        <v>10</v>
      </c>
      <c r="E242" s="13">
        <f>IF(VLOOKUP(D242,Budget!A:B,2,FALSE)&lt;&gt;0,IF(G242=0,24,24-G242),0)</f>
        <v>24</v>
      </c>
      <c r="G242" s="13"/>
      <c r="H242" s="85">
        <f>IF(E242=0,0,IF(M242="ja",(VLOOKUP(D242,Budget!A:F,6,FALSE)*(E242-(VLOOKUP(D242,Budget!A:F,3,FALSE)))),VLOOKUP($D242,Budget!$A$1:$F$19,6,FALSE)*E242))</f>
        <v>11812.554600123773</v>
      </c>
      <c r="I242" s="85">
        <f>IF(F242=0,0,IF(M242="ja",((VLOOKUP(F242,Budget!A:F,6,FALSE)*(E242-(VLOOKUP(F242,Budget!A:F,3,FALSE))))),VLOOKUP($D242,Budget!A:F,5,FALSE)*E242))</f>
        <v>0</v>
      </c>
      <c r="J242" s="85">
        <f t="shared" si="16"/>
        <v>11812.554600123773</v>
      </c>
      <c r="K242" s="14"/>
      <c r="L242" s="73"/>
      <c r="M242" s="80" t="str">
        <f t="shared" si="17"/>
        <v>nein</v>
      </c>
      <c r="N242">
        <f t="shared" si="15"/>
        <v>2021</v>
      </c>
    </row>
    <row r="243" spans="1:14" ht="15" hidden="1" customHeight="1" x14ac:dyDescent="0.3">
      <c r="A243" s="103">
        <f t="shared" si="14"/>
        <v>34</v>
      </c>
      <c r="B243" s="22">
        <v>44434</v>
      </c>
      <c r="C243" s="11" t="s">
        <v>6</v>
      </c>
      <c r="D243" s="12" t="s">
        <v>69</v>
      </c>
      <c r="E243" s="13">
        <f>IF(VLOOKUP(D243,Budget!A:B,2,FALSE)&lt;&gt;0,IF(G243=0,24,24-G243),0)</f>
        <v>24</v>
      </c>
      <c r="G243" s="13"/>
      <c r="H243" s="85">
        <f>IF(E243=0,0,IF(M243="ja",(VLOOKUP(D243,Budget!A:F,6,FALSE)*(E243-(VLOOKUP(D243,Budget!A:F,3,FALSE)))),VLOOKUP($D243,Budget!$A$1:$F$19,6,FALSE)*E243))</f>
        <v>38269.757143831848</v>
      </c>
      <c r="I243" s="85">
        <f>IF(F243=0,0,IF(M243="ja",((VLOOKUP(F243,Budget!A:F,6,FALSE)*(E243-(VLOOKUP(F243,Budget!A:F,3,FALSE))))),VLOOKUP($D243,Budget!A:F,5,FALSE)*E243))</f>
        <v>0</v>
      </c>
      <c r="J243" s="85">
        <f t="shared" si="16"/>
        <v>38269.757143831848</v>
      </c>
      <c r="K243" s="14"/>
      <c r="L243" s="73"/>
      <c r="M243" s="80" t="str">
        <f t="shared" si="17"/>
        <v>ja</v>
      </c>
      <c r="N243">
        <f t="shared" si="15"/>
        <v>2021</v>
      </c>
    </row>
    <row r="244" spans="1:14" ht="15" hidden="1" customHeight="1" x14ac:dyDescent="0.3">
      <c r="A244" s="105">
        <f t="shared" si="14"/>
        <v>34</v>
      </c>
      <c r="B244" s="22">
        <v>44435</v>
      </c>
      <c r="C244" s="11" t="s">
        <v>7</v>
      </c>
      <c r="D244" s="12" t="s">
        <v>69</v>
      </c>
      <c r="E244" s="13">
        <f>IF(VLOOKUP(D244,Budget!A:B,2,FALSE)&lt;&gt;0,IF(G244=0,24,24-G244),0)</f>
        <v>24</v>
      </c>
      <c r="G244" s="13"/>
      <c r="H244" s="85">
        <f>IF(E244=0,0,IF(M244="ja",(VLOOKUP(D244,Budget!A:F,6,FALSE)*(E244-(VLOOKUP(D244,Budget!A:F,3,FALSE)))),VLOOKUP($D244,Budget!$A$1:$F$19,6,FALSE)*E244))</f>
        <v>42919.35380616656</v>
      </c>
      <c r="I244" s="85">
        <f>IF(F244=0,0,IF(M244="ja",((VLOOKUP(F244,Budget!A:F,6,FALSE)*(E244-(VLOOKUP(F244,Budget!A:F,3,FALSE))))),VLOOKUP($D244,Budget!A:F,5,FALSE)*E244))</f>
        <v>0</v>
      </c>
      <c r="J244" s="85">
        <f t="shared" si="16"/>
        <v>42919.35380616656</v>
      </c>
      <c r="K244" s="14"/>
      <c r="L244" s="25"/>
      <c r="M244" s="80" t="str">
        <f t="shared" si="17"/>
        <v>nein</v>
      </c>
      <c r="N244">
        <f t="shared" si="15"/>
        <v>2021</v>
      </c>
    </row>
    <row r="245" spans="1:14" ht="15" hidden="1" customHeight="1" x14ac:dyDescent="0.3">
      <c r="A245" s="105">
        <f t="shared" si="14"/>
        <v>34</v>
      </c>
      <c r="B245" s="22">
        <v>44436</v>
      </c>
      <c r="C245" s="16" t="s">
        <v>8</v>
      </c>
      <c r="D245" s="17" t="s">
        <v>69</v>
      </c>
      <c r="E245" s="24">
        <f>IF(VLOOKUP(D245,Budget!A:B,2,FALSE)&lt;&gt;0,IF(G245=0,24,24-G245),0)</f>
        <v>24</v>
      </c>
      <c r="F245" s="17"/>
      <c r="G245" s="17"/>
      <c r="H245" s="86">
        <f>IF(E245=0,0,IF(M245="ja",(VLOOKUP(D245,Budget!A:F,6,FALSE)*(E245-(VLOOKUP(D245,Budget!A:F,3,FALSE)))),VLOOKUP($D245,Budget!$A$1:$F$19,6,FALSE)*E245))</f>
        <v>42919.35380616656</v>
      </c>
      <c r="I245" s="86">
        <f>IF(F245=0,0,IF(M245="ja",((VLOOKUP(F245,Budget!A:F,6,FALSE)*(E245-(VLOOKUP(F245,Budget!A:F,3,FALSE))))),VLOOKUP($D245,Budget!A:F,5,FALSE)*E245))</f>
        <v>0</v>
      </c>
      <c r="J245" s="86">
        <f t="shared" si="16"/>
        <v>42919.35380616656</v>
      </c>
      <c r="K245" s="18"/>
      <c r="L245" s="75"/>
      <c r="M245" s="76" t="str">
        <f t="shared" si="17"/>
        <v>nein</v>
      </c>
      <c r="N245">
        <f t="shared" si="15"/>
        <v>2021</v>
      </c>
    </row>
    <row r="246" spans="1:14" ht="15.75" hidden="1" customHeight="1" thickBot="1" x14ac:dyDescent="0.35">
      <c r="A246" s="105">
        <f t="shared" si="14"/>
        <v>34</v>
      </c>
      <c r="B246" s="27">
        <v>44437</v>
      </c>
      <c r="C246" s="19" t="s">
        <v>9</v>
      </c>
      <c r="D246" s="20" t="s">
        <v>69</v>
      </c>
      <c r="E246" s="20">
        <f>IF(VLOOKUP(D246,Budget!A:B,2,FALSE)&lt;&gt;0,IF(G246=0,24,24-G246),0)</f>
        <v>24</v>
      </c>
      <c r="F246" s="20"/>
      <c r="G246" s="20"/>
      <c r="H246" s="93">
        <f>IF(E246=0,0,IF(M246="ja",(VLOOKUP(D246,Budget!A:F,6,FALSE)*(E246-(VLOOKUP(D246,Budget!A:F,3,FALSE)))),VLOOKUP($D246,Budget!$A$1:$F$19,6,FALSE)*E246))</f>
        <v>42919.35380616656</v>
      </c>
      <c r="I246" s="93">
        <f>IF(F246=0,0,IF(M246="ja",((VLOOKUP(F246,Budget!A:F,6,FALSE)*(E246-(VLOOKUP(F246,Budget!A:F,3,FALSE))))),VLOOKUP($D246,Budget!A:F,5,FALSE)*E246))</f>
        <v>0</v>
      </c>
      <c r="J246" s="87">
        <f t="shared" si="16"/>
        <v>42919.35380616656</v>
      </c>
      <c r="K246" s="21"/>
      <c r="L246" s="74"/>
      <c r="M246" s="77" t="str">
        <f t="shared" si="17"/>
        <v>nein</v>
      </c>
      <c r="N246">
        <f t="shared" si="15"/>
        <v>2021</v>
      </c>
    </row>
    <row r="247" spans="1:14" ht="15" hidden="1" customHeight="1" x14ac:dyDescent="0.3">
      <c r="A247" s="104">
        <f t="shared" si="14"/>
        <v>35</v>
      </c>
      <c r="B247" s="22">
        <v>44438</v>
      </c>
      <c r="C247" s="10" t="s">
        <v>3</v>
      </c>
      <c r="D247" s="12" t="s">
        <v>11</v>
      </c>
      <c r="E247" s="13">
        <f>IF(VLOOKUP(D247,Budget!A:B,2,FALSE)&lt;&gt;0,IF(G247=0,24,24-G247),0)</f>
        <v>24</v>
      </c>
      <c r="F247" s="13"/>
      <c r="G247" s="13"/>
      <c r="H247" s="85">
        <f>IF(E247=0,0,IF(M247="ja",(VLOOKUP(D247,Budget!A:F,6,FALSE)*(E247-(VLOOKUP(D247,Budget!A:F,3,FALSE)))),VLOOKUP($D247,Budget!$A$1:$F$19,6,FALSE)*E247))</f>
        <v>30030</v>
      </c>
      <c r="I247" s="85">
        <f>IF(F247=0,0,IF(M247="ja",((VLOOKUP(F247,Budget!A:F,6,FALSE)*(E247-(VLOOKUP(F247,Budget!A:F,3,FALSE))))),VLOOKUP($D247,Budget!A:F,5,FALSE)*E247))</f>
        <v>0</v>
      </c>
      <c r="J247" s="85">
        <f t="shared" si="16"/>
        <v>30030</v>
      </c>
      <c r="K247" s="15"/>
      <c r="L247" s="72"/>
      <c r="M247" s="80" t="str">
        <f t="shared" si="17"/>
        <v>ja</v>
      </c>
      <c r="N247">
        <f t="shared" si="15"/>
        <v>2021</v>
      </c>
    </row>
    <row r="248" spans="1:14" ht="15" hidden="1" customHeight="1" x14ac:dyDescent="0.3">
      <c r="A248" s="105">
        <f t="shared" si="14"/>
        <v>35</v>
      </c>
      <c r="B248" s="22">
        <v>44439</v>
      </c>
      <c r="C248" s="11" t="s">
        <v>4</v>
      </c>
      <c r="D248" s="12" t="s">
        <v>11</v>
      </c>
      <c r="E248" s="13">
        <f>IF(VLOOKUP(D248,Budget!A:B,2,FALSE)&lt;&gt;0,IF(G248=0,24,24-G248),0)</f>
        <v>24</v>
      </c>
      <c r="G248" s="13"/>
      <c r="H248" s="85">
        <f>IF(E248=0,0,IF(M248="ja",(VLOOKUP(D248,Budget!A:F,6,FALSE)*(E248-(VLOOKUP(D248,Budget!A:F,3,FALSE)))),VLOOKUP($D248,Budget!$A$1:$F$19,6,FALSE)*E248))</f>
        <v>36960</v>
      </c>
      <c r="I248" s="85">
        <f>IF(F248=0,0,IF(M248="ja",((VLOOKUP(F248,Budget!A:F,6,FALSE)*(E248-(VLOOKUP(F248,Budget!A:F,3,FALSE))))),VLOOKUP($D248,Budget!A:F,5,FALSE)*E248))</f>
        <v>0</v>
      </c>
      <c r="J248" s="85">
        <f t="shared" si="16"/>
        <v>36960</v>
      </c>
      <c r="K248" s="14"/>
      <c r="L248" s="73"/>
      <c r="M248" s="80" t="str">
        <f>IF(E248=0,"nein",IF(OR(E248&lt;&gt;24,F247&lt;&gt;0,D248&lt;&gt;D247),"ja","nein"))</f>
        <v>nein</v>
      </c>
      <c r="N248">
        <f t="shared" si="15"/>
        <v>2021</v>
      </c>
    </row>
    <row r="249" spans="1:14" ht="15" hidden="1" customHeight="1" x14ac:dyDescent="0.3">
      <c r="A249" s="105">
        <f t="shared" si="14"/>
        <v>35</v>
      </c>
      <c r="B249" s="22">
        <v>44440</v>
      </c>
      <c r="C249" s="11" t="s">
        <v>5</v>
      </c>
      <c r="D249" s="12" t="s">
        <v>11</v>
      </c>
      <c r="E249" s="13">
        <f>IF(VLOOKUP(D249,Budget!A:B,2,FALSE)&lt;&gt;0,IF(G249=0,24,24-G249),0)</f>
        <v>24</v>
      </c>
      <c r="G249" s="13"/>
      <c r="H249" s="85">
        <f>IF(E249=0,0,IF(M249="ja",(VLOOKUP(D249,Budget!A:F,6,FALSE)*(E249-(VLOOKUP(D249,Budget!A:F,3,FALSE)))),VLOOKUP($D249,Budget!$A$1:$F$19,6,FALSE)*E249))</f>
        <v>36960</v>
      </c>
      <c r="I249" s="85">
        <f>IF(F249=0,0,IF(M249="ja",((VLOOKUP(F249,Budget!A:F,6,FALSE)*(E249-(VLOOKUP(F249,Budget!A:F,3,FALSE))))),VLOOKUP($D249,Budget!A:F,5,FALSE)*E249))</f>
        <v>0</v>
      </c>
      <c r="J249" s="85">
        <f t="shared" si="16"/>
        <v>36960</v>
      </c>
      <c r="K249" s="14"/>
      <c r="L249" s="73"/>
      <c r="M249" s="80" t="str">
        <f>IF(E249=0,"nein",IF(OR(E249&lt;&gt;24,F248&lt;&gt;0,D249&lt;&gt;D248),"ja","nein"))</f>
        <v>nein</v>
      </c>
      <c r="N249">
        <f t="shared" si="15"/>
        <v>2021</v>
      </c>
    </row>
    <row r="250" spans="1:14" ht="15" hidden="1" customHeight="1" x14ac:dyDescent="0.3">
      <c r="A250" s="103">
        <f t="shared" si="14"/>
        <v>35</v>
      </c>
      <c r="B250" s="22">
        <v>44441</v>
      </c>
      <c r="C250" s="11" t="s">
        <v>6</v>
      </c>
      <c r="D250" s="12" t="s">
        <v>11</v>
      </c>
      <c r="E250" s="13">
        <f>IF(VLOOKUP(D250,Budget!A:B,2,FALSE)&lt;&gt;0,IF(G250=0,24,24-G250),0)</f>
        <v>24</v>
      </c>
      <c r="G250" s="13"/>
      <c r="H250" s="85">
        <f>IF(E250=0,0,IF(M250="ja",(VLOOKUP(D250,Budget!A:F,6,FALSE)*(E250-(VLOOKUP(D250,Budget!A:F,3,FALSE)))),VLOOKUP($D250,Budget!$A$1:$F$19,6,FALSE)*E250))</f>
        <v>36960</v>
      </c>
      <c r="I250" s="85">
        <f>IF(F250=0,0,IF(M250="ja",((VLOOKUP(F250,Budget!A:F,6,FALSE)*(E250-(VLOOKUP(F250,Budget!A:F,3,FALSE))))),VLOOKUP($D250,Budget!A:F,5,FALSE)*E250))</f>
        <v>0</v>
      </c>
      <c r="J250" s="85">
        <f t="shared" si="16"/>
        <v>36960</v>
      </c>
      <c r="K250" s="14"/>
      <c r="L250" s="73"/>
      <c r="M250" s="80" t="str">
        <f>IF(E250=0,"nein",IF(OR(E250&lt;&gt;24,F249&lt;&gt;0,D250&lt;&gt;D249),"ja","nein"))</f>
        <v>nein</v>
      </c>
      <c r="N250">
        <f t="shared" si="15"/>
        <v>2021</v>
      </c>
    </row>
    <row r="251" spans="1:14" ht="15" hidden="1" customHeight="1" x14ac:dyDescent="0.3">
      <c r="A251" s="105">
        <f t="shared" si="14"/>
        <v>35</v>
      </c>
      <c r="B251" s="22">
        <v>44442</v>
      </c>
      <c r="C251" s="11" t="s">
        <v>7</v>
      </c>
      <c r="D251" s="12" t="s">
        <v>11</v>
      </c>
      <c r="E251" s="13">
        <f>IF(VLOOKUP(D251,Budget!A:B,2,FALSE)&lt;&gt;0,IF(G251=0,24,24-G251),0)</f>
        <v>24</v>
      </c>
      <c r="G251" s="13"/>
      <c r="H251" s="85">
        <f>IF(E251=0,0,IF(M251="ja",(VLOOKUP(D251,Budget!A:F,6,FALSE)*(E251-(VLOOKUP(D251,Budget!A:F,3,FALSE)))),VLOOKUP($D251,Budget!$A$1:$F$19,6,FALSE)*E251))</f>
        <v>36960</v>
      </c>
      <c r="I251" s="85">
        <f>IF(F251=0,0,IF(M251="ja",((VLOOKUP(F251,Budget!A:F,6,FALSE)*(E251-(VLOOKUP(F251,Budget!A:F,3,FALSE))))),VLOOKUP($D251,Budget!A:F,5,FALSE)*E251))</f>
        <v>0</v>
      </c>
      <c r="J251" s="85">
        <f t="shared" si="16"/>
        <v>36960</v>
      </c>
      <c r="K251" s="14"/>
      <c r="L251" s="25"/>
      <c r="M251" s="80" t="str">
        <f>IF(E251=0,"nein",IF(OR(E251&lt;&gt;24,F250&lt;&gt;0,D251&lt;&gt;D250),"ja","nein"))</f>
        <v>nein</v>
      </c>
      <c r="N251">
        <f t="shared" si="15"/>
        <v>2021</v>
      </c>
    </row>
    <row r="252" spans="1:14" ht="15" hidden="1" customHeight="1" x14ac:dyDescent="0.3">
      <c r="A252" s="105">
        <f t="shared" si="14"/>
        <v>35</v>
      </c>
      <c r="B252" s="22">
        <v>44443</v>
      </c>
      <c r="C252" s="16" t="s">
        <v>8</v>
      </c>
      <c r="D252" s="17" t="s">
        <v>11</v>
      </c>
      <c r="E252" s="24">
        <f>IF(VLOOKUP(D252,Budget!A:B,2,FALSE)&lt;&gt;0,IF(G252=0,24,24-G252),0)</f>
        <v>24</v>
      </c>
      <c r="F252" s="17"/>
      <c r="G252" s="17"/>
      <c r="H252" s="86">
        <f>IF(E252=0,0,IF(M252="ja",(VLOOKUP(D252,Budget!A:F,6,FALSE)*(E252-(VLOOKUP(D252,Budget!A:F,3,FALSE)))),VLOOKUP($D252,Budget!$A$1:$F$19,6,FALSE)*E252))</f>
        <v>36960</v>
      </c>
      <c r="I252" s="86">
        <f>IF(F252=0,0,IF(M252="ja",((VLOOKUP(F252,Budget!A:F,6,FALSE)*(E252-(VLOOKUP(F252,Budget!A:F,3,FALSE))))),VLOOKUP($D252,Budget!A:F,5,FALSE)*E252))</f>
        <v>0</v>
      </c>
      <c r="J252" s="86">
        <f t="shared" si="16"/>
        <v>36960</v>
      </c>
      <c r="K252" s="18"/>
      <c r="L252" s="75"/>
      <c r="M252" s="76" t="str">
        <f t="shared" si="17"/>
        <v>nein</v>
      </c>
      <c r="N252">
        <f t="shared" si="15"/>
        <v>2021</v>
      </c>
    </row>
    <row r="253" spans="1:14" ht="15.75" hidden="1" customHeight="1" thickBot="1" x14ac:dyDescent="0.35">
      <c r="A253" s="105">
        <f t="shared" si="14"/>
        <v>35</v>
      </c>
      <c r="B253" s="27">
        <v>44444</v>
      </c>
      <c r="C253" s="19" t="s">
        <v>9</v>
      </c>
      <c r="D253" s="20" t="s">
        <v>11</v>
      </c>
      <c r="E253" s="20">
        <f>IF(VLOOKUP(D253,Budget!A:B,2,FALSE)&lt;&gt;0,IF(G253=0,24,24-G253),0)</f>
        <v>24</v>
      </c>
      <c r="F253" s="20"/>
      <c r="G253" s="20"/>
      <c r="H253" s="93">
        <f>IF(E253=0,0,IF(M253="ja",(VLOOKUP(D253,Budget!A:F,6,FALSE)*(E253-(VLOOKUP(D253,Budget!A:F,3,FALSE)))),VLOOKUP($D253,Budget!$A$1:$F$19,6,FALSE)*E253))</f>
        <v>36960</v>
      </c>
      <c r="I253" s="93">
        <f>IF(F253=0,0,IF(M253="ja",((VLOOKUP(F253,Budget!A:F,6,FALSE)*(E253-(VLOOKUP(F253,Budget!A:F,3,FALSE))))),VLOOKUP($D253,Budget!A:F,5,FALSE)*E253))</f>
        <v>0</v>
      </c>
      <c r="J253" s="87">
        <f t="shared" si="16"/>
        <v>36960</v>
      </c>
      <c r="K253" s="21"/>
      <c r="L253" s="74"/>
      <c r="M253" s="77" t="str">
        <f t="shared" si="17"/>
        <v>nein</v>
      </c>
      <c r="N253">
        <f t="shared" si="15"/>
        <v>2021</v>
      </c>
    </row>
    <row r="254" spans="1:14" ht="15" hidden="1" customHeight="1" x14ac:dyDescent="0.3">
      <c r="A254" s="104">
        <f t="shared" si="14"/>
        <v>36</v>
      </c>
      <c r="B254" s="22">
        <v>44445</v>
      </c>
      <c r="C254" s="10" t="s">
        <v>3</v>
      </c>
      <c r="D254" s="12" t="s">
        <v>69</v>
      </c>
      <c r="E254" s="13">
        <v>18</v>
      </c>
      <c r="F254" s="13"/>
      <c r="G254" s="13"/>
      <c r="H254" s="85">
        <f>IF(E254=0,0,IF(M254="ja",(VLOOKUP(D254,Budget!A:F,6,FALSE)*(E254-(VLOOKUP(D254,Budget!A:F,3,FALSE)))),VLOOKUP($D254,Budget!$A$1:$F$19,6,FALSE)*E254))</f>
        <v>27539.918692290212</v>
      </c>
      <c r="I254" s="85">
        <f>IF(F254=0,0,IF(M254="ja",((VLOOKUP(F254,Budget!A:F,6,FALSE)*(E254-(VLOOKUP(F254,Budget!A:F,3,FALSE))))),VLOOKUP($D254,Budget!A:F,5,FALSE)*E254))</f>
        <v>0</v>
      </c>
      <c r="J254" s="85">
        <f t="shared" si="16"/>
        <v>27539.918692290212</v>
      </c>
      <c r="K254" s="15"/>
      <c r="L254" s="72"/>
      <c r="M254" s="80" t="str">
        <f t="shared" si="17"/>
        <v>ja</v>
      </c>
      <c r="N254">
        <f t="shared" si="15"/>
        <v>2021</v>
      </c>
    </row>
    <row r="255" spans="1:14" ht="15" hidden="1" customHeight="1" x14ac:dyDescent="0.3">
      <c r="A255" s="105">
        <f t="shared" si="14"/>
        <v>36</v>
      </c>
      <c r="B255" s="22">
        <v>44446</v>
      </c>
      <c r="C255" s="11" t="s">
        <v>4</v>
      </c>
      <c r="D255" s="12" t="s">
        <v>29</v>
      </c>
      <c r="E255" s="13">
        <f>IF(VLOOKUP(D255,Budget!A:B,2,FALSE)&lt;&gt;0,IF(G255=0,24,24-G255),0)</f>
        <v>0</v>
      </c>
      <c r="G255" s="13"/>
      <c r="H255" s="85">
        <f>IF(E255=0,0,IF(M255="ja",(VLOOKUP(D255,Budget!A:F,6,FALSE)*(E255-(VLOOKUP(D255,Budget!A:F,3,FALSE)))),VLOOKUP($D255,Budget!$A$1:$F$19,6,FALSE)*E255))</f>
        <v>0</v>
      </c>
      <c r="I255" s="85">
        <f>IF(F255=0,0,IF(M255="ja",((VLOOKUP(F255,Budget!A:F,6,FALSE)*(E255-(VLOOKUP(F255,Budget!A:F,3,FALSE))))),VLOOKUP($D255,Budget!A:F,5,FALSE)*E255))</f>
        <v>0</v>
      </c>
      <c r="J255" s="85">
        <f t="shared" si="16"/>
        <v>0</v>
      </c>
      <c r="K255" s="14"/>
      <c r="L255" s="73"/>
      <c r="M255" s="80" t="str">
        <f t="shared" si="17"/>
        <v>nein</v>
      </c>
      <c r="N255">
        <f t="shared" si="15"/>
        <v>2021</v>
      </c>
    </row>
    <row r="256" spans="1:14" ht="15" hidden="1" customHeight="1" x14ac:dyDescent="0.3">
      <c r="A256" s="105">
        <f t="shared" si="14"/>
        <v>36</v>
      </c>
      <c r="B256" s="22">
        <v>44447</v>
      </c>
      <c r="C256" s="11" t="s">
        <v>5</v>
      </c>
      <c r="D256" s="12" t="s">
        <v>29</v>
      </c>
      <c r="E256" s="13">
        <f>IF(VLOOKUP(D256,Budget!A:B,2,FALSE)&lt;&gt;0,IF(G256=0,24,24-G256),0)</f>
        <v>0</v>
      </c>
      <c r="G256" s="13"/>
      <c r="H256" s="85">
        <f>IF(E256=0,0,IF(M256="ja",(VLOOKUP(D256,Budget!A:F,6,FALSE)*(E256-(VLOOKUP(D256,Budget!A:F,3,FALSE)))),VLOOKUP($D256,Budget!$A$1:$F$19,6,FALSE)*E256))</f>
        <v>0</v>
      </c>
      <c r="I256" s="85">
        <f>IF(F256=0,0,IF(M256="ja",((VLOOKUP(F256,Budget!A:F,6,FALSE)*(E256-(VLOOKUP(F256,Budget!A:F,3,FALSE))))),VLOOKUP($D256,Budget!A:F,5,FALSE)*E256))</f>
        <v>0</v>
      </c>
      <c r="J256" s="85">
        <f t="shared" si="16"/>
        <v>0</v>
      </c>
      <c r="K256" s="14"/>
      <c r="L256" s="73"/>
      <c r="M256" s="80" t="str">
        <f t="shared" si="17"/>
        <v>nein</v>
      </c>
      <c r="N256">
        <f t="shared" si="15"/>
        <v>2021</v>
      </c>
    </row>
    <row r="257" spans="1:14" ht="15" hidden="1" customHeight="1" x14ac:dyDescent="0.3">
      <c r="A257" s="103">
        <f t="shared" si="14"/>
        <v>36</v>
      </c>
      <c r="B257" s="22">
        <v>44448</v>
      </c>
      <c r="C257" s="11" t="s">
        <v>6</v>
      </c>
      <c r="D257" s="12" t="s">
        <v>30</v>
      </c>
      <c r="E257" s="13">
        <f>IF(VLOOKUP(D257,Budget!A:B,2,FALSE)&lt;&gt;0,IF(G257=0,24,24-G257),0)</f>
        <v>0</v>
      </c>
      <c r="G257" s="13"/>
      <c r="H257" s="85">
        <f>IF(E257=0,0,IF(M257="ja",(VLOOKUP(D257,Budget!A:F,6,FALSE)*(E257-(VLOOKUP(D257,Budget!A:F,3,FALSE)))),VLOOKUP($D257,Budget!$A$1:$F$19,6,FALSE)*E257))</f>
        <v>0</v>
      </c>
      <c r="I257" s="85">
        <f>IF(F257=0,0,IF(M257="ja",((VLOOKUP(F257,Budget!A:F,6,FALSE)*(E257-(VLOOKUP(F257,Budget!A:F,3,FALSE))))),VLOOKUP($D257,Budget!A:F,5,FALSE)*E257))</f>
        <v>0</v>
      </c>
      <c r="J257" s="85">
        <f t="shared" si="16"/>
        <v>0</v>
      </c>
      <c r="K257" s="14"/>
      <c r="L257" s="73"/>
      <c r="M257" s="80" t="str">
        <f t="shared" si="17"/>
        <v>nein</v>
      </c>
      <c r="N257">
        <f t="shared" si="15"/>
        <v>2021</v>
      </c>
    </row>
    <row r="258" spans="1:14" ht="15" hidden="1" customHeight="1" x14ac:dyDescent="0.3">
      <c r="A258" s="105">
        <f t="shared" si="14"/>
        <v>36</v>
      </c>
      <c r="B258" s="22">
        <v>44449</v>
      </c>
      <c r="C258" s="11" t="s">
        <v>7</v>
      </c>
      <c r="D258" s="12" t="s">
        <v>18</v>
      </c>
      <c r="E258" s="13">
        <f>IF(VLOOKUP(D258,Budget!A:B,2,FALSE)&lt;&gt;0,IF(G258=0,24,24-G258),0)</f>
        <v>24</v>
      </c>
      <c r="G258" s="13"/>
      <c r="H258" s="85">
        <f>IF(E258=0,0,IF(M258="ja",(VLOOKUP(D258,Budget!A:F,6,FALSE)*(E258-(VLOOKUP(D258,Budget!A:F,3,FALSE)))),VLOOKUP($D258,Budget!$A$1:$F$19,6,FALSE)*E258))</f>
        <v>25200</v>
      </c>
      <c r="I258" s="85">
        <f>IF(F258=0,0,IF(M258="ja",((VLOOKUP(F258,Budget!A:F,6,FALSE)*(E258-(VLOOKUP(F258,Budget!A:F,3,FALSE))))),VLOOKUP($D258,Budget!A:F,5,FALSE)*E258))</f>
        <v>0</v>
      </c>
      <c r="J258" s="85">
        <f t="shared" si="16"/>
        <v>25200</v>
      </c>
      <c r="K258" s="14"/>
      <c r="L258" s="25"/>
      <c r="M258" s="80" t="str">
        <f t="shared" si="17"/>
        <v>ja</v>
      </c>
      <c r="N258">
        <f t="shared" si="15"/>
        <v>2021</v>
      </c>
    </row>
    <row r="259" spans="1:14" ht="15" hidden="1" customHeight="1" x14ac:dyDescent="0.3">
      <c r="A259" s="105">
        <f t="shared" ref="A259:A322" si="18">_xlfn.ISOWEEKNUM(B259)</f>
        <v>36</v>
      </c>
      <c r="B259" s="22">
        <v>44450</v>
      </c>
      <c r="C259" s="16" t="s">
        <v>8</v>
      </c>
      <c r="D259" s="17" t="s">
        <v>30</v>
      </c>
      <c r="E259" s="24">
        <f>IF(VLOOKUP(D259,Budget!A:B,2,FALSE)&lt;&gt;0,IF(G259=0,24,24-G259),0)</f>
        <v>0</v>
      </c>
      <c r="F259" s="17"/>
      <c r="G259" s="17"/>
      <c r="H259" s="86">
        <f>IF(E259=0,0,IF(M259="ja",(VLOOKUP(D259,Budget!A:F,6,FALSE)*(E259-(VLOOKUP(D259,Budget!A:F,3,FALSE)))),VLOOKUP($D259,Budget!$A$1:$F$19,6,FALSE)*E259))</f>
        <v>0</v>
      </c>
      <c r="I259" s="86">
        <f>IF(F259=0,0,IF(M259="ja",((VLOOKUP(F259,Budget!A:F,6,FALSE)*(E259-(VLOOKUP(F259,Budget!A:F,3,FALSE))))),VLOOKUP($D259,Budget!A:F,5,FALSE)*E259))</f>
        <v>0</v>
      </c>
      <c r="J259" s="86">
        <f t="shared" si="16"/>
        <v>0</v>
      </c>
      <c r="K259" s="18"/>
      <c r="L259" s="75"/>
      <c r="M259" s="76" t="str">
        <f t="shared" si="17"/>
        <v>nein</v>
      </c>
      <c r="N259">
        <f t="shared" ref="N259:N322" si="19">YEAR(B259)</f>
        <v>2021</v>
      </c>
    </row>
    <row r="260" spans="1:14" ht="15.75" hidden="1" customHeight="1" thickBot="1" x14ac:dyDescent="0.35">
      <c r="A260" s="105">
        <f t="shared" si="18"/>
        <v>36</v>
      </c>
      <c r="B260" s="27">
        <v>44451</v>
      </c>
      <c r="C260" s="19" t="s">
        <v>9</v>
      </c>
      <c r="D260" s="20" t="s">
        <v>69</v>
      </c>
      <c r="E260" s="20">
        <f>IF(VLOOKUP(D260,Budget!A:B,2,FALSE)&lt;&gt;0,IF(G260=0,24,24-G260),0)</f>
        <v>24</v>
      </c>
      <c r="F260" s="20"/>
      <c r="G260" s="20"/>
      <c r="H260" s="93">
        <f>IF(E260=0,0,IF(M260="ja",(VLOOKUP(D260,Budget!A:F,6,FALSE)*(E260-(VLOOKUP(D260,Budget!A:F,3,FALSE)))),VLOOKUP($D260,Budget!$A$1:$F$19,6,FALSE)*E260))</f>
        <v>38269.757143831848</v>
      </c>
      <c r="I260" s="93">
        <f>IF(F260=0,0,IF(M260="ja",((VLOOKUP(F260,Budget!A:F,6,FALSE)*(E260-(VLOOKUP(F260,Budget!A:F,3,FALSE))))),VLOOKUP($D260,Budget!A:F,5,FALSE)*E260))</f>
        <v>0</v>
      </c>
      <c r="J260" s="87">
        <f t="shared" si="16"/>
        <v>38269.757143831848</v>
      </c>
      <c r="K260" s="21"/>
      <c r="L260" s="74"/>
      <c r="M260" s="77" t="str">
        <f t="shared" si="17"/>
        <v>ja</v>
      </c>
      <c r="N260">
        <f t="shared" si="19"/>
        <v>2021</v>
      </c>
    </row>
    <row r="261" spans="1:14" ht="15" hidden="1" customHeight="1" x14ac:dyDescent="0.3">
      <c r="A261" s="104">
        <f t="shared" si="18"/>
        <v>37</v>
      </c>
      <c r="B261" s="22">
        <v>44452</v>
      </c>
      <c r="C261" s="10" t="s">
        <v>3</v>
      </c>
      <c r="D261" s="12" t="s">
        <v>69</v>
      </c>
      <c r="E261" s="13">
        <f>IF(VLOOKUP(D261,Budget!A:B,2,FALSE)&lt;&gt;0,IF(G261=0,24,24-G261),0)</f>
        <v>24</v>
      </c>
      <c r="F261" s="13"/>
      <c r="G261" s="13"/>
      <c r="H261" s="85">
        <f>IF(E261=0,0,IF(M261="ja",(VLOOKUP(D261,Budget!A:F,6,FALSE)*(E261-(VLOOKUP(D261,Budget!A:F,3,FALSE)))),VLOOKUP($D261,Budget!$A$1:$F$19,6,FALSE)*E261))</f>
        <v>42919.35380616656</v>
      </c>
      <c r="I261" s="85">
        <f>IF(F261=0,0,IF(M261="ja",((VLOOKUP(F261,Budget!A:F,6,FALSE)*(E261-(VLOOKUP(F261,Budget!A:F,3,FALSE))))),VLOOKUP($D261,Budget!A:F,5,FALSE)*E261))</f>
        <v>0</v>
      </c>
      <c r="J261" s="85">
        <f t="shared" si="16"/>
        <v>42919.35380616656</v>
      </c>
      <c r="K261" s="15"/>
      <c r="L261" s="72"/>
      <c r="M261" s="80" t="str">
        <f t="shared" si="17"/>
        <v>nein</v>
      </c>
      <c r="N261">
        <f t="shared" si="19"/>
        <v>2021</v>
      </c>
    </row>
    <row r="262" spans="1:14" ht="15" hidden="1" customHeight="1" x14ac:dyDescent="0.3">
      <c r="A262" s="105">
        <f t="shared" si="18"/>
        <v>37</v>
      </c>
      <c r="B262" s="22">
        <v>44453</v>
      </c>
      <c r="C262" s="11" t="s">
        <v>4</v>
      </c>
      <c r="D262" s="12" t="s">
        <v>65</v>
      </c>
      <c r="E262" s="13">
        <f>IF(VLOOKUP(D262,Budget!A:B,2,FALSE)&lt;&gt;0,IF(G262=0,24,24-G262),0)</f>
        <v>24</v>
      </c>
      <c r="G262" s="13"/>
      <c r="H262" s="85">
        <f>IF(E262=0,0,IF(M262="ja",(VLOOKUP(D262,Budget!A:F,6,FALSE)*(E262-(VLOOKUP(D262,Budget!A:F,3,FALSE)))),VLOOKUP($D262,Budget!$A$1:$F$19,6,FALSE)*E262))</f>
        <v>22220.983707552332</v>
      </c>
      <c r="I262" s="85">
        <f>IF(F262=0,0,IF(M262="ja",((VLOOKUP(F262,Budget!A:F,6,FALSE)*(E262-(VLOOKUP(F262,Budget!A:F,3,FALSE))))),VLOOKUP($D262,Budget!A:F,5,FALSE)*E262))</f>
        <v>0</v>
      </c>
      <c r="J262" s="85">
        <f t="shared" si="16"/>
        <v>22220.983707552332</v>
      </c>
      <c r="K262" s="14"/>
      <c r="L262" s="73"/>
      <c r="M262" s="80" t="str">
        <f t="shared" si="17"/>
        <v>ja</v>
      </c>
      <c r="N262">
        <f t="shared" si="19"/>
        <v>2021</v>
      </c>
    </row>
    <row r="263" spans="1:14" ht="15" hidden="1" customHeight="1" x14ac:dyDescent="0.3">
      <c r="A263" s="105">
        <f t="shared" si="18"/>
        <v>37</v>
      </c>
      <c r="B263" s="22">
        <v>44454</v>
      </c>
      <c r="C263" s="11" t="s">
        <v>5</v>
      </c>
      <c r="D263" s="12" t="s">
        <v>65</v>
      </c>
      <c r="E263" s="13">
        <f>IF(VLOOKUP(D263,Budget!A:B,2,FALSE)&lt;&gt;0,IF(G263=0,24,24-G263),0)</f>
        <v>24</v>
      </c>
      <c r="G263" s="13"/>
      <c r="H263" s="85">
        <f>IF(E263=0,0,IF(M263="ja",(VLOOKUP(D263,Budget!A:F,6,FALSE)*(E263-(VLOOKUP(D263,Budget!A:F,3,FALSE)))),VLOOKUP($D263,Budget!$A$1:$F$19,6,FALSE)*E263))</f>
        <v>35553.573932083731</v>
      </c>
      <c r="I263" s="85">
        <f>IF(F263=0,0,IF(M263="ja",((VLOOKUP(F263,Budget!A:F,6,FALSE)*(E263-(VLOOKUP(F263,Budget!A:F,3,FALSE))))),VLOOKUP($D263,Budget!A:F,5,FALSE)*E263))</f>
        <v>0</v>
      </c>
      <c r="J263" s="85">
        <f t="shared" si="16"/>
        <v>35553.573932083731</v>
      </c>
      <c r="K263" s="14"/>
      <c r="L263" s="73"/>
      <c r="M263" s="80" t="str">
        <f t="shared" si="17"/>
        <v>nein</v>
      </c>
      <c r="N263">
        <f t="shared" si="19"/>
        <v>2021</v>
      </c>
    </row>
    <row r="264" spans="1:14" ht="15" hidden="1" customHeight="1" x14ac:dyDescent="0.3">
      <c r="A264" s="103">
        <f t="shared" si="18"/>
        <v>37</v>
      </c>
      <c r="B264" s="22">
        <v>44455</v>
      </c>
      <c r="C264" s="11" t="s">
        <v>6</v>
      </c>
      <c r="D264" s="12" t="s">
        <v>18</v>
      </c>
      <c r="E264" s="13">
        <f>IF(VLOOKUP(D264,Budget!A:B,2,FALSE)&lt;&gt;0,IF(G264=0,24,24-G264),0)</f>
        <v>24</v>
      </c>
      <c r="G264" s="13"/>
      <c r="H264" s="85">
        <f>IF(E264=0,0,IF(M264="ja",(VLOOKUP(D264,Budget!A:F,6,FALSE)*(E264-(VLOOKUP(D264,Budget!A:F,3,FALSE)))),VLOOKUP($D264,Budget!$A$1:$F$19,6,FALSE)*E264))</f>
        <v>25200</v>
      </c>
      <c r="I264" s="85">
        <f>IF(F264=0,0,IF(M264="ja",((VLOOKUP(F264,Budget!A:F,6,FALSE)*(E264-(VLOOKUP(F264,Budget!A:F,3,FALSE))))),VLOOKUP($D264,Budget!A:F,5,FALSE)*E264))</f>
        <v>0</v>
      </c>
      <c r="J264" s="85">
        <f t="shared" si="16"/>
        <v>25200</v>
      </c>
      <c r="K264" s="14"/>
      <c r="L264" s="73"/>
      <c r="M264" s="80" t="str">
        <f t="shared" si="17"/>
        <v>ja</v>
      </c>
      <c r="N264">
        <f t="shared" si="19"/>
        <v>2021</v>
      </c>
    </row>
    <row r="265" spans="1:14" ht="15" hidden="1" customHeight="1" x14ac:dyDescent="0.3">
      <c r="A265" s="105">
        <f t="shared" si="18"/>
        <v>37</v>
      </c>
      <c r="B265" s="22">
        <v>44456</v>
      </c>
      <c r="C265" s="11" t="s">
        <v>7</v>
      </c>
      <c r="D265" s="12" t="s">
        <v>11</v>
      </c>
      <c r="E265" s="13">
        <f>IF(VLOOKUP(D265,Budget!A:B,2,FALSE)&lt;&gt;0,IF(G265=0,24,24-G265),0)</f>
        <v>24</v>
      </c>
      <c r="G265" s="13"/>
      <c r="H265" s="85">
        <f>IF(E265=0,0,IF(M265="ja",(VLOOKUP(D265,Budget!A:F,6,FALSE)*(E265-(VLOOKUP(D265,Budget!A:F,3,FALSE)))),VLOOKUP($D265,Budget!$A$1:$F$19,6,FALSE)*E265))</f>
        <v>30030</v>
      </c>
      <c r="I265" s="85">
        <f>IF(F265=0,0,IF(M265="ja",((VLOOKUP(F265,Budget!A:F,6,FALSE)*(E265-(VLOOKUP(F265,Budget!A:F,3,FALSE))))),VLOOKUP($D265,Budget!A:F,5,FALSE)*E265))</f>
        <v>0</v>
      </c>
      <c r="J265" s="85">
        <f t="shared" si="16"/>
        <v>30030</v>
      </c>
      <c r="K265" s="14"/>
      <c r="L265" s="25"/>
      <c r="M265" s="80" t="str">
        <f t="shared" si="17"/>
        <v>ja</v>
      </c>
      <c r="N265">
        <f t="shared" si="19"/>
        <v>2021</v>
      </c>
    </row>
    <row r="266" spans="1:14" ht="15" hidden="1" customHeight="1" x14ac:dyDescent="0.3">
      <c r="A266" s="105">
        <f t="shared" si="18"/>
        <v>37</v>
      </c>
      <c r="B266" s="22">
        <v>44457</v>
      </c>
      <c r="C266" s="16" t="s">
        <v>8</v>
      </c>
      <c r="D266" s="17" t="s">
        <v>11</v>
      </c>
      <c r="E266" s="24">
        <f>IF(VLOOKUP(D266,Budget!A:B,2,FALSE)&lt;&gt;0,IF(G266=0,24,24-G266),0)</f>
        <v>24</v>
      </c>
      <c r="F266" s="17"/>
      <c r="G266" s="17"/>
      <c r="H266" s="86">
        <f>IF(E266=0,0,IF(M266="ja",(VLOOKUP(D266,Budget!A:F,6,FALSE)*(E266-(VLOOKUP(D266,Budget!A:F,3,FALSE)))),VLOOKUP($D266,Budget!$A$1:$F$19,6,FALSE)*E266))</f>
        <v>36960</v>
      </c>
      <c r="I266" s="86">
        <f>IF(F266=0,0,IF(M266="ja",((VLOOKUP(F266,Budget!A:F,6,FALSE)*(E266-(VLOOKUP(F266,Budget!A:F,3,FALSE))))),VLOOKUP($D266,Budget!A:F,5,FALSE)*E266))</f>
        <v>0</v>
      </c>
      <c r="J266" s="86">
        <f t="shared" ref="J266:J329" si="20">H266+I266</f>
        <v>36960</v>
      </c>
      <c r="K266" s="18"/>
      <c r="L266" s="75"/>
      <c r="M266" s="76" t="str">
        <f t="shared" ref="M266:M329" si="21">IF(E266=0,"nein",IF(OR(E266&lt;&gt;24,F265&lt;&gt;0,D266&lt;&gt;D265),"ja","nein"))</f>
        <v>nein</v>
      </c>
      <c r="N266">
        <f t="shared" si="19"/>
        <v>2021</v>
      </c>
    </row>
    <row r="267" spans="1:14" ht="15.75" hidden="1" customHeight="1" thickBot="1" x14ac:dyDescent="0.35">
      <c r="A267" s="105">
        <f t="shared" si="18"/>
        <v>37</v>
      </c>
      <c r="B267" s="27">
        <v>44458</v>
      </c>
      <c r="C267" s="19" t="s">
        <v>9</v>
      </c>
      <c r="D267" s="20" t="s">
        <v>11</v>
      </c>
      <c r="E267" s="20">
        <f>IF(VLOOKUP(D267,Budget!A:B,2,FALSE)&lt;&gt;0,IF(G267=0,24,24-G267),0)</f>
        <v>24</v>
      </c>
      <c r="F267" s="20"/>
      <c r="G267" s="20"/>
      <c r="H267" s="93">
        <f>IF(E267=0,0,IF(M267="ja",(VLOOKUP(D267,Budget!A:F,6,FALSE)*(E267-(VLOOKUP(D267,Budget!A:F,3,FALSE)))),VLOOKUP($D267,Budget!$A$1:$F$19,6,FALSE)*E267))</f>
        <v>36960</v>
      </c>
      <c r="I267" s="93">
        <f>IF(F267=0,0,IF(M267="ja",((VLOOKUP(F267,Budget!A:F,6,FALSE)*(E267-(VLOOKUP(F267,Budget!A:F,3,FALSE))))),VLOOKUP($D267,Budget!A:F,5,FALSE)*E267))</f>
        <v>0</v>
      </c>
      <c r="J267" s="87">
        <f t="shared" si="20"/>
        <v>36960</v>
      </c>
      <c r="K267" s="21"/>
      <c r="L267" s="74"/>
      <c r="M267" s="77" t="str">
        <f t="shared" si="21"/>
        <v>nein</v>
      </c>
      <c r="N267">
        <f t="shared" si="19"/>
        <v>2021</v>
      </c>
    </row>
    <row r="268" spans="1:14" ht="15" hidden="1" customHeight="1" x14ac:dyDescent="0.3">
      <c r="A268" s="104">
        <f t="shared" si="18"/>
        <v>38</v>
      </c>
      <c r="B268" s="22">
        <v>44459</v>
      </c>
      <c r="C268" s="10" t="s">
        <v>3</v>
      </c>
      <c r="D268" s="12" t="s">
        <v>11</v>
      </c>
      <c r="E268" s="13">
        <f>IF(VLOOKUP(D268,Budget!A:B,2,FALSE)&lt;&gt;0,IF(G268=0,24,24-G268),0)</f>
        <v>24</v>
      </c>
      <c r="F268" s="13"/>
      <c r="G268" s="13"/>
      <c r="H268" s="85">
        <f>IF(E268=0,0,IF(M268="ja",(VLOOKUP(D268,Budget!A:F,6,FALSE)*(E268-(VLOOKUP(D268,Budget!A:F,3,FALSE)))),VLOOKUP($D268,Budget!$A$1:$F$19,6,FALSE)*E268))</f>
        <v>36960</v>
      </c>
      <c r="I268" s="85">
        <f>IF(F268=0,0,IF(M268="ja",((VLOOKUP(F268,Budget!A:F,6,FALSE)*(E268-(VLOOKUP(F268,Budget!A:F,3,FALSE))))),VLOOKUP($D268,Budget!A:F,5,FALSE)*E268))</f>
        <v>0</v>
      </c>
      <c r="J268" s="85">
        <f t="shared" si="20"/>
        <v>36960</v>
      </c>
      <c r="K268" s="15"/>
      <c r="L268" s="72"/>
      <c r="M268" s="80" t="str">
        <f t="shared" si="21"/>
        <v>nein</v>
      </c>
      <c r="N268">
        <f t="shared" si="19"/>
        <v>2021</v>
      </c>
    </row>
    <row r="269" spans="1:14" ht="15" hidden="1" customHeight="1" x14ac:dyDescent="0.3">
      <c r="A269" s="105">
        <f t="shared" si="18"/>
        <v>38</v>
      </c>
      <c r="B269" s="22">
        <v>44460</v>
      </c>
      <c r="C269" s="11" t="s">
        <v>4</v>
      </c>
      <c r="D269" s="12" t="s">
        <v>11</v>
      </c>
      <c r="E269" s="13">
        <f>IF(VLOOKUP(D269,Budget!A:B,2,FALSE)&lt;&gt;0,IF(G269=0,24,24-G269),0)</f>
        <v>24</v>
      </c>
      <c r="G269" s="13"/>
      <c r="H269" s="85">
        <f>IF(E269=0,0,IF(M269="ja",(VLOOKUP(D269,Budget!A:F,6,FALSE)*(E269-(VLOOKUP(D269,Budget!A:F,3,FALSE)))),VLOOKUP($D269,Budget!$A$1:$F$19,6,FALSE)*E269))</f>
        <v>36960</v>
      </c>
      <c r="I269" s="85">
        <f>IF(F269=0,0,IF(M269="ja",((VLOOKUP(F269,Budget!A:F,6,FALSE)*(E269-(VLOOKUP(F269,Budget!A:F,3,FALSE))))),VLOOKUP($D269,Budget!A:F,5,FALSE)*E269))</f>
        <v>0</v>
      </c>
      <c r="J269" s="85">
        <f t="shared" si="20"/>
        <v>36960</v>
      </c>
      <c r="K269" s="14"/>
      <c r="L269" s="73"/>
      <c r="M269" s="80" t="str">
        <f t="shared" si="21"/>
        <v>nein</v>
      </c>
      <c r="N269">
        <f t="shared" si="19"/>
        <v>2021</v>
      </c>
    </row>
    <row r="270" spans="1:14" ht="15" hidden="1" customHeight="1" x14ac:dyDescent="0.3">
      <c r="A270" s="105">
        <f t="shared" si="18"/>
        <v>38</v>
      </c>
      <c r="B270" s="22">
        <v>44461</v>
      </c>
      <c r="C270" s="11" t="s">
        <v>5</v>
      </c>
      <c r="D270" s="12" t="s">
        <v>11</v>
      </c>
      <c r="E270" s="13">
        <f>IF(VLOOKUP(D270,Budget!A:B,2,FALSE)&lt;&gt;0,IF(G270=0,24,24-G270),0)</f>
        <v>24</v>
      </c>
      <c r="G270" s="13"/>
      <c r="H270" s="85">
        <f>IF(E270=0,0,IF(M270="ja",(VLOOKUP(D270,Budget!A:F,6,FALSE)*(E270-(VLOOKUP(D270,Budget!A:F,3,FALSE)))),VLOOKUP($D270,Budget!$A$1:$F$19,6,FALSE)*E270))</f>
        <v>36960</v>
      </c>
      <c r="I270" s="85">
        <f>IF(F270=0,0,IF(M270="ja",((VLOOKUP(F270,Budget!A:F,6,FALSE)*(E270-(VLOOKUP(F270,Budget!A:F,3,FALSE))))),VLOOKUP($D270,Budget!A:F,5,FALSE)*E270))</f>
        <v>0</v>
      </c>
      <c r="J270" s="85">
        <f t="shared" si="20"/>
        <v>36960</v>
      </c>
      <c r="K270" s="14"/>
      <c r="L270" s="106"/>
      <c r="M270" s="80" t="str">
        <f t="shared" si="21"/>
        <v>nein</v>
      </c>
      <c r="N270">
        <f t="shared" si="19"/>
        <v>2021</v>
      </c>
    </row>
    <row r="271" spans="1:14" ht="15" hidden="1" customHeight="1" x14ac:dyDescent="0.3">
      <c r="A271" s="103">
        <f t="shared" si="18"/>
        <v>38</v>
      </c>
      <c r="B271" s="22">
        <v>44462</v>
      </c>
      <c r="C271" s="11" t="s">
        <v>6</v>
      </c>
      <c r="D271" s="12" t="s">
        <v>13</v>
      </c>
      <c r="E271" s="13">
        <f>IF(VLOOKUP(D271,Budget!A:B,2,FALSE)&lt;&gt;0,IF(G271=0,24,24-G271),0)</f>
        <v>0</v>
      </c>
      <c r="G271" s="13"/>
      <c r="H271" s="85">
        <f>IF(E271=0,0,IF(M271="ja",(VLOOKUP(D271,Budget!A:F,6,FALSE)*(E271-(VLOOKUP(D271,Budget!A:F,3,FALSE)))),VLOOKUP($D271,Budget!$A$1:$F$19,6,FALSE)*E271))</f>
        <v>0</v>
      </c>
      <c r="I271" s="85">
        <f>IF(F271=0,0,IF(M271="ja",((VLOOKUP(F271,Budget!A:F,6,FALSE)*(E271-(VLOOKUP(F271,Budget!A:F,3,FALSE))))),VLOOKUP($D271,Budget!A:F,5,FALSE)*E271))</f>
        <v>0</v>
      </c>
      <c r="J271" s="85">
        <f t="shared" si="20"/>
        <v>0</v>
      </c>
      <c r="K271" s="14"/>
      <c r="L271" s="107" t="s">
        <v>75</v>
      </c>
      <c r="M271" s="80" t="str">
        <f t="shared" si="21"/>
        <v>nein</v>
      </c>
      <c r="N271">
        <f t="shared" si="19"/>
        <v>2021</v>
      </c>
    </row>
    <row r="272" spans="1:14" ht="15" hidden="1" customHeight="1" x14ac:dyDescent="0.3">
      <c r="A272" s="105">
        <f t="shared" si="18"/>
        <v>38</v>
      </c>
      <c r="B272" s="22">
        <v>44463</v>
      </c>
      <c r="C272" s="11" t="s">
        <v>7</v>
      </c>
      <c r="D272" s="12" t="s">
        <v>69</v>
      </c>
      <c r="E272" s="13">
        <f>IF(VLOOKUP(D272,Budget!A:B,2,FALSE)&lt;&gt;0,IF(G272=0,24,24-G272),0)</f>
        <v>24</v>
      </c>
      <c r="G272" s="13"/>
      <c r="H272" s="85">
        <f>IF(E272=0,0,IF(M272="ja",(VLOOKUP(D272,Budget!A:F,6,FALSE)*(E272-(VLOOKUP(D272,Budget!A:F,3,FALSE)))),VLOOKUP($D272,Budget!$A$1:$F$19,6,FALSE)*E272))</f>
        <v>38269.757143831848</v>
      </c>
      <c r="I272" s="85">
        <f>IF(F272=0,0,IF(M272="ja",((VLOOKUP(F272,Budget!A:F,6,FALSE)*(E272-(VLOOKUP(F272,Budget!A:F,3,FALSE))))),VLOOKUP($D272,Budget!A:F,5,FALSE)*E272))</f>
        <v>0</v>
      </c>
      <c r="J272" s="85">
        <f t="shared" si="20"/>
        <v>38269.757143831848</v>
      </c>
      <c r="K272" s="14"/>
      <c r="L272" s="25"/>
      <c r="M272" s="80" t="str">
        <f t="shared" si="21"/>
        <v>ja</v>
      </c>
      <c r="N272">
        <f t="shared" si="19"/>
        <v>2021</v>
      </c>
    </row>
    <row r="273" spans="1:14" ht="15" hidden="1" customHeight="1" x14ac:dyDescent="0.3">
      <c r="A273" s="105">
        <f t="shared" si="18"/>
        <v>38</v>
      </c>
      <c r="B273" s="22">
        <v>44464</v>
      </c>
      <c r="C273" s="16" t="s">
        <v>8</v>
      </c>
      <c r="D273" s="17" t="s">
        <v>69</v>
      </c>
      <c r="E273" s="24">
        <f>IF(VLOOKUP(D273,Budget!A:B,2,FALSE)&lt;&gt;0,IF(G273=0,24,24-G273),0)</f>
        <v>24</v>
      </c>
      <c r="F273" s="17"/>
      <c r="G273" s="17"/>
      <c r="H273" s="86">
        <f>IF(E273=0,0,IF(M273="ja",(VLOOKUP(D273,Budget!A:F,6,FALSE)*(E273-(VLOOKUP(D273,Budget!A:F,3,FALSE)))),VLOOKUP($D273,Budget!$A$1:$F$19,6,FALSE)*E273))</f>
        <v>42919.35380616656</v>
      </c>
      <c r="I273" s="86">
        <f>IF(F273=0,0,IF(M273="ja",((VLOOKUP(F273,Budget!A:F,6,FALSE)*(E273-(VLOOKUP(F273,Budget!A:F,3,FALSE))))),VLOOKUP($D273,Budget!A:F,5,FALSE)*E273))</f>
        <v>0</v>
      </c>
      <c r="J273" s="86">
        <f t="shared" si="20"/>
        <v>42919.35380616656</v>
      </c>
      <c r="K273" s="18"/>
      <c r="L273" s="75"/>
      <c r="M273" s="76" t="str">
        <f t="shared" si="21"/>
        <v>nein</v>
      </c>
      <c r="N273">
        <f t="shared" si="19"/>
        <v>2021</v>
      </c>
    </row>
    <row r="274" spans="1:14" ht="15.75" hidden="1" customHeight="1" thickBot="1" x14ac:dyDescent="0.35">
      <c r="A274" s="105">
        <f t="shared" si="18"/>
        <v>38</v>
      </c>
      <c r="B274" s="27">
        <v>44465</v>
      </c>
      <c r="C274" s="19" t="s">
        <v>9</v>
      </c>
      <c r="D274" s="20" t="s">
        <v>69</v>
      </c>
      <c r="E274" s="20">
        <f>IF(VLOOKUP(D274,Budget!A:B,2,FALSE)&lt;&gt;0,IF(G274=0,24,24-G274),0)</f>
        <v>24</v>
      </c>
      <c r="F274" s="20"/>
      <c r="G274" s="20"/>
      <c r="H274" s="93">
        <f>IF(E274=0,0,IF(M274="ja",(VLOOKUP(D274,Budget!A:F,6,FALSE)*(E274-(VLOOKUP(D274,Budget!A:F,3,FALSE)))),VLOOKUP($D274,Budget!$A$1:$F$19,6,FALSE)*E274))</f>
        <v>42919.35380616656</v>
      </c>
      <c r="I274" s="93">
        <f>IF(F274=0,0,IF(M274="ja",((VLOOKUP(F274,Budget!A:F,6,FALSE)*(E274-(VLOOKUP(F274,Budget!A:F,3,FALSE))))),VLOOKUP($D274,Budget!A:F,5,FALSE)*E274))</f>
        <v>0</v>
      </c>
      <c r="J274" s="87">
        <f t="shared" si="20"/>
        <v>42919.35380616656</v>
      </c>
      <c r="K274" s="21"/>
      <c r="L274" s="74"/>
      <c r="M274" s="77" t="str">
        <f t="shared" si="21"/>
        <v>nein</v>
      </c>
      <c r="N274">
        <f t="shared" si="19"/>
        <v>2021</v>
      </c>
    </row>
    <row r="275" spans="1:14" ht="15" hidden="1" customHeight="1" x14ac:dyDescent="0.3">
      <c r="A275" s="104">
        <f t="shared" si="18"/>
        <v>39</v>
      </c>
      <c r="B275" s="22">
        <v>44466</v>
      </c>
      <c r="C275" s="10" t="s">
        <v>3</v>
      </c>
      <c r="D275" s="12" t="s">
        <v>69</v>
      </c>
      <c r="E275" s="13">
        <f>IF(VLOOKUP(D275,Budget!A:B,2,FALSE)&lt;&gt;0,IF(G275=0,24,24-G275),0)</f>
        <v>24</v>
      </c>
      <c r="F275" s="13"/>
      <c r="G275" s="13"/>
      <c r="H275" s="85">
        <f>IF(E275=0,0,IF(M275="ja",(VLOOKUP(D275,Budget!A:F,6,FALSE)*(E275-(VLOOKUP(D275,Budget!A:F,3,FALSE)))),VLOOKUP($D275,Budget!$A$1:$F$19,6,FALSE)*E275))</f>
        <v>42919.35380616656</v>
      </c>
      <c r="I275" s="85">
        <f>IF(F275=0,0,IF(M275="ja",((VLOOKUP(F275,Budget!A:F,6,FALSE)*(E275-(VLOOKUP(F275,Budget!A:F,3,FALSE))))),VLOOKUP($D275,Budget!A:F,5,FALSE)*E275))</f>
        <v>0</v>
      </c>
      <c r="J275" s="85">
        <f t="shared" si="20"/>
        <v>42919.35380616656</v>
      </c>
      <c r="K275" s="15"/>
      <c r="L275" s="72"/>
      <c r="M275" s="80" t="str">
        <f t="shared" si="21"/>
        <v>nein</v>
      </c>
      <c r="N275">
        <f t="shared" si="19"/>
        <v>2021</v>
      </c>
    </row>
    <row r="276" spans="1:14" ht="15" hidden="1" customHeight="1" x14ac:dyDescent="0.3">
      <c r="A276" s="105">
        <f t="shared" si="18"/>
        <v>39</v>
      </c>
      <c r="B276" s="22">
        <v>44467</v>
      </c>
      <c r="C276" s="11" t="s">
        <v>4</v>
      </c>
      <c r="D276" s="12" t="s">
        <v>66</v>
      </c>
      <c r="E276" s="13">
        <f>IF(VLOOKUP(D276,Budget!A:B,2,FALSE)&lt;&gt;0,IF(G276=0,24,24-G276),0)</f>
        <v>24</v>
      </c>
      <c r="G276" s="13"/>
      <c r="H276" s="85">
        <f>IF(E276=0,0,IF(M276="ja",(VLOOKUP(D276,Budget!A:F,6,FALSE)*(E276-(VLOOKUP(D276,Budget!A:F,3,FALSE)))),VLOOKUP($D276,Budget!$A$1:$F$19,6,FALSE)*E276))</f>
        <v>32328.172065231582</v>
      </c>
      <c r="I276" s="85">
        <f>IF(F276=0,0,IF(M276="ja",((VLOOKUP(F276,Budget!A:F,6,FALSE)*(E276-(VLOOKUP(F276,Budget!A:F,3,FALSE))))),VLOOKUP($D276,Budget!A:F,5,FALSE)*E276))</f>
        <v>0</v>
      </c>
      <c r="J276" s="85">
        <f t="shared" si="20"/>
        <v>32328.172065231582</v>
      </c>
      <c r="K276" s="14"/>
      <c r="L276" s="73"/>
      <c r="M276" s="80" t="str">
        <f t="shared" si="21"/>
        <v>ja</v>
      </c>
      <c r="N276">
        <f t="shared" si="19"/>
        <v>2021</v>
      </c>
    </row>
    <row r="277" spans="1:14" ht="15" hidden="1" customHeight="1" x14ac:dyDescent="0.3">
      <c r="A277" s="105">
        <f t="shared" si="18"/>
        <v>39</v>
      </c>
      <c r="B277" s="22">
        <v>44468</v>
      </c>
      <c r="C277" s="11" t="s">
        <v>5</v>
      </c>
      <c r="D277" s="12" t="s">
        <v>65</v>
      </c>
      <c r="E277" s="13">
        <f>IF(VLOOKUP(D277,Budget!A:B,2,FALSE)&lt;&gt;0,IF(G277=0,24,24-G277),0)</f>
        <v>24</v>
      </c>
      <c r="G277" s="13"/>
      <c r="H277" s="85">
        <f>IF(E277=0,0,IF(M277="ja",(VLOOKUP(D277,Budget!A:F,6,FALSE)*(E277-(VLOOKUP(D277,Budget!A:F,3,FALSE)))),VLOOKUP($D277,Budget!$A$1:$F$19,6,FALSE)*E277))</f>
        <v>22220.983707552332</v>
      </c>
      <c r="I277" s="85">
        <f>IF(F277=0,0,IF(M277="ja",((VLOOKUP(F277,Budget!A:F,6,FALSE)*(E277-(VLOOKUP(F277,Budget!A:F,3,FALSE))))),VLOOKUP($D277,Budget!A:F,5,FALSE)*E277))</f>
        <v>0</v>
      </c>
      <c r="J277" s="85">
        <f t="shared" si="20"/>
        <v>22220.983707552332</v>
      </c>
      <c r="K277" s="14"/>
      <c r="L277" s="73"/>
      <c r="M277" s="80" t="str">
        <f t="shared" si="21"/>
        <v>ja</v>
      </c>
      <c r="N277">
        <f t="shared" si="19"/>
        <v>2021</v>
      </c>
    </row>
    <row r="278" spans="1:14" ht="15" hidden="1" customHeight="1" x14ac:dyDescent="0.3">
      <c r="A278" s="103">
        <f t="shared" si="18"/>
        <v>39</v>
      </c>
      <c r="B278" s="22">
        <v>44469</v>
      </c>
      <c r="C278" s="11" t="s">
        <v>6</v>
      </c>
      <c r="D278" s="12" t="s">
        <v>65</v>
      </c>
      <c r="E278" s="13">
        <f>IF(VLOOKUP(D278,Budget!A:B,2,FALSE)&lt;&gt;0,IF(G278=0,24,24-G278),0)</f>
        <v>24</v>
      </c>
      <c r="G278" s="13"/>
      <c r="H278" s="85">
        <f>IF(E278=0,0,IF(M278="ja",(VLOOKUP(D278,Budget!A:F,6,FALSE)*(E278-(VLOOKUP(D278,Budget!A:F,3,FALSE)))),VLOOKUP($D278,Budget!$A$1:$F$19,6,FALSE)*E278))</f>
        <v>35553.573932083731</v>
      </c>
      <c r="I278" s="85">
        <f>IF(F278=0,0,IF(M278="ja",((VLOOKUP(F278,Budget!A:F,6,FALSE)*(E278-(VLOOKUP(F278,Budget!A:F,3,FALSE))))),VLOOKUP($D278,Budget!A:F,5,FALSE)*E278))</f>
        <v>0</v>
      </c>
      <c r="J278" s="85">
        <f t="shared" si="20"/>
        <v>35553.573932083731</v>
      </c>
      <c r="K278" s="14"/>
      <c r="L278" s="73"/>
      <c r="M278" s="80" t="str">
        <f t="shared" si="21"/>
        <v>nein</v>
      </c>
      <c r="N278">
        <f t="shared" si="19"/>
        <v>2021</v>
      </c>
    </row>
    <row r="279" spans="1:14" ht="15" hidden="1" customHeight="1" x14ac:dyDescent="0.3">
      <c r="A279" s="105">
        <f t="shared" si="18"/>
        <v>39</v>
      </c>
      <c r="B279" s="22">
        <v>44470</v>
      </c>
      <c r="C279" s="11" t="s">
        <v>7</v>
      </c>
      <c r="D279" s="12" t="s">
        <v>65</v>
      </c>
      <c r="E279" s="13">
        <f>IF(VLOOKUP(D279,Budget!A:B,2,FALSE)&lt;&gt;0,IF(G279=0,24,24-G279),0)</f>
        <v>24</v>
      </c>
      <c r="G279" s="13"/>
      <c r="H279" s="85">
        <f>IF(E279=0,0,IF(M279="ja",(VLOOKUP(D279,Budget!A:F,6,FALSE)*(E279-(VLOOKUP(D279,Budget!A:F,3,FALSE)))),VLOOKUP($D279,Budget!$A$1:$F$19,6,FALSE)*E279))</f>
        <v>35553.573932083731</v>
      </c>
      <c r="I279" s="85">
        <f>IF(F279=0,0,IF(M279="ja",((VLOOKUP(F279,Budget!A:F,6,FALSE)*(E279-(VLOOKUP(F279,Budget!A:F,3,FALSE))))),VLOOKUP($D279,Budget!A:F,5,FALSE)*E279))</f>
        <v>0</v>
      </c>
      <c r="J279" s="85">
        <f t="shared" si="20"/>
        <v>35553.573932083731</v>
      </c>
      <c r="K279" s="14"/>
      <c r="L279" s="25"/>
      <c r="M279" s="80" t="str">
        <f t="shared" si="21"/>
        <v>nein</v>
      </c>
      <c r="N279">
        <f t="shared" si="19"/>
        <v>2021</v>
      </c>
    </row>
    <row r="280" spans="1:14" ht="15" hidden="1" customHeight="1" x14ac:dyDescent="0.3">
      <c r="A280" s="105">
        <f t="shared" si="18"/>
        <v>39</v>
      </c>
      <c r="B280" s="22">
        <v>44471</v>
      </c>
      <c r="C280" s="16" t="s">
        <v>8</v>
      </c>
      <c r="D280" s="17" t="s">
        <v>65</v>
      </c>
      <c r="E280" s="24">
        <f>IF(VLOOKUP(D280,Budget!A:B,2,FALSE)&lt;&gt;0,IF(G280=0,24,24-G280),0)</f>
        <v>24</v>
      </c>
      <c r="F280" s="17"/>
      <c r="G280" s="17"/>
      <c r="H280" s="86">
        <f>IF(E280=0,0,IF(M280="ja",(VLOOKUP(D280,Budget!A:F,6,FALSE)*(E280-(VLOOKUP(D280,Budget!A:F,3,FALSE)))),VLOOKUP($D280,Budget!$A$1:$F$19,6,FALSE)*E280))</f>
        <v>35553.573932083731</v>
      </c>
      <c r="I280" s="86">
        <f>IF(F280=0,0,IF(M280="ja",((VLOOKUP(F280,Budget!A:F,6,FALSE)*(E280-(VLOOKUP(F280,Budget!A:F,3,FALSE))))),VLOOKUP($D280,Budget!A:F,5,FALSE)*E280))</f>
        <v>0</v>
      </c>
      <c r="J280" s="86">
        <f t="shared" si="20"/>
        <v>35553.573932083731</v>
      </c>
      <c r="K280" s="18"/>
      <c r="L280" s="75"/>
      <c r="M280" s="76" t="str">
        <f t="shared" si="21"/>
        <v>nein</v>
      </c>
      <c r="N280">
        <f t="shared" si="19"/>
        <v>2021</v>
      </c>
    </row>
    <row r="281" spans="1:14" ht="15.75" hidden="1" customHeight="1" thickBot="1" x14ac:dyDescent="0.35">
      <c r="A281" s="105">
        <f t="shared" si="18"/>
        <v>39</v>
      </c>
      <c r="B281" s="27">
        <v>44472</v>
      </c>
      <c r="C281" s="19" t="s">
        <v>9</v>
      </c>
      <c r="D281" s="20" t="s">
        <v>65</v>
      </c>
      <c r="E281" s="20">
        <f>IF(VLOOKUP(D281,Budget!A:B,2,FALSE)&lt;&gt;0,IF(G281=0,24,24-G281),0)</f>
        <v>24</v>
      </c>
      <c r="F281" s="20"/>
      <c r="G281" s="20"/>
      <c r="H281" s="93">
        <f>IF(E281=0,0,IF(M281="ja",(VLOOKUP(D281,Budget!A:F,6,FALSE)*(E281-(VLOOKUP(D281,Budget!A:F,3,FALSE)))),VLOOKUP($D281,Budget!$A$1:$F$19,6,FALSE)*E281))</f>
        <v>35553.573932083731</v>
      </c>
      <c r="I281" s="93">
        <f>IF(F281=0,0,IF(M281="ja",((VLOOKUP(F281,Budget!A:F,6,FALSE)*(E281-(VLOOKUP(F281,Budget!A:F,3,FALSE))))),VLOOKUP($D281,Budget!A:F,5,FALSE)*E281))</f>
        <v>0</v>
      </c>
      <c r="J281" s="87">
        <f t="shared" si="20"/>
        <v>35553.573932083731</v>
      </c>
      <c r="K281" s="21"/>
      <c r="L281" s="74"/>
      <c r="M281" s="77" t="str">
        <f t="shared" si="21"/>
        <v>nein</v>
      </c>
      <c r="N281">
        <f t="shared" si="19"/>
        <v>2021</v>
      </c>
    </row>
    <row r="282" spans="1:14" ht="15" hidden="1" customHeight="1" x14ac:dyDescent="0.3">
      <c r="A282" s="104">
        <f t="shared" si="18"/>
        <v>40</v>
      </c>
      <c r="B282" s="22">
        <v>44473</v>
      </c>
      <c r="C282" s="10" t="s">
        <v>3</v>
      </c>
      <c r="D282" s="12" t="s">
        <v>69</v>
      </c>
      <c r="E282" s="13">
        <f>IF(VLOOKUP(D282,Budget!A:B,2,FALSE)&lt;&gt;0,IF(G282=0,24,24-G282),0)</f>
        <v>24</v>
      </c>
      <c r="F282" s="13"/>
      <c r="G282" s="13"/>
      <c r="H282" s="85">
        <f>IF(E282=0,0,IF(M282="ja",(VLOOKUP(D282,Budget!A:F,6,FALSE)*(E282-(VLOOKUP(D282,Budget!A:F,3,FALSE)))),VLOOKUP($D282,Budget!$A$1:$F$19,6,FALSE)*E282))</f>
        <v>38269.757143831848</v>
      </c>
      <c r="I282" s="85">
        <f>IF(F282=0,0,IF(M282="ja",((VLOOKUP(F282,Budget!A:F,6,FALSE)*(E282-(VLOOKUP(F282,Budget!A:F,3,FALSE))))),VLOOKUP($D282,Budget!A:F,5,FALSE)*E282))</f>
        <v>0</v>
      </c>
      <c r="J282" s="85">
        <f t="shared" si="20"/>
        <v>38269.757143831848</v>
      </c>
      <c r="K282" s="15"/>
      <c r="L282" s="72"/>
      <c r="M282" s="80" t="str">
        <f t="shared" si="21"/>
        <v>ja</v>
      </c>
      <c r="N282">
        <f t="shared" si="19"/>
        <v>2021</v>
      </c>
    </row>
    <row r="283" spans="1:14" ht="15" hidden="1" customHeight="1" x14ac:dyDescent="0.3">
      <c r="A283" s="105">
        <f t="shared" si="18"/>
        <v>40</v>
      </c>
      <c r="B283" s="22">
        <v>44474</v>
      </c>
      <c r="C283" s="11" t="s">
        <v>4</v>
      </c>
      <c r="D283" s="12" t="s">
        <v>69</v>
      </c>
      <c r="E283" s="13">
        <f>IF(VLOOKUP(D283,Budget!A:B,2,FALSE)&lt;&gt;0,IF(G283=0,24,24-G283),0)</f>
        <v>24</v>
      </c>
      <c r="G283" s="13"/>
      <c r="H283" s="85">
        <f>IF(E283=0,0,IF(M283="ja",(VLOOKUP(D283,Budget!A:F,6,FALSE)*(E283-(VLOOKUP(D283,Budget!A:F,3,FALSE)))),VLOOKUP($D283,Budget!$A$1:$F$19,6,FALSE)*E283))</f>
        <v>42919.35380616656</v>
      </c>
      <c r="I283" s="85">
        <f>IF(F283=0,0,IF(M283="ja",((VLOOKUP(F283,Budget!A:F,6,FALSE)*(E283-(VLOOKUP(F283,Budget!A:F,3,FALSE))))),VLOOKUP($D283,Budget!A:F,5,FALSE)*E283))</f>
        <v>0</v>
      </c>
      <c r="J283" s="85">
        <f t="shared" si="20"/>
        <v>42919.35380616656</v>
      </c>
      <c r="K283" s="14"/>
      <c r="L283" s="73"/>
      <c r="M283" s="80" t="str">
        <f t="shared" si="21"/>
        <v>nein</v>
      </c>
      <c r="N283">
        <f t="shared" si="19"/>
        <v>2021</v>
      </c>
    </row>
    <row r="284" spans="1:14" ht="15" hidden="1" customHeight="1" x14ac:dyDescent="0.3">
      <c r="A284" s="105">
        <f t="shared" si="18"/>
        <v>40</v>
      </c>
      <c r="B284" s="22">
        <v>44475</v>
      </c>
      <c r="C284" s="11" t="s">
        <v>5</v>
      </c>
      <c r="D284" s="12" t="s">
        <v>12</v>
      </c>
      <c r="E284" s="13">
        <f>IF(VLOOKUP(D284,Budget!A:B,2,FALSE)&lt;&gt;0,IF(G284=0,24,24-G284),0)</f>
        <v>24</v>
      </c>
      <c r="G284" s="13"/>
      <c r="H284" s="85">
        <f>IF(E284=0,0,IF(M284="ja",(VLOOKUP(D284,Budget!A:F,6,FALSE)*(E284-(VLOOKUP(D284,Budget!A:F,3,FALSE)))),VLOOKUP($D284,Budget!$A$1:$F$19,6,FALSE)*E284))</f>
        <v>27720</v>
      </c>
      <c r="I284" s="85">
        <f>IF(F284=0,0,IF(M284="ja",((VLOOKUP(F284,Budget!A:F,6,FALSE)*(E284-(VLOOKUP(F284,Budget!A:F,3,FALSE))))),VLOOKUP($D284,Budget!A:F,5,FALSE)*E284))</f>
        <v>0</v>
      </c>
      <c r="J284" s="85">
        <f t="shared" si="20"/>
        <v>27720</v>
      </c>
      <c r="K284" s="14"/>
      <c r="L284" s="73"/>
      <c r="M284" s="80" t="str">
        <f t="shared" si="21"/>
        <v>ja</v>
      </c>
      <c r="N284">
        <f t="shared" si="19"/>
        <v>2021</v>
      </c>
    </row>
    <row r="285" spans="1:14" ht="15" hidden="1" customHeight="1" x14ac:dyDescent="0.3">
      <c r="A285" s="103">
        <f t="shared" si="18"/>
        <v>40</v>
      </c>
      <c r="B285" s="22">
        <v>44476</v>
      </c>
      <c r="C285" s="11" t="s">
        <v>6</v>
      </c>
      <c r="D285" s="12" t="s">
        <v>12</v>
      </c>
      <c r="E285" s="13">
        <f>IF(VLOOKUP(D285,Budget!A:B,2,FALSE)&lt;&gt;0,IF(G285=0,24,24-G285),0)</f>
        <v>24</v>
      </c>
      <c r="G285" s="13"/>
      <c r="H285" s="85">
        <f>IF(E285=0,0,IF(M285="ja",(VLOOKUP(D285,Budget!A:F,6,FALSE)*(E285-(VLOOKUP(D285,Budget!A:F,3,FALSE)))),VLOOKUP($D285,Budget!$A$1:$F$19,6,FALSE)*E285))</f>
        <v>36960</v>
      </c>
      <c r="I285" s="85">
        <f>IF(F285=0,0,IF(M285="ja",((VLOOKUP(F285,Budget!A:F,6,FALSE)*(E285-(VLOOKUP(F285,Budget!A:F,3,FALSE))))),VLOOKUP($D285,Budget!A:F,5,FALSE)*E285))</f>
        <v>0</v>
      </c>
      <c r="J285" s="85">
        <f t="shared" si="20"/>
        <v>36960</v>
      </c>
      <c r="K285" s="14"/>
      <c r="L285" s="73"/>
      <c r="M285" s="80" t="str">
        <f t="shared" si="21"/>
        <v>nein</v>
      </c>
      <c r="N285">
        <f t="shared" si="19"/>
        <v>2021</v>
      </c>
    </row>
    <row r="286" spans="1:14" ht="15" hidden="1" customHeight="1" x14ac:dyDescent="0.3">
      <c r="A286" s="105">
        <f t="shared" si="18"/>
        <v>40</v>
      </c>
      <c r="B286" s="22">
        <v>44477</v>
      </c>
      <c r="C286" s="11" t="s">
        <v>7</v>
      </c>
      <c r="D286" s="12" t="s">
        <v>11</v>
      </c>
      <c r="E286" s="13">
        <f>IF(VLOOKUP(D286,Budget!A:B,2,FALSE)&lt;&gt;0,IF(G286=0,24,24-G286),0)</f>
        <v>24</v>
      </c>
      <c r="G286" s="13"/>
      <c r="H286" s="85">
        <f>IF(E286=0,0,IF(M286="ja",(VLOOKUP(D286,Budget!A:F,6,FALSE)*(E286-(VLOOKUP(D286,Budget!A:F,3,FALSE)))),VLOOKUP($D286,Budget!$A$1:$F$19,6,FALSE)*E286))</f>
        <v>30030</v>
      </c>
      <c r="I286" s="85">
        <f>IF(F286=0,0,IF(M286="ja",((VLOOKUP(F286,Budget!A:F,6,FALSE)*(E286-(VLOOKUP(F286,Budget!A:F,3,FALSE))))),VLOOKUP($D286,Budget!A:F,5,FALSE)*E286))</f>
        <v>0</v>
      </c>
      <c r="J286" s="85">
        <f t="shared" si="20"/>
        <v>30030</v>
      </c>
      <c r="K286" s="14"/>
      <c r="L286" s="25"/>
      <c r="M286" s="80" t="str">
        <f t="shared" si="21"/>
        <v>ja</v>
      </c>
      <c r="N286">
        <f t="shared" si="19"/>
        <v>2021</v>
      </c>
    </row>
    <row r="287" spans="1:14" ht="15" hidden="1" customHeight="1" x14ac:dyDescent="0.3">
      <c r="A287" s="105">
        <f t="shared" si="18"/>
        <v>40</v>
      </c>
      <c r="B287" s="22">
        <v>44478</v>
      </c>
      <c r="C287" s="16" t="s">
        <v>8</v>
      </c>
      <c r="D287" s="17" t="s">
        <v>11</v>
      </c>
      <c r="E287" s="24">
        <f>IF(VLOOKUP(D287,Budget!A:B,2,FALSE)&lt;&gt;0,IF(G287=0,24,24-G287),0)</f>
        <v>24</v>
      </c>
      <c r="F287" s="17"/>
      <c r="G287" s="17"/>
      <c r="H287" s="86">
        <f>IF(E287=0,0,IF(M287="ja",(VLOOKUP(D287,Budget!A:F,6,FALSE)*(E287-(VLOOKUP(D287,Budget!A:F,3,FALSE)))),VLOOKUP($D287,Budget!$A$1:$F$19,6,FALSE)*E287))</f>
        <v>36960</v>
      </c>
      <c r="I287" s="86">
        <f>IF(F287=0,0,IF(M287="ja",((VLOOKUP(F287,Budget!A:F,6,FALSE)*(E287-(VLOOKUP(F287,Budget!A:F,3,FALSE))))),VLOOKUP($D287,Budget!A:F,5,FALSE)*E287))</f>
        <v>0</v>
      </c>
      <c r="J287" s="86">
        <f t="shared" si="20"/>
        <v>36960</v>
      </c>
      <c r="K287" s="18"/>
      <c r="L287" s="75"/>
      <c r="M287" s="76" t="str">
        <f t="shared" si="21"/>
        <v>nein</v>
      </c>
      <c r="N287">
        <f t="shared" si="19"/>
        <v>2021</v>
      </c>
    </row>
    <row r="288" spans="1:14" ht="15.75" hidden="1" customHeight="1" thickBot="1" x14ac:dyDescent="0.35">
      <c r="A288" s="105">
        <f t="shared" si="18"/>
        <v>40</v>
      </c>
      <c r="B288" s="27">
        <v>44479</v>
      </c>
      <c r="C288" s="19" t="s">
        <v>9</v>
      </c>
      <c r="D288" s="20" t="s">
        <v>11</v>
      </c>
      <c r="E288" s="20">
        <f>IF(VLOOKUP(D288,Budget!A:B,2,FALSE)&lt;&gt;0,IF(G288=0,24,24-G288),0)</f>
        <v>24</v>
      </c>
      <c r="F288" s="20"/>
      <c r="G288" s="20"/>
      <c r="H288" s="93">
        <f>IF(E288=0,0,IF(M288="ja",(VLOOKUP(D288,Budget!A:F,6,FALSE)*(E288-(VLOOKUP(D288,Budget!A:F,3,FALSE)))),VLOOKUP($D288,Budget!$A$1:$F$19,6,FALSE)*E288))</f>
        <v>36960</v>
      </c>
      <c r="I288" s="93">
        <f>IF(F288=0,0,IF(M288="ja",((VLOOKUP(F288,Budget!A:F,6,FALSE)*(E288-(VLOOKUP(F288,Budget!A:F,3,FALSE))))),VLOOKUP($D288,Budget!A:F,5,FALSE)*E288))</f>
        <v>0</v>
      </c>
      <c r="J288" s="87">
        <f t="shared" si="20"/>
        <v>36960</v>
      </c>
      <c r="K288" s="21"/>
      <c r="L288" s="74"/>
      <c r="M288" s="77" t="str">
        <f t="shared" si="21"/>
        <v>nein</v>
      </c>
      <c r="N288">
        <f t="shared" si="19"/>
        <v>2021</v>
      </c>
    </row>
    <row r="289" spans="1:14" ht="15" hidden="1" customHeight="1" x14ac:dyDescent="0.3">
      <c r="A289" s="104">
        <f t="shared" si="18"/>
        <v>41</v>
      </c>
      <c r="B289" s="22">
        <v>44480</v>
      </c>
      <c r="C289" s="10" t="s">
        <v>3</v>
      </c>
      <c r="D289" s="12" t="s">
        <v>11</v>
      </c>
      <c r="E289" s="13">
        <f>IF(VLOOKUP(D289,Budget!A:B,2,FALSE)&lt;&gt;0,IF(G289=0,24,24-G289),0)</f>
        <v>24</v>
      </c>
      <c r="F289" s="13"/>
      <c r="G289" s="13"/>
      <c r="H289" s="85">
        <f>IF(E289=0,0,IF(M289="ja",(VLOOKUP(D289,Budget!A:F,6,FALSE)*(E289-(VLOOKUP(D289,Budget!A:F,3,FALSE)))),VLOOKUP($D289,Budget!$A$1:$F$19,6,FALSE)*E289))</f>
        <v>36960</v>
      </c>
      <c r="I289" s="85">
        <f>IF(F289=0,0,IF(M289="ja",((VLOOKUP(F289,Budget!A:F,6,FALSE)*(E289-(VLOOKUP(F289,Budget!A:F,3,FALSE))))),VLOOKUP($D289,Budget!A:F,5,FALSE)*E289))</f>
        <v>0</v>
      </c>
      <c r="J289" s="85">
        <f t="shared" si="20"/>
        <v>36960</v>
      </c>
      <c r="K289" s="15"/>
      <c r="L289" s="72"/>
      <c r="M289" s="80" t="str">
        <f t="shared" si="21"/>
        <v>nein</v>
      </c>
      <c r="N289">
        <f t="shared" si="19"/>
        <v>2021</v>
      </c>
    </row>
    <row r="290" spans="1:14" ht="15" hidden="1" customHeight="1" x14ac:dyDescent="0.3">
      <c r="A290" s="105">
        <f t="shared" si="18"/>
        <v>41</v>
      </c>
      <c r="B290" s="22">
        <v>44481</v>
      </c>
      <c r="C290" s="11" t="s">
        <v>4</v>
      </c>
      <c r="D290" s="12" t="s">
        <v>11</v>
      </c>
      <c r="E290" s="13">
        <f>IF(VLOOKUP(D290,Budget!A:B,2,FALSE)&lt;&gt;0,IF(G290=0,24,24-G290),0)</f>
        <v>24</v>
      </c>
      <c r="G290" s="13"/>
      <c r="H290" s="85">
        <f>IF(E290=0,0,IF(M290="ja",(VLOOKUP(D290,Budget!A:F,6,FALSE)*(E290-(VLOOKUP(D290,Budget!A:F,3,FALSE)))),VLOOKUP($D290,Budget!$A$1:$F$19,6,FALSE)*E290))</f>
        <v>36960</v>
      </c>
      <c r="I290" s="85">
        <f>IF(F290=0,0,IF(M290="ja",((VLOOKUP(F290,Budget!A:F,6,FALSE)*(E290-(VLOOKUP(F290,Budget!A:F,3,FALSE))))),VLOOKUP($D290,Budget!A:F,5,FALSE)*E290))</f>
        <v>0</v>
      </c>
      <c r="J290" s="85">
        <f t="shared" si="20"/>
        <v>36960</v>
      </c>
      <c r="K290" s="14"/>
      <c r="L290" s="73"/>
      <c r="M290" s="80" t="str">
        <f t="shared" si="21"/>
        <v>nein</v>
      </c>
      <c r="N290">
        <f t="shared" si="19"/>
        <v>2021</v>
      </c>
    </row>
    <row r="291" spans="1:14" ht="15" hidden="1" customHeight="1" x14ac:dyDescent="0.3">
      <c r="A291" s="105">
        <f t="shared" si="18"/>
        <v>41</v>
      </c>
      <c r="B291" s="22">
        <v>44482</v>
      </c>
      <c r="C291" s="11" t="s">
        <v>5</v>
      </c>
      <c r="D291" s="12" t="s">
        <v>11</v>
      </c>
      <c r="E291" s="13">
        <f>IF(VLOOKUP(D291,Budget!A:B,2,FALSE)&lt;&gt;0,IF(G291=0,24,24-G291),0)</f>
        <v>24</v>
      </c>
      <c r="G291" s="13"/>
      <c r="H291" s="85">
        <f>IF(E291=0,0,IF(M291="ja",(VLOOKUP(D291,Budget!A:F,6,FALSE)*(E291-(VLOOKUP(D291,Budget!A:F,3,FALSE)))),VLOOKUP($D291,Budget!$A$1:$F$19,6,FALSE)*E291))</f>
        <v>36960</v>
      </c>
      <c r="I291" s="85">
        <f>IF(F291=0,0,IF(M291="ja",((VLOOKUP(F291,Budget!A:F,6,FALSE)*(E291-(VLOOKUP(F291,Budget!A:F,3,FALSE))))),VLOOKUP($D291,Budget!A:F,5,FALSE)*E291))</f>
        <v>0</v>
      </c>
      <c r="J291" s="85">
        <f t="shared" si="20"/>
        <v>36960</v>
      </c>
      <c r="K291" s="14"/>
      <c r="L291" s="73"/>
      <c r="M291" s="80" t="str">
        <f t="shared" si="21"/>
        <v>nein</v>
      </c>
      <c r="N291">
        <f t="shared" si="19"/>
        <v>2021</v>
      </c>
    </row>
    <row r="292" spans="1:14" ht="15" hidden="1" customHeight="1" x14ac:dyDescent="0.3">
      <c r="A292" s="103">
        <f t="shared" si="18"/>
        <v>41</v>
      </c>
      <c r="B292" s="22">
        <v>44483</v>
      </c>
      <c r="C292" s="11" t="s">
        <v>6</v>
      </c>
      <c r="D292" s="12" t="s">
        <v>11</v>
      </c>
      <c r="E292" s="13">
        <f>IF(VLOOKUP(D292,Budget!A:B,2,FALSE)&lt;&gt;0,IF(G292=0,24,24-G292),0)</f>
        <v>24</v>
      </c>
      <c r="G292" s="13"/>
      <c r="H292" s="85">
        <f>IF(E292=0,0,IF(M292="ja",(VLOOKUP(D292,Budget!A:F,6,FALSE)*(E292-(VLOOKUP(D292,Budget!A:F,3,FALSE)))),VLOOKUP($D292,Budget!$A$1:$F$19,6,FALSE)*E292))</f>
        <v>36960</v>
      </c>
      <c r="I292" s="85">
        <f>IF(F292=0,0,IF(M292="ja",((VLOOKUP(F292,Budget!A:F,6,FALSE)*(E292-(VLOOKUP(F292,Budget!A:F,3,FALSE))))),VLOOKUP($D292,Budget!A:F,5,FALSE)*E292))</f>
        <v>0</v>
      </c>
      <c r="J292" s="85">
        <f t="shared" si="20"/>
        <v>36960</v>
      </c>
      <c r="K292" s="14"/>
      <c r="L292" s="73"/>
      <c r="M292" s="80" t="str">
        <f t="shared" si="21"/>
        <v>nein</v>
      </c>
      <c r="N292">
        <f t="shared" si="19"/>
        <v>2021</v>
      </c>
    </row>
    <row r="293" spans="1:14" ht="15" hidden="1" customHeight="1" x14ac:dyDescent="0.3">
      <c r="A293" s="105">
        <f t="shared" si="18"/>
        <v>41</v>
      </c>
      <c r="B293" s="22">
        <v>44484</v>
      </c>
      <c r="C293" s="11" t="s">
        <v>7</v>
      </c>
      <c r="D293" s="12" t="s">
        <v>11</v>
      </c>
      <c r="E293" s="13">
        <f>IF(VLOOKUP(D293,Budget!A:B,2,FALSE)&lt;&gt;0,IF(G293=0,24,24-G293),0)</f>
        <v>24</v>
      </c>
      <c r="G293" s="13"/>
      <c r="H293" s="85">
        <f>IF(E293=0,0,IF(M293="ja",(VLOOKUP(D293,Budget!A:F,6,FALSE)*(E293-(VLOOKUP(D293,Budget!A:F,3,FALSE)))),VLOOKUP($D293,Budget!$A$1:$F$19,6,FALSE)*E293))</f>
        <v>36960</v>
      </c>
      <c r="I293" s="85">
        <f>IF(F293=0,0,IF(M293="ja",((VLOOKUP(F293,Budget!A:F,6,FALSE)*(E293-(VLOOKUP(F293,Budget!A:F,3,FALSE))))),VLOOKUP($D293,Budget!A:F,5,FALSE)*E293))</f>
        <v>0</v>
      </c>
      <c r="J293" s="85">
        <f t="shared" si="20"/>
        <v>36960</v>
      </c>
      <c r="K293" s="14"/>
      <c r="L293" s="25"/>
      <c r="M293" s="80" t="str">
        <f t="shared" si="21"/>
        <v>nein</v>
      </c>
      <c r="N293">
        <f t="shared" si="19"/>
        <v>2021</v>
      </c>
    </row>
    <row r="294" spans="1:14" ht="15" hidden="1" customHeight="1" x14ac:dyDescent="0.3">
      <c r="A294" s="105">
        <f t="shared" si="18"/>
        <v>41</v>
      </c>
      <c r="B294" s="22">
        <v>44485</v>
      </c>
      <c r="C294" s="16" t="s">
        <v>8</v>
      </c>
      <c r="D294" s="17" t="s">
        <v>69</v>
      </c>
      <c r="E294" s="24">
        <f>IF(VLOOKUP(D294,Budget!A:B,2,FALSE)&lt;&gt;0,IF(G294=0,24,24-G294),0)</f>
        <v>24</v>
      </c>
      <c r="F294" s="17"/>
      <c r="G294" s="17"/>
      <c r="H294" s="86">
        <f>IF(E294=0,0,IF(M294="ja",(VLOOKUP(D294,Budget!A:F,6,FALSE)*(E294-(VLOOKUP(D294,Budget!A:F,3,FALSE)))),VLOOKUP($D294,Budget!$A$1:$F$19,6,FALSE)*E294))</f>
        <v>38269.757143831848</v>
      </c>
      <c r="I294" s="86">
        <f>IF(F294=0,0,IF(M294="ja",((VLOOKUP(F294,Budget!A:F,6,FALSE)*(E294-(VLOOKUP(F294,Budget!A:F,3,FALSE))))),VLOOKUP($D294,Budget!A:F,5,FALSE)*E294))</f>
        <v>0</v>
      </c>
      <c r="J294" s="86">
        <f t="shared" si="20"/>
        <v>38269.757143831848</v>
      </c>
      <c r="K294" s="18"/>
      <c r="L294" s="75"/>
      <c r="M294" s="76" t="str">
        <f t="shared" si="21"/>
        <v>ja</v>
      </c>
      <c r="N294">
        <f t="shared" si="19"/>
        <v>2021</v>
      </c>
    </row>
    <row r="295" spans="1:14" ht="15.75" hidden="1" customHeight="1" thickBot="1" x14ac:dyDescent="0.35">
      <c r="A295" s="105">
        <f t="shared" si="18"/>
        <v>41</v>
      </c>
      <c r="B295" s="27">
        <v>44486</v>
      </c>
      <c r="C295" s="19" t="s">
        <v>9</v>
      </c>
      <c r="D295" s="20" t="s">
        <v>69</v>
      </c>
      <c r="E295" s="20">
        <f>IF(VLOOKUP(D295,Budget!A:B,2,FALSE)&lt;&gt;0,IF(G295=0,24,24-G295),0)</f>
        <v>24</v>
      </c>
      <c r="F295" s="20"/>
      <c r="G295" s="20"/>
      <c r="H295" s="93">
        <f>IF(E295=0,0,IF(M295="ja",(VLOOKUP(D295,Budget!A:F,6,FALSE)*(E295-(VLOOKUP(D295,Budget!A:F,3,FALSE)))),VLOOKUP($D295,Budget!$A$1:$F$19,6,FALSE)*E295))</f>
        <v>42919.35380616656</v>
      </c>
      <c r="I295" s="93">
        <f>IF(F295=0,0,IF(M295="ja",((VLOOKUP(F295,Budget!A:F,6,FALSE)*(E295-(VLOOKUP(F295,Budget!A:F,3,FALSE))))),VLOOKUP($D295,Budget!A:F,5,FALSE)*E295))</f>
        <v>0</v>
      </c>
      <c r="J295" s="87">
        <f t="shared" si="20"/>
        <v>42919.35380616656</v>
      </c>
      <c r="K295" s="21"/>
      <c r="L295" s="74"/>
      <c r="M295" s="77" t="str">
        <f t="shared" si="21"/>
        <v>nein</v>
      </c>
      <c r="N295">
        <f t="shared" si="19"/>
        <v>2021</v>
      </c>
    </row>
    <row r="296" spans="1:14" ht="15" hidden="1" customHeight="1" x14ac:dyDescent="0.3">
      <c r="A296" s="104">
        <f t="shared" si="18"/>
        <v>42</v>
      </c>
      <c r="B296" s="22">
        <v>44487</v>
      </c>
      <c r="C296" s="10" t="s">
        <v>3</v>
      </c>
      <c r="D296" s="12" t="s">
        <v>69</v>
      </c>
      <c r="E296" s="13">
        <f>IF(VLOOKUP(D296,Budget!A:B,2,FALSE)&lt;&gt;0,IF(G296=0,24,24-G296),0)</f>
        <v>24</v>
      </c>
      <c r="F296" s="13"/>
      <c r="G296" s="13"/>
      <c r="H296" s="85">
        <f>IF(E296=0,0,IF(M296="ja",(VLOOKUP(D296,Budget!A:F,6,FALSE)*(E296-(VLOOKUP(D296,Budget!A:F,3,FALSE)))),VLOOKUP($D296,Budget!$A$1:$F$19,6,FALSE)*E296))</f>
        <v>42919.35380616656</v>
      </c>
      <c r="I296" s="85">
        <f>IF(F296=0,0,IF(M296="ja",((VLOOKUP(F296,Budget!A:F,6,FALSE)*(E296-(VLOOKUP(F296,Budget!A:F,3,FALSE))))),VLOOKUP($D296,Budget!A:F,5,FALSE)*E296))</f>
        <v>0</v>
      </c>
      <c r="J296" s="85">
        <f t="shared" si="20"/>
        <v>42919.35380616656</v>
      </c>
      <c r="K296" s="15"/>
      <c r="L296" s="72"/>
      <c r="M296" s="80" t="str">
        <f t="shared" si="21"/>
        <v>nein</v>
      </c>
      <c r="N296">
        <f t="shared" si="19"/>
        <v>2021</v>
      </c>
    </row>
    <row r="297" spans="1:14" ht="21" hidden="1" customHeight="1" x14ac:dyDescent="0.3">
      <c r="A297" s="105">
        <f t="shared" si="18"/>
        <v>42</v>
      </c>
      <c r="B297" s="22">
        <v>44488</v>
      </c>
      <c r="C297" s="11" t="s">
        <v>4</v>
      </c>
      <c r="D297" s="12" t="s">
        <v>69</v>
      </c>
      <c r="E297" s="13">
        <f>IF(VLOOKUP(D297,Budget!A:B,2,FALSE)&lt;&gt;0,IF(G297=0,24,24-G297),0)</f>
        <v>24</v>
      </c>
      <c r="G297" s="13"/>
      <c r="H297" s="85">
        <f>IF(E297=0,0,IF(M297="ja",(VLOOKUP(D297,Budget!A:F,6,FALSE)*(E297-(VLOOKUP(D297,Budget!A:F,3,FALSE)))),VLOOKUP($D297,Budget!$A$1:$F$19,6,FALSE)*E297))</f>
        <v>42919.35380616656</v>
      </c>
      <c r="I297" s="85">
        <f>IF(F297=0,0,IF(M297="ja",((VLOOKUP(F297,Budget!A:F,6,FALSE)*(E297-(VLOOKUP(F297,Budget!A:F,3,FALSE))))),VLOOKUP($D297,Budget!A:F,5,FALSE)*E297))</f>
        <v>0</v>
      </c>
      <c r="J297" s="85">
        <f t="shared" si="20"/>
        <v>42919.35380616656</v>
      </c>
      <c r="K297" s="14"/>
      <c r="L297" s="73"/>
      <c r="M297" s="80" t="str">
        <f t="shared" si="21"/>
        <v>nein</v>
      </c>
      <c r="N297">
        <f t="shared" si="19"/>
        <v>2021</v>
      </c>
    </row>
    <row r="298" spans="1:14" ht="15" hidden="1" customHeight="1" x14ac:dyDescent="0.3">
      <c r="A298" s="105">
        <f t="shared" si="18"/>
        <v>42</v>
      </c>
      <c r="B298" s="22">
        <v>44489</v>
      </c>
      <c r="C298" s="11" t="s">
        <v>5</v>
      </c>
      <c r="D298" s="12" t="s">
        <v>69</v>
      </c>
      <c r="E298" s="13">
        <f>IF(VLOOKUP(D298,Budget!A:B,2,FALSE)&lt;&gt;0,IF(G298=0,24,24-G298),0)</f>
        <v>24</v>
      </c>
      <c r="G298" s="13"/>
      <c r="H298" s="85">
        <f>IF(E298=0,0,IF(M298="ja",(VLOOKUP(D298,Budget!A:F,6,FALSE)*(E298-(VLOOKUP(D298,Budget!A:F,3,FALSE)))),VLOOKUP($D298,Budget!$A$1:$F$19,6,FALSE)*E298))</f>
        <v>42919.35380616656</v>
      </c>
      <c r="I298" s="85">
        <f>IF(F298=0,0,IF(M298="ja",((VLOOKUP(F298,Budget!A:F,6,FALSE)*(E298-(VLOOKUP(F298,Budget!A:F,3,FALSE))))),VLOOKUP($D298,Budget!A:F,5,FALSE)*E298))</f>
        <v>0</v>
      </c>
      <c r="J298" s="85">
        <f t="shared" si="20"/>
        <v>42919.35380616656</v>
      </c>
      <c r="K298" s="14"/>
      <c r="L298" s="73"/>
      <c r="M298" s="80" t="str">
        <f t="shared" si="21"/>
        <v>nein</v>
      </c>
      <c r="N298">
        <f t="shared" si="19"/>
        <v>2021</v>
      </c>
    </row>
    <row r="299" spans="1:14" ht="15" hidden="1" customHeight="1" x14ac:dyDescent="0.3">
      <c r="A299" s="103">
        <f t="shared" si="18"/>
        <v>42</v>
      </c>
      <c r="B299" s="22">
        <v>44490</v>
      </c>
      <c r="C299" s="11" t="s">
        <v>6</v>
      </c>
      <c r="D299" s="12" t="s">
        <v>69</v>
      </c>
      <c r="E299" s="13">
        <f>IF(VLOOKUP(D299,Budget!A:B,2,FALSE)&lt;&gt;0,IF(G299=0,24,24-G299),0)</f>
        <v>24</v>
      </c>
      <c r="G299" s="13"/>
      <c r="H299" s="85">
        <f>IF(E299=0,0,IF(M299="ja",(VLOOKUP(D299,Budget!A:F,6,FALSE)*(E299-(VLOOKUP(D299,Budget!A:F,3,FALSE)))),VLOOKUP($D299,Budget!$A$1:$F$19,6,FALSE)*E299))</f>
        <v>42919.35380616656</v>
      </c>
      <c r="I299" s="85">
        <f>IF(F299=0,0,IF(M299="ja",((VLOOKUP(F299,Budget!A:F,6,FALSE)*(E299-(VLOOKUP(F299,Budget!A:F,3,FALSE))))),VLOOKUP($D299,Budget!A:F,5,FALSE)*E299))</f>
        <v>0</v>
      </c>
      <c r="J299" s="85">
        <f t="shared" si="20"/>
        <v>42919.35380616656</v>
      </c>
      <c r="K299" s="14"/>
      <c r="L299" s="73"/>
      <c r="M299" s="80" t="str">
        <f t="shared" si="21"/>
        <v>nein</v>
      </c>
      <c r="N299">
        <f t="shared" si="19"/>
        <v>2021</v>
      </c>
    </row>
    <row r="300" spans="1:14" ht="15" hidden="1" customHeight="1" x14ac:dyDescent="0.3">
      <c r="A300" s="105">
        <f t="shared" si="18"/>
        <v>42</v>
      </c>
      <c r="B300" s="22">
        <v>44491</v>
      </c>
      <c r="C300" s="11" t="s">
        <v>7</v>
      </c>
      <c r="D300" s="12" t="s">
        <v>18</v>
      </c>
      <c r="E300" s="13">
        <f>IF(VLOOKUP(D300,Budget!A:B,2,FALSE)&lt;&gt;0,IF(G300=0,24,24-G300),0)</f>
        <v>24</v>
      </c>
      <c r="G300" s="13"/>
      <c r="H300" s="85">
        <f>IF(E300=0,0,IF(M300="ja",(VLOOKUP(D300,Budget!A:F,6,FALSE)*(E300-(VLOOKUP(D300,Budget!A:F,3,FALSE)))),VLOOKUP($D300,Budget!$A$1:$F$19,6,FALSE)*E300))</f>
        <v>25200</v>
      </c>
      <c r="I300" s="85">
        <f>IF(F300=0,0,IF(M300="ja",((VLOOKUP(F300,Budget!A:F,6,FALSE)*(E300-(VLOOKUP(F300,Budget!A:F,3,FALSE))))),VLOOKUP($D300,Budget!A:F,5,FALSE)*E300))</f>
        <v>0</v>
      </c>
      <c r="J300" s="85">
        <f t="shared" si="20"/>
        <v>25200</v>
      </c>
      <c r="K300" s="14"/>
      <c r="L300" s="25"/>
      <c r="M300" s="80" t="str">
        <f t="shared" si="21"/>
        <v>ja</v>
      </c>
      <c r="N300">
        <f t="shared" si="19"/>
        <v>2021</v>
      </c>
    </row>
    <row r="301" spans="1:14" ht="15" hidden="1" customHeight="1" x14ac:dyDescent="0.3">
      <c r="A301" s="105">
        <f t="shared" si="18"/>
        <v>42</v>
      </c>
      <c r="B301" s="22">
        <v>44492</v>
      </c>
      <c r="C301" s="16" t="s">
        <v>8</v>
      </c>
      <c r="D301" s="12" t="s">
        <v>18</v>
      </c>
      <c r="E301" s="24">
        <f>IF(VLOOKUP(D301,Budget!A:B,2,FALSE)&lt;&gt;0,IF(G301=0,24,24-G301),0)</f>
        <v>24</v>
      </c>
      <c r="F301" s="17"/>
      <c r="G301" s="17"/>
      <c r="H301" s="86">
        <f>IF(E301=0,0,IF(M301="ja",(VLOOKUP(D301,Budget!A:F,6,FALSE)*(E301-(VLOOKUP(D301,Budget!A:F,3,FALSE)))),VLOOKUP($D301,Budget!$A$1:$F$19,6,FALSE)*E301))</f>
        <v>28800</v>
      </c>
      <c r="I301" s="86">
        <f>IF(F301=0,0,IF(M301="ja",((VLOOKUP(F301,Budget!A:F,6,FALSE)*(E301-(VLOOKUP(F301,Budget!A:F,3,FALSE))))),VLOOKUP($D301,Budget!A:F,5,FALSE)*E301))</f>
        <v>0</v>
      </c>
      <c r="J301" s="86">
        <f t="shared" si="20"/>
        <v>28800</v>
      </c>
      <c r="K301" s="18"/>
      <c r="L301" s="75"/>
      <c r="M301" s="76" t="str">
        <f t="shared" si="21"/>
        <v>nein</v>
      </c>
      <c r="N301">
        <f t="shared" si="19"/>
        <v>2021</v>
      </c>
    </row>
    <row r="302" spans="1:14" ht="15.75" hidden="1" customHeight="1" thickBot="1" x14ac:dyDescent="0.35">
      <c r="A302" s="105">
        <f t="shared" si="18"/>
        <v>42</v>
      </c>
      <c r="B302" s="27">
        <v>44493</v>
      </c>
      <c r="C302" s="19" t="s">
        <v>9</v>
      </c>
      <c r="D302" s="12" t="s">
        <v>18</v>
      </c>
      <c r="E302" s="20">
        <f>IF(VLOOKUP(D302,Budget!A:B,2,FALSE)&lt;&gt;0,IF(G302=0,24,24-G302),0)</f>
        <v>18</v>
      </c>
      <c r="F302" s="109" t="s">
        <v>29</v>
      </c>
      <c r="G302" s="109">
        <v>6</v>
      </c>
      <c r="H302" s="93">
        <f>IF(E302=0,0,IF(M302="ja",(VLOOKUP(D302,Budget!A:F,6,FALSE)*(E302-(VLOOKUP(D302,Budget!A:F,3,FALSE)))),VLOOKUP($D302,Budget!$A$1:$F$19,6,FALSE)*E302))</f>
        <v>18000</v>
      </c>
      <c r="I302" s="93">
        <f>IF(F302=0,0,IF(M302="ja",((VLOOKUP(F302,Budget!A:F,6,FALSE)*(E302-(VLOOKUP(F302,Budget!A:F,3,FALSE))))),VLOOKUP($D302,Budget!A:F,5,FALSE)*E302))</f>
        <v>0</v>
      </c>
      <c r="J302" s="87">
        <f t="shared" si="20"/>
        <v>18000</v>
      </c>
      <c r="K302" s="21"/>
      <c r="L302" s="74" t="s">
        <v>79</v>
      </c>
      <c r="M302" s="77" t="str">
        <f t="shared" si="21"/>
        <v>ja</v>
      </c>
      <c r="N302">
        <f t="shared" si="19"/>
        <v>2021</v>
      </c>
    </row>
    <row r="303" spans="1:14" ht="15" hidden="1" customHeight="1" x14ac:dyDescent="0.3">
      <c r="A303" s="104">
        <f t="shared" si="18"/>
        <v>43</v>
      </c>
      <c r="B303" s="22">
        <v>44494</v>
      </c>
      <c r="C303" s="10" t="s">
        <v>3</v>
      </c>
      <c r="D303" s="12" t="s">
        <v>13</v>
      </c>
      <c r="E303" s="13">
        <f>IF(VLOOKUP(D303,Budget!A:B,2,FALSE)&lt;&gt;0,IF(G303=0,24,24-G303),0)</f>
        <v>0</v>
      </c>
      <c r="F303" s="13"/>
      <c r="G303" s="13"/>
      <c r="H303" s="85">
        <f>IF(E303=0,0,IF(M303="ja",(VLOOKUP(D303,Budget!A:F,6,FALSE)*(E303-(VLOOKUP(D303,Budget!A:F,3,FALSE)))),VLOOKUP($D303,Budget!$A$1:$F$19,6,FALSE)*E303))</f>
        <v>0</v>
      </c>
      <c r="I303" s="85">
        <f>IF(F303=0,0,IF(M303="ja",((VLOOKUP(F303,Budget!A:F,6,FALSE)*(E303-(VLOOKUP(F303,Budget!A:F,3,FALSE))))),VLOOKUP($D303,Budget!A:F,5,FALSE)*E303))</f>
        <v>0</v>
      </c>
      <c r="J303" s="85">
        <f t="shared" si="20"/>
        <v>0</v>
      </c>
      <c r="K303" s="15"/>
      <c r="L303" s="108" t="s">
        <v>80</v>
      </c>
      <c r="M303" s="80" t="str">
        <f t="shared" si="21"/>
        <v>nein</v>
      </c>
      <c r="N303">
        <f t="shared" si="19"/>
        <v>2021</v>
      </c>
    </row>
    <row r="304" spans="1:14" ht="15" hidden="1" customHeight="1" x14ac:dyDescent="0.3">
      <c r="A304" s="105">
        <f t="shared" si="18"/>
        <v>43</v>
      </c>
      <c r="B304" s="22">
        <v>44495</v>
      </c>
      <c r="C304" s="11" t="s">
        <v>4</v>
      </c>
      <c r="D304" s="12" t="s">
        <v>29</v>
      </c>
      <c r="E304" s="13">
        <f>IF(VLOOKUP(D304,Budget!A:B,2,FALSE)&lt;&gt;0,IF(G304=0,24,24-G304),0)</f>
        <v>0</v>
      </c>
      <c r="G304" s="13"/>
      <c r="H304" s="85">
        <f>IF(E304=0,0,IF(M304="ja",(VLOOKUP(D304,Budget!A:F,6,FALSE)*(E304-(VLOOKUP(D304,Budget!A:F,3,FALSE)))),VLOOKUP($D304,Budget!$A$1:$F$19,6,FALSE)*E304))</f>
        <v>0</v>
      </c>
      <c r="I304" s="85">
        <f>IF(F304=0,0,IF(M304="ja",((VLOOKUP(F304,Budget!A:F,6,FALSE)*(E304-(VLOOKUP(F304,Budget!A:F,3,FALSE))))),VLOOKUP($D304,Budget!A:F,5,FALSE)*E304))</f>
        <v>0</v>
      </c>
      <c r="J304" s="85">
        <f t="shared" si="20"/>
        <v>0</v>
      </c>
      <c r="K304" s="14"/>
      <c r="L304" s="73"/>
      <c r="M304" s="80" t="str">
        <f t="shared" si="21"/>
        <v>nein</v>
      </c>
      <c r="N304">
        <f t="shared" si="19"/>
        <v>2021</v>
      </c>
    </row>
    <row r="305" spans="1:14" ht="15" hidden="1" customHeight="1" x14ac:dyDescent="0.3">
      <c r="A305" s="105">
        <f t="shared" si="18"/>
        <v>43</v>
      </c>
      <c r="B305" s="22">
        <v>44496</v>
      </c>
      <c r="C305" s="11" t="s">
        <v>5</v>
      </c>
      <c r="D305" s="12" t="s">
        <v>29</v>
      </c>
      <c r="E305" s="13">
        <f>IF(VLOOKUP(D305,Budget!A:B,2,FALSE)&lt;&gt;0,IF(G305=0,24,24-G305),0)</f>
        <v>0</v>
      </c>
      <c r="G305" s="13"/>
      <c r="H305" s="85">
        <f>IF(E305=0,0,IF(M305="ja",(VLOOKUP(D305,Budget!A:F,6,FALSE)*(E305-(VLOOKUP(D305,Budget!A:F,3,FALSE)))),VLOOKUP($D305,Budget!$A$1:$F$19,6,FALSE)*E305))</f>
        <v>0</v>
      </c>
      <c r="I305" s="85">
        <f>IF(F305=0,0,IF(M305="ja",((VLOOKUP(F305,Budget!A:F,6,FALSE)*(E305-(VLOOKUP(F305,Budget!A:F,3,FALSE))))),VLOOKUP($D305,Budget!A:F,5,FALSE)*E305))</f>
        <v>0</v>
      </c>
      <c r="J305" s="85">
        <f t="shared" si="20"/>
        <v>0</v>
      </c>
      <c r="K305" s="14"/>
      <c r="L305" s="73"/>
      <c r="M305" s="80" t="str">
        <f t="shared" si="21"/>
        <v>nein</v>
      </c>
      <c r="N305">
        <f t="shared" si="19"/>
        <v>2021</v>
      </c>
    </row>
    <row r="306" spans="1:14" ht="15" hidden="1" customHeight="1" x14ac:dyDescent="0.3">
      <c r="A306" s="103">
        <f t="shared" si="18"/>
        <v>43</v>
      </c>
      <c r="B306" s="22">
        <v>44497</v>
      </c>
      <c r="C306" s="11" t="s">
        <v>6</v>
      </c>
      <c r="D306" s="12" t="s">
        <v>29</v>
      </c>
      <c r="E306" s="13">
        <f>IF(VLOOKUP(D306,Budget!A:B,2,FALSE)&lt;&gt;0,IF(G306=0,24,24-G306),0)</f>
        <v>0</v>
      </c>
      <c r="G306" s="13"/>
      <c r="H306" s="85">
        <f>IF(E306=0,0,IF(M306="ja",(VLOOKUP(D306,Budget!A:F,6,FALSE)*(E306-(VLOOKUP(D306,Budget!A:F,3,FALSE)))),VLOOKUP($D306,Budget!$A$1:$F$19,6,FALSE)*E306))</f>
        <v>0</v>
      </c>
      <c r="I306" s="85">
        <f>IF(F306=0,0,IF(M306="ja",((VLOOKUP(F306,Budget!A:F,6,FALSE)*(E306-(VLOOKUP(F306,Budget!A:F,3,FALSE))))),VLOOKUP($D306,Budget!A:F,5,FALSE)*E306))</f>
        <v>0</v>
      </c>
      <c r="J306" s="85">
        <f t="shared" si="20"/>
        <v>0</v>
      </c>
      <c r="K306" s="14"/>
      <c r="L306" s="73"/>
      <c r="M306" s="80" t="str">
        <f t="shared" si="21"/>
        <v>nein</v>
      </c>
      <c r="N306">
        <f t="shared" si="19"/>
        <v>2021</v>
      </c>
    </row>
    <row r="307" spans="1:14" ht="15" hidden="1" customHeight="1" x14ac:dyDescent="0.3">
      <c r="A307" s="105">
        <f t="shared" si="18"/>
        <v>43</v>
      </c>
      <c r="B307" s="22">
        <v>44498</v>
      </c>
      <c r="C307" s="11" t="s">
        <v>7</v>
      </c>
      <c r="D307" s="12" t="s">
        <v>29</v>
      </c>
      <c r="E307" s="13">
        <f>IF(VLOOKUP(D307,Budget!A:B,2,FALSE)&lt;&gt;0,IF(G307=0,24,24-G307),0)</f>
        <v>0</v>
      </c>
      <c r="G307" s="13"/>
      <c r="H307" s="85">
        <f>IF(E307=0,0,IF(M307="ja",(VLOOKUP(D307,Budget!A:F,6,FALSE)*(E307-(VLOOKUP(D307,Budget!A:F,3,FALSE)))),VLOOKUP($D307,Budget!$A$1:$F$19,6,FALSE)*E307))</f>
        <v>0</v>
      </c>
      <c r="I307" s="85">
        <f>IF(F307=0,0,IF(M307="ja",((VLOOKUP(F307,Budget!A:F,6,FALSE)*(E307-(VLOOKUP(F307,Budget!A:F,3,FALSE))))),VLOOKUP($D307,Budget!A:F,5,FALSE)*E307))</f>
        <v>0</v>
      </c>
      <c r="J307" s="85">
        <f t="shared" si="20"/>
        <v>0</v>
      </c>
      <c r="K307" s="14"/>
      <c r="L307" s="25"/>
      <c r="M307" s="80" t="str">
        <f t="shared" si="21"/>
        <v>nein</v>
      </c>
      <c r="N307">
        <f t="shared" si="19"/>
        <v>2021</v>
      </c>
    </row>
    <row r="308" spans="1:14" ht="15" hidden="1" customHeight="1" x14ac:dyDescent="0.3">
      <c r="A308" s="105">
        <f t="shared" si="18"/>
        <v>43</v>
      </c>
      <c r="B308" s="22">
        <v>44499</v>
      </c>
      <c r="C308" s="16" t="s">
        <v>8</v>
      </c>
      <c r="D308" s="17" t="s">
        <v>29</v>
      </c>
      <c r="E308" s="24">
        <f>IF(VLOOKUP(D308,Budget!A:B,2,FALSE)&lt;&gt;0,IF(G308=0,24,24-G308),0)</f>
        <v>0</v>
      </c>
      <c r="F308" s="17"/>
      <c r="G308" s="17"/>
      <c r="H308" s="86">
        <f>IF(E308=0,0,IF(M308="ja",(VLOOKUP(D308,Budget!A:F,6,FALSE)*(E308-(VLOOKUP(D308,Budget!A:F,3,FALSE)))),VLOOKUP($D308,Budget!$A$1:$F$19,6,FALSE)*E308))</f>
        <v>0</v>
      </c>
      <c r="I308" s="86">
        <f>IF(F308=0,0,IF(M308="ja",((VLOOKUP(F308,Budget!A:F,6,FALSE)*(E308-(VLOOKUP(F308,Budget!A:F,3,FALSE))))),VLOOKUP($D308,Budget!A:F,5,FALSE)*E308))</f>
        <v>0</v>
      </c>
      <c r="J308" s="86">
        <f t="shared" si="20"/>
        <v>0</v>
      </c>
      <c r="K308" s="18"/>
      <c r="L308" s="75"/>
      <c r="M308" s="76" t="str">
        <f t="shared" si="21"/>
        <v>nein</v>
      </c>
      <c r="N308">
        <f t="shared" si="19"/>
        <v>2021</v>
      </c>
    </row>
    <row r="309" spans="1:14" ht="15.75" hidden="1" customHeight="1" thickBot="1" x14ac:dyDescent="0.35">
      <c r="A309" s="105">
        <f t="shared" si="18"/>
        <v>43</v>
      </c>
      <c r="B309" s="27">
        <v>44500</v>
      </c>
      <c r="C309" s="19" t="s">
        <v>9</v>
      </c>
      <c r="D309" s="20" t="s">
        <v>29</v>
      </c>
      <c r="E309" s="20">
        <f>IF(VLOOKUP(D309,Budget!A:B,2,FALSE)&lt;&gt;0,IF(G309=0,24,24-G309),0)</f>
        <v>0</v>
      </c>
      <c r="F309" s="20"/>
      <c r="G309" s="20"/>
      <c r="H309" s="93">
        <f>IF(E309=0,0,IF(M309="ja",(VLOOKUP(D309,Budget!A:F,6,FALSE)*(E309-(VLOOKUP(D309,Budget!A:F,3,FALSE)))),VLOOKUP($D309,Budget!$A$1:$F$19,6,FALSE)*E309))</f>
        <v>0</v>
      </c>
      <c r="I309" s="93">
        <f>IF(F309=0,0,IF(M309="ja",((VLOOKUP(F309,Budget!A:F,6,FALSE)*(E309-(VLOOKUP(F309,Budget!A:F,3,FALSE))))),VLOOKUP($D309,Budget!A:F,5,FALSE)*E309))</f>
        <v>0</v>
      </c>
      <c r="J309" s="87">
        <f t="shared" si="20"/>
        <v>0</v>
      </c>
      <c r="K309" s="21"/>
      <c r="L309" s="74"/>
      <c r="M309" s="77" t="str">
        <f t="shared" si="21"/>
        <v>nein</v>
      </c>
      <c r="N309">
        <f t="shared" si="19"/>
        <v>2021</v>
      </c>
    </row>
    <row r="310" spans="1:14" ht="15" hidden="1" customHeight="1" x14ac:dyDescent="0.3">
      <c r="A310" s="104">
        <f t="shared" si="18"/>
        <v>44</v>
      </c>
      <c r="B310" s="22">
        <v>44501</v>
      </c>
      <c r="C310" s="10" t="s">
        <v>3</v>
      </c>
      <c r="D310" s="13" t="s">
        <v>10</v>
      </c>
      <c r="E310" s="13">
        <f>IF(VLOOKUP(D310,Budget!A:B,2,FALSE)&lt;&gt;0,IF(G310=0,24,24-G310),0)</f>
        <v>24</v>
      </c>
      <c r="F310" s="13"/>
      <c r="G310" s="13"/>
      <c r="H310" s="85">
        <f>IF(E310=0,0,IF(M310="ja",(VLOOKUP(D310,Budget!A:F,6,FALSE)*(E310-(VLOOKUP(D310,Budget!A:F,3,FALSE)))),VLOOKUP($D310,Budget!$A$1:$F$19,6,FALSE)*E310))</f>
        <v>9843.7955001031441</v>
      </c>
      <c r="I310" s="85">
        <f>IF(F310=0,0,IF(M310="ja",((VLOOKUP(F310,Budget!A:F,6,FALSE)*(E310-(VLOOKUP(F310,Budget!A:F,3,FALSE))))),VLOOKUP($D310,Budget!A:F,5,FALSE)*E310))</f>
        <v>0</v>
      </c>
      <c r="J310" s="85">
        <f t="shared" si="20"/>
        <v>9843.7955001031441</v>
      </c>
      <c r="K310" s="15"/>
      <c r="L310" s="72"/>
      <c r="M310" s="80" t="str">
        <f t="shared" si="21"/>
        <v>ja</v>
      </c>
      <c r="N310">
        <f t="shared" si="19"/>
        <v>2021</v>
      </c>
    </row>
    <row r="311" spans="1:14" ht="15" hidden="1" customHeight="1" x14ac:dyDescent="0.3">
      <c r="A311" s="105">
        <f t="shared" si="18"/>
        <v>44</v>
      </c>
      <c r="B311" s="22">
        <v>44502</v>
      </c>
      <c r="C311" s="11" t="s">
        <v>4</v>
      </c>
      <c r="D311" s="13" t="s">
        <v>10</v>
      </c>
      <c r="E311" s="13">
        <f>IF(VLOOKUP(D311,Budget!A:B,2,FALSE)&lt;&gt;0,IF(G311=0,24,24-G311),0)</f>
        <v>24</v>
      </c>
      <c r="G311" s="13"/>
      <c r="H311" s="85">
        <f>IF(E311=0,0,IF(M311="ja",(VLOOKUP(D311,Budget!A:F,6,FALSE)*(E311-(VLOOKUP(D311,Budget!A:F,3,FALSE)))),VLOOKUP($D311,Budget!$A$1:$F$19,6,FALSE)*E311))</f>
        <v>11812.554600123773</v>
      </c>
      <c r="I311" s="85">
        <f>IF(F311=0,0,IF(M311="ja",((VLOOKUP(F311,Budget!A:F,6,FALSE)*(E311-(VLOOKUP(F311,Budget!A:F,3,FALSE))))),VLOOKUP($D311,Budget!A:F,5,FALSE)*E311))</f>
        <v>0</v>
      </c>
      <c r="J311" s="85">
        <f t="shared" si="20"/>
        <v>11812.554600123773</v>
      </c>
      <c r="K311" s="14"/>
      <c r="L311" s="73"/>
      <c r="M311" s="80" t="str">
        <f t="shared" si="21"/>
        <v>nein</v>
      </c>
      <c r="N311">
        <f t="shared" si="19"/>
        <v>2021</v>
      </c>
    </row>
    <row r="312" spans="1:14" ht="15" hidden="1" customHeight="1" x14ac:dyDescent="0.3">
      <c r="A312" s="105">
        <f t="shared" si="18"/>
        <v>44</v>
      </c>
      <c r="B312" s="22">
        <v>44503</v>
      </c>
      <c r="C312" s="11" t="s">
        <v>5</v>
      </c>
      <c r="D312" s="13" t="s">
        <v>10</v>
      </c>
      <c r="E312" s="13">
        <f>IF(VLOOKUP(D312,Budget!A:B,2,FALSE)&lt;&gt;0,IF(G312=0,24,24-G312),0)</f>
        <v>24</v>
      </c>
      <c r="G312" s="13"/>
      <c r="H312" s="85">
        <f>IF(E312=0,0,IF(M312="ja",(VLOOKUP(D312,Budget!A:F,6,FALSE)*(E312-(VLOOKUP(D312,Budget!A:F,3,FALSE)))),VLOOKUP($D312,Budget!$A$1:$F$19,6,FALSE)*E312))</f>
        <v>11812.554600123773</v>
      </c>
      <c r="I312" s="85">
        <f>IF(F312=0,0,IF(M312="ja",((VLOOKUP(F312,Budget!A:F,6,FALSE)*(E312-(VLOOKUP(F312,Budget!A:F,3,FALSE))))),VLOOKUP($D312,Budget!A:F,5,FALSE)*E312))</f>
        <v>0</v>
      </c>
      <c r="J312" s="85">
        <f t="shared" si="20"/>
        <v>11812.554600123773</v>
      </c>
      <c r="K312" s="14"/>
      <c r="L312" s="73"/>
      <c r="M312" s="80" t="str">
        <f t="shared" si="21"/>
        <v>nein</v>
      </c>
      <c r="N312">
        <f t="shared" si="19"/>
        <v>2021</v>
      </c>
    </row>
    <row r="313" spans="1:14" ht="15" hidden="1" customHeight="1" x14ac:dyDescent="0.3">
      <c r="A313" s="103">
        <f t="shared" si="18"/>
        <v>44</v>
      </c>
      <c r="B313" s="22">
        <v>44504</v>
      </c>
      <c r="C313" s="11" t="s">
        <v>6</v>
      </c>
      <c r="D313" s="13" t="s">
        <v>10</v>
      </c>
      <c r="E313" s="13">
        <f>IF(VLOOKUP(D313,Budget!A:B,2,FALSE)&lt;&gt;0,IF(G313=0,24,24-G313),0)</f>
        <v>24</v>
      </c>
      <c r="G313" s="13"/>
      <c r="H313" s="85">
        <f>IF(E313=0,0,IF(M313="ja",(VLOOKUP(D313,Budget!A:F,6,FALSE)*(E313-(VLOOKUP(D313,Budget!A:F,3,FALSE)))),VLOOKUP($D313,Budget!$A$1:$F$19,6,FALSE)*E313))</f>
        <v>11812.554600123773</v>
      </c>
      <c r="I313" s="85">
        <f>IF(F313=0,0,IF(M313="ja",((VLOOKUP(F313,Budget!A:F,6,FALSE)*(E313-(VLOOKUP(F313,Budget!A:F,3,FALSE))))),VLOOKUP($D313,Budget!A:F,5,FALSE)*E313))</f>
        <v>0</v>
      </c>
      <c r="J313" s="85">
        <f t="shared" si="20"/>
        <v>11812.554600123773</v>
      </c>
      <c r="K313" s="14"/>
      <c r="L313" s="73"/>
      <c r="M313" s="80" t="str">
        <f t="shared" si="21"/>
        <v>nein</v>
      </c>
      <c r="N313">
        <f t="shared" si="19"/>
        <v>2021</v>
      </c>
    </row>
    <row r="314" spans="1:14" ht="15" hidden="1" customHeight="1" x14ac:dyDescent="0.3">
      <c r="A314" s="105">
        <f t="shared" si="18"/>
        <v>44</v>
      </c>
      <c r="B314" s="22">
        <v>44505</v>
      </c>
      <c r="C314" s="11" t="s">
        <v>7</v>
      </c>
      <c r="D314" s="12" t="s">
        <v>30</v>
      </c>
      <c r="E314" s="13">
        <f>IF(VLOOKUP(D314,Budget!A:B,2,FALSE)&lt;&gt;0,IF(G314=0,24,24-G314),0)</f>
        <v>0</v>
      </c>
      <c r="G314" s="13"/>
      <c r="H314" s="85">
        <f>IF(E314=0,0,IF(M314="ja",(VLOOKUP(D314,Budget!A:F,6,FALSE)*(E314-(VLOOKUP(D314,Budget!A:F,3,FALSE)))),VLOOKUP($D314,Budget!$A$1:$F$19,6,FALSE)*E314))</f>
        <v>0</v>
      </c>
      <c r="I314" s="85">
        <f>IF(F314=0,0,IF(M314="ja",((VLOOKUP(F314,Budget!A:F,6,FALSE)*(E314-(VLOOKUP(F314,Budget!A:F,3,FALSE))))),VLOOKUP($D314,Budget!A:F,5,FALSE)*E314))</f>
        <v>0</v>
      </c>
      <c r="J314" s="85">
        <f t="shared" si="20"/>
        <v>0</v>
      </c>
      <c r="K314" s="14"/>
      <c r="L314" s="25"/>
      <c r="M314" s="80" t="str">
        <f t="shared" si="21"/>
        <v>nein</v>
      </c>
      <c r="N314">
        <f t="shared" si="19"/>
        <v>2021</v>
      </c>
    </row>
    <row r="315" spans="1:14" ht="15" hidden="1" customHeight="1" x14ac:dyDescent="0.3">
      <c r="A315" s="105">
        <f t="shared" si="18"/>
        <v>44</v>
      </c>
      <c r="B315" s="22">
        <v>44506</v>
      </c>
      <c r="C315" s="16" t="s">
        <v>8</v>
      </c>
      <c r="D315" s="12" t="s">
        <v>69</v>
      </c>
      <c r="E315" s="24">
        <f>IF(VLOOKUP(D315,Budget!A:B,2,FALSE)&lt;&gt;0,IF(G315=0,24,24-G315),0)</f>
        <v>24</v>
      </c>
      <c r="F315" s="17"/>
      <c r="G315" s="17"/>
      <c r="H315" s="86">
        <f>IF(E315=0,0,IF(M315="ja",(VLOOKUP(D315,Budget!A:F,6,FALSE)*(E315-(VLOOKUP(D315,Budget!A:F,3,FALSE)))),VLOOKUP($D315,Budget!$A$1:$F$19,6,FALSE)*E315))</f>
        <v>38269.757143831848</v>
      </c>
      <c r="I315" s="86">
        <f>IF(F315=0,0,IF(M315="ja",((VLOOKUP(F315,Budget!A:F,6,FALSE)*(E315-(VLOOKUP(F315,Budget!A:F,3,FALSE))))),VLOOKUP($D315,Budget!A:F,5,FALSE)*E315))</f>
        <v>0</v>
      </c>
      <c r="J315" s="86">
        <f t="shared" si="20"/>
        <v>38269.757143831848</v>
      </c>
      <c r="K315" s="18"/>
      <c r="L315" s="75"/>
      <c r="M315" s="76" t="str">
        <f t="shared" si="21"/>
        <v>ja</v>
      </c>
      <c r="N315">
        <f t="shared" si="19"/>
        <v>2021</v>
      </c>
    </row>
    <row r="316" spans="1:14" ht="15.75" hidden="1" customHeight="1" thickBot="1" x14ac:dyDescent="0.35">
      <c r="A316" s="105">
        <f t="shared" si="18"/>
        <v>44</v>
      </c>
      <c r="B316" s="27">
        <v>44507</v>
      </c>
      <c r="C316" s="19" t="s">
        <v>9</v>
      </c>
      <c r="D316" s="12" t="s">
        <v>69</v>
      </c>
      <c r="E316" s="20">
        <f>IF(VLOOKUP(D316,Budget!A:B,2,FALSE)&lt;&gt;0,IF(G316=0,24,24-G316),0)</f>
        <v>24</v>
      </c>
      <c r="F316" s="20"/>
      <c r="G316" s="20"/>
      <c r="H316" s="93">
        <f>IF(E316=0,0,IF(M316="ja",(VLOOKUP(D316,Budget!A:F,6,FALSE)*(E316-(VLOOKUP(D316,Budget!A:F,3,FALSE)))),VLOOKUP($D316,Budget!$A$1:$F$19,6,FALSE)*E316))</f>
        <v>42919.35380616656</v>
      </c>
      <c r="I316" s="93">
        <f>IF(F316=0,0,IF(M316="ja",((VLOOKUP(F316,Budget!A:F,6,FALSE)*(E316-(VLOOKUP(F316,Budget!A:F,3,FALSE))))),VLOOKUP($D316,Budget!A:F,5,FALSE)*E316))</f>
        <v>0</v>
      </c>
      <c r="J316" s="87">
        <f t="shared" si="20"/>
        <v>42919.35380616656</v>
      </c>
      <c r="K316" s="21"/>
      <c r="L316" s="74"/>
      <c r="M316" s="77" t="str">
        <f t="shared" si="21"/>
        <v>nein</v>
      </c>
      <c r="N316">
        <f t="shared" si="19"/>
        <v>2021</v>
      </c>
    </row>
    <row r="317" spans="1:14" ht="15" hidden="1" customHeight="1" x14ac:dyDescent="0.3">
      <c r="A317" s="104">
        <f t="shared" si="18"/>
        <v>45</v>
      </c>
      <c r="B317" s="22">
        <v>44508</v>
      </c>
      <c r="C317" s="10" t="s">
        <v>3</v>
      </c>
      <c r="D317" s="12" t="s">
        <v>11</v>
      </c>
      <c r="E317" s="13">
        <f>IF(VLOOKUP(D317,Budget!A:B,2,FALSE)&lt;&gt;0,IF(G317=0,24,24-G317),0)</f>
        <v>24</v>
      </c>
      <c r="F317" s="13"/>
      <c r="G317" s="13"/>
      <c r="H317" s="85">
        <f>IF(E317=0,0,IF(M317="ja",(VLOOKUP(D317,Budget!A:F,6,FALSE)*(E317-(VLOOKUP(D317,Budget!A:F,3,FALSE)))),VLOOKUP($D317,Budget!$A$1:$F$19,6,FALSE)*E317))</f>
        <v>30030</v>
      </c>
      <c r="I317" s="85">
        <f>IF(F317=0,0,IF(M317="ja",((VLOOKUP(F317,Budget!A:F,6,FALSE)*(E317-(VLOOKUP(F317,Budget!A:F,3,FALSE))))),VLOOKUP($D317,Budget!A:F,5,FALSE)*E317))</f>
        <v>0</v>
      </c>
      <c r="J317" s="85">
        <f t="shared" si="20"/>
        <v>30030</v>
      </c>
      <c r="K317" s="15"/>
      <c r="L317" s="72"/>
      <c r="M317" s="80" t="str">
        <f t="shared" si="21"/>
        <v>ja</v>
      </c>
      <c r="N317">
        <f t="shared" si="19"/>
        <v>2021</v>
      </c>
    </row>
    <row r="318" spans="1:14" ht="15" hidden="1" customHeight="1" x14ac:dyDescent="0.3">
      <c r="A318" s="105">
        <f t="shared" si="18"/>
        <v>45</v>
      </c>
      <c r="B318" s="22">
        <v>44509</v>
      </c>
      <c r="C318" s="11" t="s">
        <v>4</v>
      </c>
      <c r="D318" s="12" t="s">
        <v>11</v>
      </c>
      <c r="E318" s="13">
        <f>IF(VLOOKUP(D318,Budget!A:B,2,FALSE)&lt;&gt;0,IF(G318=0,24,24-G318),0)</f>
        <v>24</v>
      </c>
      <c r="G318" s="13"/>
      <c r="H318" s="85">
        <f>IF(E318=0,0,IF(M318="ja",(VLOOKUP(D318,Budget!A:F,6,FALSE)*(E318-(VLOOKUP(D318,Budget!A:F,3,FALSE)))),VLOOKUP($D318,Budget!$A$1:$F$19,6,FALSE)*E318))</f>
        <v>36960</v>
      </c>
      <c r="I318" s="85">
        <f>IF(F318=0,0,IF(M318="ja",((VLOOKUP(F318,Budget!A:F,6,FALSE)*(E318-(VLOOKUP(F318,Budget!A:F,3,FALSE))))),VLOOKUP($D318,Budget!A:F,5,FALSE)*E318))</f>
        <v>0</v>
      </c>
      <c r="J318" s="85">
        <f t="shared" si="20"/>
        <v>36960</v>
      </c>
      <c r="K318" s="14"/>
      <c r="L318" s="73"/>
      <c r="M318" s="80" t="str">
        <f t="shared" si="21"/>
        <v>nein</v>
      </c>
      <c r="N318">
        <f t="shared" si="19"/>
        <v>2021</v>
      </c>
    </row>
    <row r="319" spans="1:14" ht="15" hidden="1" customHeight="1" x14ac:dyDescent="0.3">
      <c r="A319" s="105">
        <f t="shared" si="18"/>
        <v>45</v>
      </c>
      <c r="B319" s="22">
        <v>44510</v>
      </c>
      <c r="C319" s="11" t="s">
        <v>5</v>
      </c>
      <c r="D319" s="12" t="s">
        <v>11</v>
      </c>
      <c r="E319" s="13">
        <f>IF(VLOOKUP(D319,Budget!A:B,2,FALSE)&lt;&gt;0,IF(G319=0,24,24-G319),0)</f>
        <v>24</v>
      </c>
      <c r="G319" s="13"/>
      <c r="H319" s="85">
        <f>IF(E319=0,0,IF(M319="ja",(VLOOKUP(D319,Budget!A:F,6,FALSE)*(E319-(VLOOKUP(D319,Budget!A:F,3,FALSE)))),VLOOKUP($D319,Budget!$A$1:$F$19,6,FALSE)*E319))</f>
        <v>36960</v>
      </c>
      <c r="I319" s="85">
        <f>IF(F319=0,0,IF(M319="ja",((VLOOKUP(F319,Budget!A:F,6,FALSE)*(E319-(VLOOKUP(F319,Budget!A:F,3,FALSE))))),VLOOKUP($D319,Budget!A:F,5,FALSE)*E319))</f>
        <v>0</v>
      </c>
      <c r="J319" s="85">
        <f t="shared" si="20"/>
        <v>36960</v>
      </c>
      <c r="K319" s="14"/>
      <c r="L319" s="73"/>
      <c r="M319" s="80" t="str">
        <f t="shared" si="21"/>
        <v>nein</v>
      </c>
      <c r="N319">
        <f t="shared" si="19"/>
        <v>2021</v>
      </c>
    </row>
    <row r="320" spans="1:14" ht="15" hidden="1" customHeight="1" x14ac:dyDescent="0.3">
      <c r="A320" s="103">
        <f t="shared" si="18"/>
        <v>45</v>
      </c>
      <c r="B320" s="22">
        <v>44511</v>
      </c>
      <c r="C320" s="11" t="s">
        <v>6</v>
      </c>
      <c r="D320" s="12" t="s">
        <v>11</v>
      </c>
      <c r="E320" s="13">
        <f>IF(VLOOKUP(D320,Budget!A:B,2,FALSE)&lt;&gt;0,IF(G320=0,24,24-G320),0)</f>
        <v>24</v>
      </c>
      <c r="G320" s="13"/>
      <c r="H320" s="85">
        <f>IF(E320=0,0,IF(M320="ja",(VLOOKUP(D320,Budget!A:F,6,FALSE)*(E320-(VLOOKUP(D320,Budget!A:F,3,FALSE)))),VLOOKUP($D320,Budget!$A$1:$F$19,6,FALSE)*E320))</f>
        <v>36960</v>
      </c>
      <c r="I320" s="85">
        <f>IF(F320=0,0,IF(M320="ja",((VLOOKUP(F320,Budget!A:F,6,FALSE)*(E320-(VLOOKUP(F320,Budget!A:F,3,FALSE))))),VLOOKUP($D320,Budget!A:F,5,FALSE)*E320))</f>
        <v>0</v>
      </c>
      <c r="J320" s="85">
        <f t="shared" si="20"/>
        <v>36960</v>
      </c>
      <c r="K320" s="14"/>
      <c r="L320" s="73"/>
      <c r="M320" s="80" t="str">
        <f t="shared" si="21"/>
        <v>nein</v>
      </c>
      <c r="N320">
        <f t="shared" si="19"/>
        <v>2021</v>
      </c>
    </row>
    <row r="321" spans="1:14" ht="15" hidden="1" customHeight="1" x14ac:dyDescent="0.3">
      <c r="A321" s="105">
        <f t="shared" si="18"/>
        <v>45</v>
      </c>
      <c r="B321" s="22">
        <v>44512</v>
      </c>
      <c r="C321" s="11" t="s">
        <v>7</v>
      </c>
      <c r="D321" s="12" t="s">
        <v>11</v>
      </c>
      <c r="E321" s="13">
        <f>IF(VLOOKUP(D321,Budget!A:B,2,FALSE)&lt;&gt;0,IF(G321=0,24,24-G321),0)</f>
        <v>24</v>
      </c>
      <c r="G321" s="13"/>
      <c r="H321" s="85">
        <f>IF(E321=0,0,IF(M321="ja",(VLOOKUP(D321,Budget!A:F,6,FALSE)*(E321-(VLOOKUP(D321,Budget!A:F,3,FALSE)))),VLOOKUP($D321,Budget!$A$1:$F$19,6,FALSE)*E321))</f>
        <v>36960</v>
      </c>
      <c r="I321" s="85">
        <f>IF(F321=0,0,IF(M321="ja",((VLOOKUP(F321,Budget!A:F,6,FALSE)*(E321-(VLOOKUP(F321,Budget!A:F,3,FALSE))))),VLOOKUP($D321,Budget!A:F,5,FALSE)*E321))</f>
        <v>0</v>
      </c>
      <c r="J321" s="85">
        <f t="shared" si="20"/>
        <v>36960</v>
      </c>
      <c r="K321" s="14"/>
      <c r="L321" s="25"/>
      <c r="M321" s="80" t="str">
        <f t="shared" si="21"/>
        <v>nein</v>
      </c>
      <c r="N321">
        <f t="shared" si="19"/>
        <v>2021</v>
      </c>
    </row>
    <row r="322" spans="1:14" ht="15" hidden="1" customHeight="1" x14ac:dyDescent="0.3">
      <c r="A322" s="105">
        <f t="shared" si="18"/>
        <v>45</v>
      </c>
      <c r="B322" s="22">
        <v>44513</v>
      </c>
      <c r="C322" s="16" t="s">
        <v>8</v>
      </c>
      <c r="D322" s="17" t="s">
        <v>11</v>
      </c>
      <c r="E322" s="24">
        <f>IF(VLOOKUP(D322,Budget!A:B,2,FALSE)&lt;&gt;0,IF(G322=0,24,24-G322),0)</f>
        <v>24</v>
      </c>
      <c r="F322" s="17"/>
      <c r="G322" s="17"/>
      <c r="H322" s="86">
        <f>IF(E322=0,0,IF(M322="ja",(VLOOKUP(D322,Budget!A:F,6,FALSE)*(E322-(VLOOKUP(D322,Budget!A:F,3,FALSE)))),VLOOKUP($D322,Budget!$A$1:$F$19,6,FALSE)*E322))</f>
        <v>36960</v>
      </c>
      <c r="I322" s="86">
        <f>IF(F322=0,0,IF(M322="ja",((VLOOKUP(F322,Budget!A:F,6,FALSE)*(E322-(VLOOKUP(F322,Budget!A:F,3,FALSE))))),VLOOKUP($D322,Budget!A:F,5,FALSE)*E322))</f>
        <v>0</v>
      </c>
      <c r="J322" s="86">
        <f t="shared" si="20"/>
        <v>36960</v>
      </c>
      <c r="K322" s="18"/>
      <c r="L322" s="75"/>
      <c r="M322" s="76" t="str">
        <f t="shared" si="21"/>
        <v>nein</v>
      </c>
      <c r="N322">
        <f t="shared" si="19"/>
        <v>2021</v>
      </c>
    </row>
    <row r="323" spans="1:14" ht="15.75" hidden="1" customHeight="1" thickBot="1" x14ac:dyDescent="0.35">
      <c r="A323" s="105">
        <f t="shared" ref="A323:A370" si="22">_xlfn.ISOWEEKNUM(B323)</f>
        <v>45</v>
      </c>
      <c r="B323" s="27">
        <v>44514</v>
      </c>
      <c r="C323" s="19" t="s">
        <v>9</v>
      </c>
      <c r="D323" s="20" t="s">
        <v>69</v>
      </c>
      <c r="E323" s="20">
        <f>IF(VLOOKUP(D323,Budget!A:B,2,FALSE)&lt;&gt;0,IF(G323=0,24,24-G323),0)</f>
        <v>24</v>
      </c>
      <c r="F323" s="20"/>
      <c r="G323" s="20"/>
      <c r="H323" s="93">
        <f>IF(E323=0,0,IF(M323="ja",(VLOOKUP(D323,Budget!A:F,6,FALSE)*(E323-(VLOOKUP(D323,Budget!A:F,3,FALSE)))),VLOOKUP($D323,Budget!$A$1:$F$19,6,FALSE)*E323))</f>
        <v>38269.757143831848</v>
      </c>
      <c r="I323" s="93">
        <f>IF(F323=0,0,IF(M323="ja",((VLOOKUP(F323,Budget!A:F,6,FALSE)*(E323-(VLOOKUP(F323,Budget!A:F,3,FALSE))))),VLOOKUP($D323,Budget!A:F,5,FALSE)*E323))</f>
        <v>0</v>
      </c>
      <c r="J323" s="87">
        <f t="shared" si="20"/>
        <v>38269.757143831848</v>
      </c>
      <c r="K323" s="21"/>
      <c r="L323" s="74"/>
      <c r="M323" s="77" t="str">
        <f t="shared" si="21"/>
        <v>ja</v>
      </c>
      <c r="N323">
        <f t="shared" ref="N323:N386" si="23">YEAR(B323)</f>
        <v>2021</v>
      </c>
    </row>
    <row r="324" spans="1:14" ht="15" hidden="1" customHeight="1" x14ac:dyDescent="0.3">
      <c r="A324" s="104">
        <f t="shared" si="22"/>
        <v>46</v>
      </c>
      <c r="B324" s="22">
        <v>44515</v>
      </c>
      <c r="C324" s="10" t="s">
        <v>3</v>
      </c>
      <c r="D324" s="12" t="s">
        <v>69</v>
      </c>
      <c r="E324" s="13">
        <f>IF(VLOOKUP(D324,Budget!A:B,2,FALSE)&lt;&gt;0,IF(G324=0,24,24-G324),0)</f>
        <v>24</v>
      </c>
      <c r="F324" s="13"/>
      <c r="G324" s="13"/>
      <c r="H324" s="85">
        <f>IF(E324=0,0,IF(M324="ja",(VLOOKUP(D324,Budget!A:F,6,FALSE)*(E324-(VLOOKUP(D324,Budget!A:F,3,FALSE)))),VLOOKUP($D324,Budget!$A$1:$F$19,6,FALSE)*E324))</f>
        <v>42919.35380616656</v>
      </c>
      <c r="I324" s="85">
        <f>IF(F324=0,0,IF(M324="ja",((VLOOKUP(F324,Budget!A:F,6,FALSE)*(E324-(VLOOKUP(F324,Budget!A:F,3,FALSE))))),VLOOKUP($D324,Budget!A:F,5,FALSE)*E324))</f>
        <v>0</v>
      </c>
      <c r="J324" s="85">
        <f t="shared" si="20"/>
        <v>42919.35380616656</v>
      </c>
      <c r="K324" s="15"/>
      <c r="L324" s="111"/>
      <c r="M324" s="80" t="str">
        <f t="shared" si="21"/>
        <v>nein</v>
      </c>
      <c r="N324">
        <f t="shared" si="23"/>
        <v>2021</v>
      </c>
    </row>
    <row r="325" spans="1:14" ht="15" hidden="1" customHeight="1" x14ac:dyDescent="0.3">
      <c r="A325" s="105">
        <f t="shared" si="22"/>
        <v>46</v>
      </c>
      <c r="B325" s="22">
        <v>44516</v>
      </c>
      <c r="C325" s="11" t="s">
        <v>4</v>
      </c>
      <c r="D325" s="12" t="s">
        <v>65</v>
      </c>
      <c r="E325" s="13">
        <f>IF(VLOOKUP(D325,Budget!A:B,2,FALSE)&lt;&gt;0,IF(G325=0,24,24-G325),0)</f>
        <v>24</v>
      </c>
      <c r="G325" s="13"/>
      <c r="H325" s="85">
        <f>IF(E325=0,0,IF(M325="ja",(VLOOKUP(D325,Budget!A:F,6,FALSE)*(E325-(VLOOKUP(D325,Budget!A:F,3,FALSE)))),VLOOKUP($D325,Budget!$A$1:$F$19,6,FALSE)*E325))</f>
        <v>22220.983707552332</v>
      </c>
      <c r="I325" s="85">
        <f>IF(F325=0,0,IF(M325="ja",((VLOOKUP(F325,Budget!A:F,6,FALSE)*(E325-(VLOOKUP(F325,Budget!A:F,3,FALSE))))),VLOOKUP($D325,Budget!A:F,5,FALSE)*E325))</f>
        <v>0</v>
      </c>
      <c r="J325" s="85">
        <f t="shared" si="20"/>
        <v>22220.983707552332</v>
      </c>
      <c r="K325" s="14"/>
      <c r="L325" s="73"/>
      <c r="M325" s="80" t="str">
        <f t="shared" si="21"/>
        <v>ja</v>
      </c>
      <c r="N325">
        <f t="shared" si="23"/>
        <v>2021</v>
      </c>
    </row>
    <row r="326" spans="1:14" ht="15" hidden="1" customHeight="1" x14ac:dyDescent="0.3">
      <c r="A326" s="105">
        <f t="shared" si="22"/>
        <v>46</v>
      </c>
      <c r="B326" s="22">
        <v>44517</v>
      </c>
      <c r="C326" s="11" t="s">
        <v>5</v>
      </c>
      <c r="D326" s="12" t="s">
        <v>65</v>
      </c>
      <c r="E326" s="13">
        <f>IF(VLOOKUP(D326,Budget!A:B,2,FALSE)&lt;&gt;0,IF(G326=0,24,24-G326),0)</f>
        <v>24</v>
      </c>
      <c r="G326" s="13"/>
      <c r="H326" s="85">
        <f>IF(E326=0,0,IF(M326="ja",(VLOOKUP(D326,Budget!A:F,6,FALSE)*(E326-(VLOOKUP(D326,Budget!A:F,3,FALSE)))),VLOOKUP($D326,Budget!$A$1:$F$19,6,FALSE)*E326))</f>
        <v>35553.573932083731</v>
      </c>
      <c r="I326" s="85">
        <f>IF(F326=0,0,IF(M326="ja",((VLOOKUP(F326,Budget!A:F,6,FALSE)*(E326-(VLOOKUP(F326,Budget!A:F,3,FALSE))))),VLOOKUP($D326,Budget!A:F,5,FALSE)*E326))</f>
        <v>0</v>
      </c>
      <c r="J326" s="85">
        <f t="shared" si="20"/>
        <v>35553.573932083731</v>
      </c>
      <c r="K326" s="14"/>
      <c r="L326" s="73"/>
      <c r="M326" s="80" t="str">
        <f t="shared" si="21"/>
        <v>nein</v>
      </c>
      <c r="N326">
        <f t="shared" si="23"/>
        <v>2021</v>
      </c>
    </row>
    <row r="327" spans="1:14" ht="15" hidden="1" customHeight="1" x14ac:dyDescent="0.3">
      <c r="A327" s="103">
        <f t="shared" si="22"/>
        <v>46</v>
      </c>
      <c r="B327" s="22">
        <v>44518</v>
      </c>
      <c r="C327" s="11" t="s">
        <v>6</v>
      </c>
      <c r="D327" s="12" t="s">
        <v>13</v>
      </c>
      <c r="E327" s="13">
        <f>IF(VLOOKUP(D327,Budget!A:B,2,FALSE)&lt;&gt;0,IF(G327=0,24,24-G327),0)</f>
        <v>0</v>
      </c>
      <c r="G327" s="13"/>
      <c r="H327" s="85">
        <f>IF(E327=0,0,IF(M327="ja",(VLOOKUP(D327,Budget!A:F,6,FALSE)*(E327-(VLOOKUP(D327,Budget!A:F,3,FALSE)))),VLOOKUP($D327,Budget!$A$1:$F$19,6,FALSE)*E327))</f>
        <v>0</v>
      </c>
      <c r="I327" s="85">
        <f>IF(F327=0,0,IF(M327="ja",((VLOOKUP(F327,Budget!A:F,6,FALSE)*(E327-(VLOOKUP(F327,Budget!A:F,3,FALSE))))),VLOOKUP($D327,Budget!A:F,5,FALSE)*E327))</f>
        <v>0</v>
      </c>
      <c r="J327" s="85">
        <f t="shared" si="20"/>
        <v>0</v>
      </c>
      <c r="K327" s="14"/>
      <c r="L327" s="110" t="s">
        <v>82</v>
      </c>
      <c r="M327" s="80" t="str">
        <f t="shared" si="21"/>
        <v>nein</v>
      </c>
      <c r="N327">
        <f t="shared" si="23"/>
        <v>2021</v>
      </c>
    </row>
    <row r="328" spans="1:14" ht="15" hidden="1" customHeight="1" x14ac:dyDescent="0.3">
      <c r="A328" s="105">
        <f t="shared" si="22"/>
        <v>46</v>
      </c>
      <c r="B328" s="22">
        <v>44519</v>
      </c>
      <c r="C328" s="11" t="s">
        <v>7</v>
      </c>
      <c r="D328" s="12" t="s">
        <v>66</v>
      </c>
      <c r="E328" s="13">
        <f>IF(VLOOKUP(D328,Budget!A:B,2,FALSE)&lt;&gt;0,IF(G328=0,24,24-G328),0)</f>
        <v>24</v>
      </c>
      <c r="G328" s="13"/>
      <c r="H328" s="85">
        <f>IF(E328=0,0,IF(M328="ja",(VLOOKUP(D328,Budget!A:F,6,FALSE)*(E328-(VLOOKUP(D328,Budget!A:F,3,FALSE)))),VLOOKUP($D328,Budget!$A$1:$F$19,6,FALSE)*E328))</f>
        <v>32328.172065231582</v>
      </c>
      <c r="I328" s="85">
        <f>IF(F328=0,0,IF(M328="ja",((VLOOKUP(F328,Budget!A:F,6,FALSE)*(E328-(VLOOKUP(F328,Budget!A:F,3,FALSE))))),VLOOKUP($D328,Budget!A:F,5,FALSE)*E328))</f>
        <v>0</v>
      </c>
      <c r="J328" s="85">
        <f t="shared" si="20"/>
        <v>32328.172065231582</v>
      </c>
      <c r="K328" s="14"/>
      <c r="L328" s="25"/>
      <c r="M328" s="80" t="str">
        <f t="shared" si="21"/>
        <v>ja</v>
      </c>
      <c r="N328">
        <f t="shared" si="23"/>
        <v>2021</v>
      </c>
    </row>
    <row r="329" spans="1:14" ht="15" hidden="1" customHeight="1" x14ac:dyDescent="0.3">
      <c r="A329" s="105">
        <f t="shared" si="22"/>
        <v>46</v>
      </c>
      <c r="B329" s="22">
        <v>44520</v>
      </c>
      <c r="C329" s="16" t="s">
        <v>8</v>
      </c>
      <c r="D329" s="17" t="s">
        <v>66</v>
      </c>
      <c r="E329" s="24">
        <f>IF(VLOOKUP(D329,Budget!A:B,2,FALSE)&lt;&gt;0,IF(G329=0,24,24-G329),0)</f>
        <v>24</v>
      </c>
      <c r="F329" s="17"/>
      <c r="G329" s="17"/>
      <c r="H329" s="86">
        <f>IF(E329=0,0,IF(M329="ja",(VLOOKUP(D329,Budget!A:F,6,FALSE)*(E329-(VLOOKUP(D329,Budget!A:F,3,FALSE)))),VLOOKUP($D329,Budget!$A$1:$F$19,6,FALSE)*E329))</f>
        <v>36946.482360264665</v>
      </c>
      <c r="I329" s="86">
        <f>IF(F329=0,0,IF(M329="ja",((VLOOKUP(F329,Budget!A:F,6,FALSE)*(E329-(VLOOKUP(F329,Budget!A:F,3,FALSE))))),VLOOKUP($D329,Budget!A:F,5,FALSE)*E329))</f>
        <v>0</v>
      </c>
      <c r="J329" s="86">
        <f t="shared" si="20"/>
        <v>36946.482360264665</v>
      </c>
      <c r="K329" s="18"/>
      <c r="L329" s="75"/>
      <c r="M329" s="76" t="str">
        <f t="shared" si="21"/>
        <v>nein</v>
      </c>
      <c r="N329">
        <f t="shared" si="23"/>
        <v>2021</v>
      </c>
    </row>
    <row r="330" spans="1:14" ht="15.75" hidden="1" customHeight="1" thickBot="1" x14ac:dyDescent="0.35">
      <c r="A330" s="105">
        <f t="shared" si="22"/>
        <v>46</v>
      </c>
      <c r="B330" s="27">
        <v>44521</v>
      </c>
      <c r="C330" s="19" t="s">
        <v>9</v>
      </c>
      <c r="D330" s="20" t="s">
        <v>69</v>
      </c>
      <c r="E330" s="20">
        <f>IF(VLOOKUP(D330,Budget!A:B,2,FALSE)&lt;&gt;0,IF(G330=0,24,24-G330),0)</f>
        <v>24</v>
      </c>
      <c r="F330" s="20"/>
      <c r="G330" s="20"/>
      <c r="H330" s="93">
        <f>IF(E330=0,0,IF(M330="ja",(VLOOKUP(D330,Budget!A:F,6,FALSE)*(E330-(VLOOKUP(D330,Budget!A:F,3,FALSE)))),VLOOKUP($D330,Budget!$A$1:$F$19,6,FALSE)*E330))</f>
        <v>38269.757143831848</v>
      </c>
      <c r="I330" s="93">
        <f>IF(F330=0,0,IF(M330="ja",((VLOOKUP(F330,Budget!A:F,6,FALSE)*(E330-(VLOOKUP(F330,Budget!A:F,3,FALSE))))),VLOOKUP($D330,Budget!A:F,5,FALSE)*E330))</f>
        <v>0</v>
      </c>
      <c r="J330" s="87">
        <f t="shared" ref="J330:J370" si="24">H330+I330</f>
        <v>38269.757143831848</v>
      </c>
      <c r="K330" s="21"/>
      <c r="L330" s="74"/>
      <c r="M330" s="77" t="str">
        <f t="shared" ref="M330:M370" si="25">IF(E330=0,"nein",IF(OR(E330&lt;&gt;24,F329&lt;&gt;0,D330&lt;&gt;D329),"ja","nein"))</f>
        <v>ja</v>
      </c>
      <c r="N330">
        <f t="shared" si="23"/>
        <v>2021</v>
      </c>
    </row>
    <row r="331" spans="1:14" ht="15" hidden="1" customHeight="1" x14ac:dyDescent="0.3">
      <c r="A331" s="104">
        <f t="shared" si="22"/>
        <v>47</v>
      </c>
      <c r="B331" s="22">
        <v>44522</v>
      </c>
      <c r="C331" s="10" t="s">
        <v>3</v>
      </c>
      <c r="D331" s="12" t="s">
        <v>69</v>
      </c>
      <c r="E331" s="13">
        <f>IF(VLOOKUP(D331,Budget!A:B,2,FALSE)&lt;&gt;0,IF(G331=0,24,24-G331),0)</f>
        <v>24</v>
      </c>
      <c r="F331" s="13"/>
      <c r="G331" s="13"/>
      <c r="H331" s="85">
        <f>IF(E331=0,0,IF(M331="ja",(VLOOKUP(D331,Budget!A:F,6,FALSE)*(E331-(VLOOKUP(D331,Budget!A:F,3,FALSE)))),VLOOKUP($D331,Budget!$A$1:$F$19,6,FALSE)*E331))</f>
        <v>42919.35380616656</v>
      </c>
      <c r="I331" s="85">
        <f>IF(F331=0,0,IF(M331="ja",((VLOOKUP(F331,Budget!A:F,6,FALSE)*(E331-(VLOOKUP(F331,Budget!A:F,3,FALSE))))),VLOOKUP($D331,Budget!A:F,5,FALSE)*E331))</f>
        <v>0</v>
      </c>
      <c r="J331" s="85">
        <f t="shared" si="24"/>
        <v>42919.35380616656</v>
      </c>
      <c r="K331" s="15"/>
      <c r="L331" s="73"/>
      <c r="M331" s="80" t="str">
        <f t="shared" si="25"/>
        <v>nein</v>
      </c>
      <c r="N331">
        <f t="shared" si="23"/>
        <v>2021</v>
      </c>
    </row>
    <row r="332" spans="1:14" ht="15" hidden="1" customHeight="1" x14ac:dyDescent="0.3">
      <c r="A332" s="105">
        <f t="shared" si="22"/>
        <v>47</v>
      </c>
      <c r="B332" s="22">
        <v>44523</v>
      </c>
      <c r="C332" s="11" t="s">
        <v>4</v>
      </c>
      <c r="D332" s="12" t="s">
        <v>69</v>
      </c>
      <c r="E332" s="13">
        <f>IF(VLOOKUP(D332,Budget!A:B,2,FALSE)&lt;&gt;0,IF(G332=0,24,24-G332),0)</f>
        <v>24</v>
      </c>
      <c r="G332" s="13"/>
      <c r="H332" s="85">
        <f>IF(E332=0,0,IF(M332="ja",(VLOOKUP(D332,Budget!A:F,6,FALSE)*(E332-(VLOOKUP(D332,Budget!A:F,3,FALSE)))),VLOOKUP($D332,Budget!$A$1:$F$19,6,FALSE)*E332))</f>
        <v>42919.35380616656</v>
      </c>
      <c r="I332" s="85">
        <f>IF(F332=0,0,IF(M332="ja",((VLOOKUP(F332,Budget!A:F,6,FALSE)*(E332-(VLOOKUP(F332,Budget!A:F,3,FALSE))))),VLOOKUP($D332,Budget!A:F,5,FALSE)*E332))</f>
        <v>0</v>
      </c>
      <c r="J332" s="85">
        <f t="shared" si="24"/>
        <v>42919.35380616656</v>
      </c>
      <c r="K332" s="14"/>
      <c r="L332" s="73"/>
      <c r="M332" s="80" t="str">
        <f t="shared" si="25"/>
        <v>nein</v>
      </c>
      <c r="N332">
        <f t="shared" si="23"/>
        <v>2021</v>
      </c>
    </row>
    <row r="333" spans="1:14" ht="15" hidden="1" customHeight="1" x14ac:dyDescent="0.3">
      <c r="A333" s="105">
        <f t="shared" si="22"/>
        <v>47</v>
      </c>
      <c r="B333" s="22">
        <v>44524</v>
      </c>
      <c r="C333" s="11" t="s">
        <v>5</v>
      </c>
      <c r="D333" s="12" t="s">
        <v>11</v>
      </c>
      <c r="E333" s="13">
        <f>IF(VLOOKUP(D333,Budget!A:B,2,FALSE)&lt;&gt;0,IF(G333=0,24,24-G333),0)</f>
        <v>24</v>
      </c>
      <c r="G333" s="13"/>
      <c r="H333" s="85">
        <f>IF(E333=0,0,IF(M333="ja",(VLOOKUP(D333,Budget!A:F,6,FALSE)*(E333-(VLOOKUP(D333,Budget!A:F,3,FALSE)))),VLOOKUP($D333,Budget!$A$1:$F$19,6,FALSE)*E333))</f>
        <v>30030</v>
      </c>
      <c r="I333" s="85">
        <f>IF(F333=0,0,IF(M333="ja",((VLOOKUP(F333,Budget!A:F,6,FALSE)*(E333-(VLOOKUP(F333,Budget!A:F,3,FALSE))))),VLOOKUP($D333,Budget!A:F,5,FALSE)*E333))</f>
        <v>0</v>
      </c>
      <c r="J333" s="85">
        <f t="shared" si="24"/>
        <v>30030</v>
      </c>
      <c r="K333" s="14"/>
      <c r="L333" s="106"/>
      <c r="M333" s="80" t="str">
        <f t="shared" si="25"/>
        <v>ja</v>
      </c>
      <c r="N333">
        <f t="shared" si="23"/>
        <v>2021</v>
      </c>
    </row>
    <row r="334" spans="1:14" ht="15" hidden="1" customHeight="1" x14ac:dyDescent="0.3">
      <c r="A334" s="103">
        <f t="shared" si="22"/>
        <v>47</v>
      </c>
      <c r="B334" s="22">
        <v>44525</v>
      </c>
      <c r="C334" s="11" t="s">
        <v>6</v>
      </c>
      <c r="D334" s="12" t="s">
        <v>11</v>
      </c>
      <c r="E334" s="13">
        <f>IF(VLOOKUP(D334,Budget!A:B,2,FALSE)&lt;&gt;0,IF(G334=0,24,24-G334),0)</f>
        <v>24</v>
      </c>
      <c r="G334" s="13"/>
      <c r="H334" s="85">
        <f>IF(E334=0,0,IF(M334="ja",(VLOOKUP(D334,Budget!A:F,6,FALSE)*(E334-(VLOOKUP(D334,Budget!A:F,3,FALSE)))),VLOOKUP($D334,Budget!$A$1:$F$19,6,FALSE)*E334))</f>
        <v>36960</v>
      </c>
      <c r="I334" s="85">
        <f>IF(F334=0,0,IF(M334="ja",((VLOOKUP(F334,Budget!A:F,6,FALSE)*(E334-(VLOOKUP(F334,Budget!A:F,3,FALSE))))),VLOOKUP($D334,Budget!A:F,5,FALSE)*E334))</f>
        <v>0</v>
      </c>
      <c r="J334" s="85">
        <f t="shared" si="24"/>
        <v>36960</v>
      </c>
      <c r="K334" s="14"/>
      <c r="L334" s="115"/>
      <c r="M334" s="80" t="str">
        <f t="shared" si="25"/>
        <v>nein</v>
      </c>
      <c r="N334">
        <f t="shared" si="23"/>
        <v>2021</v>
      </c>
    </row>
    <row r="335" spans="1:14" ht="15" hidden="1" customHeight="1" x14ac:dyDescent="0.3">
      <c r="A335" s="105">
        <f t="shared" si="22"/>
        <v>47</v>
      </c>
      <c r="B335" s="22">
        <v>44526</v>
      </c>
      <c r="C335" s="11" t="s">
        <v>7</v>
      </c>
      <c r="D335" s="12" t="s">
        <v>11</v>
      </c>
      <c r="E335" s="13">
        <f>IF(VLOOKUP(D335,Budget!A:B,2,FALSE)&lt;&gt;0,IF(G335=0,24,24-G335),0)</f>
        <v>24</v>
      </c>
      <c r="G335" s="13"/>
      <c r="H335" s="85">
        <f>IF(E335=0,0,IF(M335="ja",(VLOOKUP(D335,Budget!A:F,6,FALSE)*(E335-(VLOOKUP(D335,Budget!A:F,3,FALSE)))),VLOOKUP($D335,Budget!$A$1:$F$19,6,FALSE)*E335))</f>
        <v>36960</v>
      </c>
      <c r="I335" s="85">
        <f>IF(F335=0,0,IF(M335="ja",((VLOOKUP(F335,Budget!A:F,6,FALSE)*(E335-(VLOOKUP(F335,Budget!A:F,3,FALSE))))),VLOOKUP($D335,Budget!A:F,5,FALSE)*E335))</f>
        <v>0</v>
      </c>
      <c r="J335" s="85">
        <f t="shared" si="24"/>
        <v>36960</v>
      </c>
      <c r="K335" s="14"/>
      <c r="L335" s="25"/>
      <c r="M335" s="80" t="str">
        <f t="shared" si="25"/>
        <v>nein</v>
      </c>
      <c r="N335">
        <f t="shared" si="23"/>
        <v>2021</v>
      </c>
    </row>
    <row r="336" spans="1:14" ht="15" hidden="1" customHeight="1" x14ac:dyDescent="0.3">
      <c r="A336" s="105">
        <f t="shared" si="22"/>
        <v>47</v>
      </c>
      <c r="B336" s="22">
        <v>44527</v>
      </c>
      <c r="C336" s="16" t="s">
        <v>8</v>
      </c>
      <c r="D336" s="17" t="s">
        <v>11</v>
      </c>
      <c r="E336" s="24">
        <f>IF(VLOOKUP(D336,Budget!A:B,2,FALSE)&lt;&gt;0,IF(G336=0,24,24-G336),0)</f>
        <v>24</v>
      </c>
      <c r="F336" s="17"/>
      <c r="G336" s="17"/>
      <c r="H336" s="86">
        <f>IF(E336=0,0,IF(M336="ja",(VLOOKUP(D336,Budget!A:F,6,FALSE)*(E336-(VLOOKUP(D336,Budget!A:F,3,FALSE)))),VLOOKUP($D336,Budget!$A$1:$F$19,6,FALSE)*E336))</f>
        <v>36960</v>
      </c>
      <c r="I336" s="86">
        <f>IF(F336=0,0,IF(M336="ja",((VLOOKUP(F336,Budget!A:F,6,FALSE)*(E336-(VLOOKUP(F336,Budget!A:F,3,FALSE))))),VLOOKUP($D336,Budget!A:F,5,FALSE)*E336))</f>
        <v>0</v>
      </c>
      <c r="J336" s="86">
        <f t="shared" si="24"/>
        <v>36960</v>
      </c>
      <c r="K336" s="18"/>
      <c r="L336" s="75"/>
      <c r="M336" s="76" t="str">
        <f t="shared" si="25"/>
        <v>nein</v>
      </c>
      <c r="N336">
        <f t="shared" si="23"/>
        <v>2021</v>
      </c>
    </row>
    <row r="337" spans="1:14" ht="15.75" hidden="1" customHeight="1" thickBot="1" x14ac:dyDescent="0.35">
      <c r="A337" s="105">
        <f t="shared" si="22"/>
        <v>47</v>
      </c>
      <c r="B337" s="27">
        <v>44528</v>
      </c>
      <c r="C337" s="19" t="s">
        <v>9</v>
      </c>
      <c r="D337" s="20" t="s">
        <v>11</v>
      </c>
      <c r="E337" s="20">
        <f>IF(VLOOKUP(D337,Budget!A:B,2,FALSE)&lt;&gt;0,IF(G337=0,24,24-G337),0)</f>
        <v>24</v>
      </c>
      <c r="F337" s="20"/>
      <c r="G337" s="20"/>
      <c r="H337" s="93">
        <f>IF(E337=0,0,IF(M337="ja",(VLOOKUP(D337,Budget!A:F,6,FALSE)*(E337-(VLOOKUP(D337,Budget!A:F,3,FALSE)))),VLOOKUP($D337,Budget!$A$1:$F$19,6,FALSE)*E337))</f>
        <v>36960</v>
      </c>
      <c r="I337" s="93">
        <f>IF(F337=0,0,IF(M337="ja",((VLOOKUP(F337,Budget!A:F,6,FALSE)*(E337-(VLOOKUP(F337,Budget!A:F,3,FALSE))))),VLOOKUP($D337,Budget!A:F,5,FALSE)*E337))</f>
        <v>0</v>
      </c>
      <c r="J337" s="87">
        <f t="shared" si="24"/>
        <v>36960</v>
      </c>
      <c r="K337" s="21"/>
      <c r="L337" s="74"/>
      <c r="M337" s="77" t="str">
        <f t="shared" si="25"/>
        <v>nein</v>
      </c>
      <c r="N337">
        <f t="shared" si="23"/>
        <v>2021</v>
      </c>
    </row>
    <row r="338" spans="1:14" ht="15" hidden="1" customHeight="1" x14ac:dyDescent="0.3">
      <c r="A338" s="104">
        <f t="shared" si="22"/>
        <v>48</v>
      </c>
      <c r="B338" s="22">
        <v>44529</v>
      </c>
      <c r="C338" s="10" t="s">
        <v>3</v>
      </c>
      <c r="D338" s="12" t="s">
        <v>11</v>
      </c>
      <c r="E338" s="13">
        <f>IF(VLOOKUP(D338,Budget!A:B,2,FALSE)&lt;&gt;0,IF(G338=0,24,24-G338),0)</f>
        <v>24</v>
      </c>
      <c r="F338" s="13"/>
      <c r="G338" s="13"/>
      <c r="H338" s="85">
        <f>IF(E338=0,0,IF(M338="ja",(VLOOKUP(D338,Budget!A:F,6,FALSE)*(E338-(VLOOKUP(D338,Budget!A:F,3,FALSE)))),VLOOKUP($D338,Budget!$A$1:$F$19,6,FALSE)*E338))</f>
        <v>36960</v>
      </c>
      <c r="I338" s="85">
        <f>IF(F338=0,0,IF(M338="ja",((VLOOKUP(F338,Budget!A:F,6,FALSE)*(E338-(VLOOKUP(F338,Budget!A:F,3,FALSE))))),VLOOKUP($D338,Budget!A:F,5,FALSE)*E338))</f>
        <v>0</v>
      </c>
      <c r="J338" s="85">
        <f t="shared" si="24"/>
        <v>36960</v>
      </c>
      <c r="K338" s="15"/>
      <c r="L338" s="113"/>
      <c r="M338" s="80" t="str">
        <f t="shared" si="25"/>
        <v>nein</v>
      </c>
      <c r="N338">
        <f t="shared" si="23"/>
        <v>2021</v>
      </c>
    </row>
    <row r="339" spans="1:14" ht="15" hidden="1" customHeight="1" x14ac:dyDescent="0.3">
      <c r="A339" s="105">
        <f t="shared" si="22"/>
        <v>48</v>
      </c>
      <c r="B339" s="22">
        <v>44530</v>
      </c>
      <c r="C339" s="11" t="s">
        <v>4</v>
      </c>
      <c r="D339" s="12" t="s">
        <v>11</v>
      </c>
      <c r="E339" s="13">
        <f>IF(VLOOKUP(D339,Budget!A:B,2,FALSE)&lt;&gt;0,IF(G339=0,24,24-G339),0)</f>
        <v>24</v>
      </c>
      <c r="G339" s="13"/>
      <c r="H339" s="85">
        <f>IF(E339=0,0,IF(M339="ja",(VLOOKUP(D339,Budget!A:F,6,FALSE)*(E339-(VLOOKUP(D339,Budget!A:F,3,FALSE)))),VLOOKUP($D339,Budget!$A$1:$F$19,6,FALSE)*E339))</f>
        <v>36960</v>
      </c>
      <c r="I339" s="85">
        <f>IF(F339=0,0,IF(M339="ja",((VLOOKUP(F339,Budget!A:F,6,FALSE)*(E339-(VLOOKUP(F339,Budget!A:F,3,FALSE))))),VLOOKUP($D339,Budget!A:F,5,FALSE)*E339))</f>
        <v>0</v>
      </c>
      <c r="J339" s="85">
        <f t="shared" si="24"/>
        <v>36960</v>
      </c>
      <c r="K339" s="14"/>
      <c r="L339" s="114"/>
      <c r="M339" s="80" t="str">
        <f t="shared" si="25"/>
        <v>nein</v>
      </c>
      <c r="N339">
        <f t="shared" si="23"/>
        <v>2021</v>
      </c>
    </row>
    <row r="340" spans="1:14" ht="15" hidden="1" customHeight="1" x14ac:dyDescent="0.3">
      <c r="A340" s="105">
        <f t="shared" si="22"/>
        <v>48</v>
      </c>
      <c r="B340" s="22">
        <v>44531</v>
      </c>
      <c r="C340" s="11" t="s">
        <v>5</v>
      </c>
      <c r="D340" s="12" t="s">
        <v>13</v>
      </c>
      <c r="E340" s="13">
        <f>IF(VLOOKUP(D340,Budget!A:B,2,FALSE)&lt;&gt;0,IF(G340=0,24,24-G340),0)</f>
        <v>0</v>
      </c>
      <c r="G340" s="13"/>
      <c r="H340" s="85">
        <f>IF(E340=0,0,IF(M340="ja",(VLOOKUP(D340,Budget!A:F,6,FALSE)*(E340-(VLOOKUP(D340,Budget!A:F,3,FALSE)))),VLOOKUP($D340,Budget!$A$1:$F$19,6,FALSE)*E340))</f>
        <v>0</v>
      </c>
      <c r="I340" s="85">
        <f>IF(F340=0,0,IF(M340="ja",((VLOOKUP(F340,Budget!A:F,6,FALSE)*(E340-(VLOOKUP(F340,Budget!A:F,3,FALSE))))),VLOOKUP($D340,Budget!A:F,5,FALSE)*E340))</f>
        <v>0</v>
      </c>
      <c r="J340" s="85">
        <f t="shared" si="24"/>
        <v>0</v>
      </c>
      <c r="K340" s="14"/>
      <c r="L340" s="112" t="s">
        <v>81</v>
      </c>
      <c r="M340" s="80" t="str">
        <f t="shared" si="25"/>
        <v>nein</v>
      </c>
      <c r="N340">
        <f t="shared" si="23"/>
        <v>2021</v>
      </c>
    </row>
    <row r="341" spans="1:14" ht="15" hidden="1" customHeight="1" x14ac:dyDescent="0.3">
      <c r="A341" s="103">
        <f t="shared" si="22"/>
        <v>48</v>
      </c>
      <c r="B341" s="22">
        <v>44532</v>
      </c>
      <c r="C341" s="11" t="s">
        <v>6</v>
      </c>
      <c r="D341" s="12" t="s">
        <v>12</v>
      </c>
      <c r="E341" s="13">
        <f>IF(VLOOKUP(D341,Budget!A:B,2,FALSE)&lt;&gt;0,IF(G341=0,24,24-G341),0)</f>
        <v>24</v>
      </c>
      <c r="G341" s="13"/>
      <c r="H341" s="85">
        <f>IF(E341=0,0,IF(M341="ja",(VLOOKUP(D341,Budget!A:F,6,FALSE)*(E341-(VLOOKUP(D341,Budget!A:F,3,FALSE)))),VLOOKUP($D341,Budget!$A$1:$F$19,6,FALSE)*E341))</f>
        <v>27720</v>
      </c>
      <c r="I341" s="85">
        <f>IF(F341=0,0,IF(M341="ja",((VLOOKUP(F341,Budget!A:F,6,FALSE)*(E341-(VLOOKUP(F341,Budget!A:F,3,FALSE))))),VLOOKUP($D341,Budget!A:F,5,FALSE)*E341))</f>
        <v>0</v>
      </c>
      <c r="J341" s="85">
        <f t="shared" si="24"/>
        <v>27720</v>
      </c>
      <c r="K341" s="14"/>
      <c r="L341" s="73"/>
      <c r="M341" s="80" t="str">
        <f t="shared" si="25"/>
        <v>ja</v>
      </c>
      <c r="N341">
        <f t="shared" si="23"/>
        <v>2021</v>
      </c>
    </row>
    <row r="342" spans="1:14" ht="15" hidden="1" customHeight="1" x14ac:dyDescent="0.3">
      <c r="A342" s="105">
        <f t="shared" si="22"/>
        <v>48</v>
      </c>
      <c r="B342" s="22">
        <v>44533</v>
      </c>
      <c r="C342" s="11" t="s">
        <v>7</v>
      </c>
      <c r="D342" s="12" t="s">
        <v>12</v>
      </c>
      <c r="E342" s="13">
        <f>IF(VLOOKUP(D342,Budget!A:B,2,FALSE)&lt;&gt;0,IF(G342=0,24,24-G342),0)</f>
        <v>24</v>
      </c>
      <c r="G342" s="13"/>
      <c r="H342" s="85">
        <f>IF(E342=0,0,IF(M342="ja",(VLOOKUP(D342,Budget!A:F,6,FALSE)*(E342-(VLOOKUP(D342,Budget!A:F,3,FALSE)))),VLOOKUP($D342,Budget!$A$1:$F$19,6,FALSE)*E342))</f>
        <v>36960</v>
      </c>
      <c r="I342" s="85">
        <f>IF(F342=0,0,IF(M342="ja",((VLOOKUP(F342,Budget!A:F,6,FALSE)*(E342-(VLOOKUP(F342,Budget!A:F,3,FALSE))))),VLOOKUP($D342,Budget!A:F,5,FALSE)*E342))</f>
        <v>0</v>
      </c>
      <c r="J342" s="85">
        <f t="shared" si="24"/>
        <v>36960</v>
      </c>
      <c r="K342" s="14"/>
      <c r="L342" s="25"/>
      <c r="M342" s="80" t="str">
        <f t="shared" si="25"/>
        <v>nein</v>
      </c>
      <c r="N342">
        <f t="shared" si="23"/>
        <v>2021</v>
      </c>
    </row>
    <row r="343" spans="1:14" ht="15" hidden="1" customHeight="1" x14ac:dyDescent="0.3">
      <c r="A343" s="105">
        <f t="shared" si="22"/>
        <v>48</v>
      </c>
      <c r="B343" s="22">
        <v>44534</v>
      </c>
      <c r="C343" s="16" t="s">
        <v>8</v>
      </c>
      <c r="D343" s="17" t="s">
        <v>12</v>
      </c>
      <c r="E343" s="24">
        <f>IF(VLOOKUP(D343,Budget!A:B,2,FALSE)&lt;&gt;0,IF(G343=0,24,24-G343),0)</f>
        <v>24</v>
      </c>
      <c r="F343" s="17"/>
      <c r="G343" s="17"/>
      <c r="H343" s="86">
        <f>IF(E343=0,0,IF(M343="ja",(VLOOKUP(D343,Budget!A:F,6,FALSE)*(E343-(VLOOKUP(D343,Budget!A:F,3,FALSE)))),VLOOKUP($D343,Budget!$A$1:$F$19,6,FALSE)*E343))</f>
        <v>36960</v>
      </c>
      <c r="I343" s="86">
        <f>IF(F343=0,0,IF(M343="ja",((VLOOKUP(F343,Budget!A:F,6,FALSE)*(E343-(VLOOKUP(F343,Budget!A:F,3,FALSE))))),VLOOKUP($D343,Budget!A:F,5,FALSE)*E343))</f>
        <v>0</v>
      </c>
      <c r="J343" s="86">
        <f t="shared" si="24"/>
        <v>36960</v>
      </c>
      <c r="K343" s="18"/>
      <c r="L343" s="75"/>
      <c r="M343" s="76" t="str">
        <f t="shared" si="25"/>
        <v>nein</v>
      </c>
      <c r="N343">
        <f t="shared" si="23"/>
        <v>2021</v>
      </c>
    </row>
    <row r="344" spans="1:14" ht="15.75" hidden="1" customHeight="1" thickBot="1" x14ac:dyDescent="0.35">
      <c r="A344" s="105">
        <f t="shared" si="22"/>
        <v>48</v>
      </c>
      <c r="B344" s="27">
        <v>44535</v>
      </c>
      <c r="C344" s="19" t="s">
        <v>9</v>
      </c>
      <c r="D344" s="20" t="s">
        <v>12</v>
      </c>
      <c r="E344" s="20">
        <f>IF(VLOOKUP(D344,Budget!A:B,2,FALSE)&lt;&gt;0,IF(G344=0,24,24-G344),0)</f>
        <v>24</v>
      </c>
      <c r="F344" s="20"/>
      <c r="G344" s="20"/>
      <c r="H344" s="93">
        <f>IF(E344=0,0,IF(M344="ja",(VLOOKUP(D344,Budget!A:F,6,FALSE)*(E344-(VLOOKUP(D344,Budget!A:F,3,FALSE)))),VLOOKUP($D344,Budget!$A$1:$F$19,6,FALSE)*E344))</f>
        <v>36960</v>
      </c>
      <c r="I344" s="93">
        <f>IF(F344=0,0,IF(M344="ja",((VLOOKUP(F344,Budget!A:F,6,FALSE)*(E344-(VLOOKUP(F344,Budget!A:F,3,FALSE))))),VLOOKUP($D344,Budget!A:F,5,FALSE)*E344))</f>
        <v>0</v>
      </c>
      <c r="J344" s="87">
        <f t="shared" si="24"/>
        <v>36960</v>
      </c>
      <c r="K344" s="21"/>
      <c r="L344" s="74"/>
      <c r="M344" s="77" t="str">
        <f t="shared" si="25"/>
        <v>nein</v>
      </c>
      <c r="N344">
        <f t="shared" si="23"/>
        <v>2021</v>
      </c>
    </row>
    <row r="345" spans="1:14" ht="15" hidden="1" customHeight="1" x14ac:dyDescent="0.3">
      <c r="A345" s="104">
        <f t="shared" si="22"/>
        <v>49</v>
      </c>
      <c r="B345" s="22">
        <v>44536</v>
      </c>
      <c r="C345" s="10" t="s">
        <v>3</v>
      </c>
      <c r="D345" s="12" t="s">
        <v>69</v>
      </c>
      <c r="E345" s="13">
        <f>IF(VLOOKUP(D345,Budget!A:B,2,FALSE)&lt;&gt;0,IF(G345=0,24,24-G345),0)</f>
        <v>24</v>
      </c>
      <c r="F345" s="13"/>
      <c r="G345" s="13"/>
      <c r="H345" s="85">
        <f>IF(E345=0,0,IF(M345="ja",(VLOOKUP(D345,Budget!A:F,6,FALSE)*(E345-(VLOOKUP(D345,Budget!A:F,3,FALSE)))),VLOOKUP($D345,Budget!$A$1:$F$19,6,FALSE)*E345))</f>
        <v>38269.757143831848</v>
      </c>
      <c r="I345" s="85">
        <f>IF(F345=0,0,IF(M345="ja",((VLOOKUP(F345,Budget!A:F,6,FALSE)*(E345-(VLOOKUP(F345,Budget!A:F,3,FALSE))))),VLOOKUP($D345,Budget!A:F,5,FALSE)*E345))</f>
        <v>0</v>
      </c>
      <c r="J345" s="85">
        <f t="shared" si="24"/>
        <v>38269.757143831848</v>
      </c>
      <c r="K345" s="15"/>
      <c r="M345" s="80" t="str">
        <f t="shared" si="25"/>
        <v>ja</v>
      </c>
      <c r="N345">
        <f t="shared" si="23"/>
        <v>2021</v>
      </c>
    </row>
    <row r="346" spans="1:14" ht="15" hidden="1" customHeight="1" x14ac:dyDescent="0.3">
      <c r="A346" s="105">
        <f t="shared" si="22"/>
        <v>49</v>
      </c>
      <c r="B346" s="22">
        <v>44537</v>
      </c>
      <c r="C346" s="11" t="s">
        <v>4</v>
      </c>
      <c r="D346" s="12" t="s">
        <v>69</v>
      </c>
      <c r="E346" s="13">
        <f>IF(VLOOKUP(D346,Budget!A:B,2,FALSE)&lt;&gt;0,IF(G346=0,24,24-G346),0)</f>
        <v>24</v>
      </c>
      <c r="G346" s="13"/>
      <c r="H346" s="85">
        <f>IF(E346=0,0,IF(M346="ja",(VLOOKUP(D346,Budget!A:F,6,FALSE)*(E346-(VLOOKUP(D346,Budget!A:F,3,FALSE)))),VLOOKUP($D346,Budget!$A$1:$F$19,6,FALSE)*E346))</f>
        <v>42919.35380616656</v>
      </c>
      <c r="I346" s="85">
        <f>IF(F346=0,0,IF(M346="ja",((VLOOKUP(F346,Budget!A:F,6,FALSE)*(E346-(VLOOKUP(F346,Budget!A:F,3,FALSE))))),VLOOKUP($D346,Budget!A:F,5,FALSE)*E346))</f>
        <v>0</v>
      </c>
      <c r="J346" s="85">
        <f t="shared" si="24"/>
        <v>42919.35380616656</v>
      </c>
      <c r="K346" s="14"/>
      <c r="L346" s="73"/>
      <c r="M346" s="80" t="str">
        <f t="shared" si="25"/>
        <v>nein</v>
      </c>
      <c r="N346">
        <f t="shared" si="23"/>
        <v>2021</v>
      </c>
    </row>
    <row r="347" spans="1:14" ht="15" hidden="1" customHeight="1" x14ac:dyDescent="0.3">
      <c r="A347" s="105">
        <f t="shared" si="22"/>
        <v>49</v>
      </c>
      <c r="B347" s="22">
        <v>44538</v>
      </c>
      <c r="C347" s="11" t="s">
        <v>5</v>
      </c>
      <c r="D347" s="12" t="s">
        <v>69</v>
      </c>
      <c r="E347" s="13">
        <f>IF(VLOOKUP(D347,Budget!A:B,2,FALSE)&lt;&gt;0,IF(G347=0,24,24-G347),0)</f>
        <v>24</v>
      </c>
      <c r="G347" s="13"/>
      <c r="H347" s="85">
        <f>IF(E347=0,0,IF(M347="ja",(VLOOKUP(D347,Budget!A:F,6,FALSE)*(E347-(VLOOKUP(D347,Budget!A:F,3,FALSE)))),VLOOKUP($D347,Budget!$A$1:$F$19,6,FALSE)*E347))</f>
        <v>42919.35380616656</v>
      </c>
      <c r="I347" s="85">
        <f>IF(F347=0,0,IF(M347="ja",((VLOOKUP(F347,Budget!A:F,6,FALSE)*(E347-(VLOOKUP(F347,Budget!A:F,3,FALSE))))),VLOOKUP($D347,Budget!A:F,5,FALSE)*E347))</f>
        <v>0</v>
      </c>
      <c r="J347" s="85">
        <f t="shared" si="24"/>
        <v>42919.35380616656</v>
      </c>
      <c r="K347" s="14"/>
      <c r="L347" s="73"/>
      <c r="M347" s="80" t="str">
        <f t="shared" si="25"/>
        <v>nein</v>
      </c>
      <c r="N347">
        <f t="shared" si="23"/>
        <v>2021</v>
      </c>
    </row>
    <row r="348" spans="1:14" ht="15" hidden="1" customHeight="1" x14ac:dyDescent="0.3">
      <c r="A348" s="103">
        <f t="shared" si="22"/>
        <v>49</v>
      </c>
      <c r="B348" s="22">
        <v>44539</v>
      </c>
      <c r="C348" s="11" t="s">
        <v>6</v>
      </c>
      <c r="D348" s="12" t="s">
        <v>11</v>
      </c>
      <c r="E348" s="13">
        <f>IF(VLOOKUP(D348,Budget!A:B,2,FALSE)&lt;&gt;0,IF(G348=0,24,24-G348),0)</f>
        <v>24</v>
      </c>
      <c r="G348" s="13"/>
      <c r="H348" s="85">
        <f>IF(E348=0,0,IF(M348="ja",(VLOOKUP(D348,Budget!A:F,6,FALSE)*(E348-(VLOOKUP(D348,Budget!A:F,3,FALSE)))),VLOOKUP($D348,Budget!$A$1:$F$19,6,FALSE)*E348))</f>
        <v>30030</v>
      </c>
      <c r="I348" s="85">
        <f>IF(F348=0,0,IF(M348="ja",((VLOOKUP(F348,Budget!A:F,6,FALSE)*(E348-(VLOOKUP(F348,Budget!A:F,3,FALSE))))),VLOOKUP($D348,Budget!A:F,5,FALSE)*E348))</f>
        <v>0</v>
      </c>
      <c r="J348" s="85">
        <f t="shared" si="24"/>
        <v>30030</v>
      </c>
      <c r="K348" s="14"/>
      <c r="L348" s="73"/>
      <c r="M348" s="80" t="str">
        <f t="shared" si="25"/>
        <v>ja</v>
      </c>
      <c r="N348">
        <f t="shared" si="23"/>
        <v>2021</v>
      </c>
    </row>
    <row r="349" spans="1:14" ht="15" hidden="1" customHeight="1" x14ac:dyDescent="0.3">
      <c r="A349" s="105">
        <f t="shared" si="22"/>
        <v>49</v>
      </c>
      <c r="B349" s="22">
        <v>44540</v>
      </c>
      <c r="C349" s="11" t="s">
        <v>7</v>
      </c>
      <c r="D349" s="12" t="s">
        <v>11</v>
      </c>
      <c r="E349" s="13">
        <f>IF(VLOOKUP(D349,Budget!A:B,2,FALSE)&lt;&gt;0,IF(G349=0,24,24-G349),0)</f>
        <v>24</v>
      </c>
      <c r="G349" s="13"/>
      <c r="H349" s="85">
        <f>IF(E349=0,0,IF(M349="ja",(VLOOKUP(D349,Budget!A:F,6,FALSE)*(E349-(VLOOKUP(D349,Budget!A:F,3,FALSE)))),VLOOKUP($D349,Budget!$A$1:$F$19,6,FALSE)*E349))</f>
        <v>36960</v>
      </c>
      <c r="I349" s="85">
        <f>IF(F349=0,0,IF(M349="ja",((VLOOKUP(F349,Budget!A:F,6,FALSE)*(E349-(VLOOKUP(F349,Budget!A:F,3,FALSE))))),VLOOKUP($D349,Budget!A:F,5,FALSE)*E349))</f>
        <v>0</v>
      </c>
      <c r="J349" s="85">
        <f t="shared" si="24"/>
        <v>36960</v>
      </c>
      <c r="K349" s="14"/>
      <c r="L349" s="25"/>
      <c r="M349" s="80" t="str">
        <f t="shared" si="25"/>
        <v>nein</v>
      </c>
      <c r="N349">
        <f t="shared" si="23"/>
        <v>2021</v>
      </c>
    </row>
    <row r="350" spans="1:14" ht="15" hidden="1" customHeight="1" x14ac:dyDescent="0.3">
      <c r="A350" s="105">
        <f t="shared" si="22"/>
        <v>49</v>
      </c>
      <c r="B350" s="22">
        <v>44541</v>
      </c>
      <c r="C350" s="16" t="s">
        <v>8</v>
      </c>
      <c r="D350" s="17" t="s">
        <v>11</v>
      </c>
      <c r="E350" s="24">
        <f>IF(VLOOKUP(D350,Budget!A:B,2,FALSE)&lt;&gt;0,IF(G350=0,24,24-G350),0)</f>
        <v>24</v>
      </c>
      <c r="F350" s="17"/>
      <c r="G350" s="17"/>
      <c r="H350" s="86">
        <f>IF(E350=0,0,IF(M350="ja",(VLOOKUP(D350,Budget!A:F,6,FALSE)*(E350-(VLOOKUP(D350,Budget!A:F,3,FALSE)))),VLOOKUP($D350,Budget!$A$1:$F$19,6,FALSE)*E350))</f>
        <v>36960</v>
      </c>
      <c r="I350" s="86">
        <f>IF(F350=0,0,IF(M350="ja",((VLOOKUP(F350,Budget!A:F,6,FALSE)*(E350-(VLOOKUP(F350,Budget!A:F,3,FALSE))))),VLOOKUP($D350,Budget!A:F,5,FALSE)*E350))</f>
        <v>0</v>
      </c>
      <c r="J350" s="86">
        <f t="shared" si="24"/>
        <v>36960</v>
      </c>
      <c r="K350" s="18"/>
      <c r="L350" s="75"/>
      <c r="M350" s="76" t="str">
        <f t="shared" si="25"/>
        <v>nein</v>
      </c>
      <c r="N350">
        <f t="shared" si="23"/>
        <v>2021</v>
      </c>
    </row>
    <row r="351" spans="1:14" ht="15.75" hidden="1" customHeight="1" thickBot="1" x14ac:dyDescent="0.35">
      <c r="A351" s="105">
        <f t="shared" si="22"/>
        <v>49</v>
      </c>
      <c r="B351" s="27">
        <v>44542</v>
      </c>
      <c r="C351" s="19" t="s">
        <v>9</v>
      </c>
      <c r="D351" s="20" t="s">
        <v>11</v>
      </c>
      <c r="E351" s="20">
        <f>IF(VLOOKUP(D351,Budget!A:B,2,FALSE)&lt;&gt;0,IF(G351=0,24,24-G351),0)</f>
        <v>24</v>
      </c>
      <c r="F351" s="20"/>
      <c r="G351" s="20"/>
      <c r="H351" s="93">
        <f>IF(E351=0,0,IF(M351="ja",(VLOOKUP(D351,Budget!A:F,6,FALSE)*(E351-(VLOOKUP(D351,Budget!A:F,3,FALSE)))),VLOOKUP($D351,Budget!$A$1:$F$19,6,FALSE)*E351))</f>
        <v>36960</v>
      </c>
      <c r="I351" s="93">
        <f>IF(F351=0,0,IF(M351="ja",((VLOOKUP(F351,Budget!A:F,6,FALSE)*(E351-(VLOOKUP(F351,Budget!A:F,3,FALSE))))),VLOOKUP($D351,Budget!A:F,5,FALSE)*E351))</f>
        <v>0</v>
      </c>
      <c r="J351" s="87">
        <f t="shared" si="24"/>
        <v>36960</v>
      </c>
      <c r="K351" s="21"/>
      <c r="L351" s="74"/>
      <c r="M351" s="77" t="str">
        <f t="shared" si="25"/>
        <v>nein</v>
      </c>
      <c r="N351">
        <f t="shared" si="23"/>
        <v>2021</v>
      </c>
    </row>
    <row r="352" spans="1:14" ht="15" hidden="1" customHeight="1" x14ac:dyDescent="0.3">
      <c r="A352" s="104">
        <f t="shared" si="22"/>
        <v>50</v>
      </c>
      <c r="B352" s="22">
        <v>44543</v>
      </c>
      <c r="C352" s="10" t="s">
        <v>3</v>
      </c>
      <c r="D352" s="12" t="s">
        <v>29</v>
      </c>
      <c r="E352" s="13">
        <f>IF(VLOOKUP(D352,Budget!A:B,2,FALSE)&lt;&gt;0,IF(G352=0,24,24-G352),0)</f>
        <v>0</v>
      </c>
      <c r="F352" s="13"/>
      <c r="G352" s="13"/>
      <c r="H352" s="85">
        <f>IF(E352=0,0,IF(M352="ja",(VLOOKUP(D352,Budget!A:F,6,FALSE)*(E352-(VLOOKUP(D352,Budget!A:F,3,FALSE)))),VLOOKUP($D352,Budget!$A$1:$F$19,6,FALSE)*E352))</f>
        <v>0</v>
      </c>
      <c r="I352" s="85">
        <f>IF(F352=0,0,IF(M352="ja",((VLOOKUP(F352,Budget!A:F,6,FALSE)*(E352-(VLOOKUP(F352,Budget!A:F,3,FALSE))))),VLOOKUP($D352,Budget!A:F,5,FALSE)*E352))</f>
        <v>0</v>
      </c>
      <c r="J352" s="85">
        <f t="shared" si="24"/>
        <v>0</v>
      </c>
      <c r="K352" s="15"/>
      <c r="L352" s="72" t="s">
        <v>83</v>
      </c>
      <c r="M352" s="80" t="str">
        <f t="shared" si="25"/>
        <v>nein</v>
      </c>
      <c r="N352">
        <f t="shared" si="23"/>
        <v>2021</v>
      </c>
    </row>
    <row r="353" spans="1:14" ht="15" hidden="1" customHeight="1" x14ac:dyDescent="0.3">
      <c r="A353" s="105">
        <f t="shared" si="22"/>
        <v>50</v>
      </c>
      <c r="B353" s="22">
        <v>44544</v>
      </c>
      <c r="C353" s="11" t="s">
        <v>4</v>
      </c>
      <c r="D353" s="12" t="s">
        <v>29</v>
      </c>
      <c r="E353" s="13">
        <f>IF(VLOOKUP(D353,Budget!A:B,2,FALSE)&lt;&gt;0,IF(G353=0,24,24-G353),0)</f>
        <v>0</v>
      </c>
      <c r="G353" s="13"/>
      <c r="H353" s="85">
        <f>IF(E353=0,0,IF(M353="ja",(VLOOKUP(D353,Budget!A:F,6,FALSE)*(E353-(VLOOKUP(D353,Budget!A:F,3,FALSE)))),VLOOKUP($D353,Budget!$A$1:$F$19,6,FALSE)*E353))</f>
        <v>0</v>
      </c>
      <c r="I353" s="85">
        <f>IF(F353=0,0,IF(M353="ja",((VLOOKUP(F353,Budget!A:F,6,FALSE)*(E353-(VLOOKUP(F353,Budget!A:F,3,FALSE))))),VLOOKUP($D353,Budget!A:F,5,FALSE)*E353))</f>
        <v>0</v>
      </c>
      <c r="J353" s="85">
        <f t="shared" si="24"/>
        <v>0</v>
      </c>
      <c r="K353" s="14"/>
      <c r="L353" s="97" t="s">
        <v>84</v>
      </c>
      <c r="M353" s="80" t="str">
        <f t="shared" si="25"/>
        <v>nein</v>
      </c>
      <c r="N353">
        <f t="shared" si="23"/>
        <v>2021</v>
      </c>
    </row>
    <row r="354" spans="1:14" ht="15" hidden="1" customHeight="1" x14ac:dyDescent="0.3">
      <c r="A354" s="105">
        <f t="shared" si="22"/>
        <v>50</v>
      </c>
      <c r="B354" s="22">
        <v>44545</v>
      </c>
      <c r="C354" s="11" t="s">
        <v>5</v>
      </c>
      <c r="D354" s="12" t="s">
        <v>30</v>
      </c>
      <c r="E354" s="13">
        <f>IF(VLOOKUP(D354,Budget!A:B,2,FALSE)&lt;&gt;0,IF(G354=0,24,24-G354),0)</f>
        <v>0</v>
      </c>
      <c r="G354" s="13"/>
      <c r="H354" s="85">
        <f>IF(E354=0,0,IF(M354="ja",(VLOOKUP(D354,Budget!A:F,6,FALSE)*(E354-(VLOOKUP(D354,Budget!A:F,3,FALSE)))),VLOOKUP($D354,Budget!$A$1:$F$19,6,FALSE)*E354))</f>
        <v>0</v>
      </c>
      <c r="I354" s="85">
        <f>IF(F354=0,0,IF(M354="ja",((VLOOKUP(F354,Budget!A:F,6,FALSE)*(E354-(VLOOKUP(F354,Budget!A:F,3,FALSE))))),VLOOKUP($D354,Budget!A:F,5,FALSE)*E354))</f>
        <v>0</v>
      </c>
      <c r="J354" s="85">
        <f t="shared" si="24"/>
        <v>0</v>
      </c>
      <c r="K354" s="14"/>
      <c r="L354" s="97" t="s">
        <v>85</v>
      </c>
      <c r="M354" s="80" t="str">
        <f t="shared" si="25"/>
        <v>nein</v>
      </c>
      <c r="N354">
        <f t="shared" si="23"/>
        <v>2021</v>
      </c>
    </row>
    <row r="355" spans="1:14" ht="15" hidden="1" customHeight="1" x14ac:dyDescent="0.3">
      <c r="A355" s="103">
        <f t="shared" si="22"/>
        <v>50</v>
      </c>
      <c r="B355" s="22">
        <v>44546</v>
      </c>
      <c r="C355" s="11" t="s">
        <v>6</v>
      </c>
      <c r="D355" s="12" t="s">
        <v>18</v>
      </c>
      <c r="E355" s="13">
        <f>IF(VLOOKUP(D355,Budget!A:B,2,FALSE)&lt;&gt;0,IF(G355=0,24,24-G355),0)</f>
        <v>24</v>
      </c>
      <c r="G355" s="13"/>
      <c r="H355" s="85">
        <f>IF(E355=0,0,IF(M355="ja",(VLOOKUP(D355,Budget!A:F,6,FALSE)*(E355-(VLOOKUP(D355,Budget!A:F,3,FALSE)))),VLOOKUP($D355,Budget!$A$1:$F$19,6,FALSE)*E355))</f>
        <v>25200</v>
      </c>
      <c r="I355" s="85">
        <f>IF(F355=0,0,IF(M355="ja",((VLOOKUP(F355,Budget!A:F,6,FALSE)*(E355-(VLOOKUP(F355,Budget!A:F,3,FALSE))))),VLOOKUP($D355,Budget!A:F,5,FALSE)*E355))</f>
        <v>0</v>
      </c>
      <c r="J355" s="85">
        <f t="shared" si="24"/>
        <v>25200</v>
      </c>
      <c r="K355" s="14"/>
      <c r="L355" s="97" t="s">
        <v>86</v>
      </c>
      <c r="M355" s="80" t="str">
        <f t="shared" si="25"/>
        <v>ja</v>
      </c>
      <c r="N355">
        <f t="shared" si="23"/>
        <v>2021</v>
      </c>
    </row>
    <row r="356" spans="1:14" ht="15" hidden="1" customHeight="1" x14ac:dyDescent="0.3">
      <c r="A356" s="105">
        <f t="shared" si="22"/>
        <v>50</v>
      </c>
      <c r="B356" s="22">
        <v>44547</v>
      </c>
      <c r="C356" s="11" t="s">
        <v>7</v>
      </c>
      <c r="D356" s="12" t="s">
        <v>18</v>
      </c>
      <c r="E356" s="13">
        <f>IF(VLOOKUP(D356,Budget!A:B,2,FALSE)&lt;&gt;0,IF(G356=0,24,24-G356),0)</f>
        <v>24</v>
      </c>
      <c r="G356" s="13"/>
      <c r="H356" s="85">
        <f>IF(E356=0,0,IF(M356="ja",(VLOOKUP(D356,Budget!A:F,6,FALSE)*(E356-(VLOOKUP(D356,Budget!A:F,3,FALSE)))),VLOOKUP($D356,Budget!$A$1:$F$19,6,FALSE)*E356))</f>
        <v>28800</v>
      </c>
      <c r="I356" s="85">
        <f>IF(F356=0,0,IF(M356="ja",((VLOOKUP(F356,Budget!A:F,6,FALSE)*(E356-(VLOOKUP(F356,Budget!A:F,3,FALSE))))),VLOOKUP($D356,Budget!A:F,5,FALSE)*E356))</f>
        <v>0</v>
      </c>
      <c r="J356" s="85">
        <f t="shared" si="24"/>
        <v>28800</v>
      </c>
      <c r="K356" s="14"/>
      <c r="L356" s="25"/>
      <c r="M356" s="80" t="str">
        <f t="shared" si="25"/>
        <v>nein</v>
      </c>
      <c r="N356">
        <f t="shared" si="23"/>
        <v>2021</v>
      </c>
    </row>
    <row r="357" spans="1:14" ht="15" hidden="1" customHeight="1" x14ac:dyDescent="0.3">
      <c r="A357" s="105">
        <f t="shared" si="22"/>
        <v>50</v>
      </c>
      <c r="B357" s="22">
        <v>44548</v>
      </c>
      <c r="C357" s="16" t="s">
        <v>8</v>
      </c>
      <c r="D357" s="17" t="s">
        <v>69</v>
      </c>
      <c r="E357" s="24">
        <v>12</v>
      </c>
      <c r="F357" s="17"/>
      <c r="G357" s="17"/>
      <c r="H357" s="86">
        <f>IF(E357=0,0,IF(M357="ja",(VLOOKUP(D357,Budget!A:F,6,FALSE)*(E357-(VLOOKUP(D357,Budget!A:F,3,FALSE)))),VLOOKUP($D357,Budget!$A$1:$F$19,6,FALSE)*E357))</f>
        <v>16810.080240748572</v>
      </c>
      <c r="I357" s="86">
        <f>IF(F357=0,0,IF(M357="ja",((VLOOKUP(F357,Budget!A:F,6,FALSE)*(E357-(VLOOKUP(F357,Budget!A:F,3,FALSE))))),VLOOKUP($D357,Budget!A:F,5,FALSE)*E357))</f>
        <v>0</v>
      </c>
      <c r="J357" s="86">
        <f t="shared" si="24"/>
        <v>16810.080240748572</v>
      </c>
      <c r="K357" s="18"/>
      <c r="L357" s="75"/>
      <c r="M357" s="76" t="str">
        <f t="shared" si="25"/>
        <v>ja</v>
      </c>
      <c r="N357">
        <f t="shared" si="23"/>
        <v>2021</v>
      </c>
    </row>
    <row r="358" spans="1:14" ht="15.75" hidden="1" customHeight="1" thickBot="1" x14ac:dyDescent="0.35">
      <c r="A358" s="105">
        <f t="shared" si="22"/>
        <v>50</v>
      </c>
      <c r="B358" s="27">
        <v>44549</v>
      </c>
      <c r="C358" s="19" t="s">
        <v>9</v>
      </c>
      <c r="D358" s="20" t="s">
        <v>69</v>
      </c>
      <c r="E358" s="20">
        <f>IF(VLOOKUP(D358,Budget!A:B,2,FALSE)&lt;&gt;0,IF(G358=0,24,24-G358),0)</f>
        <v>24</v>
      </c>
      <c r="F358" s="20"/>
      <c r="G358" s="20"/>
      <c r="H358" s="93">
        <f>IF(E358=0,0,IF(M358="ja",(VLOOKUP(D358,Budget!A:F,6,FALSE)*(E358-(VLOOKUP(D358,Budget!A:F,3,FALSE)))),VLOOKUP($D358,Budget!$A$1:$F$19,6,FALSE)*E358))</f>
        <v>42919.35380616656</v>
      </c>
      <c r="I358" s="93">
        <f>IF(F358=0,0,IF(M358="ja",((VLOOKUP(F358,Budget!A:F,6,FALSE)*(E358-(VLOOKUP(F358,Budget!A:F,3,FALSE))))),VLOOKUP($D358,Budget!A:F,5,FALSE)*E358))</f>
        <v>0</v>
      </c>
      <c r="J358" s="87">
        <f t="shared" si="24"/>
        <v>42919.35380616656</v>
      </c>
      <c r="K358" s="21"/>
      <c r="L358" s="74"/>
      <c r="M358" s="77" t="str">
        <f t="shared" si="25"/>
        <v>nein</v>
      </c>
      <c r="N358">
        <f t="shared" si="23"/>
        <v>2021</v>
      </c>
    </row>
    <row r="359" spans="1:14" ht="15" hidden="1" customHeight="1" x14ac:dyDescent="0.3">
      <c r="A359" s="104">
        <f t="shared" si="22"/>
        <v>51</v>
      </c>
      <c r="B359" s="22">
        <v>44550</v>
      </c>
      <c r="C359" s="10" t="s">
        <v>3</v>
      </c>
      <c r="D359" s="12" t="s">
        <v>11</v>
      </c>
      <c r="E359" s="13">
        <f>IF(VLOOKUP(D359,Budget!A:B,2,FALSE)&lt;&gt;0,IF(G359=0,24,24-G359),0)</f>
        <v>24</v>
      </c>
      <c r="F359" s="13"/>
      <c r="G359" s="13"/>
      <c r="H359" s="85">
        <f>IF(E359=0,0,IF(M359="ja",(VLOOKUP(D359,Budget!A:F,6,FALSE)*(E359-(VLOOKUP(D359,Budget!A:F,3,FALSE)))),VLOOKUP($D359,Budget!$A$1:$F$19,6,FALSE)*E359))</f>
        <v>30030</v>
      </c>
      <c r="I359" s="85">
        <f>IF(F359=0,0,IF(M359="ja",((VLOOKUP(F359,Budget!A:F,6,FALSE)*(E359-(VLOOKUP(F359,Budget!A:F,3,FALSE))))),VLOOKUP($D359,Budget!A:F,5,FALSE)*E359))</f>
        <v>0</v>
      </c>
      <c r="J359" s="85">
        <f t="shared" si="24"/>
        <v>30030</v>
      </c>
      <c r="K359" s="15"/>
      <c r="L359" s="72"/>
      <c r="M359" s="80" t="str">
        <f>IF(E359=0,"nein",IF(OR(E359&lt;&gt;24,F358&lt;&gt;0,D359&lt;&gt;D358),"ja","nein"))</f>
        <v>ja</v>
      </c>
      <c r="N359">
        <f t="shared" si="23"/>
        <v>2021</v>
      </c>
    </row>
    <row r="360" spans="1:14" ht="15" hidden="1" customHeight="1" x14ac:dyDescent="0.3">
      <c r="A360" s="105">
        <f t="shared" si="22"/>
        <v>51</v>
      </c>
      <c r="B360" s="22">
        <v>44551</v>
      </c>
      <c r="C360" s="11" t="s">
        <v>4</v>
      </c>
      <c r="D360" s="12" t="s">
        <v>13</v>
      </c>
      <c r="E360" s="13">
        <f>IF(VLOOKUP(D360,Budget!A:B,2,FALSE)&lt;&gt;0,IF(G360=0,24,24-G360),0)</f>
        <v>0</v>
      </c>
      <c r="G360" s="13"/>
      <c r="H360" s="85">
        <f>IF(E360=0,0,IF(M360="ja",(VLOOKUP(D360,Budget!A:F,6,FALSE)*(E360-(VLOOKUP(D360,Budget!A:F,3,FALSE)))),VLOOKUP($D360,Budget!$A$1:$F$19,6,FALSE)*E360))</f>
        <v>0</v>
      </c>
      <c r="I360" s="85">
        <f>IF(F360=0,0,IF(M360="ja",((VLOOKUP(F360,Budget!A:F,6,FALSE)*(E360-(VLOOKUP(F360,Budget!A:F,3,FALSE))))),VLOOKUP($D360,Budget!A:F,5,FALSE)*E360))</f>
        <v>0</v>
      </c>
      <c r="J360" s="85">
        <f t="shared" si="24"/>
        <v>0</v>
      </c>
      <c r="K360" s="14"/>
      <c r="L360" s="73" t="s">
        <v>90</v>
      </c>
      <c r="M360" s="80" t="s">
        <v>88</v>
      </c>
      <c r="N360">
        <f t="shared" si="23"/>
        <v>2021</v>
      </c>
    </row>
    <row r="361" spans="1:14" ht="15" hidden="1" customHeight="1" x14ac:dyDescent="0.3">
      <c r="A361" s="105">
        <f t="shared" si="22"/>
        <v>51</v>
      </c>
      <c r="B361" s="22">
        <v>44552</v>
      </c>
      <c r="C361" s="11" t="s">
        <v>5</v>
      </c>
      <c r="D361" s="12" t="s">
        <v>11</v>
      </c>
      <c r="E361" s="13">
        <f>IF(VLOOKUP(D361,Budget!A:B,2,FALSE)&lt;&gt;0,IF(G361=0,24,24-G361),0)</f>
        <v>24</v>
      </c>
      <c r="G361" s="13"/>
      <c r="H361" s="85">
        <f>IF(E361=0,0,IF(M361="ja",(VLOOKUP(D361,Budget!A:F,6,FALSE)*(E361-(VLOOKUP(D361,Budget!A:F,3,FALSE)))),VLOOKUP($D361,Budget!$A$1:$F$19,6,FALSE)*E361))</f>
        <v>36960</v>
      </c>
      <c r="I361" s="85">
        <f>IF(F361=0,0,IF(M361="ja",((VLOOKUP(F361,Budget!A:F,6,FALSE)*(E361-(VLOOKUP(F361,Budget!A:F,3,FALSE))))),VLOOKUP($D361,Budget!A:F,5,FALSE)*E361))</f>
        <v>0</v>
      </c>
      <c r="J361" s="85">
        <f t="shared" si="24"/>
        <v>36960</v>
      </c>
      <c r="K361" s="14"/>
      <c r="L361" s="73"/>
      <c r="M361" s="80" t="s">
        <v>55</v>
      </c>
      <c r="N361">
        <f t="shared" si="23"/>
        <v>2021</v>
      </c>
    </row>
    <row r="362" spans="1:14" ht="15" hidden="1" customHeight="1" x14ac:dyDescent="0.3">
      <c r="A362" s="103">
        <f t="shared" si="22"/>
        <v>51</v>
      </c>
      <c r="B362" s="22">
        <v>44553</v>
      </c>
      <c r="C362" s="11" t="s">
        <v>6</v>
      </c>
      <c r="D362" s="12" t="s">
        <v>11</v>
      </c>
      <c r="E362" s="13">
        <f>IF(VLOOKUP(D362,Budget!A:B,2,FALSE)&lt;&gt;0,IF(G362=0,24,24-G362),0)</f>
        <v>24</v>
      </c>
      <c r="G362" s="13"/>
      <c r="H362" s="85">
        <f>IF(E362=0,0,IF(M362="ja",(VLOOKUP(D362,Budget!A:F,6,FALSE)*(E362-(VLOOKUP(D362,Budget!A:F,3,FALSE)))),VLOOKUP($D362,Budget!$A$1:$F$19,6,FALSE)*E362))</f>
        <v>36960</v>
      </c>
      <c r="I362" s="85">
        <f>IF(F362=0,0,IF(M362="ja",((VLOOKUP(F362,Budget!A:F,6,FALSE)*(E362-(VLOOKUP(F362,Budget!A:F,3,FALSE))))),VLOOKUP($D362,Budget!A:F,5,FALSE)*E362))</f>
        <v>0</v>
      </c>
      <c r="J362" s="85">
        <f t="shared" si="24"/>
        <v>36960</v>
      </c>
      <c r="K362" s="14"/>
      <c r="L362" s="73"/>
      <c r="M362" s="80" t="s">
        <v>55</v>
      </c>
      <c r="N362">
        <f t="shared" si="23"/>
        <v>2021</v>
      </c>
    </row>
    <row r="363" spans="1:14" ht="15" hidden="1" customHeight="1" x14ac:dyDescent="0.3">
      <c r="A363" s="105">
        <f t="shared" si="22"/>
        <v>51</v>
      </c>
      <c r="B363" s="22">
        <v>44554</v>
      </c>
      <c r="C363" s="11" t="s">
        <v>7</v>
      </c>
      <c r="D363" s="12" t="s">
        <v>11</v>
      </c>
      <c r="E363" s="13">
        <f>IF(VLOOKUP(D363,Budget!A:B,2,FALSE)&lt;&gt;0,IF(G363=0,24,24-G363),0)</f>
        <v>24</v>
      </c>
      <c r="G363" s="13"/>
      <c r="H363" s="85">
        <f>IF(E363=0,0,IF(M363="ja",(VLOOKUP(D363,Budget!A:F,6,FALSE)*(E363-(VLOOKUP(D363,Budget!A:F,3,FALSE)))),VLOOKUP($D363,Budget!$A$1:$F$19,6,FALSE)*E363))</f>
        <v>36960</v>
      </c>
      <c r="I363" s="85">
        <f>IF(F363=0,0,IF(M363="ja",((VLOOKUP(F363,Budget!A:F,6,FALSE)*(E363-(VLOOKUP(F363,Budget!A:F,3,FALSE))))),VLOOKUP($D363,Budget!A:F,5,FALSE)*E363))</f>
        <v>0</v>
      </c>
      <c r="J363" s="85">
        <f t="shared" si="24"/>
        <v>36960</v>
      </c>
      <c r="K363" s="14"/>
      <c r="L363" s="25"/>
      <c r="M363" s="80" t="str">
        <f t="shared" si="25"/>
        <v>nein</v>
      </c>
      <c r="N363">
        <f t="shared" si="23"/>
        <v>2021</v>
      </c>
    </row>
    <row r="364" spans="1:14" ht="15" hidden="1" customHeight="1" x14ac:dyDescent="0.3">
      <c r="A364" s="105">
        <f t="shared" si="22"/>
        <v>51</v>
      </c>
      <c r="B364" s="22">
        <v>44555</v>
      </c>
      <c r="C364" s="16" t="s">
        <v>8</v>
      </c>
      <c r="D364" s="17" t="s">
        <v>11</v>
      </c>
      <c r="E364" s="24">
        <f>IF(VLOOKUP(D364,Budget!A:B,2,FALSE)&lt;&gt;0,IF(G364=0,24,24-G364),0)</f>
        <v>24</v>
      </c>
      <c r="F364" s="17"/>
      <c r="G364" s="17"/>
      <c r="H364" s="86">
        <f>IF(E364=0,0,IF(M364="ja",(VLOOKUP(D364,Budget!A:F,6,FALSE)*(E364-(VLOOKUP(D364,Budget!A:F,3,FALSE)))),VLOOKUP($D364,Budget!$A$1:$F$19,6,FALSE)*E364))</f>
        <v>36960</v>
      </c>
      <c r="I364" s="86">
        <f>IF(F364=0,0,IF(M364="ja",((VLOOKUP(F364,Budget!A:F,6,FALSE)*(E364-(VLOOKUP(F364,Budget!A:F,3,FALSE))))),VLOOKUP($D364,Budget!A:F,5,FALSE)*E364))</f>
        <v>0</v>
      </c>
      <c r="J364" s="86">
        <f t="shared" si="24"/>
        <v>36960</v>
      </c>
      <c r="K364" s="18"/>
      <c r="L364" s="75"/>
      <c r="M364" s="76" t="str">
        <f t="shared" si="25"/>
        <v>nein</v>
      </c>
      <c r="N364">
        <f t="shared" si="23"/>
        <v>2021</v>
      </c>
    </row>
    <row r="365" spans="1:14" ht="15.75" hidden="1" customHeight="1" thickBot="1" x14ac:dyDescent="0.35">
      <c r="A365" s="105">
        <f t="shared" si="22"/>
        <v>51</v>
      </c>
      <c r="B365" s="27">
        <v>44556</v>
      </c>
      <c r="C365" s="19" t="s">
        <v>9</v>
      </c>
      <c r="D365" s="20" t="s">
        <v>11</v>
      </c>
      <c r="E365" s="20">
        <f>IF(VLOOKUP(D365,Budget!A:B,2,FALSE)&lt;&gt;0,IF(G365=0,24,24-G365),0)</f>
        <v>24</v>
      </c>
      <c r="F365" s="20"/>
      <c r="G365" s="20"/>
      <c r="H365" s="93">
        <f>IF(E365=0,0,IF(M365="ja",(VLOOKUP(D365,Budget!A:F,6,FALSE)*(E365-(VLOOKUP(D365,Budget!A:F,3,FALSE)))),VLOOKUP($D365,Budget!$A$1:$F$19,6,FALSE)*E365))</f>
        <v>36960</v>
      </c>
      <c r="I365" s="93">
        <f>IF(F365=0,0,IF(M365="ja",((VLOOKUP(F365,Budget!A:F,6,FALSE)*(E365-(VLOOKUP(F365,Budget!A:F,3,FALSE))))),VLOOKUP($D365,Budget!A:F,5,FALSE)*E365))</f>
        <v>0</v>
      </c>
      <c r="J365" s="87">
        <f t="shared" si="24"/>
        <v>36960</v>
      </c>
      <c r="K365" s="21"/>
      <c r="L365" s="74"/>
      <c r="M365" s="77" t="str">
        <f t="shared" si="25"/>
        <v>nein</v>
      </c>
      <c r="N365">
        <f t="shared" si="23"/>
        <v>2021</v>
      </c>
    </row>
    <row r="366" spans="1:14" hidden="1" x14ac:dyDescent="0.3">
      <c r="A366" s="104">
        <f t="shared" si="22"/>
        <v>52</v>
      </c>
      <c r="B366" s="22">
        <v>44557</v>
      </c>
      <c r="C366" s="10" t="s">
        <v>3</v>
      </c>
      <c r="D366" s="12" t="s">
        <v>11</v>
      </c>
      <c r="E366" s="13">
        <f>IF(VLOOKUP(D366,Budget!A:B,2,FALSE)&lt;&gt;0,IF(G366=0,24,24-G366),0)</f>
        <v>24</v>
      </c>
      <c r="F366" s="13"/>
      <c r="G366" s="13"/>
      <c r="H366" s="85">
        <f>IF(E366=0,0,IF(M366="ja",(VLOOKUP(D366,Budget!A:F,6,FALSE)*(E366-(VLOOKUP(D366,Budget!A:F,3,FALSE)))),VLOOKUP($D366,Budget!$A$1:$F$19,6,FALSE)*E366))</f>
        <v>36960</v>
      </c>
      <c r="I366" s="85">
        <f>IF(F366=0,0,IF(M366="ja",((VLOOKUP(F366,Budget!A:F,6,FALSE)*(E366-(VLOOKUP(F366,Budget!A:F,3,FALSE))))),VLOOKUP($D366,Budget!A:F,5,FALSE)*E366))</f>
        <v>0</v>
      </c>
      <c r="J366" s="85">
        <f t="shared" si="24"/>
        <v>36960</v>
      </c>
      <c r="K366" s="15"/>
      <c r="L366" s="72"/>
      <c r="M366" s="80" t="str">
        <f t="shared" si="25"/>
        <v>nein</v>
      </c>
      <c r="N366">
        <f t="shared" si="23"/>
        <v>2021</v>
      </c>
    </row>
    <row r="367" spans="1:14" hidden="1" x14ac:dyDescent="0.3">
      <c r="A367" s="105">
        <f t="shared" si="22"/>
        <v>52</v>
      </c>
      <c r="B367" s="22">
        <v>44558</v>
      </c>
      <c r="C367" s="11" t="s">
        <v>4</v>
      </c>
      <c r="D367" s="12" t="s">
        <v>11</v>
      </c>
      <c r="E367" s="13">
        <f>IF(VLOOKUP(D367,Budget!A:B,2,FALSE)&lt;&gt;0,IF(G367=0,24,24-G367),0)</f>
        <v>24</v>
      </c>
      <c r="G367" s="13"/>
      <c r="H367" s="85">
        <f>IF(E367=0,0,IF(M367="ja",(VLOOKUP(D367,Budget!A:F,6,FALSE)*(E367-(VLOOKUP(D367,Budget!A:F,3,FALSE)))),VLOOKUP($D367,Budget!$A$1:$F$19,6,FALSE)*E367))</f>
        <v>36960</v>
      </c>
      <c r="I367" s="85">
        <f>IF(F367=0,0,IF(M367="ja",((VLOOKUP(F367,Budget!A:F,6,FALSE)*(E367-(VLOOKUP(F367,Budget!A:F,3,FALSE))))),VLOOKUP($D367,Budget!A:F,5,FALSE)*E367))</f>
        <v>0</v>
      </c>
      <c r="J367" s="85">
        <f t="shared" si="24"/>
        <v>36960</v>
      </c>
      <c r="K367" s="14"/>
      <c r="L367" s="73"/>
      <c r="M367" s="80" t="str">
        <f t="shared" si="25"/>
        <v>nein</v>
      </c>
      <c r="N367">
        <f t="shared" si="23"/>
        <v>2021</v>
      </c>
    </row>
    <row r="368" spans="1:14" hidden="1" x14ac:dyDescent="0.3">
      <c r="A368" s="105">
        <f t="shared" si="22"/>
        <v>52</v>
      </c>
      <c r="B368" s="22">
        <v>44559</v>
      </c>
      <c r="C368" s="11" t="s">
        <v>5</v>
      </c>
      <c r="D368" s="12" t="s">
        <v>69</v>
      </c>
      <c r="E368" s="13">
        <f>IF(VLOOKUP(D368,Budget!A:B,2,FALSE)&lt;&gt;0,IF(G368=0,24,24-G368),0)</f>
        <v>24</v>
      </c>
      <c r="G368" s="13"/>
      <c r="H368" s="85">
        <f>IF(E368=0,0,IF(M368="ja",(VLOOKUP(D368,Budget!A:F,6,FALSE)*(E368-(VLOOKUP(D368,Budget!A:F,3,FALSE)))),VLOOKUP($D368,Budget!$A$1:$F$19,6,FALSE)*E368))</f>
        <v>38269.757143831848</v>
      </c>
      <c r="I368" s="85">
        <f>IF(F368=0,0,IF(M368="ja",((VLOOKUP(F368,Budget!A:F,6,FALSE)*(E368-(VLOOKUP(F368,Budget!A:F,3,FALSE))))),VLOOKUP($D368,Budget!A:F,5,FALSE)*E368))</f>
        <v>0</v>
      </c>
      <c r="J368" s="85">
        <f t="shared" si="24"/>
        <v>38269.757143831848</v>
      </c>
      <c r="K368" s="14"/>
      <c r="L368" s="73"/>
      <c r="M368" s="80" t="str">
        <f t="shared" si="25"/>
        <v>ja</v>
      </c>
      <c r="N368">
        <f t="shared" si="23"/>
        <v>2021</v>
      </c>
    </row>
    <row r="369" spans="1:14" hidden="1" x14ac:dyDescent="0.3">
      <c r="A369" s="103">
        <f t="shared" si="22"/>
        <v>52</v>
      </c>
      <c r="B369" s="22">
        <v>44560</v>
      </c>
      <c r="C369" s="11" t="s">
        <v>6</v>
      </c>
      <c r="D369" s="12" t="s">
        <v>69</v>
      </c>
      <c r="E369" s="13">
        <f>IF(VLOOKUP(D369,Budget!A:B,2,FALSE)&lt;&gt;0,IF(G369=0,24,24-G369),0)</f>
        <v>24</v>
      </c>
      <c r="G369" s="13"/>
      <c r="H369" s="85">
        <f>IF(E369=0,0,IF(M369="ja",(VLOOKUP(D369,Budget!A:F,6,FALSE)*(E369-(VLOOKUP(D369,Budget!A:F,3,FALSE)))),VLOOKUP($D369,Budget!$A$1:$F$19,6,FALSE)*E369))</f>
        <v>42919.35380616656</v>
      </c>
      <c r="I369" s="85">
        <f>IF(F369=0,0,IF(M369="ja",((VLOOKUP(F369,Budget!A:F,6,FALSE)*(E369-(VLOOKUP(F369,Budget!A:F,3,FALSE))))),VLOOKUP($D369,Budget!A:F,5,FALSE)*E369))</f>
        <v>0</v>
      </c>
      <c r="J369" s="85">
        <f t="shared" si="24"/>
        <v>42919.35380616656</v>
      </c>
      <c r="K369" s="14"/>
      <c r="L369" s="73"/>
      <c r="M369" s="80" t="str">
        <f t="shared" si="25"/>
        <v>nein</v>
      </c>
      <c r="N369">
        <f t="shared" si="23"/>
        <v>2021</v>
      </c>
    </row>
    <row r="370" spans="1:14" hidden="1" x14ac:dyDescent="0.3">
      <c r="A370" s="105">
        <f t="shared" si="22"/>
        <v>52</v>
      </c>
      <c r="B370" s="22">
        <v>44561</v>
      </c>
      <c r="C370" s="11" t="s">
        <v>7</v>
      </c>
      <c r="D370" s="12" t="s">
        <v>69</v>
      </c>
      <c r="E370" s="13">
        <f>IF(VLOOKUP(D370,Budget!A:B,2,FALSE)&lt;&gt;0,IF(G370=0,24,24-G370),0)</f>
        <v>24</v>
      </c>
      <c r="G370" s="13"/>
      <c r="H370" s="85">
        <f>IF(E370=0,0,IF(M370="ja",(VLOOKUP(D370,Budget!A:F,6,FALSE)*(E370-(VLOOKUP(D370,Budget!A:F,3,FALSE)))),VLOOKUP($D370,Budget!$A$1:$F$19,6,FALSE)*E370))</f>
        <v>42919.35380616656</v>
      </c>
      <c r="I370" s="85">
        <f>IF(F370=0,0,IF(M370="ja",((VLOOKUP(F370,Budget!A:F,6,FALSE)*(E370-(VLOOKUP(F370,Budget!A:F,3,FALSE))))),VLOOKUP($D370,Budget!A:F,5,FALSE)*E370))</f>
        <v>0</v>
      </c>
      <c r="J370" s="85">
        <f t="shared" si="24"/>
        <v>42919.35380616656</v>
      </c>
      <c r="K370" s="14"/>
      <c r="L370" s="25"/>
      <c r="M370" s="80" t="str">
        <f t="shared" si="25"/>
        <v>nein</v>
      </c>
      <c r="N370">
        <f t="shared" si="23"/>
        <v>2021</v>
      </c>
    </row>
    <row r="371" spans="1:14" hidden="1" x14ac:dyDescent="0.3">
      <c r="A371" s="105">
        <f t="shared" ref="A371:A434" si="26">_xlfn.ISOWEEKNUM(B371)</f>
        <v>52</v>
      </c>
      <c r="B371" s="22">
        <v>44562</v>
      </c>
      <c r="C371" s="16" t="s">
        <v>8</v>
      </c>
      <c r="D371" s="17" t="s">
        <v>69</v>
      </c>
      <c r="E371" s="24">
        <f>IF(VLOOKUP(D371,Budget!A:B,2,FALSE)&lt;&gt;0,IF(G371=0,24,24-G371),0)</f>
        <v>24</v>
      </c>
      <c r="F371" s="17"/>
      <c r="G371" s="17"/>
      <c r="H371" s="86">
        <f>IF(E371=0,0,IF(M371="ja",(VLOOKUP(D371,Budget!A:F,6,FALSE)*(E371-(VLOOKUP(D371,Budget!A:F,3,FALSE)))),VLOOKUP($D371,Budget!$A$1:$F$19,6,FALSE)*E371))</f>
        <v>42919.35380616656</v>
      </c>
      <c r="I371" s="86">
        <f>IF(F371=0,0,IF(M371="ja",((VLOOKUP(F371,Budget!A:F,6,FALSE)*(E371-(VLOOKUP(F371,Budget!A:F,3,FALSE))))),VLOOKUP($D371,Budget!A:F,5,FALSE)*E371))</f>
        <v>0</v>
      </c>
      <c r="J371" s="86">
        <f t="shared" ref="J371:J434" si="27">H371+I371</f>
        <v>42919.35380616656</v>
      </c>
      <c r="K371" s="18"/>
      <c r="L371" s="75"/>
      <c r="M371" s="76" t="str">
        <f t="shared" ref="M371:M434" si="28">IF(E371=0,"nein",IF(OR(E371&lt;&gt;24,F370&lt;&gt;0,D371&lt;&gt;D370),"ja","nein"))</f>
        <v>nein</v>
      </c>
      <c r="N371">
        <f t="shared" si="23"/>
        <v>2022</v>
      </c>
    </row>
    <row r="372" spans="1:14" ht="15" hidden="1" thickBot="1" x14ac:dyDescent="0.35">
      <c r="A372" s="105">
        <f t="shared" si="26"/>
        <v>52</v>
      </c>
      <c r="B372" s="27">
        <v>44563</v>
      </c>
      <c r="C372" s="19" t="s">
        <v>9</v>
      </c>
      <c r="D372" s="20" t="s">
        <v>69</v>
      </c>
      <c r="E372" s="20">
        <f>IF(VLOOKUP(D372,Budget!A:B,2,FALSE)&lt;&gt;0,IF(G372=0,24,24-G372),0)</f>
        <v>24</v>
      </c>
      <c r="F372" s="20"/>
      <c r="G372" s="20"/>
      <c r="H372" s="93">
        <f>IF(E372=0,0,IF(M372="ja",(VLOOKUP(D372,Budget!A:F,6,FALSE)*(E372-(VLOOKUP(D372,Budget!A:F,3,FALSE)))),VLOOKUP($D372,Budget!$A$1:$F$19,6,FALSE)*E372))</f>
        <v>42919.35380616656</v>
      </c>
      <c r="I372" s="93">
        <f>IF(F372=0,0,IF(M372="ja",((VLOOKUP(F372,Budget!A:F,6,FALSE)*(E372-(VLOOKUP(F372,Budget!A:F,3,FALSE))))),VLOOKUP($D372,Budget!A:F,5,FALSE)*E372))</f>
        <v>0</v>
      </c>
      <c r="J372" s="87">
        <f t="shared" si="27"/>
        <v>42919.35380616656</v>
      </c>
      <c r="K372" s="21"/>
      <c r="L372" s="74"/>
      <c r="M372" s="77" t="str">
        <f t="shared" si="28"/>
        <v>nein</v>
      </c>
      <c r="N372">
        <f t="shared" si="23"/>
        <v>2022</v>
      </c>
    </row>
    <row r="373" spans="1:14" hidden="1" x14ac:dyDescent="0.3">
      <c r="A373" s="104">
        <f t="shared" si="26"/>
        <v>1</v>
      </c>
      <c r="B373" s="22">
        <v>44564</v>
      </c>
      <c r="C373" s="10" t="s">
        <v>3</v>
      </c>
      <c r="D373" s="12" t="s">
        <v>69</v>
      </c>
      <c r="E373" s="13">
        <f>IF(VLOOKUP(D373,Budget!A:B,2,FALSE)&lt;&gt;0,IF(G373=0,24,24-G373),0)</f>
        <v>24</v>
      </c>
      <c r="F373" s="13"/>
      <c r="G373" s="13"/>
      <c r="H373" s="85">
        <f>IF(E373=0,0,IF(M373="ja",(VLOOKUP(D373,Budget!A:F,6,FALSE)*(E373-(VLOOKUP(D373,Budget!A:F,3,FALSE)))),VLOOKUP($D373,Budget!$A$1:$F$19,6,FALSE)*E373))</f>
        <v>42919.35380616656</v>
      </c>
      <c r="I373" s="85">
        <f>IF(F373=0,0,IF(M373="ja",((VLOOKUP(F373,Budget!A:F,6,FALSE)*(E373-(VLOOKUP(F373,Budget!A:F,3,FALSE))))),VLOOKUP($D373,Budget!A:F,5,FALSE)*E373))</f>
        <v>0</v>
      </c>
      <c r="J373" s="85">
        <f t="shared" si="27"/>
        <v>42919.35380616656</v>
      </c>
      <c r="K373" s="15"/>
      <c r="L373" s="72"/>
      <c r="M373" s="80" t="str">
        <f t="shared" si="28"/>
        <v>nein</v>
      </c>
      <c r="N373">
        <f t="shared" si="23"/>
        <v>2022</v>
      </c>
    </row>
    <row r="374" spans="1:14" hidden="1" x14ac:dyDescent="0.3">
      <c r="A374" s="105">
        <f t="shared" si="26"/>
        <v>1</v>
      </c>
      <c r="B374" s="22">
        <v>44565</v>
      </c>
      <c r="C374" s="11" t="s">
        <v>4</v>
      </c>
      <c r="D374" s="12" t="s">
        <v>65</v>
      </c>
      <c r="E374" s="13">
        <f>IF(VLOOKUP(D374,Budget!A:B,2,FALSE)&lt;&gt;0,IF(G374=0,24,24-G374),0)</f>
        <v>24</v>
      </c>
      <c r="G374" s="13"/>
      <c r="H374" s="85">
        <f>IF(E374=0,0,IF(M374="ja",(VLOOKUP(D374,Budget!A:F,6,FALSE)*(E374-(VLOOKUP(D374,Budget!A:F,3,FALSE)))),VLOOKUP($D374,Budget!$A$1:$F$19,6,FALSE)*E374))</f>
        <v>22220.983707552332</v>
      </c>
      <c r="I374" s="85">
        <f>IF(F374=0,0,IF(M374="ja",((VLOOKUP(F374,Budget!A:F,6,FALSE)*(E374-(VLOOKUP(F374,Budget!A:F,3,FALSE))))),VLOOKUP($D374,Budget!A:F,5,FALSE)*E374))</f>
        <v>0</v>
      </c>
      <c r="J374" s="85">
        <f t="shared" si="27"/>
        <v>22220.983707552332</v>
      </c>
      <c r="K374" s="14"/>
      <c r="L374" s="73"/>
      <c r="M374" s="80" t="str">
        <f t="shared" si="28"/>
        <v>ja</v>
      </c>
      <c r="N374">
        <f t="shared" si="23"/>
        <v>2022</v>
      </c>
    </row>
    <row r="375" spans="1:14" hidden="1" x14ac:dyDescent="0.3">
      <c r="A375" s="105">
        <f t="shared" si="26"/>
        <v>1</v>
      </c>
      <c r="B375" s="22">
        <v>44566</v>
      </c>
      <c r="C375" s="11" t="s">
        <v>5</v>
      </c>
      <c r="D375" s="12" t="s">
        <v>65</v>
      </c>
      <c r="E375" s="13">
        <f>IF(VLOOKUP(D375,Budget!A:B,2,FALSE)&lt;&gt;0,IF(G375=0,24,24-G375),0)</f>
        <v>24</v>
      </c>
      <c r="G375" s="13"/>
      <c r="H375" s="85">
        <f>IF(E375=0,0,IF(M375="ja",(VLOOKUP(D375,Budget!A:F,6,FALSE)*(E375-(VLOOKUP(D375,Budget!A:F,3,FALSE)))),VLOOKUP($D375,Budget!$A$1:$F$19,6,FALSE)*E375))</f>
        <v>35553.573932083731</v>
      </c>
      <c r="I375" s="85">
        <f>IF(F375=0,0,IF(M375="ja",((VLOOKUP(F375,Budget!A:F,6,FALSE)*(E375-(VLOOKUP(F375,Budget!A:F,3,FALSE))))),VLOOKUP($D375,Budget!A:F,5,FALSE)*E375))</f>
        <v>0</v>
      </c>
      <c r="J375" s="85">
        <f t="shared" si="27"/>
        <v>35553.573932083731</v>
      </c>
      <c r="K375" s="14"/>
      <c r="L375" s="73"/>
      <c r="M375" s="80" t="str">
        <f t="shared" si="28"/>
        <v>nein</v>
      </c>
      <c r="N375">
        <f t="shared" si="23"/>
        <v>2022</v>
      </c>
    </row>
    <row r="376" spans="1:14" hidden="1" x14ac:dyDescent="0.3">
      <c r="A376" s="103">
        <f t="shared" si="26"/>
        <v>1</v>
      </c>
      <c r="B376" s="22">
        <v>44567</v>
      </c>
      <c r="C376" s="11" t="s">
        <v>6</v>
      </c>
      <c r="D376" s="12" t="s">
        <v>65</v>
      </c>
      <c r="E376" s="13">
        <f>IF(VLOOKUP(D376,Budget!A:B,2,FALSE)&lt;&gt;0,IF(G376=0,24,24-G376),0)</f>
        <v>24</v>
      </c>
      <c r="G376" s="13"/>
      <c r="H376" s="85">
        <f>IF(E376=0,0,IF(M376="ja",(VLOOKUP(D376,Budget!A:F,6,FALSE)*(E376-(VLOOKUP(D376,Budget!A:F,3,FALSE)))),VLOOKUP($D376,Budget!$A$1:$F$19,6,FALSE)*E376))</f>
        <v>35553.573932083731</v>
      </c>
      <c r="I376" s="85">
        <f>IF(F376=0,0,IF(M376="ja",((VLOOKUP(F376,Budget!A:F,6,FALSE)*(E376-(VLOOKUP(F376,Budget!A:F,3,FALSE))))),VLOOKUP($D376,Budget!A:F,5,FALSE)*E376))</f>
        <v>0</v>
      </c>
      <c r="J376" s="85">
        <f t="shared" si="27"/>
        <v>35553.573932083731</v>
      </c>
      <c r="K376" s="14"/>
      <c r="L376" s="73"/>
      <c r="M376" s="80" t="str">
        <f t="shared" si="28"/>
        <v>nein</v>
      </c>
      <c r="N376">
        <f t="shared" si="23"/>
        <v>2022</v>
      </c>
    </row>
    <row r="377" spans="1:14" hidden="1" x14ac:dyDescent="0.3">
      <c r="A377" s="105">
        <f t="shared" si="26"/>
        <v>1</v>
      </c>
      <c r="B377" s="22">
        <v>44568</v>
      </c>
      <c r="C377" s="11" t="s">
        <v>7</v>
      </c>
      <c r="D377" s="12" t="s">
        <v>12</v>
      </c>
      <c r="E377" s="13">
        <f>IF(VLOOKUP(D377,Budget!A:B,2,FALSE)&lt;&gt;0,IF(G377=0,24,24-G377),0)</f>
        <v>24</v>
      </c>
      <c r="G377" s="13"/>
      <c r="H377" s="85">
        <f>IF(E377=0,0,IF(M377="ja",(VLOOKUP(D377,Budget!A:F,6,FALSE)*(E377-(VLOOKUP(D377,Budget!A:F,3,FALSE)))),VLOOKUP($D377,Budget!$A$1:$F$19,6,FALSE)*E377))</f>
        <v>27720</v>
      </c>
      <c r="I377" s="85">
        <f>IF(F377=0,0,IF(M377="ja",((VLOOKUP(F377,Budget!A:F,6,FALSE)*(E377-(VLOOKUP(F377,Budget!A:F,3,FALSE))))),VLOOKUP($D377,Budget!A:F,5,FALSE)*E377))</f>
        <v>0</v>
      </c>
      <c r="J377" s="85">
        <f t="shared" si="27"/>
        <v>27720</v>
      </c>
      <c r="K377" s="14"/>
      <c r="L377" s="25"/>
      <c r="M377" s="80" t="str">
        <f t="shared" si="28"/>
        <v>ja</v>
      </c>
      <c r="N377">
        <f t="shared" si="23"/>
        <v>2022</v>
      </c>
    </row>
    <row r="378" spans="1:14" hidden="1" x14ac:dyDescent="0.3">
      <c r="A378" s="105">
        <f t="shared" si="26"/>
        <v>1</v>
      </c>
      <c r="B378" s="22">
        <v>44569</v>
      </c>
      <c r="C378" s="16" t="s">
        <v>8</v>
      </c>
      <c r="D378" s="17" t="s">
        <v>12</v>
      </c>
      <c r="E378" s="24">
        <f>IF(VLOOKUP(D378,Budget!A:B,2,FALSE)&lt;&gt;0,IF(G378=0,24,24-G378),0)</f>
        <v>24</v>
      </c>
      <c r="F378" s="17"/>
      <c r="G378" s="17"/>
      <c r="H378" s="86">
        <f>IF(E378=0,0,IF(M378="ja",(VLOOKUP(D378,Budget!A:F,6,FALSE)*(E378-(VLOOKUP(D378,Budget!A:F,3,FALSE)))),VLOOKUP($D378,Budget!$A$1:$F$19,6,FALSE)*E378))</f>
        <v>36960</v>
      </c>
      <c r="I378" s="86">
        <f>IF(F378=0,0,IF(M378="ja",((VLOOKUP(F378,Budget!A:F,6,FALSE)*(E378-(VLOOKUP(F378,Budget!A:F,3,FALSE))))),VLOOKUP($D378,Budget!A:F,5,FALSE)*E378))</f>
        <v>0</v>
      </c>
      <c r="J378" s="86">
        <f t="shared" si="27"/>
        <v>36960</v>
      </c>
      <c r="K378" s="18"/>
      <c r="L378" s="75"/>
      <c r="M378" s="76" t="str">
        <f t="shared" si="28"/>
        <v>nein</v>
      </c>
      <c r="N378">
        <f t="shared" si="23"/>
        <v>2022</v>
      </c>
    </row>
    <row r="379" spans="1:14" ht="15" hidden="1" thickBot="1" x14ac:dyDescent="0.35">
      <c r="A379" s="105">
        <f t="shared" si="26"/>
        <v>1</v>
      </c>
      <c r="B379" s="27">
        <v>44570</v>
      </c>
      <c r="C379" s="19" t="s">
        <v>9</v>
      </c>
      <c r="D379" s="20" t="s">
        <v>12</v>
      </c>
      <c r="E379" s="20">
        <f>IF(VLOOKUP(D379,Budget!A:B,2,FALSE)&lt;&gt;0,IF(G379=0,24,24-G379),0)</f>
        <v>24</v>
      </c>
      <c r="F379" s="20"/>
      <c r="G379" s="20"/>
      <c r="H379" s="93">
        <f>IF(E379=0,0,IF(M379="ja",(VLOOKUP(D379,Budget!A:F,6,FALSE)*(E379-(VLOOKUP(D379,Budget!A:F,3,FALSE)))),VLOOKUP($D379,Budget!$A$1:$F$19,6,FALSE)*E379))</f>
        <v>36960</v>
      </c>
      <c r="I379" s="93">
        <f>IF(F379=0,0,IF(M379="ja",((VLOOKUP(F379,Budget!A:F,6,FALSE)*(E379-(VLOOKUP(F379,Budget!A:F,3,FALSE))))),VLOOKUP($D379,Budget!A:F,5,FALSE)*E379))</f>
        <v>0</v>
      </c>
      <c r="J379" s="87">
        <f t="shared" si="27"/>
        <v>36960</v>
      </c>
      <c r="K379" s="21"/>
      <c r="L379" s="74"/>
      <c r="M379" s="77" t="str">
        <f t="shared" si="28"/>
        <v>nein</v>
      </c>
      <c r="N379">
        <f t="shared" si="23"/>
        <v>2022</v>
      </c>
    </row>
    <row r="380" spans="1:14" hidden="1" x14ac:dyDescent="0.3">
      <c r="A380" s="104">
        <f t="shared" si="26"/>
        <v>2</v>
      </c>
      <c r="B380" s="22">
        <v>44571</v>
      </c>
      <c r="C380" s="10" t="s">
        <v>3</v>
      </c>
      <c r="D380" s="12" t="s">
        <v>13</v>
      </c>
      <c r="E380" s="13">
        <f>IF(VLOOKUP(D380,Budget!A:B,2,FALSE)&lt;&gt;0,IF(G380=0,24,24-G380),0)</f>
        <v>0</v>
      </c>
      <c r="F380" s="13"/>
      <c r="G380" s="13"/>
      <c r="H380" s="85">
        <f>IF(E380=0,0,IF(M380="ja",(VLOOKUP(D380,Budget!A:F,6,FALSE)*(E380-(VLOOKUP(D380,Budget!A:F,3,FALSE)))),VLOOKUP($D380,Budget!$A$1:$F$19,6,FALSE)*E380))</f>
        <v>0</v>
      </c>
      <c r="I380" s="85">
        <f>IF(F380=0,0,IF(M380="ja",((VLOOKUP(F380,Budget!A:F,6,FALSE)*(E380-(VLOOKUP(F380,Budget!A:F,3,FALSE))))),VLOOKUP($D380,Budget!A:F,5,FALSE)*E380))</f>
        <v>0</v>
      </c>
      <c r="J380" s="85">
        <f t="shared" si="27"/>
        <v>0</v>
      </c>
      <c r="K380" s="15"/>
      <c r="L380" s="72" t="s">
        <v>89</v>
      </c>
      <c r="M380" s="80" t="str">
        <f t="shared" si="28"/>
        <v>nein</v>
      </c>
      <c r="N380">
        <f t="shared" si="23"/>
        <v>2022</v>
      </c>
    </row>
    <row r="381" spans="1:14" hidden="1" x14ac:dyDescent="0.3">
      <c r="A381" s="105">
        <f t="shared" si="26"/>
        <v>2</v>
      </c>
      <c r="B381" s="22">
        <v>44572</v>
      </c>
      <c r="C381" s="11" t="s">
        <v>4</v>
      </c>
      <c r="D381" s="12" t="s">
        <v>13</v>
      </c>
      <c r="E381" s="13">
        <f>IF(VLOOKUP(D381,Budget!A:B,2,FALSE)&lt;&gt;0,IF(G381=0,24,24-G381),0)</f>
        <v>0</v>
      </c>
      <c r="G381" s="13"/>
      <c r="H381" s="85">
        <f>IF(E381=0,0,IF(M381="ja",(VLOOKUP(D381,Budget!A:F,6,FALSE)*(E381-(VLOOKUP(D381,Budget!A:F,3,FALSE)))),VLOOKUP($D381,Budget!$A$1:$F$19,6,FALSE)*E381))</f>
        <v>0</v>
      </c>
      <c r="I381" s="85">
        <f>IF(F381=0,0,IF(M381="ja",((VLOOKUP(F381,Budget!A:F,6,FALSE)*(E381-(VLOOKUP(F381,Budget!A:F,3,FALSE))))),VLOOKUP($D381,Budget!A:F,5,FALSE)*E381))</f>
        <v>0</v>
      </c>
      <c r="J381" s="85">
        <f t="shared" si="27"/>
        <v>0</v>
      </c>
      <c r="K381" s="14"/>
      <c r="L381" s="73" t="s">
        <v>75</v>
      </c>
      <c r="M381" s="80" t="str">
        <f t="shared" si="28"/>
        <v>nein</v>
      </c>
      <c r="N381">
        <f t="shared" si="23"/>
        <v>2022</v>
      </c>
    </row>
    <row r="382" spans="1:14" hidden="1" x14ac:dyDescent="0.3">
      <c r="A382" s="105">
        <f t="shared" si="26"/>
        <v>2</v>
      </c>
      <c r="B382" s="22">
        <v>44573</v>
      </c>
      <c r="C382" s="11" t="s">
        <v>5</v>
      </c>
      <c r="D382" s="12" t="s">
        <v>11</v>
      </c>
      <c r="E382" s="13">
        <f>IF(VLOOKUP(D382,Budget!A:B,2,FALSE)&lt;&gt;0,IF(G382=0,24,24-G382),0)</f>
        <v>24</v>
      </c>
      <c r="G382" s="13"/>
      <c r="H382" s="85">
        <f>IF(E382=0,0,IF(M382="ja",(VLOOKUP(D382,Budget!A:F,6,FALSE)*(E382-(VLOOKUP(D382,Budget!A:F,3,FALSE)))),VLOOKUP($D382,Budget!$A$1:$F$19,6,FALSE)*E382))</f>
        <v>30030</v>
      </c>
      <c r="I382" s="85">
        <f>IF(F382=0,0,IF(M382="ja",((VLOOKUP(F382,Budget!A:F,6,FALSE)*(E382-(VLOOKUP(F382,Budget!A:F,3,FALSE))))),VLOOKUP($D382,Budget!A:F,5,FALSE)*E382))</f>
        <v>0</v>
      </c>
      <c r="J382" s="85">
        <f t="shared" si="27"/>
        <v>30030</v>
      </c>
      <c r="K382" s="14"/>
      <c r="L382" s="73"/>
      <c r="M382" s="80" t="str">
        <f t="shared" si="28"/>
        <v>ja</v>
      </c>
      <c r="N382">
        <f t="shared" si="23"/>
        <v>2022</v>
      </c>
    </row>
    <row r="383" spans="1:14" hidden="1" x14ac:dyDescent="0.3">
      <c r="A383" s="103">
        <f t="shared" si="26"/>
        <v>2</v>
      </c>
      <c r="B383" s="22">
        <v>44574</v>
      </c>
      <c r="C383" s="11" t="s">
        <v>6</v>
      </c>
      <c r="D383" s="12" t="s">
        <v>11</v>
      </c>
      <c r="E383" s="13">
        <f>IF(VLOOKUP(D383,Budget!A:B,2,FALSE)&lt;&gt;0,IF(G383=0,24,24-G383),0)</f>
        <v>24</v>
      </c>
      <c r="G383" s="13"/>
      <c r="H383" s="85">
        <f>IF(E383=0,0,IF(M383="ja",(VLOOKUP(D383,Budget!A:F,6,FALSE)*(E383-(VLOOKUP(D383,Budget!A:F,3,FALSE)))),VLOOKUP($D383,Budget!$A$1:$F$19,6,FALSE)*E383))</f>
        <v>36960</v>
      </c>
      <c r="I383" s="85">
        <f>IF(F383=0,0,IF(M383="ja",((VLOOKUP(F383,Budget!A:F,6,FALSE)*(E383-(VLOOKUP(F383,Budget!A:F,3,FALSE))))),VLOOKUP($D383,Budget!A:F,5,FALSE)*E383))</f>
        <v>0</v>
      </c>
      <c r="J383" s="85">
        <f t="shared" si="27"/>
        <v>36960</v>
      </c>
      <c r="K383" s="14"/>
      <c r="L383" s="73"/>
      <c r="M383" s="80" t="str">
        <f t="shared" si="28"/>
        <v>nein</v>
      </c>
      <c r="N383">
        <f t="shared" si="23"/>
        <v>2022</v>
      </c>
    </row>
    <row r="384" spans="1:14" hidden="1" x14ac:dyDescent="0.3">
      <c r="A384" s="105">
        <f t="shared" si="26"/>
        <v>2</v>
      </c>
      <c r="B384" s="22">
        <v>44575</v>
      </c>
      <c r="C384" s="11" t="s">
        <v>7</v>
      </c>
      <c r="D384" s="12" t="s">
        <v>11</v>
      </c>
      <c r="E384" s="13">
        <f>IF(VLOOKUP(D384,Budget!A:B,2,FALSE)&lt;&gt;0,IF(G384=0,24,24-G384),0)</f>
        <v>24</v>
      </c>
      <c r="G384" s="13"/>
      <c r="H384" s="85">
        <f>IF(E384=0,0,IF(M384="ja",(VLOOKUP(D384,Budget!A:F,6,FALSE)*(E384-(VLOOKUP(D384,Budget!A:F,3,FALSE)))),VLOOKUP($D384,Budget!$A$1:$F$19,6,FALSE)*E384))</f>
        <v>36960</v>
      </c>
      <c r="I384" s="85">
        <f>IF(F384=0,0,IF(M384="ja",((VLOOKUP(F384,Budget!A:F,6,FALSE)*(E384-(VLOOKUP(F384,Budget!A:F,3,FALSE))))),VLOOKUP($D384,Budget!A:F,5,FALSE)*E384))</f>
        <v>0</v>
      </c>
      <c r="J384" s="85">
        <f t="shared" si="27"/>
        <v>36960</v>
      </c>
      <c r="K384" s="14"/>
      <c r="L384" s="25"/>
      <c r="M384" s="80" t="str">
        <f t="shared" si="28"/>
        <v>nein</v>
      </c>
      <c r="N384">
        <f t="shared" si="23"/>
        <v>2022</v>
      </c>
    </row>
    <row r="385" spans="1:14" hidden="1" x14ac:dyDescent="0.3">
      <c r="A385" s="105">
        <f t="shared" si="26"/>
        <v>2</v>
      </c>
      <c r="B385" s="22">
        <v>44576</v>
      </c>
      <c r="C385" s="16" t="s">
        <v>8</v>
      </c>
      <c r="D385" s="17" t="s">
        <v>11</v>
      </c>
      <c r="E385" s="24">
        <f>IF(VLOOKUP(D385,Budget!A:B,2,FALSE)&lt;&gt;0,IF(G385=0,24,24-G385),0)</f>
        <v>24</v>
      </c>
      <c r="F385" s="17"/>
      <c r="G385" s="17"/>
      <c r="H385" s="86">
        <f>IF(E385=0,0,IF(M385="ja",(VLOOKUP(D385,Budget!A:F,6,FALSE)*(E385-(VLOOKUP(D385,Budget!A:F,3,FALSE)))),VLOOKUP($D385,Budget!$A$1:$F$19,6,FALSE)*E385))</f>
        <v>36960</v>
      </c>
      <c r="I385" s="86">
        <f>IF(F385=0,0,IF(M385="ja",((VLOOKUP(F385,Budget!A:F,6,FALSE)*(E385-(VLOOKUP(F385,Budget!A:F,3,FALSE))))),VLOOKUP($D385,Budget!A:F,5,FALSE)*E385))</f>
        <v>0</v>
      </c>
      <c r="J385" s="86">
        <f t="shared" si="27"/>
        <v>36960</v>
      </c>
      <c r="K385" s="18"/>
      <c r="L385" s="75"/>
      <c r="M385" s="76" t="str">
        <f t="shared" si="28"/>
        <v>nein</v>
      </c>
      <c r="N385">
        <f t="shared" si="23"/>
        <v>2022</v>
      </c>
    </row>
    <row r="386" spans="1:14" ht="15" hidden="1" thickBot="1" x14ac:dyDescent="0.35">
      <c r="A386" s="105">
        <f t="shared" si="26"/>
        <v>2</v>
      </c>
      <c r="B386" s="27">
        <v>44577</v>
      </c>
      <c r="C386" s="19" t="s">
        <v>9</v>
      </c>
      <c r="D386" s="20" t="s">
        <v>11</v>
      </c>
      <c r="E386" s="20">
        <f>IF(VLOOKUP(D386,Budget!A:B,2,FALSE)&lt;&gt;0,IF(G386=0,24,24-G386),0)</f>
        <v>24</v>
      </c>
      <c r="F386" s="20"/>
      <c r="G386" s="20"/>
      <c r="H386" s="93">
        <f>IF(E386=0,0,IF(M386="ja",(VLOOKUP(D386,Budget!A:F,6,FALSE)*(E386-(VLOOKUP(D386,Budget!A:F,3,FALSE)))),VLOOKUP($D386,Budget!$A$1:$F$19,6,FALSE)*E386))</f>
        <v>36960</v>
      </c>
      <c r="I386" s="93">
        <f>IF(F386=0,0,IF(M386="ja",((VLOOKUP(F386,Budget!A:F,6,FALSE)*(E386-(VLOOKUP(F386,Budget!A:F,3,FALSE))))),VLOOKUP($D386,Budget!A:F,5,FALSE)*E386))</f>
        <v>0</v>
      </c>
      <c r="J386" s="87">
        <f t="shared" si="27"/>
        <v>36960</v>
      </c>
      <c r="K386" s="21"/>
      <c r="L386" s="74"/>
      <c r="M386" s="77" t="str">
        <f t="shared" si="28"/>
        <v>nein</v>
      </c>
      <c r="N386">
        <f t="shared" si="23"/>
        <v>2022</v>
      </c>
    </row>
    <row r="387" spans="1:14" hidden="1" x14ac:dyDescent="0.3">
      <c r="A387" s="104">
        <f t="shared" si="26"/>
        <v>3</v>
      </c>
      <c r="B387" s="22">
        <v>44578</v>
      </c>
      <c r="C387" s="10" t="s">
        <v>3</v>
      </c>
      <c r="D387" s="12" t="s">
        <v>11</v>
      </c>
      <c r="E387" s="13">
        <f>IF(VLOOKUP(D387,Budget!A:B,2,FALSE)&lt;&gt;0,IF(G387=0,24,24-G387),0)</f>
        <v>24</v>
      </c>
      <c r="F387" s="13"/>
      <c r="G387" s="13"/>
      <c r="H387" s="85">
        <f>IF(E387=0,0,IF(M387="ja",(VLOOKUP(D387,Budget!A:F,6,FALSE)*(E387-(VLOOKUP(D387,Budget!A:F,3,FALSE)))),VLOOKUP($D387,Budget!$A$1:$F$19,6,FALSE)*E387))</f>
        <v>36960</v>
      </c>
      <c r="I387" s="85">
        <f>IF(F387=0,0,IF(M387="ja",((VLOOKUP(F387,Budget!A:F,6,FALSE)*(E387-(VLOOKUP(F387,Budget!A:F,3,FALSE))))),VLOOKUP($D387,Budget!A:F,5,FALSE)*E387))</f>
        <v>0</v>
      </c>
      <c r="J387" s="85">
        <f t="shared" si="27"/>
        <v>36960</v>
      </c>
      <c r="K387" s="15"/>
      <c r="L387" s="72"/>
      <c r="M387" s="80" t="str">
        <f t="shared" si="28"/>
        <v>nein</v>
      </c>
      <c r="N387">
        <f t="shared" ref="N387:N450" si="29">YEAR(B387)</f>
        <v>2022</v>
      </c>
    </row>
    <row r="388" spans="1:14" hidden="1" x14ac:dyDescent="0.3">
      <c r="A388" s="105">
        <f t="shared" si="26"/>
        <v>3</v>
      </c>
      <c r="B388" s="22">
        <v>44579</v>
      </c>
      <c r="C388" s="11" t="s">
        <v>4</v>
      </c>
      <c r="D388" s="12" t="s">
        <v>66</v>
      </c>
      <c r="E388" s="13">
        <f>IF(VLOOKUP(D388,Budget!A:B,2,FALSE)&lt;&gt;0,IF(G388=0,24,24-G388),0)</f>
        <v>24</v>
      </c>
      <c r="G388" s="13"/>
      <c r="H388" s="85">
        <f>IF(E388=0,0,IF(M388="ja",(VLOOKUP(D388,Budget!A:F,6,FALSE)*(E388-(VLOOKUP(D388,Budget!A:F,3,FALSE)))),VLOOKUP($D388,Budget!$A$1:$F$19,6,FALSE)*E388))</f>
        <v>32328.172065231582</v>
      </c>
      <c r="I388" s="85">
        <f>IF(F388=0,0,IF(M388="ja",((VLOOKUP(F388,Budget!A:F,6,FALSE)*(E388-(VLOOKUP(F388,Budget!A:F,3,FALSE))))),VLOOKUP($D388,Budget!A:F,5,FALSE)*E388))</f>
        <v>0</v>
      </c>
      <c r="J388" s="85">
        <f t="shared" si="27"/>
        <v>32328.172065231582</v>
      </c>
      <c r="K388" s="14"/>
      <c r="L388" s="73"/>
      <c r="M388" s="80" t="str">
        <f t="shared" si="28"/>
        <v>ja</v>
      </c>
      <c r="N388">
        <f t="shared" si="29"/>
        <v>2022</v>
      </c>
    </row>
    <row r="389" spans="1:14" hidden="1" x14ac:dyDescent="0.3">
      <c r="A389" s="105">
        <f t="shared" si="26"/>
        <v>3</v>
      </c>
      <c r="B389" s="22">
        <v>44580</v>
      </c>
      <c r="C389" s="11" t="s">
        <v>5</v>
      </c>
      <c r="D389" s="12" t="s">
        <v>66</v>
      </c>
      <c r="E389" s="13">
        <f>IF(VLOOKUP(D389,Budget!A:B,2,FALSE)&lt;&gt;0,IF(G389=0,24,24-G389),0)</f>
        <v>24</v>
      </c>
      <c r="G389" s="13"/>
      <c r="H389" s="85">
        <f>IF(E389=0,0,IF(M389="ja",(VLOOKUP(D389,Budget!A:F,6,FALSE)*(E389-(VLOOKUP(D389,Budget!A:F,3,FALSE)))),VLOOKUP($D389,Budget!$A$1:$F$19,6,FALSE)*E389))</f>
        <v>36946.482360264665</v>
      </c>
      <c r="I389" s="85">
        <f>IF(F389=0,0,IF(M389="ja",((VLOOKUP(F389,Budget!A:F,6,FALSE)*(E389-(VLOOKUP(F389,Budget!A:F,3,FALSE))))),VLOOKUP($D389,Budget!A:F,5,FALSE)*E389))</f>
        <v>0</v>
      </c>
      <c r="J389" s="85">
        <f t="shared" si="27"/>
        <v>36946.482360264665</v>
      </c>
      <c r="K389" s="14"/>
      <c r="L389" s="73"/>
      <c r="M389" s="80" t="str">
        <f t="shared" si="28"/>
        <v>nein</v>
      </c>
      <c r="N389">
        <f t="shared" si="29"/>
        <v>2022</v>
      </c>
    </row>
    <row r="390" spans="1:14" hidden="1" x14ac:dyDescent="0.3">
      <c r="A390" s="103">
        <f t="shared" si="26"/>
        <v>3</v>
      </c>
      <c r="B390" s="22">
        <v>44581</v>
      </c>
      <c r="C390" s="11" t="s">
        <v>6</v>
      </c>
      <c r="D390" s="12" t="s">
        <v>69</v>
      </c>
      <c r="E390" s="13">
        <f>IF(VLOOKUP(D390,Budget!A:B,2,FALSE)&lt;&gt;0,IF(G390=0,24,24-G390),0)</f>
        <v>24</v>
      </c>
      <c r="G390" s="13"/>
      <c r="H390" s="85">
        <f>IF(E390=0,0,IF(M390="ja",(VLOOKUP(D390,Budget!A:F,6,FALSE)*(E390-(VLOOKUP(D390,Budget!A:F,3,FALSE)))),VLOOKUP($D390,Budget!$A$1:$F$19,6,FALSE)*E390))</f>
        <v>38269.757143831848</v>
      </c>
      <c r="I390" s="85">
        <f>IF(F390=0,0,IF(M390="ja",((VLOOKUP(F390,Budget!A:F,6,FALSE)*(E390-(VLOOKUP(F390,Budget!A:F,3,FALSE))))),VLOOKUP($D390,Budget!A:F,5,FALSE)*E390))</f>
        <v>0</v>
      </c>
      <c r="J390" s="85">
        <f t="shared" si="27"/>
        <v>38269.757143831848</v>
      </c>
      <c r="K390" s="14"/>
      <c r="L390" s="73"/>
      <c r="M390" s="80" t="str">
        <f t="shared" si="28"/>
        <v>ja</v>
      </c>
      <c r="N390">
        <f t="shared" si="29"/>
        <v>2022</v>
      </c>
    </row>
    <row r="391" spans="1:14" hidden="1" x14ac:dyDescent="0.3">
      <c r="A391" s="105">
        <f t="shared" si="26"/>
        <v>3</v>
      </c>
      <c r="B391" s="22">
        <v>44582</v>
      </c>
      <c r="C391" s="11" t="s">
        <v>7</v>
      </c>
      <c r="D391" s="12" t="s">
        <v>69</v>
      </c>
      <c r="E391" s="13">
        <f>IF(VLOOKUP(D391,Budget!A:B,2,FALSE)&lt;&gt;0,IF(G391=0,24,24-G391),0)</f>
        <v>24</v>
      </c>
      <c r="G391" s="13"/>
      <c r="H391" s="85">
        <f>IF(E391=0,0,IF(M391="ja",(VLOOKUP(D391,Budget!A:F,6,FALSE)*(E391-(VLOOKUP(D391,Budget!A:F,3,FALSE)))),VLOOKUP($D391,Budget!$A$1:$F$19,6,FALSE)*E391))</f>
        <v>42919.35380616656</v>
      </c>
      <c r="I391" s="85">
        <f>IF(F391=0,0,IF(M391="ja",((VLOOKUP(F391,Budget!A:F,6,FALSE)*(E391-(VLOOKUP(F391,Budget!A:F,3,FALSE))))),VLOOKUP($D391,Budget!A:F,5,FALSE)*E391))</f>
        <v>0</v>
      </c>
      <c r="J391" s="85">
        <f t="shared" si="27"/>
        <v>42919.35380616656</v>
      </c>
      <c r="K391" s="14"/>
      <c r="L391" s="25"/>
      <c r="M391" s="80" t="str">
        <f t="shared" si="28"/>
        <v>nein</v>
      </c>
      <c r="N391">
        <f t="shared" si="29"/>
        <v>2022</v>
      </c>
    </row>
    <row r="392" spans="1:14" hidden="1" x14ac:dyDescent="0.3">
      <c r="A392" s="105">
        <f t="shared" si="26"/>
        <v>3</v>
      </c>
      <c r="B392" s="22">
        <v>44583</v>
      </c>
      <c r="C392" s="16" t="s">
        <v>8</v>
      </c>
      <c r="D392" s="17" t="s">
        <v>69</v>
      </c>
      <c r="E392" s="24">
        <f>IF(VLOOKUP(D392,Budget!A:B,2,FALSE)&lt;&gt;0,IF(G392=0,24,24-G392),0)</f>
        <v>24</v>
      </c>
      <c r="F392" s="17"/>
      <c r="G392" s="17"/>
      <c r="H392" s="86">
        <f>IF(E392=0,0,IF(M392="ja",(VLOOKUP(D392,Budget!A:F,6,FALSE)*(E392-(VLOOKUP(D392,Budget!A:F,3,FALSE)))),VLOOKUP($D392,Budget!$A$1:$F$19,6,FALSE)*E392))</f>
        <v>42919.35380616656</v>
      </c>
      <c r="I392" s="86">
        <f>IF(F392=0,0,IF(M392="ja",((VLOOKUP(F392,Budget!A:F,6,FALSE)*(E392-(VLOOKUP(F392,Budget!A:F,3,FALSE))))),VLOOKUP($D392,Budget!A:F,5,FALSE)*E392))</f>
        <v>0</v>
      </c>
      <c r="J392" s="86">
        <f t="shared" si="27"/>
        <v>42919.35380616656</v>
      </c>
      <c r="K392" s="18"/>
      <c r="L392" s="75"/>
      <c r="M392" s="76" t="str">
        <f t="shared" si="28"/>
        <v>nein</v>
      </c>
      <c r="N392">
        <f t="shared" si="29"/>
        <v>2022</v>
      </c>
    </row>
    <row r="393" spans="1:14" ht="15" hidden="1" thickBot="1" x14ac:dyDescent="0.35">
      <c r="A393" s="105">
        <f t="shared" si="26"/>
        <v>3</v>
      </c>
      <c r="B393" s="27">
        <v>44584</v>
      </c>
      <c r="C393" s="19" t="s">
        <v>9</v>
      </c>
      <c r="D393" s="20" t="s">
        <v>69</v>
      </c>
      <c r="E393" s="20">
        <f>IF(VLOOKUP(D393,Budget!A:B,2,FALSE)&lt;&gt;0,IF(G393=0,24,24-G393),0)</f>
        <v>24</v>
      </c>
      <c r="F393" s="20"/>
      <c r="G393" s="20"/>
      <c r="H393" s="93">
        <f>IF(E393=0,0,IF(M393="ja",(VLOOKUP(D393,Budget!A:F,6,FALSE)*(E393-(VLOOKUP(D393,Budget!A:F,3,FALSE)))),VLOOKUP($D393,Budget!$A$1:$F$19,6,FALSE)*E393))</f>
        <v>42919.35380616656</v>
      </c>
      <c r="I393" s="93">
        <f>IF(F393=0,0,IF(M393="ja",((VLOOKUP(F393,Budget!A:F,6,FALSE)*(E393-(VLOOKUP(F393,Budget!A:F,3,FALSE))))),VLOOKUP($D393,Budget!A:F,5,FALSE)*E393))</f>
        <v>0</v>
      </c>
      <c r="J393" s="87">
        <f t="shared" si="27"/>
        <v>42919.35380616656</v>
      </c>
      <c r="K393" s="21"/>
      <c r="L393" s="74"/>
      <c r="M393" s="77" t="str">
        <f t="shared" si="28"/>
        <v>nein</v>
      </c>
      <c r="N393">
        <f t="shared" si="29"/>
        <v>2022</v>
      </c>
    </row>
    <row r="394" spans="1:14" hidden="1" x14ac:dyDescent="0.3">
      <c r="A394" s="104">
        <f t="shared" si="26"/>
        <v>4</v>
      </c>
      <c r="B394" s="22">
        <v>44585</v>
      </c>
      <c r="C394" s="10" t="s">
        <v>3</v>
      </c>
      <c r="D394" s="12" t="s">
        <v>29</v>
      </c>
      <c r="E394" s="13">
        <f>IF(VLOOKUP(D394,Budget!A:B,2,FALSE)&lt;&gt;0,IF(G394=0,24,24-G394),0)</f>
        <v>0</v>
      </c>
      <c r="F394" s="13"/>
      <c r="G394" s="13"/>
      <c r="H394" s="85">
        <f>IF(E394=0,0,IF(M394="ja",(VLOOKUP(D394,Budget!A:F,6,FALSE)*(E394-(VLOOKUP(D394,Budget!A:F,3,FALSE)))),VLOOKUP($D394,Budget!$A$1:$F$19,6,FALSE)*E394))</f>
        <v>0</v>
      </c>
      <c r="I394" s="85">
        <f>IF(F394=0,0,IF(M394="ja",((VLOOKUP(F394,Budget!A:F,6,FALSE)*(E394-(VLOOKUP(F394,Budget!A:F,3,FALSE))))),VLOOKUP($D394,Budget!A:F,5,FALSE)*E394))</f>
        <v>0</v>
      </c>
      <c r="J394" s="85">
        <f t="shared" si="27"/>
        <v>0</v>
      </c>
      <c r="K394" s="15"/>
      <c r="L394" s="72"/>
      <c r="M394" s="80" t="str">
        <f t="shared" si="28"/>
        <v>nein</v>
      </c>
      <c r="N394">
        <f t="shared" si="29"/>
        <v>2022</v>
      </c>
    </row>
    <row r="395" spans="1:14" hidden="1" x14ac:dyDescent="0.3">
      <c r="A395" s="105">
        <f t="shared" si="26"/>
        <v>4</v>
      </c>
      <c r="B395" s="22">
        <v>44586</v>
      </c>
      <c r="C395" s="11" t="s">
        <v>4</v>
      </c>
      <c r="D395" s="12" t="s">
        <v>29</v>
      </c>
      <c r="E395" s="13">
        <f>IF(VLOOKUP(D395,Budget!A:B,2,FALSE)&lt;&gt;0,IF(G395=0,24,24-G395),0)</f>
        <v>0</v>
      </c>
      <c r="G395" s="13"/>
      <c r="H395" s="85">
        <f>IF(E395=0,0,IF(M395="ja",(VLOOKUP(D395,Budget!A:F,6,FALSE)*(E395-(VLOOKUP(D395,Budget!A:F,3,FALSE)))),VLOOKUP($D395,Budget!$A$1:$F$19,6,FALSE)*E395))</f>
        <v>0</v>
      </c>
      <c r="I395" s="85">
        <f>IF(F395=0,0,IF(M395="ja",((VLOOKUP(F395,Budget!A:F,6,FALSE)*(E395-(VLOOKUP(F395,Budget!A:F,3,FALSE))))),VLOOKUP($D395,Budget!A:F,5,FALSE)*E395))</f>
        <v>0</v>
      </c>
      <c r="J395" s="85">
        <f t="shared" si="27"/>
        <v>0</v>
      </c>
      <c r="K395" s="14"/>
      <c r="L395" s="73"/>
      <c r="M395" s="80" t="str">
        <f t="shared" si="28"/>
        <v>nein</v>
      </c>
      <c r="N395">
        <f t="shared" si="29"/>
        <v>2022</v>
      </c>
    </row>
    <row r="396" spans="1:14" hidden="1" x14ac:dyDescent="0.3">
      <c r="A396" s="105">
        <f t="shared" si="26"/>
        <v>4</v>
      </c>
      <c r="B396" s="22">
        <v>44587</v>
      </c>
      <c r="C396" s="11" t="s">
        <v>5</v>
      </c>
      <c r="D396" s="12" t="s">
        <v>29</v>
      </c>
      <c r="E396" s="13">
        <f>IF(VLOOKUP(D396,Budget!A:B,2,FALSE)&lt;&gt;0,IF(G396=0,24,24-G396),0)</f>
        <v>0</v>
      </c>
      <c r="G396" s="13"/>
      <c r="H396" s="85">
        <f>IF(E396=0,0,IF(M396="ja",(VLOOKUP(D396,Budget!A:F,6,FALSE)*(E396-(VLOOKUP(D396,Budget!A:F,3,FALSE)))),VLOOKUP($D396,Budget!$A$1:$F$19,6,FALSE)*E396))</f>
        <v>0</v>
      </c>
      <c r="I396" s="85">
        <f>IF(F396=0,0,IF(M396="ja",((VLOOKUP(F396,Budget!A:F,6,FALSE)*(E396-(VLOOKUP(F396,Budget!A:F,3,FALSE))))),VLOOKUP($D396,Budget!A:F,5,FALSE)*E396))</f>
        <v>0</v>
      </c>
      <c r="J396" s="85">
        <f t="shared" si="27"/>
        <v>0</v>
      </c>
      <c r="K396" s="14"/>
      <c r="L396" s="73"/>
      <c r="M396" s="80" t="str">
        <f t="shared" si="28"/>
        <v>nein</v>
      </c>
      <c r="N396">
        <f t="shared" si="29"/>
        <v>2022</v>
      </c>
    </row>
    <row r="397" spans="1:14" hidden="1" x14ac:dyDescent="0.3">
      <c r="A397" s="103">
        <f t="shared" si="26"/>
        <v>4</v>
      </c>
      <c r="B397" s="22">
        <v>44588</v>
      </c>
      <c r="C397" s="11" t="s">
        <v>6</v>
      </c>
      <c r="D397" s="12" t="s">
        <v>29</v>
      </c>
      <c r="E397" s="13">
        <f>IF(VLOOKUP(D397,Budget!A:B,2,FALSE)&lt;&gt;0,IF(G397=0,24,24-G397),0)</f>
        <v>0</v>
      </c>
      <c r="G397" s="13"/>
      <c r="H397" s="85">
        <f>IF(E397=0,0,IF(M397="ja",(VLOOKUP(D397,Budget!A:F,6,FALSE)*(E397-(VLOOKUP(D397,Budget!A:F,3,FALSE)))),VLOOKUP($D397,Budget!$A$1:$F$19,6,FALSE)*E397))</f>
        <v>0</v>
      </c>
      <c r="I397" s="85">
        <f>IF(F397=0,0,IF(M397="ja",((VLOOKUP(F397,Budget!A:F,6,FALSE)*(E397-(VLOOKUP(F397,Budget!A:F,3,FALSE))))),VLOOKUP($D397,Budget!A:F,5,FALSE)*E397))</f>
        <v>0</v>
      </c>
      <c r="J397" s="85">
        <f t="shared" si="27"/>
        <v>0</v>
      </c>
      <c r="K397" s="14"/>
      <c r="L397" s="73"/>
      <c r="M397" s="80" t="str">
        <f t="shared" si="28"/>
        <v>nein</v>
      </c>
      <c r="N397">
        <f t="shared" si="29"/>
        <v>2022</v>
      </c>
    </row>
    <row r="398" spans="1:14" hidden="1" x14ac:dyDescent="0.3">
      <c r="A398" s="105">
        <f t="shared" si="26"/>
        <v>4</v>
      </c>
      <c r="B398" s="22">
        <v>44589</v>
      </c>
      <c r="C398" s="11" t="s">
        <v>7</v>
      </c>
      <c r="D398" s="12" t="s">
        <v>29</v>
      </c>
      <c r="E398" s="13">
        <f>IF(VLOOKUP(D398,Budget!A:B,2,FALSE)&lt;&gt;0,IF(G398=0,24,24-G398),0)</f>
        <v>0</v>
      </c>
      <c r="G398" s="13"/>
      <c r="H398" s="85">
        <f>IF(E398=0,0,IF(M398="ja",(VLOOKUP(D398,Budget!A:F,6,FALSE)*(E398-(VLOOKUP(D398,Budget!A:F,3,FALSE)))),VLOOKUP($D398,Budget!$A$1:$F$19,6,FALSE)*E398))</f>
        <v>0</v>
      </c>
      <c r="I398" s="85">
        <f>IF(F398=0,0,IF(M398="ja",((VLOOKUP(F398,Budget!A:F,6,FALSE)*(E398-(VLOOKUP(F398,Budget!A:F,3,FALSE))))),VLOOKUP($D398,Budget!A:F,5,FALSE)*E398))</f>
        <v>0</v>
      </c>
      <c r="J398" s="85">
        <f t="shared" si="27"/>
        <v>0</v>
      </c>
      <c r="K398" s="14"/>
      <c r="L398" s="25"/>
      <c r="M398" s="80" t="str">
        <f t="shared" si="28"/>
        <v>nein</v>
      </c>
      <c r="N398">
        <f t="shared" si="29"/>
        <v>2022</v>
      </c>
    </row>
    <row r="399" spans="1:14" hidden="1" x14ac:dyDescent="0.3">
      <c r="A399" s="105">
        <f t="shared" si="26"/>
        <v>4</v>
      </c>
      <c r="B399" s="22">
        <v>44590</v>
      </c>
      <c r="C399" s="16" t="s">
        <v>8</v>
      </c>
      <c r="D399" s="17" t="s">
        <v>29</v>
      </c>
      <c r="E399" s="24">
        <f>IF(VLOOKUP(D399,Budget!A:B,2,FALSE)&lt;&gt;0,IF(G399=0,24,24-G399),0)</f>
        <v>0</v>
      </c>
      <c r="F399" s="17"/>
      <c r="G399" s="17"/>
      <c r="H399" s="86">
        <f>IF(E399=0,0,IF(M399="ja",(VLOOKUP(D399,Budget!A:F,6,FALSE)*(E399-(VLOOKUP(D399,Budget!A:F,3,FALSE)))),VLOOKUP($D399,Budget!$A$1:$F$19,6,FALSE)*E399))</f>
        <v>0</v>
      </c>
      <c r="I399" s="86">
        <f>IF(F399=0,0,IF(M399="ja",((VLOOKUP(F399,Budget!A:F,6,FALSE)*(E399-(VLOOKUP(F399,Budget!A:F,3,FALSE))))),VLOOKUP($D399,Budget!A:F,5,FALSE)*E399))</f>
        <v>0</v>
      </c>
      <c r="J399" s="86">
        <f t="shared" si="27"/>
        <v>0</v>
      </c>
      <c r="K399" s="18"/>
      <c r="L399" s="75"/>
      <c r="M399" s="76" t="str">
        <f t="shared" si="28"/>
        <v>nein</v>
      </c>
      <c r="N399">
        <f t="shared" si="29"/>
        <v>2022</v>
      </c>
    </row>
    <row r="400" spans="1:14" ht="15" hidden="1" thickBot="1" x14ac:dyDescent="0.35">
      <c r="A400" s="105">
        <f t="shared" si="26"/>
        <v>4</v>
      </c>
      <c r="B400" s="27">
        <v>44591</v>
      </c>
      <c r="C400" s="19" t="s">
        <v>9</v>
      </c>
      <c r="D400" s="20" t="s">
        <v>29</v>
      </c>
      <c r="E400" s="20">
        <f>IF(VLOOKUP(D400,Budget!A:B,2,FALSE)&lt;&gt;0,IF(G400=0,24,24-G400),0)</f>
        <v>0</v>
      </c>
      <c r="F400" s="20"/>
      <c r="G400" s="20"/>
      <c r="H400" s="93">
        <f>IF(E400=0,0,IF(M400="ja",(VLOOKUP(D400,Budget!A:F,6,FALSE)*(E400-(VLOOKUP(D400,Budget!A:F,3,FALSE)))),VLOOKUP($D400,Budget!$A$1:$F$19,6,FALSE)*E400))</f>
        <v>0</v>
      </c>
      <c r="I400" s="93">
        <f>IF(F400=0,0,IF(M400="ja",((VLOOKUP(F400,Budget!A:F,6,FALSE)*(E400-(VLOOKUP(F400,Budget!A:F,3,FALSE))))),VLOOKUP($D400,Budget!A:F,5,FALSE)*E400))</f>
        <v>0</v>
      </c>
      <c r="J400" s="87">
        <f t="shared" si="27"/>
        <v>0</v>
      </c>
      <c r="K400" s="21"/>
      <c r="L400" s="74"/>
      <c r="M400" s="77" t="str">
        <f t="shared" si="28"/>
        <v>nein</v>
      </c>
      <c r="N400">
        <f t="shared" si="29"/>
        <v>2022</v>
      </c>
    </row>
    <row r="401" spans="1:14" hidden="1" x14ac:dyDescent="0.3">
      <c r="A401" s="104">
        <f t="shared" si="26"/>
        <v>5</v>
      </c>
      <c r="B401" s="22">
        <v>44592</v>
      </c>
      <c r="C401" s="10" t="s">
        <v>3</v>
      </c>
      <c r="D401" s="12" t="s">
        <v>18</v>
      </c>
      <c r="E401" s="13">
        <f>IF(VLOOKUP(D401,Budget!A:B,2,FALSE)&lt;&gt;0,IF(G401=0,24,24-G401),0)</f>
        <v>24</v>
      </c>
      <c r="F401" s="13"/>
      <c r="G401" s="13"/>
      <c r="H401" s="85">
        <f>IF(E401=0,0,IF(M401="ja",(VLOOKUP(D401,Budget!A:F,6,FALSE)*(E401-(VLOOKUP(D401,Budget!A:F,3,FALSE)))),VLOOKUP($D401,Budget!$A$1:$F$19,6,FALSE)*E401))</f>
        <v>25200</v>
      </c>
      <c r="I401" s="85">
        <f>IF(F401=0,0,IF(M401="ja",((VLOOKUP(F401,Budget!A:F,6,FALSE)*(E401-(VLOOKUP(F401,Budget!A:F,3,FALSE))))),VLOOKUP($D401,Budget!A:F,5,FALSE)*E401))</f>
        <v>0</v>
      </c>
      <c r="J401" s="85">
        <f t="shared" si="27"/>
        <v>25200</v>
      </c>
      <c r="K401" s="15"/>
      <c r="L401" s="72"/>
      <c r="M401" s="80" t="str">
        <f t="shared" si="28"/>
        <v>ja</v>
      </c>
      <c r="N401">
        <f t="shared" si="29"/>
        <v>2022</v>
      </c>
    </row>
    <row r="402" spans="1:14" hidden="1" x14ac:dyDescent="0.3">
      <c r="A402" s="105">
        <f t="shared" si="26"/>
        <v>5</v>
      </c>
      <c r="B402" s="22">
        <v>44593</v>
      </c>
      <c r="C402" s="11" t="s">
        <v>4</v>
      </c>
      <c r="D402" s="12" t="s">
        <v>18</v>
      </c>
      <c r="E402" s="13">
        <f>IF(VLOOKUP(D402,Budget!A:B,2,FALSE)&lt;&gt;0,IF(G402=0,24,24-G402),0)</f>
        <v>24</v>
      </c>
      <c r="G402" s="13"/>
      <c r="H402" s="85">
        <f>IF(E402=0,0,IF(M402="ja",(VLOOKUP(D402,Budget!A:F,6,FALSE)*(E402-(VLOOKUP(D402,Budget!A:F,3,FALSE)))),VLOOKUP($D402,Budget!$A$1:$F$19,6,FALSE)*E402))</f>
        <v>28800</v>
      </c>
      <c r="I402" s="85">
        <f>IF(F402=0,0,IF(M402="ja",((VLOOKUP(F402,Budget!A:F,6,FALSE)*(E402-(VLOOKUP(F402,Budget!A:F,3,FALSE))))),VLOOKUP($D402,Budget!A:F,5,FALSE)*E402))</f>
        <v>0</v>
      </c>
      <c r="J402" s="85">
        <f t="shared" si="27"/>
        <v>28800</v>
      </c>
      <c r="K402" s="14"/>
      <c r="L402" s="73"/>
      <c r="M402" s="80" t="str">
        <f t="shared" si="28"/>
        <v>nein</v>
      </c>
      <c r="N402">
        <f t="shared" si="29"/>
        <v>2022</v>
      </c>
    </row>
    <row r="403" spans="1:14" hidden="1" x14ac:dyDescent="0.3">
      <c r="A403" s="105">
        <f t="shared" si="26"/>
        <v>5</v>
      </c>
      <c r="B403" s="22">
        <v>44594</v>
      </c>
      <c r="C403" s="11" t="s">
        <v>5</v>
      </c>
      <c r="D403" s="12" t="s">
        <v>30</v>
      </c>
      <c r="E403" s="13">
        <f>IF(VLOOKUP(D403,Budget!A:B,2,FALSE)&lt;&gt;0,IF(G403=0,24,24-G403),0)</f>
        <v>0</v>
      </c>
      <c r="G403" s="13"/>
      <c r="H403" s="85">
        <f>IF(E403=0,0,IF(M403="ja",(VLOOKUP(D403,Budget!A:F,6,FALSE)*(E403-(VLOOKUP(D403,Budget!A:F,3,FALSE)))),VLOOKUP($D403,Budget!$A$1:$F$19,6,FALSE)*E403))</f>
        <v>0</v>
      </c>
      <c r="I403" s="85">
        <f>IF(F403=0,0,IF(M403="ja",((VLOOKUP(F403,Budget!A:F,6,FALSE)*(E403-(VLOOKUP(F403,Budget!A:F,3,FALSE))))),VLOOKUP($D403,Budget!A:F,5,FALSE)*E403))</f>
        <v>0</v>
      </c>
      <c r="J403" s="85">
        <f t="shared" si="27"/>
        <v>0</v>
      </c>
      <c r="K403" s="14"/>
      <c r="L403" s="73"/>
      <c r="M403" s="80" t="str">
        <f t="shared" si="28"/>
        <v>nein</v>
      </c>
      <c r="N403">
        <f t="shared" si="29"/>
        <v>2022</v>
      </c>
    </row>
    <row r="404" spans="1:14" hidden="1" x14ac:dyDescent="0.3">
      <c r="A404" s="103">
        <f t="shared" si="26"/>
        <v>5</v>
      </c>
      <c r="B404" s="22">
        <v>44595</v>
      </c>
      <c r="C404" s="11" t="s">
        <v>6</v>
      </c>
      <c r="D404" s="12" t="s">
        <v>69</v>
      </c>
      <c r="E404" s="13">
        <f>IF(VLOOKUP(D404,Budget!A:B,2,FALSE)&lt;&gt;0,IF(G404=0,24,24-G404),0)</f>
        <v>24</v>
      </c>
      <c r="G404" s="13"/>
      <c r="H404" s="85">
        <f>IF(E404=0,0,IF(M404="ja",(VLOOKUP(D404,Budget!A:F,6,FALSE)*(E404-(VLOOKUP(D404,Budget!A:F,3,FALSE)))),VLOOKUP($D404,Budget!$A$1:$F$19,6,FALSE)*E404))</f>
        <v>38269.757143831848</v>
      </c>
      <c r="I404" s="85">
        <f>IF(F404=0,0,IF(M404="ja",((VLOOKUP(F404,Budget!A:F,6,FALSE)*(E404-(VLOOKUP(F404,Budget!A:F,3,FALSE))))),VLOOKUP($D404,Budget!A:F,5,FALSE)*E404))</f>
        <v>0</v>
      </c>
      <c r="J404" s="85">
        <f t="shared" si="27"/>
        <v>38269.757143831848</v>
      </c>
      <c r="K404" s="14"/>
      <c r="L404" s="73"/>
      <c r="M404" s="80" t="str">
        <f t="shared" si="28"/>
        <v>ja</v>
      </c>
      <c r="N404">
        <f t="shared" si="29"/>
        <v>2022</v>
      </c>
    </row>
    <row r="405" spans="1:14" hidden="1" x14ac:dyDescent="0.3">
      <c r="A405" s="105">
        <f t="shared" si="26"/>
        <v>5</v>
      </c>
      <c r="B405" s="22">
        <v>44596</v>
      </c>
      <c r="C405" s="11" t="s">
        <v>7</v>
      </c>
      <c r="D405" s="12" t="s">
        <v>69</v>
      </c>
      <c r="E405" s="13">
        <f>IF(VLOOKUP(D405,Budget!A:B,2,FALSE)&lt;&gt;0,IF(G405=0,24,24-G405),0)</f>
        <v>24</v>
      </c>
      <c r="G405" s="13"/>
      <c r="H405" s="85">
        <f>IF(E405=0,0,IF(M405="ja",(VLOOKUP(D405,Budget!A:F,6,FALSE)*(E405-(VLOOKUP(D405,Budget!A:F,3,FALSE)))),VLOOKUP($D405,Budget!$A$1:$F$19,6,FALSE)*E405))</f>
        <v>42919.35380616656</v>
      </c>
      <c r="I405" s="85">
        <f>IF(F405=0,0,IF(M405="ja",((VLOOKUP(F405,Budget!A:F,6,FALSE)*(E405-(VLOOKUP(F405,Budget!A:F,3,FALSE))))),VLOOKUP($D405,Budget!A:F,5,FALSE)*E405))</f>
        <v>0</v>
      </c>
      <c r="J405" s="85">
        <f t="shared" si="27"/>
        <v>42919.35380616656</v>
      </c>
      <c r="K405" s="14"/>
      <c r="L405" s="25"/>
      <c r="M405" s="80" t="str">
        <f t="shared" si="28"/>
        <v>nein</v>
      </c>
      <c r="N405">
        <f t="shared" si="29"/>
        <v>2022</v>
      </c>
    </row>
    <row r="406" spans="1:14" hidden="1" x14ac:dyDescent="0.3">
      <c r="A406" s="105">
        <f t="shared" si="26"/>
        <v>5</v>
      </c>
      <c r="B406" s="22">
        <v>44597</v>
      </c>
      <c r="C406" s="16" t="s">
        <v>8</v>
      </c>
      <c r="D406" s="17" t="s">
        <v>69</v>
      </c>
      <c r="E406" s="24">
        <f>IF(VLOOKUP(D406,Budget!A:B,2,FALSE)&lt;&gt;0,IF(G406=0,24,24-G406),0)</f>
        <v>24</v>
      </c>
      <c r="F406" s="17"/>
      <c r="G406" s="17"/>
      <c r="H406" s="86">
        <f>IF(E406=0,0,IF(M406="ja",(VLOOKUP(D406,Budget!A:F,6,FALSE)*(E406-(VLOOKUP(D406,Budget!A:F,3,FALSE)))),VLOOKUP($D406,Budget!$A$1:$F$19,6,FALSE)*E406))</f>
        <v>42919.35380616656</v>
      </c>
      <c r="I406" s="86">
        <f>IF(F406=0,0,IF(M406="ja",((VLOOKUP(F406,Budget!A:F,6,FALSE)*(E406-(VLOOKUP(F406,Budget!A:F,3,FALSE))))),VLOOKUP($D406,Budget!A:F,5,FALSE)*E406))</f>
        <v>0</v>
      </c>
      <c r="J406" s="86">
        <f t="shared" si="27"/>
        <v>42919.35380616656</v>
      </c>
      <c r="K406" s="18"/>
      <c r="L406" s="75"/>
      <c r="M406" s="76" t="str">
        <f t="shared" si="28"/>
        <v>nein</v>
      </c>
      <c r="N406">
        <f t="shared" si="29"/>
        <v>2022</v>
      </c>
    </row>
    <row r="407" spans="1:14" ht="15" hidden="1" thickBot="1" x14ac:dyDescent="0.35">
      <c r="A407" s="105">
        <f t="shared" si="26"/>
        <v>5</v>
      </c>
      <c r="B407" s="27">
        <v>44598</v>
      </c>
      <c r="C407" s="19" t="s">
        <v>9</v>
      </c>
      <c r="D407" s="20" t="s">
        <v>69</v>
      </c>
      <c r="E407" s="20">
        <f>IF(VLOOKUP(D407,Budget!A:B,2,FALSE)&lt;&gt;0,IF(G407=0,24,24-G407),0)</f>
        <v>24</v>
      </c>
      <c r="F407" s="20"/>
      <c r="G407" s="20"/>
      <c r="H407" s="93">
        <f>IF(E407=0,0,IF(M407="ja",(VLOOKUP(D407,Budget!A:F,6,FALSE)*(E407-(VLOOKUP(D407,Budget!A:F,3,FALSE)))),VLOOKUP($D407,Budget!$A$1:$F$19,6,FALSE)*E407))</f>
        <v>42919.35380616656</v>
      </c>
      <c r="I407" s="93">
        <f>IF(F407=0,0,IF(M407="ja",((VLOOKUP(F407,Budget!A:F,6,FALSE)*(E407-(VLOOKUP(F407,Budget!A:F,3,FALSE))))),VLOOKUP($D407,Budget!A:F,5,FALSE)*E407))</f>
        <v>0</v>
      </c>
      <c r="J407" s="87">
        <f t="shared" si="27"/>
        <v>42919.35380616656</v>
      </c>
      <c r="K407" s="21"/>
      <c r="L407" s="74"/>
      <c r="M407" s="77" t="str">
        <f t="shared" si="28"/>
        <v>nein</v>
      </c>
      <c r="N407">
        <f t="shared" si="29"/>
        <v>2022</v>
      </c>
    </row>
    <row r="408" spans="1:14" hidden="1" x14ac:dyDescent="0.3">
      <c r="A408" s="104">
        <f t="shared" si="26"/>
        <v>6</v>
      </c>
      <c r="B408" s="22">
        <v>44599</v>
      </c>
      <c r="C408" s="10" t="s">
        <v>3</v>
      </c>
      <c r="D408" s="12" t="s">
        <v>11</v>
      </c>
      <c r="E408" s="13">
        <f>IF(VLOOKUP(D408,Budget!A:B,2,FALSE)&lt;&gt;0,IF(G408=0,24,24-G408),0)</f>
        <v>24</v>
      </c>
      <c r="F408" s="13"/>
      <c r="G408" s="13"/>
      <c r="H408" s="85">
        <f>IF(E408=0,0,IF(M408="ja",(VLOOKUP(D408,Budget!A:F,6,FALSE)*(E408-(VLOOKUP(D408,Budget!A:F,3,FALSE)))),VLOOKUP($D408,Budget!$A$1:$F$19,6,FALSE)*E408))</f>
        <v>30030</v>
      </c>
      <c r="I408" s="85">
        <f>IF(F408=0,0,IF(M408="ja",((VLOOKUP(F408,Budget!A:F,6,FALSE)*(E408-(VLOOKUP(F408,Budget!A:F,3,FALSE))))),VLOOKUP($D408,Budget!A:F,5,FALSE)*E408))</f>
        <v>0</v>
      </c>
      <c r="J408" s="85">
        <f t="shared" si="27"/>
        <v>30030</v>
      </c>
      <c r="K408" s="15"/>
      <c r="L408" s="72"/>
      <c r="M408" s="80" t="str">
        <f t="shared" si="28"/>
        <v>ja</v>
      </c>
      <c r="N408">
        <f t="shared" si="29"/>
        <v>2022</v>
      </c>
    </row>
    <row r="409" spans="1:14" hidden="1" x14ac:dyDescent="0.3">
      <c r="A409" s="105">
        <f t="shared" si="26"/>
        <v>6</v>
      </c>
      <c r="B409" s="22">
        <v>44600</v>
      </c>
      <c r="C409" s="11" t="s">
        <v>4</v>
      </c>
      <c r="D409" s="12" t="s">
        <v>11</v>
      </c>
      <c r="E409" s="13">
        <f>IF(VLOOKUP(D409,Budget!A:B,2,FALSE)&lt;&gt;0,IF(G409=0,24,24-G409),0)</f>
        <v>24</v>
      </c>
      <c r="G409" s="13"/>
      <c r="H409" s="85">
        <f>IF(E409=0,0,IF(M409="ja",(VLOOKUP(D409,Budget!A:F,6,FALSE)*(E409-(VLOOKUP(D409,Budget!A:F,3,FALSE)))),VLOOKUP($D409,Budget!$A$1:$F$19,6,FALSE)*E409))</f>
        <v>36960</v>
      </c>
      <c r="I409" s="85">
        <f>IF(F409=0,0,IF(M409="ja",((VLOOKUP(F409,Budget!A:F,6,FALSE)*(E409-(VLOOKUP(F409,Budget!A:F,3,FALSE))))),VLOOKUP($D409,Budget!A:F,5,FALSE)*E409))</f>
        <v>0</v>
      </c>
      <c r="J409" s="85">
        <f t="shared" si="27"/>
        <v>36960</v>
      </c>
      <c r="K409" s="14"/>
      <c r="L409" s="73"/>
      <c r="M409" s="80" t="str">
        <f t="shared" si="28"/>
        <v>nein</v>
      </c>
      <c r="N409">
        <f t="shared" si="29"/>
        <v>2022</v>
      </c>
    </row>
    <row r="410" spans="1:14" hidden="1" x14ac:dyDescent="0.3">
      <c r="A410" s="105">
        <f t="shared" si="26"/>
        <v>6</v>
      </c>
      <c r="B410" s="22">
        <v>44601</v>
      </c>
      <c r="C410" s="11" t="s">
        <v>5</v>
      </c>
      <c r="D410" s="12" t="s">
        <v>11</v>
      </c>
      <c r="E410" s="13">
        <f>IF(VLOOKUP(D410,Budget!A:B,2,FALSE)&lt;&gt;0,IF(G410=0,24,24-G410),0)</f>
        <v>24</v>
      </c>
      <c r="G410" s="13"/>
      <c r="H410" s="85">
        <f>IF(E410=0,0,IF(M410="ja",(VLOOKUP(D410,Budget!A:F,6,FALSE)*(E410-(VLOOKUP(D410,Budget!A:F,3,FALSE)))),VLOOKUP($D410,Budget!$A$1:$F$19,6,FALSE)*E410))</f>
        <v>36960</v>
      </c>
      <c r="I410" s="85">
        <f>IF(F410=0,0,IF(M410="ja",((VLOOKUP(F410,Budget!A:F,6,FALSE)*(E410-(VLOOKUP(F410,Budget!A:F,3,FALSE))))),VLOOKUP($D410,Budget!A:F,5,FALSE)*E410))</f>
        <v>0</v>
      </c>
      <c r="J410" s="85">
        <f t="shared" si="27"/>
        <v>36960</v>
      </c>
      <c r="K410" s="14"/>
      <c r="L410" s="73"/>
      <c r="M410" s="80" t="str">
        <f t="shared" si="28"/>
        <v>nein</v>
      </c>
      <c r="N410">
        <f t="shared" si="29"/>
        <v>2022</v>
      </c>
    </row>
    <row r="411" spans="1:14" hidden="1" x14ac:dyDescent="0.3">
      <c r="A411" s="103">
        <f t="shared" si="26"/>
        <v>6</v>
      </c>
      <c r="B411" s="22">
        <v>44602</v>
      </c>
      <c r="C411" s="11" t="s">
        <v>6</v>
      </c>
      <c r="D411" s="12" t="s">
        <v>11</v>
      </c>
      <c r="E411" s="13">
        <f>IF(VLOOKUP(D411,Budget!A:B,2,FALSE)&lt;&gt;0,IF(G411=0,24,24-G411),0)</f>
        <v>24</v>
      </c>
      <c r="G411" s="13"/>
      <c r="H411" s="85">
        <f>IF(E411=0,0,IF(M411="ja",(VLOOKUP(D411,Budget!A:F,6,FALSE)*(E411-(VLOOKUP(D411,Budget!A:F,3,FALSE)))),VLOOKUP($D411,Budget!$A$1:$F$19,6,FALSE)*E411))</f>
        <v>36960</v>
      </c>
      <c r="I411" s="85">
        <f>IF(F411=0,0,IF(M411="ja",((VLOOKUP(F411,Budget!A:F,6,FALSE)*(E411-(VLOOKUP(F411,Budget!A:F,3,FALSE))))),VLOOKUP($D411,Budget!A:F,5,FALSE)*E411))</f>
        <v>0</v>
      </c>
      <c r="J411" s="85">
        <f t="shared" si="27"/>
        <v>36960</v>
      </c>
      <c r="K411" s="14"/>
      <c r="L411" s="73"/>
      <c r="M411" s="80" t="str">
        <f t="shared" si="28"/>
        <v>nein</v>
      </c>
      <c r="N411">
        <f t="shared" si="29"/>
        <v>2022</v>
      </c>
    </row>
    <row r="412" spans="1:14" hidden="1" x14ac:dyDescent="0.3">
      <c r="A412" s="105">
        <f t="shared" si="26"/>
        <v>6</v>
      </c>
      <c r="B412" s="22">
        <v>44603</v>
      </c>
      <c r="C412" s="11" t="s">
        <v>7</v>
      </c>
      <c r="D412" s="12" t="s">
        <v>11</v>
      </c>
      <c r="E412" s="13">
        <f>IF(VLOOKUP(D412,Budget!A:B,2,FALSE)&lt;&gt;0,IF(G412=0,24,24-G412),0)</f>
        <v>24</v>
      </c>
      <c r="G412" s="13"/>
      <c r="H412" s="85">
        <f>IF(E412=0,0,IF(M412="ja",(VLOOKUP(D412,Budget!A:F,6,FALSE)*(E412-(VLOOKUP(D412,Budget!A:F,3,FALSE)))),VLOOKUP($D412,Budget!$A$1:$F$19,6,FALSE)*E412))</f>
        <v>36960</v>
      </c>
      <c r="I412" s="85">
        <f>IF(F412=0,0,IF(M412="ja",((VLOOKUP(F412,Budget!A:F,6,FALSE)*(E412-(VLOOKUP(F412,Budget!A:F,3,FALSE))))),VLOOKUP($D412,Budget!A:F,5,FALSE)*E412))</f>
        <v>0</v>
      </c>
      <c r="J412" s="85">
        <f t="shared" si="27"/>
        <v>36960</v>
      </c>
      <c r="K412" s="14"/>
      <c r="L412" s="25"/>
      <c r="M412" s="80" t="str">
        <f t="shared" si="28"/>
        <v>nein</v>
      </c>
      <c r="N412">
        <f t="shared" si="29"/>
        <v>2022</v>
      </c>
    </row>
    <row r="413" spans="1:14" hidden="1" x14ac:dyDescent="0.3">
      <c r="A413" s="105">
        <f t="shared" si="26"/>
        <v>6</v>
      </c>
      <c r="B413" s="22">
        <v>44604</v>
      </c>
      <c r="C413" s="16" t="s">
        <v>8</v>
      </c>
      <c r="D413" s="17" t="s">
        <v>11</v>
      </c>
      <c r="E413" s="24">
        <f>IF(VLOOKUP(D413,Budget!A:B,2,FALSE)&lt;&gt;0,IF(G413=0,24,24-G413),0)</f>
        <v>24</v>
      </c>
      <c r="F413" s="17"/>
      <c r="G413" s="17"/>
      <c r="H413" s="86">
        <f>IF(E413=0,0,IF(M413="ja",(VLOOKUP(D413,Budget!A:F,6,FALSE)*(E413-(VLOOKUP(D413,Budget!A:F,3,FALSE)))),VLOOKUP($D413,Budget!$A$1:$F$19,6,FALSE)*E413))</f>
        <v>36960</v>
      </c>
      <c r="I413" s="86">
        <f>IF(F413=0,0,IF(M413="ja",((VLOOKUP(F413,Budget!A:F,6,FALSE)*(E413-(VLOOKUP(F413,Budget!A:F,3,FALSE))))),VLOOKUP($D413,Budget!A:F,5,FALSE)*E413))</f>
        <v>0</v>
      </c>
      <c r="J413" s="86">
        <f t="shared" si="27"/>
        <v>36960</v>
      </c>
      <c r="K413" s="18"/>
      <c r="L413" s="75"/>
      <c r="M413" s="76" t="str">
        <f t="shared" si="28"/>
        <v>nein</v>
      </c>
      <c r="N413">
        <f t="shared" si="29"/>
        <v>2022</v>
      </c>
    </row>
    <row r="414" spans="1:14" ht="15" hidden="1" thickBot="1" x14ac:dyDescent="0.35">
      <c r="A414" s="105">
        <f t="shared" si="26"/>
        <v>6</v>
      </c>
      <c r="B414" s="27">
        <v>44605</v>
      </c>
      <c r="C414" s="19" t="s">
        <v>9</v>
      </c>
      <c r="D414" s="20" t="s">
        <v>11</v>
      </c>
      <c r="E414" s="20">
        <f>IF(VLOOKUP(D414,Budget!A:B,2,FALSE)&lt;&gt;0,IF(G414=0,24,24-G414),0)</f>
        <v>24</v>
      </c>
      <c r="F414" s="20"/>
      <c r="G414" s="20"/>
      <c r="H414" s="93">
        <f>IF(E414=0,0,IF(M414="ja",(VLOOKUP(D414,Budget!A:F,6,FALSE)*(E414-(VLOOKUP(D414,Budget!A:F,3,FALSE)))),VLOOKUP($D414,Budget!$A$1:$F$19,6,FALSE)*E414))</f>
        <v>36960</v>
      </c>
      <c r="I414" s="93">
        <f>IF(F414=0,0,IF(M414="ja",((VLOOKUP(F414,Budget!A:F,6,FALSE)*(E414-(VLOOKUP(F414,Budget!A:F,3,FALSE))))),VLOOKUP($D414,Budget!A:F,5,FALSE)*E414))</f>
        <v>0</v>
      </c>
      <c r="J414" s="87">
        <f t="shared" si="27"/>
        <v>36960</v>
      </c>
      <c r="K414" s="21"/>
      <c r="L414" s="74"/>
      <c r="M414" s="77" t="str">
        <f t="shared" si="28"/>
        <v>nein</v>
      </c>
      <c r="N414">
        <f t="shared" si="29"/>
        <v>2022</v>
      </c>
    </row>
    <row r="415" spans="1:14" hidden="1" x14ac:dyDescent="0.3">
      <c r="A415" s="104">
        <f t="shared" si="26"/>
        <v>7</v>
      </c>
      <c r="B415" s="22">
        <v>44606</v>
      </c>
      <c r="C415" s="10" t="s">
        <v>3</v>
      </c>
      <c r="D415" s="12" t="s">
        <v>69</v>
      </c>
      <c r="E415" s="13">
        <f>IF(VLOOKUP(D415,Budget!A:B,2,FALSE)&lt;&gt;0,IF(G415=0,24,24-G415),0)</f>
        <v>24</v>
      </c>
      <c r="F415" s="13"/>
      <c r="G415" s="13"/>
      <c r="H415" s="85">
        <f>IF(E415=0,0,IF(M415="ja",(VLOOKUP(D415,Budget!A:F,6,FALSE)*(E415-(VLOOKUP(D415,Budget!A:F,3,FALSE)))),VLOOKUP($D415,Budget!$A$1:$F$19,6,FALSE)*E415))</f>
        <v>38269.757143831848</v>
      </c>
      <c r="I415" s="85">
        <f>IF(F415=0,0,IF(M415="ja",((VLOOKUP(F415,Budget!A:F,6,FALSE)*(E415-(VLOOKUP(F415,Budget!A:F,3,FALSE))))),VLOOKUP($D415,Budget!A:F,5,FALSE)*E415))</f>
        <v>0</v>
      </c>
      <c r="J415" s="85">
        <f t="shared" si="27"/>
        <v>38269.757143831848</v>
      </c>
      <c r="K415" s="15"/>
      <c r="L415" s="72"/>
      <c r="M415" s="80" t="str">
        <f t="shared" si="28"/>
        <v>ja</v>
      </c>
      <c r="N415">
        <f t="shared" si="29"/>
        <v>2022</v>
      </c>
    </row>
    <row r="416" spans="1:14" hidden="1" x14ac:dyDescent="0.3">
      <c r="A416" s="105">
        <f t="shared" si="26"/>
        <v>7</v>
      </c>
      <c r="B416" s="22">
        <v>44607</v>
      </c>
      <c r="C416" s="11" t="s">
        <v>4</v>
      </c>
      <c r="D416" s="12" t="s">
        <v>69</v>
      </c>
      <c r="E416" s="13">
        <f>IF(VLOOKUP(D416,Budget!A:B,2,FALSE)&lt;&gt;0,IF(G416=0,24,24-G416),0)</f>
        <v>24</v>
      </c>
      <c r="G416" s="13"/>
      <c r="H416" s="85">
        <f>IF(E416=0,0,IF(M416="ja",(VLOOKUP(D416,Budget!A:F,6,FALSE)*(E416-(VLOOKUP(D416,Budget!A:F,3,FALSE)))),VLOOKUP($D416,Budget!$A$1:$F$19,6,FALSE)*E416))</f>
        <v>42919.35380616656</v>
      </c>
      <c r="I416" s="85">
        <f>IF(F416=0,0,IF(M416="ja",((VLOOKUP(F416,Budget!A:F,6,FALSE)*(E416-(VLOOKUP(F416,Budget!A:F,3,FALSE))))),VLOOKUP($D416,Budget!A:F,5,FALSE)*E416))</f>
        <v>0</v>
      </c>
      <c r="J416" s="85">
        <f t="shared" si="27"/>
        <v>42919.35380616656</v>
      </c>
      <c r="K416" s="14"/>
      <c r="L416" s="73"/>
      <c r="M416" s="80" t="str">
        <f t="shared" si="28"/>
        <v>nein</v>
      </c>
      <c r="N416">
        <f t="shared" si="29"/>
        <v>2022</v>
      </c>
    </row>
    <row r="417" spans="1:14" hidden="1" x14ac:dyDescent="0.3">
      <c r="A417" s="105">
        <f t="shared" si="26"/>
        <v>7</v>
      </c>
      <c r="B417" s="22">
        <v>44608</v>
      </c>
      <c r="C417" s="11" t="s">
        <v>5</v>
      </c>
      <c r="D417" s="12" t="s">
        <v>69</v>
      </c>
      <c r="E417" s="13">
        <f>IF(VLOOKUP(D417,Budget!A:B,2,FALSE)&lt;&gt;0,IF(G417=0,24,24-G417),0)</f>
        <v>24</v>
      </c>
      <c r="G417" s="13"/>
      <c r="H417" s="85">
        <f>IF(E417=0,0,IF(M417="ja",(VLOOKUP(D417,Budget!A:F,6,FALSE)*(E417-(VLOOKUP(D417,Budget!A:F,3,FALSE)))),VLOOKUP($D417,Budget!$A$1:$F$19,6,FALSE)*E417))</f>
        <v>42919.35380616656</v>
      </c>
      <c r="I417" s="85">
        <f>IF(F417=0,0,IF(M417="ja",((VLOOKUP(F417,Budget!A:F,6,FALSE)*(E417-(VLOOKUP(F417,Budget!A:F,3,FALSE))))),VLOOKUP($D417,Budget!A:F,5,FALSE)*E417))</f>
        <v>0</v>
      </c>
      <c r="J417" s="85">
        <f t="shared" si="27"/>
        <v>42919.35380616656</v>
      </c>
      <c r="K417" s="14"/>
      <c r="L417" s="73"/>
      <c r="M417" s="80" t="str">
        <f t="shared" si="28"/>
        <v>nein</v>
      </c>
      <c r="N417">
        <f t="shared" si="29"/>
        <v>2022</v>
      </c>
    </row>
    <row r="418" spans="1:14" hidden="1" x14ac:dyDescent="0.3">
      <c r="A418" s="103">
        <f t="shared" si="26"/>
        <v>7</v>
      </c>
      <c r="B418" s="22">
        <v>44609</v>
      </c>
      <c r="C418" s="11" t="s">
        <v>6</v>
      </c>
      <c r="D418" s="12" t="s">
        <v>69</v>
      </c>
      <c r="E418" s="13">
        <f>IF(VLOOKUP(D418,Budget!A:B,2,FALSE)&lt;&gt;0,IF(G418=0,24,24-G418),0)</f>
        <v>24</v>
      </c>
      <c r="G418" s="13"/>
      <c r="H418" s="85">
        <f>IF(E418=0,0,IF(M418="ja",(VLOOKUP(D418,Budget!A:F,6,FALSE)*(E418-(VLOOKUP(D418,Budget!A:F,3,FALSE)))),VLOOKUP($D418,Budget!$A$1:$F$19,6,FALSE)*E418))</f>
        <v>42919.35380616656</v>
      </c>
      <c r="I418" s="85">
        <f>IF(F418=0,0,IF(M418="ja",((VLOOKUP(F418,Budget!A:F,6,FALSE)*(E418-(VLOOKUP(F418,Budget!A:F,3,FALSE))))),VLOOKUP($D418,Budget!A:F,5,FALSE)*E418))</f>
        <v>0</v>
      </c>
      <c r="J418" s="85">
        <f t="shared" si="27"/>
        <v>42919.35380616656</v>
      </c>
      <c r="K418" s="14"/>
      <c r="L418" s="73"/>
      <c r="M418" s="80" t="str">
        <f t="shared" si="28"/>
        <v>nein</v>
      </c>
      <c r="N418">
        <f t="shared" si="29"/>
        <v>2022</v>
      </c>
    </row>
    <row r="419" spans="1:14" hidden="1" x14ac:dyDescent="0.3">
      <c r="A419" s="105">
        <f t="shared" si="26"/>
        <v>7</v>
      </c>
      <c r="B419" s="22">
        <v>44610</v>
      </c>
      <c r="C419" s="11" t="s">
        <v>7</v>
      </c>
      <c r="D419" s="12" t="s">
        <v>69</v>
      </c>
      <c r="E419" s="13">
        <f>IF(VLOOKUP(D419,Budget!A:B,2,FALSE)&lt;&gt;0,IF(G419=0,24,24-G419),0)</f>
        <v>24</v>
      </c>
      <c r="G419" s="13"/>
      <c r="H419" s="85">
        <f>IF(E419=0,0,IF(M419="ja",(VLOOKUP(D419,Budget!A:F,6,FALSE)*(E419-(VLOOKUP(D419,Budget!A:F,3,FALSE)))),VLOOKUP($D419,Budget!$A$1:$F$19,6,FALSE)*E419))</f>
        <v>42919.35380616656</v>
      </c>
      <c r="I419" s="85">
        <f>IF(F419=0,0,IF(M419="ja",((VLOOKUP(F419,Budget!A:F,6,FALSE)*(E419-(VLOOKUP(F419,Budget!A:F,3,FALSE))))),VLOOKUP($D419,Budget!A:F,5,FALSE)*E419))</f>
        <v>0</v>
      </c>
      <c r="J419" s="85">
        <f t="shared" si="27"/>
        <v>42919.35380616656</v>
      </c>
      <c r="K419" s="14"/>
      <c r="L419" s="25"/>
      <c r="M419" s="80" t="str">
        <f t="shared" si="28"/>
        <v>nein</v>
      </c>
      <c r="N419">
        <f t="shared" si="29"/>
        <v>2022</v>
      </c>
    </row>
    <row r="420" spans="1:14" hidden="1" x14ac:dyDescent="0.3">
      <c r="A420" s="105">
        <f t="shared" si="26"/>
        <v>7</v>
      </c>
      <c r="B420" s="22">
        <v>44611</v>
      </c>
      <c r="C420" s="16" t="s">
        <v>8</v>
      </c>
      <c r="D420" s="17" t="s">
        <v>69</v>
      </c>
      <c r="E420" s="24">
        <f>IF(VLOOKUP(D420,Budget!A:B,2,FALSE)&lt;&gt;0,IF(G420=0,24,24-G420),0)</f>
        <v>24</v>
      </c>
      <c r="F420" s="17"/>
      <c r="G420" s="17"/>
      <c r="H420" s="86">
        <f>IF(E420=0,0,IF(M420="ja",(VLOOKUP(D420,Budget!A:F,6,FALSE)*(E420-(VLOOKUP(D420,Budget!A:F,3,FALSE)))),VLOOKUP($D420,Budget!$A$1:$F$19,6,FALSE)*E420))</f>
        <v>42919.35380616656</v>
      </c>
      <c r="I420" s="86">
        <f>IF(F420=0,0,IF(M420="ja",((VLOOKUP(F420,Budget!A:F,6,FALSE)*(E420-(VLOOKUP(F420,Budget!A:F,3,FALSE))))),VLOOKUP($D420,Budget!A:F,5,FALSE)*E420))</f>
        <v>0</v>
      </c>
      <c r="J420" s="86">
        <f t="shared" si="27"/>
        <v>42919.35380616656</v>
      </c>
      <c r="K420" s="18"/>
      <c r="L420" s="75"/>
      <c r="M420" s="76" t="str">
        <f t="shared" si="28"/>
        <v>nein</v>
      </c>
      <c r="N420">
        <f t="shared" si="29"/>
        <v>2022</v>
      </c>
    </row>
    <row r="421" spans="1:14" ht="15" hidden="1" thickBot="1" x14ac:dyDescent="0.35">
      <c r="A421" s="105">
        <f t="shared" si="26"/>
        <v>7</v>
      </c>
      <c r="B421" s="27">
        <v>44612</v>
      </c>
      <c r="C421" s="19" t="s">
        <v>9</v>
      </c>
      <c r="D421" s="20" t="s">
        <v>69</v>
      </c>
      <c r="E421" s="20">
        <f>IF(VLOOKUP(D421,Budget!A:B,2,FALSE)&lt;&gt;0,IF(G421=0,24,24-G421),0)</f>
        <v>24</v>
      </c>
      <c r="F421" s="20"/>
      <c r="G421" s="20"/>
      <c r="H421" s="93">
        <f>IF(E421=0,0,IF(M421="ja",(VLOOKUP(D421,Budget!A:F,6,FALSE)*(E421-(VLOOKUP(D421,Budget!A:F,3,FALSE)))),VLOOKUP($D421,Budget!$A$1:$F$19,6,FALSE)*E421))</f>
        <v>42919.35380616656</v>
      </c>
      <c r="I421" s="93">
        <f>IF(F421=0,0,IF(M421="ja",((VLOOKUP(F421,Budget!A:F,6,FALSE)*(E421-(VLOOKUP(F421,Budget!A:F,3,FALSE))))),VLOOKUP($D421,Budget!A:F,5,FALSE)*E421))</f>
        <v>0</v>
      </c>
      <c r="J421" s="87">
        <f t="shared" si="27"/>
        <v>42919.35380616656</v>
      </c>
      <c r="K421" s="21"/>
      <c r="L421" s="74"/>
      <c r="M421" s="77" t="str">
        <f t="shared" si="28"/>
        <v>nein</v>
      </c>
      <c r="N421">
        <f t="shared" si="29"/>
        <v>2022</v>
      </c>
    </row>
    <row r="422" spans="1:14" hidden="1" x14ac:dyDescent="0.3">
      <c r="A422" s="104">
        <f t="shared" si="26"/>
        <v>8</v>
      </c>
      <c r="B422" s="22">
        <v>44613</v>
      </c>
      <c r="C422" s="10" t="s">
        <v>3</v>
      </c>
      <c r="D422" s="12" t="s">
        <v>66</v>
      </c>
      <c r="E422" s="13">
        <f>IF(VLOOKUP(D422,Budget!A:B,2,FALSE)&lt;&gt;0,IF(G422=0,24,24-G422),0)</f>
        <v>24</v>
      </c>
      <c r="F422" s="13"/>
      <c r="G422" s="13"/>
      <c r="H422" s="85">
        <f>IF(E422=0,0,IF(M422="ja",(VLOOKUP(D422,Budget!A:F,6,FALSE)*(E422-(VLOOKUP(D422,Budget!A:F,3,FALSE)))),VLOOKUP($D422,Budget!$A$1:$F$19,6,FALSE)*E422))</f>
        <v>32328.172065231582</v>
      </c>
      <c r="I422" s="85">
        <f>IF(F422=0,0,IF(M422="ja",((VLOOKUP(F422,Budget!A:F,6,FALSE)*(E422-(VLOOKUP(F422,Budget!A:F,3,FALSE))))),VLOOKUP($D422,Budget!A:F,5,FALSE)*E422))</f>
        <v>0</v>
      </c>
      <c r="J422" s="85">
        <f t="shared" si="27"/>
        <v>32328.172065231582</v>
      </c>
      <c r="K422" s="15"/>
      <c r="L422" s="72"/>
      <c r="M422" s="80" t="str">
        <f t="shared" si="28"/>
        <v>ja</v>
      </c>
      <c r="N422">
        <f t="shared" si="29"/>
        <v>2022</v>
      </c>
    </row>
    <row r="423" spans="1:14" hidden="1" x14ac:dyDescent="0.3">
      <c r="A423" s="105">
        <f t="shared" si="26"/>
        <v>8</v>
      </c>
      <c r="B423" s="22">
        <v>44614</v>
      </c>
      <c r="C423" s="11" t="s">
        <v>4</v>
      </c>
      <c r="D423" s="12" t="s">
        <v>66</v>
      </c>
      <c r="E423" s="13">
        <f>IF(VLOOKUP(D423,Budget!A:B,2,FALSE)&lt;&gt;0,IF(G423=0,24,24-G423),0)</f>
        <v>24</v>
      </c>
      <c r="G423" s="13"/>
      <c r="H423" s="85">
        <f>IF(E423=0,0,IF(M423="ja",(VLOOKUP(D423,Budget!A:F,6,FALSE)*(E423-(VLOOKUP(D423,Budget!A:F,3,FALSE)))),VLOOKUP($D423,Budget!$A$1:$F$19,6,FALSE)*E423))</f>
        <v>36946.482360264665</v>
      </c>
      <c r="I423" s="85">
        <f>IF(F423=0,0,IF(M423="ja",((VLOOKUP(F423,Budget!A:F,6,FALSE)*(E423-(VLOOKUP(F423,Budget!A:F,3,FALSE))))),VLOOKUP($D423,Budget!A:F,5,FALSE)*E423))</f>
        <v>0</v>
      </c>
      <c r="J423" s="85">
        <f t="shared" si="27"/>
        <v>36946.482360264665</v>
      </c>
      <c r="K423" s="14"/>
      <c r="L423" s="73"/>
      <c r="M423" s="80" t="str">
        <f t="shared" si="28"/>
        <v>nein</v>
      </c>
      <c r="N423">
        <f t="shared" si="29"/>
        <v>2022</v>
      </c>
    </row>
    <row r="424" spans="1:14" hidden="1" x14ac:dyDescent="0.3">
      <c r="A424" s="105">
        <f t="shared" si="26"/>
        <v>8</v>
      </c>
      <c r="B424" s="22">
        <v>44615</v>
      </c>
      <c r="C424" s="11" t="s">
        <v>5</v>
      </c>
      <c r="D424" s="12" t="s">
        <v>12</v>
      </c>
      <c r="E424" s="13">
        <f>IF(VLOOKUP(D424,Budget!A:B,2,FALSE)&lt;&gt;0,IF(G424=0,24,24-G424),0)</f>
        <v>24</v>
      </c>
      <c r="G424" s="13"/>
      <c r="H424" s="85">
        <f>IF(E424=0,0,IF(M424="ja",(VLOOKUP(D424,Budget!A:F,6,FALSE)*(E424-(VLOOKUP(D424,Budget!A:F,3,FALSE)))),VLOOKUP($D424,Budget!$A$1:$F$19,6,FALSE)*E424))</f>
        <v>27720</v>
      </c>
      <c r="I424" s="85">
        <f>IF(F424=0,0,IF(M424="ja",((VLOOKUP(F424,Budget!A:F,6,FALSE)*(E424-(VLOOKUP(F424,Budget!A:F,3,FALSE))))),VLOOKUP($D424,Budget!A:F,5,FALSE)*E424))</f>
        <v>0</v>
      </c>
      <c r="J424" s="85">
        <f t="shared" si="27"/>
        <v>27720</v>
      </c>
      <c r="K424" s="14"/>
      <c r="L424" s="73"/>
      <c r="M424" s="80" t="str">
        <f t="shared" si="28"/>
        <v>ja</v>
      </c>
      <c r="N424">
        <f t="shared" si="29"/>
        <v>2022</v>
      </c>
    </row>
    <row r="425" spans="1:14" hidden="1" x14ac:dyDescent="0.3">
      <c r="A425" s="103">
        <f t="shared" si="26"/>
        <v>8</v>
      </c>
      <c r="B425" s="22">
        <v>44616</v>
      </c>
      <c r="C425" s="11" t="s">
        <v>6</v>
      </c>
      <c r="D425" s="12" t="s">
        <v>69</v>
      </c>
      <c r="E425" s="13">
        <f>IF(VLOOKUP(D425,Budget!A:B,2,FALSE)&lt;&gt;0,IF(G425=0,24,24-G425),0)</f>
        <v>24</v>
      </c>
      <c r="G425" s="13"/>
      <c r="H425" s="85">
        <f>IF(E425=0,0,IF(M425="ja",(VLOOKUP(D425,Budget!A:F,6,FALSE)*(E425-(VLOOKUP(D425,Budget!A:F,3,FALSE)))),VLOOKUP($D425,Budget!$A$1:$F$19,6,FALSE)*E425))</f>
        <v>38269.757143831848</v>
      </c>
      <c r="I425" s="85">
        <f>IF(F425=0,0,IF(M425="ja",((VLOOKUP(F425,Budget!A:F,6,FALSE)*(E425-(VLOOKUP(F425,Budget!A:F,3,FALSE))))),VLOOKUP($D425,Budget!A:F,5,FALSE)*E425))</f>
        <v>0</v>
      </c>
      <c r="J425" s="85">
        <f t="shared" si="27"/>
        <v>38269.757143831848</v>
      </c>
      <c r="K425" s="14"/>
      <c r="L425" s="73"/>
      <c r="M425" s="80" t="str">
        <f t="shared" si="28"/>
        <v>ja</v>
      </c>
      <c r="N425">
        <f t="shared" si="29"/>
        <v>2022</v>
      </c>
    </row>
    <row r="426" spans="1:14" hidden="1" x14ac:dyDescent="0.3">
      <c r="A426" s="105">
        <f t="shared" si="26"/>
        <v>8</v>
      </c>
      <c r="B426" s="22">
        <v>44617</v>
      </c>
      <c r="C426" s="11" t="s">
        <v>7</v>
      </c>
      <c r="D426" s="12" t="s">
        <v>11</v>
      </c>
      <c r="E426" s="13">
        <f>IF(VLOOKUP(D426,Budget!A:B,2,FALSE)&lt;&gt;0,IF(G426=0,24,24-G426),0)</f>
        <v>24</v>
      </c>
      <c r="G426" s="13"/>
      <c r="H426" s="85">
        <f>IF(E426=0,0,IF(M426="ja",(VLOOKUP(D426,Budget!A:F,6,FALSE)*(E426-(VLOOKUP(D426,Budget!A:F,3,FALSE)))),VLOOKUP($D426,Budget!$A$1:$F$19,6,FALSE)*E426))</f>
        <v>30030</v>
      </c>
      <c r="I426" s="85">
        <f>IF(F426=0,0,IF(M426="ja",((VLOOKUP(F426,Budget!A:F,6,FALSE)*(E426-(VLOOKUP(F426,Budget!A:F,3,FALSE))))),VLOOKUP($D426,Budget!A:F,5,FALSE)*E426))</f>
        <v>0</v>
      </c>
      <c r="J426" s="85">
        <f t="shared" si="27"/>
        <v>30030</v>
      </c>
      <c r="K426" s="14"/>
      <c r="L426" s="25"/>
      <c r="M426" s="80" t="str">
        <f t="shared" si="28"/>
        <v>ja</v>
      </c>
      <c r="N426">
        <f t="shared" si="29"/>
        <v>2022</v>
      </c>
    </row>
    <row r="427" spans="1:14" hidden="1" x14ac:dyDescent="0.3">
      <c r="A427" s="105">
        <f t="shared" si="26"/>
        <v>8</v>
      </c>
      <c r="B427" s="22">
        <v>44618</v>
      </c>
      <c r="C427" s="16" t="s">
        <v>8</v>
      </c>
      <c r="D427" s="17" t="s">
        <v>11</v>
      </c>
      <c r="E427" s="24">
        <f>IF(VLOOKUP(D427,Budget!A:B,2,FALSE)&lt;&gt;0,IF(G427=0,24,24-G427),0)</f>
        <v>24</v>
      </c>
      <c r="F427" s="17"/>
      <c r="G427" s="17"/>
      <c r="H427" s="86">
        <f>IF(E427=0,0,IF(M427="ja",(VLOOKUP(D427,Budget!A:F,6,FALSE)*(E427-(VLOOKUP(D427,Budget!A:F,3,FALSE)))),VLOOKUP($D427,Budget!$A$1:$F$19,6,FALSE)*E427))</f>
        <v>36960</v>
      </c>
      <c r="I427" s="86">
        <f>IF(F427=0,0,IF(M427="ja",((VLOOKUP(F427,Budget!A:F,6,FALSE)*(E427-(VLOOKUP(F427,Budget!A:F,3,FALSE))))),VLOOKUP($D427,Budget!A:F,5,FALSE)*E427))</f>
        <v>0</v>
      </c>
      <c r="J427" s="86">
        <f t="shared" si="27"/>
        <v>36960</v>
      </c>
      <c r="K427" s="18"/>
      <c r="L427" s="75"/>
      <c r="M427" s="76" t="str">
        <f t="shared" si="28"/>
        <v>nein</v>
      </c>
      <c r="N427">
        <f t="shared" si="29"/>
        <v>2022</v>
      </c>
    </row>
    <row r="428" spans="1:14" ht="15" hidden="1" thickBot="1" x14ac:dyDescent="0.35">
      <c r="A428" s="105">
        <f t="shared" si="26"/>
        <v>8</v>
      </c>
      <c r="B428" s="27">
        <v>44619</v>
      </c>
      <c r="C428" s="19" t="s">
        <v>9</v>
      </c>
      <c r="D428" s="20" t="s">
        <v>11</v>
      </c>
      <c r="E428" s="20">
        <f>IF(VLOOKUP(D428,Budget!A:B,2,FALSE)&lt;&gt;0,IF(G428=0,24,24-G428),0)</f>
        <v>24</v>
      </c>
      <c r="F428" s="20"/>
      <c r="G428" s="20"/>
      <c r="H428" s="93">
        <f>IF(E428=0,0,IF(M428="ja",(VLOOKUP(D428,Budget!A:F,6,FALSE)*(E428-(VLOOKUP(D428,Budget!A:F,3,FALSE)))),VLOOKUP($D428,Budget!$A$1:$F$19,6,FALSE)*E428))</f>
        <v>36960</v>
      </c>
      <c r="I428" s="93">
        <f>IF(F428=0,0,IF(M428="ja",((VLOOKUP(F428,Budget!A:F,6,FALSE)*(E428-(VLOOKUP(F428,Budget!A:F,3,FALSE))))),VLOOKUP($D428,Budget!A:F,5,FALSE)*E428))</f>
        <v>0</v>
      </c>
      <c r="J428" s="87">
        <f t="shared" si="27"/>
        <v>36960</v>
      </c>
      <c r="K428" s="21"/>
      <c r="L428" s="74"/>
      <c r="M428" s="77" t="str">
        <f t="shared" si="28"/>
        <v>nein</v>
      </c>
      <c r="N428">
        <f t="shared" si="29"/>
        <v>2022</v>
      </c>
    </row>
    <row r="429" spans="1:14" hidden="1" x14ac:dyDescent="0.3">
      <c r="A429" s="104">
        <f t="shared" si="26"/>
        <v>9</v>
      </c>
      <c r="B429" s="22">
        <v>44620</v>
      </c>
      <c r="C429" s="10" t="s">
        <v>3</v>
      </c>
      <c r="D429" s="12" t="s">
        <v>66</v>
      </c>
      <c r="E429" s="13">
        <f>IF(VLOOKUP(D429,Budget!A:B,2,FALSE)&lt;&gt;0,IF(G429=0,24,24-G429),0)</f>
        <v>24</v>
      </c>
      <c r="F429" s="13"/>
      <c r="G429" s="13"/>
      <c r="H429" s="85">
        <f>IF(E429=0,0,IF(M429="ja",(VLOOKUP(D429,Budget!A:F,6,FALSE)*(E429-(VLOOKUP(D429,Budget!A:F,3,FALSE)))),VLOOKUP($D429,Budget!$A$1:$F$19,6,FALSE)*E429))*0.7</f>
        <v>22629.720445662108</v>
      </c>
      <c r="I429" s="85">
        <f>IF(F429=0,0,IF(M429="ja",((VLOOKUP(F429,Budget!A:F,6,FALSE)*(E429-(VLOOKUP(F429,Budget!A:F,3,FALSE))))),VLOOKUP($D429,Budget!A:F,5,FALSE)*E429))</f>
        <v>0</v>
      </c>
      <c r="J429" s="85">
        <f t="shared" si="27"/>
        <v>22629.720445662108</v>
      </c>
      <c r="K429" s="15"/>
      <c r="L429" s="72" t="s">
        <v>94</v>
      </c>
      <c r="M429" s="80" t="str">
        <f t="shared" si="28"/>
        <v>ja</v>
      </c>
      <c r="N429">
        <f t="shared" si="29"/>
        <v>2022</v>
      </c>
    </row>
    <row r="430" spans="1:14" hidden="1" x14ac:dyDescent="0.3">
      <c r="A430" s="105">
        <f t="shared" si="26"/>
        <v>9</v>
      </c>
      <c r="B430" s="22">
        <v>44621</v>
      </c>
      <c r="C430" s="11" t="s">
        <v>4</v>
      </c>
      <c r="D430" s="12" t="s">
        <v>66</v>
      </c>
      <c r="E430" s="13">
        <f>IF(VLOOKUP(D430,Budget!A:B,2,FALSE)&lt;&gt;0,IF(G430=0,24,24-G430),0)</f>
        <v>24</v>
      </c>
      <c r="G430" s="13"/>
      <c r="H430" s="85">
        <f>IF(E430=0,0,IF(M430="ja",(VLOOKUP(D430,Budget!A:F,6,FALSE)*(E430-(VLOOKUP(D430,Budget!A:F,3,FALSE)))),VLOOKUP($D430,Budget!$A$1:$F$19,6,FALSE)*E430))*0.7</f>
        <v>25862.537652185263</v>
      </c>
      <c r="I430" s="85">
        <f>IF(F430=0,0,IF(M430="ja",((VLOOKUP(F430,Budget!A:F,6,FALSE)*(E430-(VLOOKUP(F430,Budget!A:F,3,FALSE))))),VLOOKUP($D430,Budget!A:F,5,FALSE)*E430))</f>
        <v>0</v>
      </c>
      <c r="J430" s="85">
        <f t="shared" si="27"/>
        <v>25862.537652185263</v>
      </c>
      <c r="K430" s="14"/>
      <c r="L430" s="73"/>
      <c r="M430" s="80" t="str">
        <f t="shared" si="28"/>
        <v>nein</v>
      </c>
      <c r="N430">
        <f t="shared" si="29"/>
        <v>2022</v>
      </c>
    </row>
    <row r="431" spans="1:14" hidden="1" x14ac:dyDescent="0.3">
      <c r="A431" s="105">
        <f t="shared" si="26"/>
        <v>9</v>
      </c>
      <c r="B431" s="22">
        <v>44622</v>
      </c>
      <c r="C431" s="11" t="s">
        <v>5</v>
      </c>
      <c r="D431" s="12" t="s">
        <v>12</v>
      </c>
      <c r="E431" s="13">
        <f>IF(VLOOKUP(D431,Budget!A:B,2,FALSE)&lt;&gt;0,IF(G431=0,24,24-G431),0)</f>
        <v>24</v>
      </c>
      <c r="G431" s="13"/>
      <c r="H431" s="85">
        <f>IF(E431=0,0,IF(M431="ja",(VLOOKUP(D431,Budget!A:F,6,FALSE)*(E431-(VLOOKUP(D431,Budget!A:F,3,FALSE)))),VLOOKUP($D431,Budget!$A$1:$F$19,6,FALSE)*E431))</f>
        <v>27720</v>
      </c>
      <c r="I431" s="85">
        <f>IF(F431=0,0,IF(M431="ja",((VLOOKUP(F431,Budget!A:F,6,FALSE)*(E431-(VLOOKUP(F431,Budget!A:F,3,FALSE))))),VLOOKUP($D431,Budget!A:F,5,FALSE)*E431))</f>
        <v>0</v>
      </c>
      <c r="J431" s="85">
        <f t="shared" si="27"/>
        <v>27720</v>
      </c>
      <c r="K431" s="14"/>
      <c r="L431" s="73"/>
      <c r="M431" s="80" t="str">
        <f t="shared" si="28"/>
        <v>ja</v>
      </c>
      <c r="N431">
        <f t="shared" si="29"/>
        <v>2022</v>
      </c>
    </row>
    <row r="432" spans="1:14" hidden="1" x14ac:dyDescent="0.3">
      <c r="A432" s="103">
        <f t="shared" si="26"/>
        <v>9</v>
      </c>
      <c r="B432" s="22">
        <v>44623</v>
      </c>
      <c r="C432" s="11" t="s">
        <v>6</v>
      </c>
      <c r="D432" s="12" t="s">
        <v>12</v>
      </c>
      <c r="E432" s="13">
        <f>IF(VLOOKUP(D432,Budget!A:B,2,FALSE)&lt;&gt;0,IF(G432=0,24,24-G432),0)</f>
        <v>24</v>
      </c>
      <c r="F432" s="12" t="s">
        <v>97</v>
      </c>
      <c r="G432" s="13"/>
      <c r="H432" s="85">
        <f>IF(E432=0,0,IF(M432="ja",(VLOOKUP(D432,Budget!A:F,6,FALSE)*(E432-(VLOOKUP(D432,Budget!A:F,3,FALSE)))),VLOOKUP($D432,Budget!$A$1:$F$19,6,FALSE)*E432))</f>
        <v>36960</v>
      </c>
      <c r="I432" s="85">
        <f>IF(F432=0,0,IF(M432="ja",((VLOOKUP(F432,Budget!A:F,6,FALSE)*(E432-(VLOOKUP(F432,Budget!A:F,3,FALSE))))),VLOOKUP($D432,Budget!A:F,5,FALSE)*E432))</f>
        <v>0</v>
      </c>
      <c r="J432" s="85">
        <f t="shared" si="27"/>
        <v>36960</v>
      </c>
      <c r="K432" s="14"/>
      <c r="L432" s="73"/>
      <c r="M432" s="80" t="str">
        <f t="shared" si="28"/>
        <v>nein</v>
      </c>
      <c r="N432">
        <f t="shared" si="29"/>
        <v>2022</v>
      </c>
    </row>
    <row r="433" spans="1:14" hidden="1" x14ac:dyDescent="0.3">
      <c r="A433" s="105">
        <f t="shared" si="26"/>
        <v>9</v>
      </c>
      <c r="B433" s="22">
        <v>44624</v>
      </c>
      <c r="C433" s="11" t="s">
        <v>7</v>
      </c>
      <c r="D433" s="12" t="s">
        <v>12</v>
      </c>
      <c r="E433" s="13">
        <f>IF(VLOOKUP(D433,Budget!A:B,2,FALSE)&lt;&gt;0,IF(G433=0,24,24-G433),0)</f>
        <v>24</v>
      </c>
      <c r="G433" s="13"/>
      <c r="H433" s="85">
        <f>IF(E433=0,0,IF(M433="ja",(VLOOKUP(D433,Budget!A:F,6,FALSE)*(E433-(VLOOKUP(D433,Budget!A:F,3,FALSE)))),VLOOKUP($D433,Budget!$A$1:$F$19,6,FALSE)*E433))</f>
        <v>27720</v>
      </c>
      <c r="I433" s="85">
        <f>IF(F433=0,0,IF(M433="ja",((VLOOKUP(F433,Budget!A:F,6,FALSE)*(E433-(VLOOKUP(F433,Budget!A:F,3,FALSE))))),VLOOKUP($D433,Budget!A:F,5,FALSE)*E433))</f>
        <v>0</v>
      </c>
      <c r="J433" s="85">
        <f t="shared" si="27"/>
        <v>27720</v>
      </c>
      <c r="K433" s="14"/>
      <c r="L433" s="25"/>
      <c r="M433" s="80" t="str">
        <f t="shared" si="28"/>
        <v>ja</v>
      </c>
      <c r="N433">
        <f t="shared" si="29"/>
        <v>2022</v>
      </c>
    </row>
    <row r="434" spans="1:14" hidden="1" x14ac:dyDescent="0.3">
      <c r="A434" s="105">
        <f t="shared" si="26"/>
        <v>9</v>
      </c>
      <c r="B434" s="22">
        <v>44625</v>
      </c>
      <c r="C434" s="16" t="s">
        <v>8</v>
      </c>
      <c r="D434" s="17" t="s">
        <v>69</v>
      </c>
      <c r="E434" s="24">
        <f>IF(VLOOKUP(D434,Budget!A:B,2,FALSE)&lt;&gt;0,IF(G434=0,24,24-G434),0)</f>
        <v>24</v>
      </c>
      <c r="F434" s="17"/>
      <c r="G434" s="17"/>
      <c r="H434" s="86">
        <f>IF(E434=0,0,IF(M434="ja",(VLOOKUP(D434,Budget!A:F,6,FALSE)*(E434-(VLOOKUP(D434,Budget!A:F,3,FALSE)))),VLOOKUP($D434,Budget!$A$1:$F$19,6,FALSE)*E434))</f>
        <v>38269.757143831848</v>
      </c>
      <c r="I434" s="86">
        <f>IF(F434=0,0,IF(M434="ja",((VLOOKUP(F434,Budget!A:F,6,FALSE)*(E434-(VLOOKUP(F434,Budget!A:F,3,FALSE))))),VLOOKUP($D434,Budget!A:F,5,FALSE)*E434))</f>
        <v>0</v>
      </c>
      <c r="J434" s="86">
        <f t="shared" si="27"/>
        <v>38269.757143831848</v>
      </c>
      <c r="K434" s="18"/>
      <c r="L434" s="96" t="s">
        <v>94</v>
      </c>
      <c r="M434" s="76" t="str">
        <f t="shared" si="28"/>
        <v>ja</v>
      </c>
      <c r="N434">
        <f t="shared" si="29"/>
        <v>2022</v>
      </c>
    </row>
    <row r="435" spans="1:14" ht="15" hidden="1" thickBot="1" x14ac:dyDescent="0.35">
      <c r="A435" s="105">
        <f t="shared" ref="A435:A498" si="30">_xlfn.ISOWEEKNUM(B435)</f>
        <v>9</v>
      </c>
      <c r="B435" s="27">
        <v>44626</v>
      </c>
      <c r="C435" s="19" t="s">
        <v>9</v>
      </c>
      <c r="D435" s="20" t="s">
        <v>69</v>
      </c>
      <c r="E435" s="20">
        <f>IF(VLOOKUP(D435,Budget!A:B,2,FALSE)&lt;&gt;0,IF(G435=0,24,24-G435),0)</f>
        <v>24</v>
      </c>
      <c r="F435" s="20"/>
      <c r="G435" s="20"/>
      <c r="H435" s="93">
        <f>IF(E435=0,0,IF(M435="ja",(VLOOKUP(D435,Budget!A:F,6,FALSE)*(E435-(VLOOKUP(D435,Budget!A:F,3,FALSE)))),VLOOKUP($D435,Budget!$A$1:$F$19,6,FALSE)*E435))</f>
        <v>42919.35380616656</v>
      </c>
      <c r="I435" s="93">
        <f>IF(F435=0,0,IF(M435="ja",((VLOOKUP(F435,Budget!A:F,6,FALSE)*(E435-(VLOOKUP(F435,Budget!A:F,3,FALSE))))),VLOOKUP($D435,Budget!A:F,5,FALSE)*E435))</f>
        <v>0</v>
      </c>
      <c r="J435" s="87">
        <f t="shared" ref="J435:J498" si="31">H435+I435</f>
        <v>42919.35380616656</v>
      </c>
      <c r="K435" s="21"/>
      <c r="L435" s="74"/>
      <c r="M435" s="77" t="str">
        <f t="shared" ref="M435:M498" si="32">IF(E435=0,"nein",IF(OR(E435&lt;&gt;24,F434&lt;&gt;0,D435&lt;&gt;D434),"ja","nein"))</f>
        <v>nein</v>
      </c>
      <c r="N435">
        <f t="shared" si="29"/>
        <v>2022</v>
      </c>
    </row>
    <row r="436" spans="1:14" hidden="1" x14ac:dyDescent="0.3">
      <c r="A436" s="104">
        <f t="shared" si="30"/>
        <v>10</v>
      </c>
      <c r="B436" s="22">
        <v>44627</v>
      </c>
      <c r="C436" s="10" t="s">
        <v>3</v>
      </c>
      <c r="D436" s="12" t="s">
        <v>29</v>
      </c>
      <c r="E436" s="13">
        <f>IF(VLOOKUP(D436,Budget!A:B,2,FALSE)&lt;&gt;0,IF(G436=0,24,24-G436),0)</f>
        <v>0</v>
      </c>
      <c r="F436" s="13"/>
      <c r="G436" s="13"/>
      <c r="H436" s="85">
        <f>IF(E436=0,0,IF(M436="ja",(VLOOKUP(D436,Budget!A:F,6,FALSE)*(E436-(VLOOKUP(D436,Budget!A:F,3,FALSE)))),VLOOKUP($D436,Budget!$A$1:$F$19,6,FALSE)*E436))</f>
        <v>0</v>
      </c>
      <c r="I436" s="85">
        <f>IF(F436=0,0,IF(M436="ja",((VLOOKUP(F436,Budget!A:F,6,FALSE)*(E436-(VLOOKUP(F436,Budget!A:F,3,FALSE))))),VLOOKUP($D436,Budget!A:F,5,FALSE)*E436))</f>
        <v>0</v>
      </c>
      <c r="J436" s="85">
        <f t="shared" si="31"/>
        <v>0</v>
      </c>
      <c r="K436" s="15"/>
      <c r="L436" s="72"/>
      <c r="M436" s="80" t="str">
        <f t="shared" si="32"/>
        <v>nein</v>
      </c>
      <c r="N436">
        <f t="shared" si="29"/>
        <v>2022</v>
      </c>
    </row>
    <row r="437" spans="1:14" hidden="1" x14ac:dyDescent="0.3">
      <c r="A437" s="105">
        <f t="shared" si="30"/>
        <v>10</v>
      </c>
      <c r="B437" s="22">
        <v>44628</v>
      </c>
      <c r="C437" s="11" t="s">
        <v>4</v>
      </c>
      <c r="D437" s="12" t="s">
        <v>29</v>
      </c>
      <c r="E437" s="13">
        <f>IF(VLOOKUP(D437,Budget!A:B,2,FALSE)&lt;&gt;0,IF(G437=0,24,24-G437),0)</f>
        <v>0</v>
      </c>
      <c r="G437" s="13"/>
      <c r="H437" s="85">
        <f>IF(E437=0,0,IF(M437="ja",(VLOOKUP(D437,Budget!A:F,6,FALSE)*(E437-(VLOOKUP(D437,Budget!A:F,3,FALSE)))),VLOOKUP($D437,Budget!$A$1:$F$19,6,FALSE)*E437))</f>
        <v>0</v>
      </c>
      <c r="I437" s="85">
        <f>IF(F437=0,0,IF(M437="ja",((VLOOKUP(F437,Budget!A:F,6,FALSE)*(E437-(VLOOKUP(F437,Budget!A:F,3,FALSE))))),VLOOKUP($D437,Budget!A:F,5,FALSE)*E437))</f>
        <v>0</v>
      </c>
      <c r="J437" s="85">
        <f t="shared" si="31"/>
        <v>0</v>
      </c>
      <c r="K437" s="14"/>
      <c r="L437" s="73"/>
      <c r="M437" s="80" t="str">
        <f t="shared" si="32"/>
        <v>nein</v>
      </c>
      <c r="N437">
        <f t="shared" si="29"/>
        <v>2022</v>
      </c>
    </row>
    <row r="438" spans="1:14" hidden="1" x14ac:dyDescent="0.3">
      <c r="A438" s="105">
        <f t="shared" si="30"/>
        <v>10</v>
      </c>
      <c r="B438" s="22">
        <v>44629</v>
      </c>
      <c r="C438" s="11" t="s">
        <v>5</v>
      </c>
      <c r="D438" s="12" t="s">
        <v>29</v>
      </c>
      <c r="E438" s="13">
        <f>IF(VLOOKUP(D438,Budget!A:B,2,FALSE)&lt;&gt;0,IF(G438=0,24,24-G438),0)</f>
        <v>0</v>
      </c>
      <c r="G438" s="13"/>
      <c r="H438" s="85">
        <f>IF(E438=0,0,IF(M438="ja",(VLOOKUP(D438,Budget!A:F,6,FALSE)*(E438-(VLOOKUP(D438,Budget!A:F,3,FALSE)))),VLOOKUP($D438,Budget!$A$1:$F$19,6,FALSE)*E438))</f>
        <v>0</v>
      </c>
      <c r="I438" s="85">
        <f>IF(F438=0,0,IF(M438="ja",((VLOOKUP(F438,Budget!A:F,6,FALSE)*(E438-(VLOOKUP(F438,Budget!A:F,3,FALSE))))),VLOOKUP($D438,Budget!A:F,5,FALSE)*E438))</f>
        <v>0</v>
      </c>
      <c r="J438" s="85">
        <f t="shared" si="31"/>
        <v>0</v>
      </c>
      <c r="K438" s="14"/>
      <c r="L438" s="73"/>
      <c r="M438" s="80" t="str">
        <f t="shared" si="32"/>
        <v>nein</v>
      </c>
      <c r="N438">
        <f t="shared" si="29"/>
        <v>2022</v>
      </c>
    </row>
    <row r="439" spans="1:14" hidden="1" x14ac:dyDescent="0.3">
      <c r="A439" s="103">
        <f t="shared" si="30"/>
        <v>10</v>
      </c>
      <c r="B439" s="22">
        <v>44630</v>
      </c>
      <c r="C439" s="11" t="s">
        <v>6</v>
      </c>
      <c r="D439" s="12" t="s">
        <v>29</v>
      </c>
      <c r="E439" s="13">
        <f>IF(VLOOKUP(D439,Budget!A:B,2,FALSE)&lt;&gt;0,IF(G439=0,24,24-G439),0)</f>
        <v>0</v>
      </c>
      <c r="G439" s="13"/>
      <c r="H439" s="85">
        <f>IF(E439=0,0,IF(M439="ja",(VLOOKUP(D439,Budget!A:F,6,FALSE)*(E439-(VLOOKUP(D439,Budget!A:F,3,FALSE)))),VLOOKUP($D439,Budget!$A$1:$F$19,6,FALSE)*E439))</f>
        <v>0</v>
      </c>
      <c r="I439" s="85">
        <f>IF(F439=0,0,IF(M439="ja",((VLOOKUP(F439,Budget!A:F,6,FALSE)*(E439-(VLOOKUP(F439,Budget!A:F,3,FALSE))))),VLOOKUP($D439,Budget!A:F,5,FALSE)*E439))</f>
        <v>0</v>
      </c>
      <c r="J439" s="85">
        <f t="shared" si="31"/>
        <v>0</v>
      </c>
      <c r="K439" s="14"/>
      <c r="L439" s="73"/>
      <c r="M439" s="80" t="str">
        <f t="shared" si="32"/>
        <v>nein</v>
      </c>
      <c r="N439">
        <f t="shared" si="29"/>
        <v>2022</v>
      </c>
    </row>
    <row r="440" spans="1:14" hidden="1" x14ac:dyDescent="0.3">
      <c r="A440" s="105">
        <f t="shared" si="30"/>
        <v>10</v>
      </c>
      <c r="B440" s="22">
        <v>44631</v>
      </c>
      <c r="C440" s="11" t="s">
        <v>7</v>
      </c>
      <c r="D440" s="12" t="s">
        <v>30</v>
      </c>
      <c r="E440" s="13">
        <f>IF(VLOOKUP(D440,Budget!A:B,2,FALSE)&lt;&gt;0,IF(G440=0,24,24-G440),0)</f>
        <v>0</v>
      </c>
      <c r="G440" s="13"/>
      <c r="H440" s="85">
        <f>IF(E440=0,0,IF(M440="ja",(VLOOKUP(D440,Budget!A:F,6,FALSE)*(E440-(VLOOKUP(D440,Budget!A:F,3,FALSE)))),VLOOKUP($D440,Budget!$A$1:$F$19,6,FALSE)*E440))</f>
        <v>0</v>
      </c>
      <c r="I440" s="85">
        <f>IF(F440=0,0,IF(M440="ja",((VLOOKUP(F440,Budget!A:F,6,FALSE)*(E440-(VLOOKUP(F440,Budget!A:F,3,FALSE))))),VLOOKUP($D440,Budget!A:F,5,FALSE)*E440))</f>
        <v>0</v>
      </c>
      <c r="J440" s="85">
        <f t="shared" si="31"/>
        <v>0</v>
      </c>
      <c r="K440" s="14"/>
      <c r="L440" s="25"/>
      <c r="M440" s="80" t="str">
        <f t="shared" si="32"/>
        <v>nein</v>
      </c>
      <c r="N440">
        <f t="shared" si="29"/>
        <v>2022</v>
      </c>
    </row>
    <row r="441" spans="1:14" hidden="1" x14ac:dyDescent="0.3">
      <c r="A441" s="105">
        <f t="shared" si="30"/>
        <v>10</v>
      </c>
      <c r="B441" s="22">
        <v>44632</v>
      </c>
      <c r="C441" s="16" t="s">
        <v>8</v>
      </c>
      <c r="D441" s="12" t="s">
        <v>18</v>
      </c>
      <c r="E441" s="24">
        <f>IF(VLOOKUP(D441,Budget!A:B,2,FALSE)&lt;&gt;0,IF(G441=0,24,24-G441),0)</f>
        <v>24</v>
      </c>
      <c r="F441" s="17"/>
      <c r="G441" s="17"/>
      <c r="H441" s="86">
        <f>IF(E441=0,0,IF(M441="ja",(VLOOKUP(D441,Budget!A:F,6,FALSE)*(E441-(VLOOKUP(D441,Budget!A:F,3,FALSE)))),VLOOKUP($D441,Budget!$A$1:$F$19,6,FALSE)*E441))</f>
        <v>25200</v>
      </c>
      <c r="I441" s="86">
        <f>IF(F441=0,0,IF(M441="ja",((VLOOKUP(F441,Budget!A:F,6,FALSE)*(E441-(VLOOKUP(F441,Budget!A:F,3,FALSE))))),VLOOKUP($D441,Budget!A:F,5,FALSE)*E441))</f>
        <v>0</v>
      </c>
      <c r="J441" s="86">
        <f t="shared" si="31"/>
        <v>25200</v>
      </c>
      <c r="K441" s="18"/>
      <c r="L441" s="75"/>
      <c r="M441" s="76" t="str">
        <f t="shared" si="32"/>
        <v>ja</v>
      </c>
      <c r="N441">
        <f t="shared" si="29"/>
        <v>2022</v>
      </c>
    </row>
    <row r="442" spans="1:14" ht="15" hidden="1" thickBot="1" x14ac:dyDescent="0.35">
      <c r="A442" s="105">
        <f t="shared" si="30"/>
        <v>10</v>
      </c>
      <c r="B442" s="27">
        <v>44633</v>
      </c>
      <c r="C442" s="19" t="s">
        <v>9</v>
      </c>
      <c r="D442" s="20" t="s">
        <v>69</v>
      </c>
      <c r="E442" s="20">
        <f>IF(VLOOKUP(D442,Budget!A:B,2,FALSE)&lt;&gt;0,IF(G442=0,24,24-G442),0)</f>
        <v>24</v>
      </c>
      <c r="F442" s="20"/>
      <c r="G442" s="20"/>
      <c r="H442" s="93">
        <f>IF(E442=0,0,IF(M442="ja",(VLOOKUP(D442,Budget!A:F,6,FALSE)*(E442-(VLOOKUP(D442,Budget!A:F,3,FALSE)))),VLOOKUP($D442,Budget!$A$1:$F$19,6,FALSE)*E442))</f>
        <v>38269.757143831848</v>
      </c>
      <c r="I442" s="93">
        <f>IF(F442=0,0,IF(M442="ja",((VLOOKUP(F442,Budget!A:F,6,FALSE)*(E442-(VLOOKUP(F442,Budget!A:F,3,FALSE))))),VLOOKUP($D442,Budget!A:F,5,FALSE)*E442))</f>
        <v>0</v>
      </c>
      <c r="J442" s="87">
        <f t="shared" si="31"/>
        <v>38269.757143831848</v>
      </c>
      <c r="K442" s="21"/>
      <c r="L442" s="74"/>
      <c r="M442" s="77" t="str">
        <f t="shared" si="32"/>
        <v>ja</v>
      </c>
      <c r="N442">
        <f t="shared" si="29"/>
        <v>2022</v>
      </c>
    </row>
    <row r="443" spans="1:14" hidden="1" x14ac:dyDescent="0.3">
      <c r="A443" s="104">
        <f t="shared" si="30"/>
        <v>11</v>
      </c>
      <c r="B443" s="22">
        <v>44634</v>
      </c>
      <c r="C443" s="10" t="s">
        <v>3</v>
      </c>
      <c r="D443" s="12" t="s">
        <v>69</v>
      </c>
      <c r="E443" s="13">
        <f>IF(VLOOKUP(D443,Budget!A:B,2,FALSE)&lt;&gt;0,IF(G443=0,24,24-G443),0)</f>
        <v>24</v>
      </c>
      <c r="F443" s="13"/>
      <c r="G443" s="13"/>
      <c r="H443" s="85">
        <f>IF(E443=0,0,IF(M443="ja",(VLOOKUP(D443,Budget!A:F,6,FALSE)*(E443-(VLOOKUP(D443,Budget!A:F,3,FALSE)))),VLOOKUP($D443,Budget!$A$1:$F$19,6,FALSE)*E443))</f>
        <v>42919.35380616656</v>
      </c>
      <c r="I443" s="85">
        <f>IF(F443=0,0,IF(M443="ja",((VLOOKUP(F443,Budget!A:F,6,FALSE)*(E443-(VLOOKUP(F443,Budget!A:F,3,FALSE))))),VLOOKUP($D443,Budget!A:F,5,FALSE)*E443))</f>
        <v>0</v>
      </c>
      <c r="J443" s="85">
        <f t="shared" si="31"/>
        <v>42919.35380616656</v>
      </c>
      <c r="K443" s="15"/>
      <c r="L443" s="72"/>
      <c r="M443" s="80" t="str">
        <f t="shared" si="32"/>
        <v>nein</v>
      </c>
      <c r="N443">
        <f t="shared" si="29"/>
        <v>2022</v>
      </c>
    </row>
    <row r="444" spans="1:14" hidden="1" x14ac:dyDescent="0.3">
      <c r="A444" s="105">
        <f t="shared" si="30"/>
        <v>11</v>
      </c>
      <c r="B444" s="22">
        <v>44635</v>
      </c>
      <c r="C444" s="11" t="s">
        <v>4</v>
      </c>
      <c r="D444" s="12" t="s">
        <v>11</v>
      </c>
      <c r="E444" s="13">
        <f>IF(VLOOKUP(D444,Budget!A:B,2,FALSE)&lt;&gt;0,IF(G444=0,24,24-G444),0)</f>
        <v>24</v>
      </c>
      <c r="G444" s="13"/>
      <c r="H444" s="85">
        <f>IF(E444=0,0,IF(M444="ja",(VLOOKUP(D444,Budget!A:F,6,FALSE)*(E444-(VLOOKUP(D444,Budget!A:F,3,FALSE)))),VLOOKUP($D444,Budget!$A$1:$F$19,6,FALSE)*E444))</f>
        <v>30030</v>
      </c>
      <c r="I444" s="85">
        <f>IF(F444=0,0,IF(M444="ja",((VLOOKUP(F444,Budget!A:F,6,FALSE)*(E444-(VLOOKUP(F444,Budget!A:F,3,FALSE))))),VLOOKUP($D444,Budget!A:F,5,FALSE)*E444))</f>
        <v>0</v>
      </c>
      <c r="J444" s="85">
        <f t="shared" si="31"/>
        <v>30030</v>
      </c>
      <c r="K444" s="14"/>
      <c r="L444" s="73"/>
      <c r="M444" s="80" t="str">
        <f t="shared" si="32"/>
        <v>ja</v>
      </c>
      <c r="N444">
        <f t="shared" si="29"/>
        <v>2022</v>
      </c>
    </row>
    <row r="445" spans="1:14" hidden="1" x14ac:dyDescent="0.3">
      <c r="A445" s="105">
        <f t="shared" si="30"/>
        <v>11</v>
      </c>
      <c r="B445" s="22">
        <v>44636</v>
      </c>
      <c r="C445" s="11" t="s">
        <v>5</v>
      </c>
      <c r="D445" s="12" t="s">
        <v>11</v>
      </c>
      <c r="E445" s="13">
        <f>IF(VLOOKUP(D445,Budget!A:B,2,FALSE)&lt;&gt;0,IF(G445=0,24,24-G445),0)</f>
        <v>24</v>
      </c>
      <c r="G445" s="13"/>
      <c r="H445" s="85">
        <f>IF(E445=0,0,IF(M445="ja",(VLOOKUP(D445,Budget!A:F,6,FALSE)*(E445-(VLOOKUP(D445,Budget!A:F,3,FALSE)))),VLOOKUP($D445,Budget!$A$1:$F$19,6,FALSE)*E445))</f>
        <v>36960</v>
      </c>
      <c r="I445" s="85">
        <f>IF(F445=0,0,IF(M445="ja",((VLOOKUP(F445,Budget!A:F,6,FALSE)*(E445-(VLOOKUP(F445,Budget!A:F,3,FALSE))))),VLOOKUP($D445,Budget!A:F,5,FALSE)*E445))</f>
        <v>0</v>
      </c>
      <c r="J445" s="85">
        <f t="shared" si="31"/>
        <v>36960</v>
      </c>
      <c r="K445" s="14"/>
      <c r="L445" s="73"/>
      <c r="M445" s="80" t="str">
        <f t="shared" si="32"/>
        <v>nein</v>
      </c>
      <c r="N445">
        <f t="shared" si="29"/>
        <v>2022</v>
      </c>
    </row>
    <row r="446" spans="1:14" hidden="1" x14ac:dyDescent="0.3">
      <c r="A446" s="103">
        <f t="shared" si="30"/>
        <v>11</v>
      </c>
      <c r="B446" s="22">
        <v>44637</v>
      </c>
      <c r="C446" s="11" t="s">
        <v>6</v>
      </c>
      <c r="D446" s="12" t="s">
        <v>11</v>
      </c>
      <c r="E446" s="13">
        <f>IF(VLOOKUP(D446,Budget!A:B,2,FALSE)&lt;&gt;0,IF(G446=0,24,24-G446),0)</f>
        <v>24</v>
      </c>
      <c r="G446" s="13"/>
      <c r="H446" s="85">
        <f>IF(E446=0,0,IF(M446="ja",(VLOOKUP(D446,Budget!A:F,6,FALSE)*(E446-(VLOOKUP(D446,Budget!A:F,3,FALSE)))),VLOOKUP($D446,Budget!$A$1:$F$19,6,FALSE)*E446))</f>
        <v>36960</v>
      </c>
      <c r="I446" s="85">
        <f>IF(F446=0,0,IF(M446="ja",((VLOOKUP(F446,Budget!A:F,6,FALSE)*(E446-(VLOOKUP(F446,Budget!A:F,3,FALSE))))),VLOOKUP($D446,Budget!A:F,5,FALSE)*E446))</f>
        <v>0</v>
      </c>
      <c r="J446" s="85">
        <f t="shared" si="31"/>
        <v>36960</v>
      </c>
      <c r="K446" s="14"/>
      <c r="L446" s="73"/>
      <c r="M446" s="80" t="str">
        <f t="shared" si="32"/>
        <v>nein</v>
      </c>
      <c r="N446">
        <f t="shared" si="29"/>
        <v>2022</v>
      </c>
    </row>
    <row r="447" spans="1:14" hidden="1" x14ac:dyDescent="0.3">
      <c r="A447" s="105">
        <f t="shared" si="30"/>
        <v>11</v>
      </c>
      <c r="B447" s="22">
        <v>44638</v>
      </c>
      <c r="C447" s="11" t="s">
        <v>7</v>
      </c>
      <c r="D447" s="12" t="s">
        <v>11</v>
      </c>
      <c r="E447" s="13">
        <f>IF(VLOOKUP(D447,Budget!A:B,2,FALSE)&lt;&gt;0,IF(G447=0,24,24-G447),0)</f>
        <v>24</v>
      </c>
      <c r="G447" s="13"/>
      <c r="H447" s="85">
        <f>IF(E447=0,0,IF(M447="ja",(VLOOKUP(D447,Budget!A:F,6,FALSE)*(E447-(VLOOKUP(D447,Budget!A:F,3,FALSE)))),VLOOKUP($D447,Budget!$A$1:$F$19,6,FALSE)*E447))</f>
        <v>36960</v>
      </c>
      <c r="I447" s="85">
        <f>IF(F447=0,0,IF(M447="ja",((VLOOKUP(F447,Budget!A:F,6,FALSE)*(E447-(VLOOKUP(F447,Budget!A:F,3,FALSE))))),VLOOKUP($D447,Budget!A:F,5,FALSE)*E447))</f>
        <v>0</v>
      </c>
      <c r="J447" s="85">
        <f t="shared" si="31"/>
        <v>36960</v>
      </c>
      <c r="K447" s="14"/>
      <c r="L447" s="25"/>
      <c r="M447" s="80" t="str">
        <f t="shared" si="32"/>
        <v>nein</v>
      </c>
      <c r="N447">
        <f t="shared" si="29"/>
        <v>2022</v>
      </c>
    </row>
    <row r="448" spans="1:14" hidden="1" x14ac:dyDescent="0.3">
      <c r="A448" s="105">
        <f t="shared" si="30"/>
        <v>11</v>
      </c>
      <c r="B448" s="22">
        <v>44639</v>
      </c>
      <c r="C448" s="16" t="s">
        <v>8</v>
      </c>
      <c r="D448" s="17" t="s">
        <v>11</v>
      </c>
      <c r="E448" s="24">
        <f>IF(VLOOKUP(D448,Budget!A:B,2,FALSE)&lt;&gt;0,IF(G448=0,24,24-G448),0)</f>
        <v>24</v>
      </c>
      <c r="F448" s="17"/>
      <c r="G448" s="17"/>
      <c r="H448" s="86">
        <f>IF(E448=0,0,IF(M448="ja",(VLOOKUP(D448,Budget!A:F,6,FALSE)*(E448-(VLOOKUP(D448,Budget!A:F,3,FALSE)))),VLOOKUP($D448,Budget!$A$1:$F$19,6,FALSE)*E448))</f>
        <v>36960</v>
      </c>
      <c r="I448" s="86">
        <f>IF(F448=0,0,IF(M448="ja",((VLOOKUP(F448,Budget!A:F,6,FALSE)*(E448-(VLOOKUP(F448,Budget!A:F,3,FALSE))))),VLOOKUP($D448,Budget!A:F,5,FALSE)*E448))</f>
        <v>0</v>
      </c>
      <c r="J448" s="86">
        <f t="shared" si="31"/>
        <v>36960</v>
      </c>
      <c r="K448" s="18"/>
      <c r="L448" s="75"/>
      <c r="M448" s="76" t="str">
        <f t="shared" si="32"/>
        <v>nein</v>
      </c>
      <c r="N448">
        <f t="shared" si="29"/>
        <v>2022</v>
      </c>
    </row>
    <row r="449" spans="1:14" ht="15" hidden="1" thickBot="1" x14ac:dyDescent="0.35">
      <c r="A449" s="105">
        <f t="shared" si="30"/>
        <v>11</v>
      </c>
      <c r="B449" s="27">
        <v>44640</v>
      </c>
      <c r="C449" s="19" t="s">
        <v>9</v>
      </c>
      <c r="D449" s="20" t="s">
        <v>11</v>
      </c>
      <c r="E449" s="20">
        <f>IF(VLOOKUP(D449,Budget!A:B,2,FALSE)&lt;&gt;0,IF(G449=0,24,24-G449),0)</f>
        <v>24</v>
      </c>
      <c r="F449" s="20"/>
      <c r="G449" s="20"/>
      <c r="H449" s="93">
        <f>IF(E449=0,0,IF(M449="ja",(VLOOKUP(D449,Budget!A:F,6,FALSE)*(E449-(VLOOKUP(D449,Budget!A:F,3,FALSE)))),VLOOKUP($D449,Budget!$A$1:$F$19,6,FALSE)*E449))</f>
        <v>36960</v>
      </c>
      <c r="I449" s="93">
        <f>IF(F449=0,0,IF(M449="ja",((VLOOKUP(F449,Budget!A:F,6,FALSE)*(E449-(VLOOKUP(F449,Budget!A:F,3,FALSE))))),VLOOKUP($D449,Budget!A:F,5,FALSE)*E449))</f>
        <v>0</v>
      </c>
      <c r="J449" s="87">
        <f t="shared" si="31"/>
        <v>36960</v>
      </c>
      <c r="K449" s="21"/>
      <c r="L449" s="74"/>
      <c r="M449" s="77" t="str">
        <f t="shared" si="32"/>
        <v>nein</v>
      </c>
      <c r="N449">
        <f t="shared" si="29"/>
        <v>2022</v>
      </c>
    </row>
    <row r="450" spans="1:14" hidden="1" x14ac:dyDescent="0.3">
      <c r="A450" s="104">
        <f t="shared" si="30"/>
        <v>12</v>
      </c>
      <c r="B450" s="22">
        <v>44641</v>
      </c>
      <c r="C450" s="10" t="s">
        <v>3</v>
      </c>
      <c r="D450" s="12" t="s">
        <v>69</v>
      </c>
      <c r="E450" s="13">
        <f>IF(VLOOKUP(D450,Budget!A:B,2,FALSE)&lt;&gt;0,IF(G450=0,24,24-G450),0)</f>
        <v>24</v>
      </c>
      <c r="F450" s="13"/>
      <c r="G450" s="13"/>
      <c r="H450" s="85">
        <f>IF(E450=0,0,IF(M450="ja",(VLOOKUP(D450,Budget!A:F,6,FALSE)*(E450-(VLOOKUP(D450,Budget!A:F,3,FALSE)))),VLOOKUP($D450,Budget!$A$1:$F$19,6,FALSE)*E450))</f>
        <v>38269.757143831848</v>
      </c>
      <c r="I450" s="85">
        <f>IF(F450=0,0,IF(M450="ja",((VLOOKUP(F450,Budget!A:F,6,FALSE)*(E450-(VLOOKUP(F450,Budget!A:F,3,FALSE))))),VLOOKUP($D450,Budget!A:F,5,FALSE)*E450))</f>
        <v>0</v>
      </c>
      <c r="J450" s="85">
        <f t="shared" si="31"/>
        <v>38269.757143831848</v>
      </c>
      <c r="K450" s="15"/>
      <c r="L450" s="72"/>
      <c r="M450" s="80" t="str">
        <f t="shared" si="32"/>
        <v>ja</v>
      </c>
      <c r="N450">
        <f t="shared" si="29"/>
        <v>2022</v>
      </c>
    </row>
    <row r="451" spans="1:14" hidden="1" x14ac:dyDescent="0.3">
      <c r="A451" s="105">
        <f t="shared" si="30"/>
        <v>12</v>
      </c>
      <c r="B451" s="22">
        <v>44642</v>
      </c>
      <c r="C451" s="11" t="s">
        <v>4</v>
      </c>
      <c r="D451" s="12" t="s">
        <v>11</v>
      </c>
      <c r="E451" s="13">
        <f>IF(VLOOKUP(D451,Budget!A:B,2,FALSE)&lt;&gt;0,IF(G451=0,24,24-G451),0)</f>
        <v>24</v>
      </c>
      <c r="G451" s="13"/>
      <c r="H451" s="85">
        <f>IF(E451=0,0,IF(M451="ja",(VLOOKUP(D451,Budget!A:F,6,FALSE)*(E451-(VLOOKUP(D451,Budget!A:F,3,FALSE)))),VLOOKUP($D451,Budget!$A$1:$F$19,6,FALSE)*E451))</f>
        <v>30030</v>
      </c>
      <c r="I451" s="85">
        <f>IF(F451=0,0,IF(M451="ja",((VLOOKUP(F451,Budget!A:F,6,FALSE)*(E451-(VLOOKUP(F451,Budget!A:F,3,FALSE))))),VLOOKUP($D451,Budget!A:F,5,FALSE)*E451))</f>
        <v>0</v>
      </c>
      <c r="J451" s="85">
        <f t="shared" si="31"/>
        <v>30030</v>
      </c>
      <c r="K451" s="14"/>
      <c r="L451" s="106"/>
      <c r="M451" s="80" t="str">
        <f t="shared" si="32"/>
        <v>ja</v>
      </c>
      <c r="N451">
        <f t="shared" ref="N451:N514" si="33">YEAR(B451)</f>
        <v>2022</v>
      </c>
    </row>
    <row r="452" spans="1:14" hidden="1" x14ac:dyDescent="0.3">
      <c r="A452" s="105">
        <f t="shared" si="30"/>
        <v>12</v>
      </c>
      <c r="B452" s="22">
        <v>44643</v>
      </c>
      <c r="C452" s="11" t="s">
        <v>5</v>
      </c>
      <c r="D452" s="12" t="s">
        <v>11</v>
      </c>
      <c r="E452" s="13">
        <f>IF(VLOOKUP(D452,Budget!A:B,2,FALSE)&lt;&gt;0,IF(G452=0,24,24-G452),0)</f>
        <v>18</v>
      </c>
      <c r="F452" s="12" t="s">
        <v>13</v>
      </c>
      <c r="G452" s="13">
        <v>6</v>
      </c>
      <c r="H452" s="85">
        <f>IF(E452=0,0,IF(M452="ja",(VLOOKUP(D452,Budget!A:F,6,FALSE)*(E452-(VLOOKUP(D452,Budget!A:F,3,FALSE)))),VLOOKUP($D452,Budget!$A$1:$F$19,6,FALSE)*E452))</f>
        <v>20790</v>
      </c>
      <c r="I452" s="85">
        <f>IF(F452=0,0,IF(M452="ja",((VLOOKUP(F452,Budget!A:F,6,FALSE)*(E452-(VLOOKUP(F452,Budget!A:F,3,FALSE))))),VLOOKUP($D452,Budget!A:F,5,FALSE)*E452))</f>
        <v>0</v>
      </c>
      <c r="J452" s="85">
        <f t="shared" si="31"/>
        <v>20790</v>
      </c>
      <c r="K452" s="14"/>
      <c r="L452" s="97" t="s">
        <v>95</v>
      </c>
      <c r="M452" s="80" t="str">
        <f t="shared" si="32"/>
        <v>ja</v>
      </c>
      <c r="N452">
        <f t="shared" si="33"/>
        <v>2022</v>
      </c>
    </row>
    <row r="453" spans="1:14" hidden="1" x14ac:dyDescent="0.3">
      <c r="A453" s="103">
        <f t="shared" si="30"/>
        <v>12</v>
      </c>
      <c r="B453" s="22">
        <v>44644</v>
      </c>
      <c r="C453" s="11" t="s">
        <v>6</v>
      </c>
      <c r="D453" s="12" t="s">
        <v>69</v>
      </c>
      <c r="E453" s="13">
        <f>IF(VLOOKUP(D453,Budget!A:B,2,FALSE)&lt;&gt;0,IF(G453=0,24,24-G453),0)</f>
        <v>18</v>
      </c>
      <c r="F453" s="12" t="s">
        <v>13</v>
      </c>
      <c r="G453" s="13">
        <v>6</v>
      </c>
      <c r="H453" s="85">
        <f>IF(E453=0,0,IF(M453="ja",(VLOOKUP(D453,Budget!A:F,6,FALSE)*(E453-(VLOOKUP(D453,Budget!A:F,3,FALSE)))),VLOOKUP($D453,Budget!$A$1:$F$19,6,FALSE)*E453))</f>
        <v>27539.918692290212</v>
      </c>
      <c r="I453" s="85">
        <f>IF(F453=0,0,IF(M453="ja",((VLOOKUP(F453,Budget!A:F,6,FALSE)*(E453-(VLOOKUP(F453,Budget!A:F,3,FALSE))))),VLOOKUP($D453,Budget!A:F,5,FALSE)*E453))</f>
        <v>0</v>
      </c>
      <c r="J453" s="85">
        <f t="shared" si="31"/>
        <v>27539.918692290212</v>
      </c>
      <c r="K453" s="14"/>
      <c r="L453" s="97" t="s">
        <v>96</v>
      </c>
      <c r="M453" s="80" t="str">
        <f t="shared" si="32"/>
        <v>ja</v>
      </c>
      <c r="N453">
        <f t="shared" si="33"/>
        <v>2022</v>
      </c>
    </row>
    <row r="454" spans="1:14" hidden="1" x14ac:dyDescent="0.3">
      <c r="A454" s="105">
        <f t="shared" si="30"/>
        <v>12</v>
      </c>
      <c r="B454" s="22">
        <v>44645</v>
      </c>
      <c r="C454" s="11" t="s">
        <v>7</v>
      </c>
      <c r="D454" s="12" t="s">
        <v>11</v>
      </c>
      <c r="E454" s="13">
        <f>IF(VLOOKUP(D454,Budget!A:B,2,FALSE)&lt;&gt;0,IF(G454=0,24,24-G454),0)</f>
        <v>24</v>
      </c>
      <c r="G454" s="13"/>
      <c r="H454" s="85">
        <f>IF(E454=0,0,IF(M454="ja",(VLOOKUP(D454,Budget!A:F,6,FALSE)*(E454-(VLOOKUP(D454,Budget!A:F,3,FALSE)))),VLOOKUP($D454,Budget!$A$1:$F$19,6,FALSE)*E454))</f>
        <v>30030</v>
      </c>
      <c r="I454" s="85">
        <f>IF(F454=0,0,IF(M454="ja",((VLOOKUP(F454,Budget!A:F,6,FALSE)*(E454-(VLOOKUP(F454,Budget!A:F,3,FALSE))))),VLOOKUP($D454,Budget!A:F,5,FALSE)*E454))</f>
        <v>0</v>
      </c>
      <c r="J454" s="85">
        <f t="shared" si="31"/>
        <v>30030</v>
      </c>
      <c r="K454" s="14"/>
      <c r="L454" s="97"/>
      <c r="M454" s="80" t="str">
        <f t="shared" si="32"/>
        <v>ja</v>
      </c>
      <c r="N454">
        <f t="shared" si="33"/>
        <v>2022</v>
      </c>
    </row>
    <row r="455" spans="1:14" hidden="1" x14ac:dyDescent="0.3">
      <c r="A455" s="105">
        <f t="shared" si="30"/>
        <v>12</v>
      </c>
      <c r="B455" s="22">
        <v>44646</v>
      </c>
      <c r="C455" s="16" t="s">
        <v>8</v>
      </c>
      <c r="D455" s="17" t="s">
        <v>11</v>
      </c>
      <c r="E455" s="24">
        <f>IF(VLOOKUP(D455,Budget!A:B,2,FALSE)&lt;&gt;0,IF(G455=0,24,24-G455),0)</f>
        <v>24</v>
      </c>
      <c r="F455" s="17"/>
      <c r="G455" s="17"/>
      <c r="H455" s="86">
        <f>IF(E455=0,0,IF(M455="ja",(VLOOKUP(D455,Budget!A:F,6,FALSE)*(E455-(VLOOKUP(D455,Budget!A:F,3,FALSE)))),VLOOKUP($D455,Budget!$A$1:$F$19,6,FALSE)*E455))</f>
        <v>36960</v>
      </c>
      <c r="I455" s="86">
        <f>IF(F455=0,0,IF(M455="ja",((VLOOKUP(F455,Budget!A:F,6,FALSE)*(E455-(VLOOKUP(F455,Budget!A:F,3,FALSE))))),VLOOKUP($D455,Budget!A:F,5,FALSE)*E455))</f>
        <v>0</v>
      </c>
      <c r="J455" s="86">
        <f t="shared" si="31"/>
        <v>36960</v>
      </c>
      <c r="K455" s="18"/>
      <c r="L455" s="75"/>
      <c r="M455" s="76" t="str">
        <f t="shared" si="32"/>
        <v>nein</v>
      </c>
      <c r="N455">
        <f t="shared" si="33"/>
        <v>2022</v>
      </c>
    </row>
    <row r="456" spans="1:14" ht="15" hidden="1" thickBot="1" x14ac:dyDescent="0.35">
      <c r="A456" s="105">
        <f t="shared" si="30"/>
        <v>12</v>
      </c>
      <c r="B456" s="27">
        <v>44647</v>
      </c>
      <c r="C456" s="19" t="s">
        <v>9</v>
      </c>
      <c r="D456" s="20" t="s">
        <v>11</v>
      </c>
      <c r="E456" s="20">
        <f>IF(VLOOKUP(D456,Budget!A:B,2,FALSE)&lt;&gt;0,IF(G456=0,24,24-G456),0)</f>
        <v>24</v>
      </c>
      <c r="F456" s="20"/>
      <c r="G456" s="20"/>
      <c r="H456" s="93">
        <f>IF(E456=0,0,IF(M456="ja",(VLOOKUP(D456,Budget!A:F,6,FALSE)*(E456-(VLOOKUP(D456,Budget!A:F,3,FALSE)))),VLOOKUP($D456,Budget!$A$1:$F$19,6,FALSE)*E456))</f>
        <v>36960</v>
      </c>
      <c r="I456" s="93">
        <f>IF(F456=0,0,IF(M456="ja",((VLOOKUP(F456,Budget!A:F,6,FALSE)*(E456-(VLOOKUP(F456,Budget!A:F,3,FALSE))))),VLOOKUP($D456,Budget!A:F,5,FALSE)*E456))</f>
        <v>0</v>
      </c>
      <c r="J456" s="87">
        <f t="shared" si="31"/>
        <v>36960</v>
      </c>
      <c r="K456" s="21"/>
      <c r="L456" s="74"/>
      <c r="M456" s="77" t="str">
        <f t="shared" si="32"/>
        <v>nein</v>
      </c>
      <c r="N456">
        <f t="shared" si="33"/>
        <v>2022</v>
      </c>
    </row>
    <row r="457" spans="1:14" hidden="1" x14ac:dyDescent="0.3">
      <c r="A457" s="104">
        <f t="shared" si="30"/>
        <v>13</v>
      </c>
      <c r="B457" s="22">
        <v>44648</v>
      </c>
      <c r="C457" s="10" t="s">
        <v>3</v>
      </c>
      <c r="D457" s="12" t="s">
        <v>69</v>
      </c>
      <c r="E457" s="13">
        <f>IF(VLOOKUP(D457,Budget!A:B,2,FALSE)&lt;&gt;0,IF(G457=0,24,24-G457),0)</f>
        <v>24</v>
      </c>
      <c r="F457" s="13"/>
      <c r="G457" s="13"/>
      <c r="H457" s="85">
        <f>IF(E457=0,0,IF(M457="ja",(VLOOKUP(D457,Budget!A:F,6,FALSE)*(E457-(VLOOKUP(D457,Budget!A:F,3,FALSE)))),VLOOKUP($D457,Budget!$A$1:$F$19,6,FALSE)*E457))</f>
        <v>38269.757143831848</v>
      </c>
      <c r="I457" s="85">
        <f>IF(F457=0,0,IF(M457="ja",((VLOOKUP(F457,Budget!A:F,6,FALSE)*(E457-(VLOOKUP(F457,Budget!A:F,3,FALSE))))),VLOOKUP($D457,Budget!A:F,5,FALSE)*E457))</f>
        <v>0</v>
      </c>
      <c r="J457" s="85">
        <f t="shared" si="31"/>
        <v>38269.757143831848</v>
      </c>
      <c r="K457" s="15"/>
      <c r="L457" s="72"/>
      <c r="M457" s="80" t="str">
        <f t="shared" si="32"/>
        <v>ja</v>
      </c>
      <c r="N457">
        <f t="shared" si="33"/>
        <v>2022</v>
      </c>
    </row>
    <row r="458" spans="1:14" hidden="1" x14ac:dyDescent="0.3">
      <c r="A458" s="105">
        <f t="shared" si="30"/>
        <v>13</v>
      </c>
      <c r="B458" s="22">
        <v>44649</v>
      </c>
      <c r="C458" s="11" t="s">
        <v>4</v>
      </c>
      <c r="D458" s="12" t="s">
        <v>69</v>
      </c>
      <c r="E458" s="13">
        <f>IF(VLOOKUP(D458,Budget!A:B,2,FALSE)&lt;&gt;0,IF(G458=0,24,24-G458),0)</f>
        <v>24</v>
      </c>
      <c r="G458" s="13"/>
      <c r="H458" s="85">
        <f>IF(E458=0,0,IF(M458="ja",(VLOOKUP(D458,Budget!A:F,6,FALSE)*(E458-(VLOOKUP(D458,Budget!A:F,3,FALSE)))),VLOOKUP($D458,Budget!$A$1:$F$19,6,FALSE)*E458))</f>
        <v>42919.35380616656</v>
      </c>
      <c r="I458" s="85">
        <f>IF(F458=0,0,IF(M458="ja",((VLOOKUP(F458,Budget!A:F,6,FALSE)*(E458-(VLOOKUP(F458,Budget!A:F,3,FALSE))))),VLOOKUP($D458,Budget!A:F,5,FALSE)*E458))</f>
        <v>0</v>
      </c>
      <c r="J458" s="85">
        <f t="shared" si="31"/>
        <v>42919.35380616656</v>
      </c>
      <c r="K458" s="14"/>
      <c r="L458" s="73"/>
      <c r="M458" s="80" t="str">
        <f t="shared" si="32"/>
        <v>nein</v>
      </c>
      <c r="N458">
        <f t="shared" si="33"/>
        <v>2022</v>
      </c>
    </row>
    <row r="459" spans="1:14" hidden="1" x14ac:dyDescent="0.3">
      <c r="A459" s="105">
        <f t="shared" si="30"/>
        <v>13</v>
      </c>
      <c r="B459" s="22">
        <v>44650</v>
      </c>
      <c r="C459" s="11" t="s">
        <v>5</v>
      </c>
      <c r="D459" s="12" t="s">
        <v>69</v>
      </c>
      <c r="E459" s="13">
        <f>IF(VLOOKUP(D459,Budget!A:B,2,FALSE)&lt;&gt;0,IF(G459=0,24,24-G459),0)</f>
        <v>24</v>
      </c>
      <c r="G459" s="13"/>
      <c r="H459" s="85">
        <f>IF(E459=0,0,IF(M459="ja",(VLOOKUP(D459,Budget!A:F,6,FALSE)*(E459-(VLOOKUP(D459,Budget!A:F,3,FALSE)))),VLOOKUP($D459,Budget!$A$1:$F$19,6,FALSE)*E459))</f>
        <v>42919.35380616656</v>
      </c>
      <c r="I459" s="85">
        <f>IF(F459=0,0,IF(M459="ja",((VLOOKUP(F459,Budget!A:F,6,FALSE)*(E459-(VLOOKUP(F459,Budget!A:F,3,FALSE))))),VLOOKUP($D459,Budget!A:F,5,FALSE)*E459))</f>
        <v>0</v>
      </c>
      <c r="J459" s="85">
        <f t="shared" si="31"/>
        <v>42919.35380616656</v>
      </c>
      <c r="K459" s="14"/>
      <c r="L459" s="73"/>
      <c r="M459" s="80" t="str">
        <f t="shared" si="32"/>
        <v>nein</v>
      </c>
      <c r="N459">
        <f t="shared" si="33"/>
        <v>2022</v>
      </c>
    </row>
    <row r="460" spans="1:14" hidden="1" x14ac:dyDescent="0.3">
      <c r="A460" s="103">
        <f t="shared" si="30"/>
        <v>13</v>
      </c>
      <c r="B460" s="22">
        <v>44651</v>
      </c>
      <c r="C460" s="11" t="s">
        <v>6</v>
      </c>
      <c r="D460" s="12" t="s">
        <v>11</v>
      </c>
      <c r="E460" s="13">
        <f>IF(VLOOKUP(D460,Budget!A:B,2,FALSE)&lt;&gt;0,IF(G460=0,24,24-G460),0)</f>
        <v>24</v>
      </c>
      <c r="G460" s="13"/>
      <c r="H460" s="85">
        <f>IF(E460=0,0,IF(M460="ja",(VLOOKUP(D460,Budget!A:F,6,FALSE)*(E460-(VLOOKUP(D460,Budget!A:F,3,FALSE)))),VLOOKUP($D460,Budget!$A$1:$F$19,6,FALSE)*E460))</f>
        <v>30030</v>
      </c>
      <c r="I460" s="85">
        <f>IF(F460=0,0,IF(M460="ja",((VLOOKUP(F460,Budget!A:F,6,FALSE)*(E460-(VLOOKUP(F460,Budget!A:F,3,FALSE))))),VLOOKUP($D460,Budget!A:F,5,FALSE)*E460))</f>
        <v>0</v>
      </c>
      <c r="J460" s="85">
        <f t="shared" si="31"/>
        <v>30030</v>
      </c>
      <c r="K460" s="14"/>
      <c r="L460" s="73"/>
      <c r="M460" s="80" t="str">
        <f t="shared" si="32"/>
        <v>ja</v>
      </c>
      <c r="N460">
        <f t="shared" si="33"/>
        <v>2022</v>
      </c>
    </row>
    <row r="461" spans="1:14" hidden="1" x14ac:dyDescent="0.3">
      <c r="A461" s="105">
        <f t="shared" si="30"/>
        <v>13</v>
      </c>
      <c r="B461" s="22">
        <v>44652</v>
      </c>
      <c r="C461" s="11" t="s">
        <v>7</v>
      </c>
      <c r="D461" s="12" t="s">
        <v>11</v>
      </c>
      <c r="E461" s="13">
        <f>IF(VLOOKUP(D461,Budget!A:B,2,FALSE)&lt;&gt;0,IF(G461=0,24,24-G461),0)</f>
        <v>24</v>
      </c>
      <c r="G461" s="13"/>
      <c r="H461" s="85">
        <f>IF(E461=0,0,IF(M461="ja",(VLOOKUP(D461,Budget!A:F,6,FALSE)*(E461-(VLOOKUP(D461,Budget!A:F,3,FALSE)))),VLOOKUP($D461,Budget!$A$1:$F$19,6,FALSE)*E461))</f>
        <v>36960</v>
      </c>
      <c r="I461" s="85">
        <f>IF(F461=0,0,IF(M461="ja",((VLOOKUP(F461,Budget!A:F,6,FALSE)*(E461-(VLOOKUP(F461,Budget!A:F,3,FALSE))))),VLOOKUP($D461,Budget!A:F,5,FALSE)*E461))</f>
        <v>0</v>
      </c>
      <c r="J461" s="85">
        <f t="shared" si="31"/>
        <v>36960</v>
      </c>
      <c r="K461" s="14"/>
      <c r="L461" s="25"/>
      <c r="M461" s="80" t="str">
        <f t="shared" si="32"/>
        <v>nein</v>
      </c>
      <c r="N461">
        <f t="shared" si="33"/>
        <v>2022</v>
      </c>
    </row>
    <row r="462" spans="1:14" hidden="1" x14ac:dyDescent="0.3">
      <c r="A462" s="105">
        <f t="shared" si="30"/>
        <v>13</v>
      </c>
      <c r="B462" s="22">
        <v>44653</v>
      </c>
      <c r="C462" s="16" t="s">
        <v>8</v>
      </c>
      <c r="D462" s="17" t="s">
        <v>11</v>
      </c>
      <c r="E462" s="24">
        <f>IF(VLOOKUP(D462,Budget!A:B,2,FALSE)&lt;&gt;0,IF(G462=0,24,24-G462),0)</f>
        <v>24</v>
      </c>
      <c r="F462" s="17"/>
      <c r="G462" s="17"/>
      <c r="H462" s="86">
        <f>IF(E462=0,0,IF(M462="ja",(VLOOKUP(D462,Budget!A:F,6,FALSE)*(E462-(VLOOKUP(D462,Budget!A:F,3,FALSE)))),VLOOKUP($D462,Budget!$A$1:$F$19,6,FALSE)*E462))</f>
        <v>36960</v>
      </c>
      <c r="I462" s="86">
        <f>IF(F462=0,0,IF(M462="ja",((VLOOKUP(F462,Budget!A:F,6,FALSE)*(E462-(VLOOKUP(F462,Budget!A:F,3,FALSE))))),VLOOKUP($D462,Budget!A:F,5,FALSE)*E462))</f>
        <v>0</v>
      </c>
      <c r="J462" s="86">
        <f t="shared" si="31"/>
        <v>36960</v>
      </c>
      <c r="K462" s="18"/>
      <c r="L462" s="75"/>
      <c r="M462" s="76" t="str">
        <f t="shared" si="32"/>
        <v>nein</v>
      </c>
      <c r="N462">
        <f t="shared" si="33"/>
        <v>2022</v>
      </c>
    </row>
    <row r="463" spans="1:14" ht="15" hidden="1" thickBot="1" x14ac:dyDescent="0.35">
      <c r="A463" s="105">
        <f t="shared" si="30"/>
        <v>13</v>
      </c>
      <c r="B463" s="27">
        <v>44654</v>
      </c>
      <c r="C463" s="19" t="s">
        <v>9</v>
      </c>
      <c r="D463" s="20" t="s">
        <v>69</v>
      </c>
      <c r="E463" s="20">
        <f>IF(VLOOKUP(D463,Budget!A:B,2,FALSE)&lt;&gt;0,IF(G463=0,24,24-G463),0)</f>
        <v>24</v>
      </c>
      <c r="F463" s="20"/>
      <c r="G463" s="20"/>
      <c r="H463" s="93">
        <f>IF(E463=0,0,IF(M463="ja",(VLOOKUP(D463,Budget!A:F,6,FALSE)*(E463-(VLOOKUP(D463,Budget!A:F,3,FALSE)))),VLOOKUP($D463,Budget!$A$1:$F$19,6,FALSE)*E463))</f>
        <v>38269.757143831848</v>
      </c>
      <c r="I463" s="93">
        <f>IF(F463=0,0,IF(M463="ja",((VLOOKUP(F463,Budget!A:F,6,FALSE)*(E463-(VLOOKUP(F463,Budget!A:F,3,FALSE))))),VLOOKUP($D463,Budget!A:F,5,FALSE)*E463))</f>
        <v>0</v>
      </c>
      <c r="J463" s="87">
        <f t="shared" si="31"/>
        <v>38269.757143831848</v>
      </c>
      <c r="K463" s="21"/>
      <c r="L463" s="74"/>
      <c r="M463" s="77" t="str">
        <f t="shared" si="32"/>
        <v>ja</v>
      </c>
      <c r="N463">
        <f t="shared" si="33"/>
        <v>2022</v>
      </c>
    </row>
    <row r="464" spans="1:14" hidden="1" x14ac:dyDescent="0.3">
      <c r="A464" s="104">
        <f t="shared" si="30"/>
        <v>14</v>
      </c>
      <c r="B464" s="22">
        <v>44655</v>
      </c>
      <c r="C464" s="10" t="s">
        <v>3</v>
      </c>
      <c r="D464" s="12" t="s">
        <v>69</v>
      </c>
      <c r="E464" s="13">
        <f>IF(VLOOKUP(D464,Budget!A:B,2,FALSE)&lt;&gt;0,IF(G464=0,24,24-G464),0)</f>
        <v>24</v>
      </c>
      <c r="F464" s="13"/>
      <c r="G464" s="13"/>
      <c r="H464" s="85">
        <f>IF(E464=0,0,IF(M464="ja",(VLOOKUP(D464,Budget!A:F,6,FALSE)*(E464-(VLOOKUP(D464,Budget!A:F,3,FALSE)))),VLOOKUP($D464,Budget!$A$1:$F$19,6,FALSE)*E464))</f>
        <v>42919.35380616656</v>
      </c>
      <c r="I464" s="85">
        <f>IF(F464=0,0,IF(M464="ja",((VLOOKUP(F464,Budget!A:F,6,FALSE)*(E464-(VLOOKUP(F464,Budget!A:F,3,FALSE))))),VLOOKUP($D464,Budget!A:F,5,FALSE)*E464))</f>
        <v>0</v>
      </c>
      <c r="J464" s="85">
        <f t="shared" si="31"/>
        <v>42919.35380616656</v>
      </c>
      <c r="K464" s="15"/>
      <c r="L464" s="72"/>
      <c r="M464" s="80" t="str">
        <f t="shared" si="32"/>
        <v>nein</v>
      </c>
      <c r="N464">
        <f t="shared" si="33"/>
        <v>2022</v>
      </c>
    </row>
    <row r="465" spans="1:14" hidden="1" x14ac:dyDescent="0.3">
      <c r="A465" s="105">
        <f t="shared" si="30"/>
        <v>14</v>
      </c>
      <c r="B465" s="22">
        <v>44656</v>
      </c>
      <c r="C465" s="11" t="s">
        <v>4</v>
      </c>
      <c r="D465" s="12" t="s">
        <v>11</v>
      </c>
      <c r="E465" s="13">
        <f>IF(VLOOKUP(D465,Budget!A:B,2,FALSE)&lt;&gt;0,IF(G465=0,24,24-G465),0)</f>
        <v>24</v>
      </c>
      <c r="G465" s="13"/>
      <c r="H465" s="85">
        <f>IF(E465=0,0,IF(M465="ja",(VLOOKUP(D465,Budget!A:F,6,FALSE)*(E465-(VLOOKUP(D465,Budget!A:F,3,FALSE)))),VLOOKUP($D465,Budget!$A$1:$F$19,6,FALSE)*E465))</f>
        <v>30030</v>
      </c>
      <c r="I465" s="85">
        <f>IF(F465=0,0,IF(M465="ja",((VLOOKUP(F465,Budget!A:F,6,FALSE)*(E465-(VLOOKUP(F465,Budget!A:F,3,FALSE))))),VLOOKUP($D465,Budget!A:F,5,FALSE)*E465))</f>
        <v>0</v>
      </c>
      <c r="J465" s="85">
        <f t="shared" si="31"/>
        <v>30030</v>
      </c>
      <c r="K465" s="14"/>
      <c r="L465" s="73"/>
      <c r="M465" s="80" t="str">
        <f t="shared" si="32"/>
        <v>ja</v>
      </c>
      <c r="N465">
        <f t="shared" si="33"/>
        <v>2022</v>
      </c>
    </row>
    <row r="466" spans="1:14" hidden="1" x14ac:dyDescent="0.3">
      <c r="A466" s="105">
        <f t="shared" si="30"/>
        <v>14</v>
      </c>
      <c r="B466" s="22">
        <v>44657</v>
      </c>
      <c r="C466" s="11" t="s">
        <v>5</v>
      </c>
      <c r="D466" s="12" t="s">
        <v>11</v>
      </c>
      <c r="E466" s="13">
        <f>IF(VLOOKUP(D466,Budget!A:B,2,FALSE)&lt;&gt;0,IF(G466=0,24,24-G466),0)</f>
        <v>24</v>
      </c>
      <c r="G466" s="13"/>
      <c r="H466" s="85">
        <f>IF(E466=0,0,IF(M466="ja",(VLOOKUP(D466,Budget!A:F,6,FALSE)*(E466-(VLOOKUP(D466,Budget!A:F,3,FALSE)))),VLOOKUP($D466,Budget!$A$1:$F$19,6,FALSE)*E466))</f>
        <v>36960</v>
      </c>
      <c r="I466" s="85">
        <f>IF(F466=0,0,IF(M466="ja",((VLOOKUP(F466,Budget!A:F,6,FALSE)*(E466-(VLOOKUP(F466,Budget!A:F,3,FALSE))))),VLOOKUP($D466,Budget!A:F,5,FALSE)*E466))</f>
        <v>0</v>
      </c>
      <c r="J466" s="85">
        <f t="shared" si="31"/>
        <v>36960</v>
      </c>
      <c r="K466" s="14"/>
      <c r="L466" s="73"/>
      <c r="M466" s="80" t="str">
        <f t="shared" si="32"/>
        <v>nein</v>
      </c>
      <c r="N466">
        <f t="shared" si="33"/>
        <v>2022</v>
      </c>
    </row>
    <row r="467" spans="1:14" hidden="1" x14ac:dyDescent="0.3">
      <c r="A467" s="103">
        <f t="shared" si="30"/>
        <v>14</v>
      </c>
      <c r="B467" s="22">
        <v>44658</v>
      </c>
      <c r="C467" s="11" t="s">
        <v>6</v>
      </c>
      <c r="D467" s="118" t="s">
        <v>29</v>
      </c>
      <c r="E467" s="13">
        <f>IF(VLOOKUP(D467,Budget!A:B,2,FALSE)&lt;&gt;0,IF(G467=0,24,24-G467),0)</f>
        <v>0</v>
      </c>
      <c r="G467" s="13"/>
      <c r="H467" s="85">
        <f>IF(E467=0,0,IF(M467="ja",(VLOOKUP(D467,Budget!A:F,6,FALSE)*(E467-(VLOOKUP(D467,Budget!A:F,3,FALSE)))),VLOOKUP($D467,Budget!$A$1:$F$19,6,FALSE)*E467))</f>
        <v>0</v>
      </c>
      <c r="I467" s="85">
        <f>IF(F467=0,0,IF(M467="ja",((VLOOKUP(F467,Budget!A:F,6,FALSE)*(E467-(VLOOKUP(F467,Budget!A:F,3,FALSE))))),VLOOKUP($D467,Budget!A:F,5,FALSE)*E467))</f>
        <v>0</v>
      </c>
      <c r="J467" s="85">
        <f t="shared" si="31"/>
        <v>0</v>
      </c>
      <c r="K467" s="14"/>
      <c r="L467" s="97" t="s">
        <v>78</v>
      </c>
      <c r="M467" s="80" t="str">
        <f t="shared" si="32"/>
        <v>nein</v>
      </c>
      <c r="N467">
        <f t="shared" si="33"/>
        <v>2022</v>
      </c>
    </row>
    <row r="468" spans="1:14" hidden="1" x14ac:dyDescent="0.3">
      <c r="A468" s="105">
        <f t="shared" si="30"/>
        <v>14</v>
      </c>
      <c r="B468" s="22">
        <v>44659</v>
      </c>
      <c r="C468" s="11" t="s">
        <v>7</v>
      </c>
      <c r="D468" s="12" t="s">
        <v>29</v>
      </c>
      <c r="E468" s="13">
        <f>IF(VLOOKUP(D468,Budget!A:B,2,FALSE)&lt;&gt;0,IF(G468=0,24,24-G468),0)</f>
        <v>0</v>
      </c>
      <c r="G468" s="13"/>
      <c r="H468" s="85">
        <f>IF(E468=0,0,IF(M468="ja",(VLOOKUP(D468,Budget!A:F,6,FALSE)*(E468-(VLOOKUP(D468,Budget!A:F,3,FALSE)))),VLOOKUP($D468,Budget!$A$1:$F$19,6,FALSE)*E468))</f>
        <v>0</v>
      </c>
      <c r="I468" s="85">
        <f>IF(F468=0,0,IF(M468="ja",((VLOOKUP(F468,Budget!A:F,6,FALSE)*(E468-(VLOOKUP(F468,Budget!A:F,3,FALSE))))),VLOOKUP($D468,Budget!A:F,5,FALSE)*E468))</f>
        <v>0</v>
      </c>
      <c r="J468" s="85">
        <f t="shared" si="31"/>
        <v>0</v>
      </c>
      <c r="K468" s="14"/>
      <c r="L468" s="119" t="s">
        <v>99</v>
      </c>
      <c r="M468" s="80" t="str">
        <f t="shared" si="32"/>
        <v>nein</v>
      </c>
      <c r="N468">
        <f t="shared" si="33"/>
        <v>2022</v>
      </c>
    </row>
    <row r="469" spans="1:14" hidden="1" x14ac:dyDescent="0.3">
      <c r="A469" s="105">
        <f t="shared" si="30"/>
        <v>14</v>
      </c>
      <c r="B469" s="22">
        <v>44660</v>
      </c>
      <c r="C469" s="16" t="s">
        <v>8</v>
      </c>
      <c r="D469" s="17" t="s">
        <v>29</v>
      </c>
      <c r="E469" s="24">
        <f>IF(VLOOKUP(D469,Budget!A:B,2,FALSE)&lt;&gt;0,IF(G469=0,24,24-G469),0)</f>
        <v>0</v>
      </c>
      <c r="F469" s="17"/>
      <c r="G469" s="17"/>
      <c r="H469" s="86">
        <f>IF(E469=0,0,IF(M469="ja",(VLOOKUP(D469,Budget!A:F,6,FALSE)*(E469-(VLOOKUP(D469,Budget!A:F,3,FALSE)))),VLOOKUP($D469,Budget!$A$1:$F$19,6,FALSE)*E469))</f>
        <v>0</v>
      </c>
      <c r="I469" s="86">
        <f>IF(F469=0,0,IF(M469="ja",((VLOOKUP(F469,Budget!A:F,6,FALSE)*(E469-(VLOOKUP(F469,Budget!A:F,3,FALSE))))),VLOOKUP($D469,Budget!A:F,5,FALSE)*E469))</f>
        <v>0</v>
      </c>
      <c r="J469" s="86">
        <f t="shared" si="31"/>
        <v>0</v>
      </c>
      <c r="K469" s="18"/>
      <c r="L469" s="120" t="s">
        <v>100</v>
      </c>
      <c r="M469" s="76" t="str">
        <f t="shared" si="32"/>
        <v>nein</v>
      </c>
      <c r="N469">
        <f t="shared" si="33"/>
        <v>2022</v>
      </c>
    </row>
    <row r="470" spans="1:14" ht="15" hidden="1" thickBot="1" x14ac:dyDescent="0.35">
      <c r="A470" s="105">
        <f t="shared" si="30"/>
        <v>14</v>
      </c>
      <c r="B470" s="27">
        <v>44661</v>
      </c>
      <c r="C470" s="19" t="s">
        <v>9</v>
      </c>
      <c r="D470" s="20" t="s">
        <v>29</v>
      </c>
      <c r="E470" s="20">
        <f>IF(VLOOKUP(D470,Budget!A:B,2,FALSE)&lt;&gt;0,IF(G470=0,24,24-G470),0)</f>
        <v>0</v>
      </c>
      <c r="F470" s="20"/>
      <c r="G470" s="20"/>
      <c r="H470" s="93">
        <f>IF(E470=0,0,IF(M470="ja",(VLOOKUP(D470,Budget!A:F,6,FALSE)*(E470-(VLOOKUP(D470,Budget!A:F,3,FALSE)))),VLOOKUP($D470,Budget!$A$1:$F$19,6,FALSE)*E470))</f>
        <v>0</v>
      </c>
      <c r="I470" s="93">
        <f>IF(F470=0,0,IF(M470="ja",((VLOOKUP(F470,Budget!A:F,6,FALSE)*(E470-(VLOOKUP(F470,Budget!A:F,3,FALSE))))),VLOOKUP($D470,Budget!A:F,5,FALSE)*E470))</f>
        <v>0</v>
      </c>
      <c r="J470" s="87">
        <f t="shared" si="31"/>
        <v>0</v>
      </c>
      <c r="K470" s="21"/>
      <c r="L470" s="121" t="s">
        <v>101</v>
      </c>
      <c r="M470" s="77" t="str">
        <f t="shared" si="32"/>
        <v>nein</v>
      </c>
      <c r="N470">
        <f t="shared" si="33"/>
        <v>2022</v>
      </c>
    </row>
    <row r="471" spans="1:14" hidden="1" x14ac:dyDescent="0.3">
      <c r="A471" s="104">
        <f t="shared" si="30"/>
        <v>15</v>
      </c>
      <c r="B471" s="22">
        <v>44662</v>
      </c>
      <c r="C471" s="10" t="s">
        <v>3</v>
      </c>
      <c r="D471" s="12" t="s">
        <v>69</v>
      </c>
      <c r="E471" s="13">
        <f>IF(VLOOKUP(D471,Budget!A:B,2,FALSE)&lt;&gt;0,IF(G471=0,24,24-G471),0)</f>
        <v>24</v>
      </c>
      <c r="F471" s="13"/>
      <c r="G471" s="13"/>
      <c r="H471" s="85">
        <f>IF(E471=0,0,IF(M471="ja",(VLOOKUP(D471,Budget!A:F,6,FALSE)*(E471-(VLOOKUP(D471,Budget!A:F,3,FALSE)))),VLOOKUP($D471,Budget!$A$1:$F$19,6,FALSE)*E471))</f>
        <v>38269.757143831848</v>
      </c>
      <c r="I471" s="85">
        <f>IF(F471=0,0,IF(M471="ja",((VLOOKUP(F471,Budget!A:F,6,FALSE)*(E471-(VLOOKUP(F471,Budget!A:F,3,FALSE))))),VLOOKUP($D471,Budget!A:F,5,FALSE)*E471))</f>
        <v>0</v>
      </c>
      <c r="J471" s="85">
        <f t="shared" si="31"/>
        <v>38269.757143831848</v>
      </c>
      <c r="K471" s="15"/>
      <c r="L471" s="72"/>
      <c r="M471" s="80" t="str">
        <f t="shared" si="32"/>
        <v>ja</v>
      </c>
      <c r="N471">
        <f t="shared" si="33"/>
        <v>2022</v>
      </c>
    </row>
    <row r="472" spans="1:14" hidden="1" x14ac:dyDescent="0.3">
      <c r="A472" s="105">
        <f t="shared" si="30"/>
        <v>15</v>
      </c>
      <c r="B472" s="22">
        <v>44663</v>
      </c>
      <c r="C472" s="11" t="s">
        <v>4</v>
      </c>
      <c r="D472" s="12" t="s">
        <v>12</v>
      </c>
      <c r="E472" s="13">
        <f>IF(VLOOKUP(D472,Budget!A:B,2,FALSE)&lt;&gt;0,IF(G472=0,24,24-G472),0)</f>
        <v>24</v>
      </c>
      <c r="G472" s="13"/>
      <c r="H472" s="85">
        <f>IF(E472=0,0,IF(M472="ja",(VLOOKUP(D472,Budget!A:F,6,FALSE)*(E472-(VLOOKUP(D472,Budget!A:F,3,FALSE)))),VLOOKUP($D472,Budget!$A$1:$F$19,6,FALSE)*E472))</f>
        <v>27720</v>
      </c>
      <c r="I472" s="85">
        <f>IF(F472=0,0,IF(M472="ja",((VLOOKUP(F472,Budget!A:F,6,FALSE)*(E472-(VLOOKUP(F472,Budget!A:F,3,FALSE))))),VLOOKUP($D472,Budget!A:F,5,FALSE)*E472))</f>
        <v>0</v>
      </c>
      <c r="J472" s="85">
        <f t="shared" si="31"/>
        <v>27720</v>
      </c>
      <c r="K472" s="14"/>
      <c r="L472" s="73"/>
      <c r="M472" s="80" t="str">
        <f t="shared" si="32"/>
        <v>ja</v>
      </c>
      <c r="N472">
        <f t="shared" si="33"/>
        <v>2022</v>
      </c>
    </row>
    <row r="473" spans="1:14" hidden="1" x14ac:dyDescent="0.3">
      <c r="A473" s="105">
        <f t="shared" si="30"/>
        <v>15</v>
      </c>
      <c r="B473" s="22">
        <v>44664</v>
      </c>
      <c r="C473" s="11" t="s">
        <v>5</v>
      </c>
      <c r="D473" s="12" t="s">
        <v>12</v>
      </c>
      <c r="E473" s="13">
        <f>IF(VLOOKUP(D473,Budget!A:B,2,FALSE)&lt;&gt;0,IF(G473=0,24,24-G473),0)</f>
        <v>20</v>
      </c>
      <c r="F473" s="12" t="s">
        <v>13</v>
      </c>
      <c r="G473" s="13">
        <v>4</v>
      </c>
      <c r="H473" s="85">
        <f>IF(E473=0,0,IF(M473="ja",(VLOOKUP(D473,Budget!A:F,6,FALSE)*(E473-(VLOOKUP(D473,Budget!A:F,3,FALSE)))),VLOOKUP($D473,Budget!$A$1:$F$19,6,FALSE)*E473))</f>
        <v>21560</v>
      </c>
      <c r="I473" s="85">
        <f>IF(F473=0,0,IF(M473="ja",((VLOOKUP(F473,Budget!A:F,6,FALSE)*(E473-(VLOOKUP(F473,Budget!A:F,3,FALSE))))),VLOOKUP($D473,Budget!A:F,5,FALSE)*E473))</f>
        <v>0</v>
      </c>
      <c r="J473" s="85">
        <f t="shared" si="31"/>
        <v>21560</v>
      </c>
      <c r="K473" s="14"/>
      <c r="L473" s="73" t="s">
        <v>98</v>
      </c>
      <c r="M473" s="80" t="str">
        <f t="shared" si="32"/>
        <v>ja</v>
      </c>
      <c r="N473">
        <f t="shared" si="33"/>
        <v>2022</v>
      </c>
    </row>
    <row r="474" spans="1:14" hidden="1" x14ac:dyDescent="0.3">
      <c r="A474" s="103">
        <f t="shared" si="30"/>
        <v>15</v>
      </c>
      <c r="B474" s="22">
        <v>44665</v>
      </c>
      <c r="C474" s="11" t="s">
        <v>6</v>
      </c>
      <c r="D474" s="12" t="s">
        <v>12</v>
      </c>
      <c r="E474" s="13">
        <f>IF(VLOOKUP(D474,Budget!A:B,2,FALSE)&lt;&gt;0,IF(G474=0,24,24-G474),0)</f>
        <v>24</v>
      </c>
      <c r="G474" s="13"/>
      <c r="H474" s="85">
        <f>IF(E474=0,0,IF(M474="ja",(VLOOKUP(D474,Budget!A:F,6,FALSE)*(E474-(VLOOKUP(D474,Budget!A:F,3,FALSE)))),VLOOKUP($D474,Budget!$A$1:$F$19,6,FALSE)*E474))</f>
        <v>27720</v>
      </c>
      <c r="I474" s="85">
        <f>IF(F474=0,0,IF(M474="ja",((VLOOKUP(F474,Budget!A:F,6,FALSE)*(E474-(VLOOKUP(F474,Budget!A:F,3,FALSE))))),VLOOKUP($D474,Budget!A:F,5,FALSE)*E474))</f>
        <v>0</v>
      </c>
      <c r="J474" s="85">
        <f t="shared" si="31"/>
        <v>27720</v>
      </c>
      <c r="K474" s="14"/>
      <c r="L474" s="73"/>
      <c r="M474" s="80" t="str">
        <f t="shared" si="32"/>
        <v>ja</v>
      </c>
      <c r="N474">
        <f t="shared" si="33"/>
        <v>2022</v>
      </c>
    </row>
    <row r="475" spans="1:14" hidden="1" x14ac:dyDescent="0.3">
      <c r="A475" s="105">
        <f t="shared" si="30"/>
        <v>15</v>
      </c>
      <c r="B475" s="22">
        <v>44666</v>
      </c>
      <c r="C475" s="11" t="s">
        <v>7</v>
      </c>
      <c r="D475" s="12" t="s">
        <v>11</v>
      </c>
      <c r="E475" s="13">
        <f>IF(VLOOKUP(D475,Budget!A:B,2,FALSE)&lt;&gt;0,IF(G475=0,24,24-G475),0)</f>
        <v>24</v>
      </c>
      <c r="G475" s="13"/>
      <c r="H475" s="85">
        <f>IF(E475=0,0,IF(M475="ja",(VLOOKUP(D475,Budget!A:F,6,FALSE)*(E475-(VLOOKUP(D475,Budget!A:F,3,FALSE)))),VLOOKUP($D475,Budget!$A$1:$F$19,6,FALSE)*E475))</f>
        <v>30030</v>
      </c>
      <c r="I475" s="85">
        <f>IF(F475=0,0,IF(M475="ja",((VLOOKUP(F475,Budget!A:F,6,FALSE)*(E475-(VLOOKUP(F475,Budget!A:F,3,FALSE))))),VLOOKUP($D475,Budget!A:F,5,FALSE)*E475))</f>
        <v>0</v>
      </c>
      <c r="J475" s="85">
        <f t="shared" si="31"/>
        <v>30030</v>
      </c>
      <c r="K475" s="14"/>
      <c r="L475" s="25"/>
      <c r="M475" s="80" t="str">
        <f t="shared" si="32"/>
        <v>ja</v>
      </c>
      <c r="N475">
        <f t="shared" si="33"/>
        <v>2022</v>
      </c>
    </row>
    <row r="476" spans="1:14" hidden="1" x14ac:dyDescent="0.3">
      <c r="A476" s="105">
        <f t="shared" si="30"/>
        <v>15</v>
      </c>
      <c r="B476" s="22">
        <v>44667</v>
      </c>
      <c r="C476" s="16" t="s">
        <v>8</v>
      </c>
      <c r="D476" s="17" t="s">
        <v>11</v>
      </c>
      <c r="E476" s="24">
        <f>IF(VLOOKUP(D476,Budget!A:B,2,FALSE)&lt;&gt;0,IF(G476=0,24,24-G476),0)</f>
        <v>24</v>
      </c>
      <c r="F476" s="17"/>
      <c r="G476" s="17"/>
      <c r="H476" s="86">
        <f>IF(E476=0,0,IF(M476="ja",(VLOOKUP(D476,Budget!A:F,6,FALSE)*(E476-(VLOOKUP(D476,Budget!A:F,3,FALSE)))),VLOOKUP($D476,Budget!$A$1:$F$19,6,FALSE)*E476))</f>
        <v>36960</v>
      </c>
      <c r="I476" s="86">
        <f>IF(F476=0,0,IF(M476="ja",((VLOOKUP(F476,Budget!A:F,6,FALSE)*(E476-(VLOOKUP(F476,Budget!A:F,3,FALSE))))),VLOOKUP($D476,Budget!A:F,5,FALSE)*E476))</f>
        <v>0</v>
      </c>
      <c r="J476" s="86">
        <f t="shared" si="31"/>
        <v>36960</v>
      </c>
      <c r="K476" s="18"/>
      <c r="L476" s="75"/>
      <c r="M476" s="76" t="str">
        <f t="shared" si="32"/>
        <v>nein</v>
      </c>
      <c r="N476">
        <f t="shared" si="33"/>
        <v>2022</v>
      </c>
    </row>
    <row r="477" spans="1:14" ht="15" hidden="1" thickBot="1" x14ac:dyDescent="0.35">
      <c r="A477" s="105">
        <f t="shared" si="30"/>
        <v>15</v>
      </c>
      <c r="B477" s="27">
        <v>44668</v>
      </c>
      <c r="C477" s="19" t="s">
        <v>9</v>
      </c>
      <c r="D477" s="20" t="s">
        <v>11</v>
      </c>
      <c r="E477" s="20">
        <f>IF(VLOOKUP(D477,Budget!A:B,2,FALSE)&lt;&gt;0,IF(G477=0,24,24-G477),0)</f>
        <v>24</v>
      </c>
      <c r="F477" s="20"/>
      <c r="G477" s="20"/>
      <c r="H477" s="93">
        <f>IF(E477=0,0,IF(M477="ja",(VLOOKUP(D477,Budget!A:F,6,FALSE)*(E477-(VLOOKUP(D477,Budget!A:F,3,FALSE)))),VLOOKUP($D477,Budget!$A$1:$F$19,6,FALSE)*E477))</f>
        <v>36960</v>
      </c>
      <c r="I477" s="93">
        <f>IF(F477=0,0,IF(M477="ja",((VLOOKUP(F477,Budget!A:F,6,FALSE)*(E477-(VLOOKUP(F477,Budget!A:F,3,FALSE))))),VLOOKUP($D477,Budget!A:F,5,FALSE)*E477))</f>
        <v>0</v>
      </c>
      <c r="J477" s="87">
        <f t="shared" si="31"/>
        <v>36960</v>
      </c>
      <c r="K477" s="21"/>
      <c r="L477" s="74"/>
      <c r="M477" s="77" t="str">
        <f t="shared" si="32"/>
        <v>nein</v>
      </c>
      <c r="N477">
        <f t="shared" si="33"/>
        <v>2022</v>
      </c>
    </row>
    <row r="478" spans="1:14" hidden="1" x14ac:dyDescent="0.3">
      <c r="A478" s="104">
        <f t="shared" si="30"/>
        <v>16</v>
      </c>
      <c r="B478" s="22">
        <v>44669</v>
      </c>
      <c r="C478" s="10" t="s">
        <v>3</v>
      </c>
      <c r="D478" s="12" t="s">
        <v>11</v>
      </c>
      <c r="E478" s="13">
        <f>IF(VLOOKUP(D478,Budget!A:B,2,FALSE)&lt;&gt;0,IF(G478=0,24,24-G478),0)</f>
        <v>24</v>
      </c>
      <c r="F478" s="13"/>
      <c r="G478" s="13"/>
      <c r="H478" s="85">
        <f>IF(E478=0,0,IF(M478="ja",(VLOOKUP(D478,Budget!A:F,6,FALSE)*(E478-(VLOOKUP(D478,Budget!A:F,3,FALSE)))),VLOOKUP($D478,Budget!$A$1:$F$19,6,FALSE)*E478))</f>
        <v>36960</v>
      </c>
      <c r="I478" s="85">
        <f>IF(F478=0,0,IF(M478="ja",((VLOOKUP(F478,Budget!A:F,6,FALSE)*(E478-(VLOOKUP(F478,Budget!A:F,3,FALSE))))),VLOOKUP($D478,Budget!A:F,5,FALSE)*E478))</f>
        <v>0</v>
      </c>
      <c r="J478" s="85">
        <f t="shared" si="31"/>
        <v>36960</v>
      </c>
      <c r="K478" s="15"/>
      <c r="L478" s="72"/>
      <c r="M478" s="80" t="str">
        <f t="shared" si="32"/>
        <v>nein</v>
      </c>
      <c r="N478">
        <f t="shared" si="33"/>
        <v>2022</v>
      </c>
    </row>
    <row r="479" spans="1:14" hidden="1" x14ac:dyDescent="0.3">
      <c r="A479" s="105">
        <f t="shared" si="30"/>
        <v>16</v>
      </c>
      <c r="B479" s="22">
        <v>44670</v>
      </c>
      <c r="C479" s="11" t="s">
        <v>4</v>
      </c>
      <c r="D479" s="12" t="s">
        <v>11</v>
      </c>
      <c r="E479" s="13">
        <f>IF(VLOOKUP(D479,Budget!A:B,2,FALSE)&lt;&gt;0,IF(G479=0,24,24-G479),0)</f>
        <v>24</v>
      </c>
      <c r="G479" s="13"/>
      <c r="H479" s="85">
        <f>IF(E479=0,0,IF(M479="ja",(VLOOKUP(D479,Budget!A:F,6,FALSE)*(E479-(VLOOKUP(D479,Budget!A:F,3,FALSE)))),VLOOKUP($D479,Budget!$A$1:$F$19,6,FALSE)*E479))</f>
        <v>36960</v>
      </c>
      <c r="I479" s="85">
        <f>IF(F479=0,0,IF(M479="ja",((VLOOKUP(F479,Budget!A:F,6,FALSE)*(E479-(VLOOKUP(F479,Budget!A:F,3,FALSE))))),VLOOKUP($D479,Budget!A:F,5,FALSE)*E479))</f>
        <v>0</v>
      </c>
      <c r="J479" s="85">
        <f t="shared" si="31"/>
        <v>36960</v>
      </c>
      <c r="K479" s="14"/>
      <c r="L479" s="73"/>
      <c r="M479" s="80" t="str">
        <f t="shared" si="32"/>
        <v>nein</v>
      </c>
      <c r="N479">
        <f t="shared" si="33"/>
        <v>2022</v>
      </c>
    </row>
    <row r="480" spans="1:14" hidden="1" x14ac:dyDescent="0.3">
      <c r="A480" s="105">
        <f t="shared" si="30"/>
        <v>16</v>
      </c>
      <c r="B480" s="22">
        <v>44671</v>
      </c>
      <c r="C480" s="11" t="s">
        <v>5</v>
      </c>
      <c r="D480" s="12" t="s">
        <v>11</v>
      </c>
      <c r="E480" s="13">
        <f>IF(VLOOKUP(D480,Budget!A:B,2,FALSE)&lt;&gt;0,IF(G480=0,24,24-G480),0)</f>
        <v>24</v>
      </c>
      <c r="G480" s="13"/>
      <c r="H480" s="85">
        <f>IF(E480=0,0,IF(M480="ja",(VLOOKUP(D480,Budget!A:F,6,FALSE)*(E480-(VLOOKUP(D480,Budget!A:F,3,FALSE)))),VLOOKUP($D480,Budget!$A$1:$F$19,6,FALSE)*E480))</f>
        <v>36960</v>
      </c>
      <c r="I480" s="85">
        <f>IF(F480=0,0,IF(M480="ja",((VLOOKUP(F480,Budget!A:F,6,FALSE)*(E480-(VLOOKUP(F480,Budget!A:F,3,FALSE))))),VLOOKUP($D480,Budget!A:F,5,FALSE)*E480))</f>
        <v>0</v>
      </c>
      <c r="J480" s="85">
        <f t="shared" si="31"/>
        <v>36960</v>
      </c>
      <c r="K480" s="14"/>
      <c r="L480" s="73"/>
      <c r="M480" s="80" t="str">
        <f t="shared" si="32"/>
        <v>nein</v>
      </c>
      <c r="N480">
        <f t="shared" si="33"/>
        <v>2022</v>
      </c>
    </row>
    <row r="481" spans="1:14" hidden="1" x14ac:dyDescent="0.3">
      <c r="A481" s="103">
        <f t="shared" si="30"/>
        <v>16</v>
      </c>
      <c r="B481" s="22">
        <v>44672</v>
      </c>
      <c r="C481" s="11" t="s">
        <v>6</v>
      </c>
      <c r="D481" s="12" t="s">
        <v>11</v>
      </c>
      <c r="E481" s="13">
        <f>IF(VLOOKUP(D481,Budget!A:B,2,FALSE)&lt;&gt;0,IF(G481=0,24,24-G481),0)</f>
        <v>24</v>
      </c>
      <c r="G481" s="13"/>
      <c r="H481" s="85">
        <f>IF(E481=0,0,IF(M481="ja",(VLOOKUP(D481,Budget!A:F,6,FALSE)*(E481-(VLOOKUP(D481,Budget!A:F,3,FALSE)))),VLOOKUP($D481,Budget!$A$1:$F$19,6,FALSE)*E481))</f>
        <v>36960</v>
      </c>
      <c r="I481" s="85">
        <f>IF(F481=0,0,IF(M481="ja",((VLOOKUP(F481,Budget!A:F,6,FALSE)*(E481-(VLOOKUP(F481,Budget!A:F,3,FALSE))))),VLOOKUP($D481,Budget!A:F,5,FALSE)*E481))</f>
        <v>0</v>
      </c>
      <c r="J481" s="85">
        <f t="shared" si="31"/>
        <v>36960</v>
      </c>
      <c r="K481" s="14"/>
      <c r="L481" s="73"/>
      <c r="M481" s="80" t="str">
        <f t="shared" si="32"/>
        <v>nein</v>
      </c>
      <c r="N481">
        <f t="shared" si="33"/>
        <v>2022</v>
      </c>
    </row>
    <row r="482" spans="1:14" hidden="1" x14ac:dyDescent="0.3">
      <c r="A482" s="105">
        <f t="shared" si="30"/>
        <v>16</v>
      </c>
      <c r="B482" s="22">
        <v>44673</v>
      </c>
      <c r="C482" s="11" t="s">
        <v>7</v>
      </c>
      <c r="D482" s="12" t="s">
        <v>11</v>
      </c>
      <c r="E482" s="13">
        <f>IF(VLOOKUP(D482,Budget!A:B,2,FALSE)&lt;&gt;0,IF(G482=0,24,24-G482),0)</f>
        <v>24</v>
      </c>
      <c r="G482" s="13"/>
      <c r="H482" s="85">
        <f>IF(E482=0,0,IF(M482="ja",(VLOOKUP(D482,Budget!A:F,6,FALSE)*(E482-(VLOOKUP(D482,Budget!A:F,3,FALSE)))),VLOOKUP($D482,Budget!$A$1:$F$19,6,FALSE)*E482))</f>
        <v>36960</v>
      </c>
      <c r="I482" s="85">
        <f>IF(F482=0,0,IF(M482="ja",((VLOOKUP(F482,Budget!A:F,6,FALSE)*(E482-(VLOOKUP(F482,Budget!A:F,3,FALSE))))),VLOOKUP($D482,Budget!A:F,5,FALSE)*E482))</f>
        <v>0</v>
      </c>
      <c r="J482" s="85">
        <f t="shared" si="31"/>
        <v>36960</v>
      </c>
      <c r="K482" s="14"/>
      <c r="L482" s="25"/>
      <c r="M482" s="80" t="str">
        <f t="shared" si="32"/>
        <v>nein</v>
      </c>
      <c r="N482">
        <f t="shared" si="33"/>
        <v>2022</v>
      </c>
    </row>
    <row r="483" spans="1:14" hidden="1" x14ac:dyDescent="0.3">
      <c r="A483" s="105">
        <f t="shared" si="30"/>
        <v>16</v>
      </c>
      <c r="B483" s="22">
        <v>44674</v>
      </c>
      <c r="C483" s="16" t="s">
        <v>8</v>
      </c>
      <c r="D483" s="17" t="s">
        <v>11</v>
      </c>
      <c r="E483" s="24">
        <f>IF(VLOOKUP(D483,Budget!A:B,2,FALSE)&lt;&gt;0,IF(G483=0,24,24-G483),0)</f>
        <v>24</v>
      </c>
      <c r="F483" s="17"/>
      <c r="G483" s="17"/>
      <c r="H483" s="86">
        <f>IF(E483=0,0,IF(M483="ja",(VLOOKUP(D483,Budget!A:F,6,FALSE)*(E483-(VLOOKUP(D483,Budget!A:F,3,FALSE)))),VLOOKUP($D483,Budget!$A$1:$F$19,6,FALSE)*E483))</f>
        <v>36960</v>
      </c>
      <c r="I483" s="86">
        <f>IF(F483=0,0,IF(M483="ja",((VLOOKUP(F483,Budget!A:F,6,FALSE)*(E483-(VLOOKUP(F483,Budget!A:F,3,FALSE))))),VLOOKUP($D483,Budget!A:F,5,FALSE)*E483))</f>
        <v>0</v>
      </c>
      <c r="J483" s="86">
        <f t="shared" si="31"/>
        <v>36960</v>
      </c>
      <c r="K483" s="18"/>
      <c r="L483" s="75"/>
      <c r="M483" s="76" t="str">
        <f t="shared" si="32"/>
        <v>nein</v>
      </c>
      <c r="N483">
        <f t="shared" si="33"/>
        <v>2022</v>
      </c>
    </row>
    <row r="484" spans="1:14" ht="15" hidden="1" thickBot="1" x14ac:dyDescent="0.35">
      <c r="A484" s="105">
        <f t="shared" si="30"/>
        <v>16</v>
      </c>
      <c r="B484" s="27">
        <v>44675</v>
      </c>
      <c r="C484" s="19" t="s">
        <v>9</v>
      </c>
      <c r="D484" s="20" t="s">
        <v>69</v>
      </c>
      <c r="E484" s="20">
        <f>IF(VLOOKUP(D484,Budget!A:B,2,FALSE)&lt;&gt;0,IF(G484=0,24,24-G484),0)</f>
        <v>24</v>
      </c>
      <c r="F484" s="20"/>
      <c r="G484" s="20"/>
      <c r="H484" s="93">
        <f>IF(E484=0,0,IF(M484="ja",(VLOOKUP(D484,Budget!A:F,6,FALSE)*(E484-(VLOOKUP(D484,Budget!A:F,3,FALSE)))),VLOOKUP($D484,Budget!$A$1:$F$19,6,FALSE)*E484))</f>
        <v>38269.757143831848</v>
      </c>
      <c r="I484" s="93">
        <f>IF(F484=0,0,IF(M484="ja",((VLOOKUP(F484,Budget!A:F,6,FALSE)*(E484-(VLOOKUP(F484,Budget!A:F,3,FALSE))))),VLOOKUP($D484,Budget!A:F,5,FALSE)*E484))</f>
        <v>0</v>
      </c>
      <c r="J484" s="87">
        <f t="shared" si="31"/>
        <v>38269.757143831848</v>
      </c>
      <c r="K484" s="21"/>
      <c r="L484" s="74"/>
      <c r="M484" s="77" t="str">
        <f t="shared" si="32"/>
        <v>ja</v>
      </c>
      <c r="N484">
        <f t="shared" si="33"/>
        <v>2022</v>
      </c>
    </row>
    <row r="485" spans="1:14" hidden="1" x14ac:dyDescent="0.3">
      <c r="A485" s="104">
        <f t="shared" si="30"/>
        <v>17</v>
      </c>
      <c r="B485" s="22">
        <v>44676</v>
      </c>
      <c r="C485" s="10" t="s">
        <v>3</v>
      </c>
      <c r="D485" s="12" t="s">
        <v>69</v>
      </c>
      <c r="E485" s="13">
        <f>IF(VLOOKUP(D485,Budget!A:B,2,FALSE)&lt;&gt;0,IF(G485=0,24,24-G485),0)</f>
        <v>24</v>
      </c>
      <c r="F485" s="13"/>
      <c r="G485" s="13"/>
      <c r="H485" s="85">
        <f>IF(E485=0,0,IF(M485="ja",(VLOOKUP(D485,Budget!A:F,6,FALSE)*(E485-(VLOOKUP(D485,Budget!A:F,3,FALSE)))),VLOOKUP($D485,Budget!$A$1:$F$19,6,FALSE)*E485))</f>
        <v>42919.35380616656</v>
      </c>
      <c r="I485" s="85">
        <f>IF(F485=0,0,IF(M485="ja",((VLOOKUP(F485,Budget!A:F,6,FALSE)*(E485-(VLOOKUP(F485,Budget!A:F,3,FALSE))))),VLOOKUP($D485,Budget!A:F,5,FALSE)*E485))</f>
        <v>0</v>
      </c>
      <c r="J485" s="85">
        <f t="shared" si="31"/>
        <v>42919.35380616656</v>
      </c>
      <c r="K485" s="15"/>
      <c r="L485" s="72"/>
      <c r="M485" s="80" t="str">
        <f t="shared" si="32"/>
        <v>nein</v>
      </c>
      <c r="N485">
        <f t="shared" si="33"/>
        <v>2022</v>
      </c>
    </row>
    <row r="486" spans="1:14" hidden="1" x14ac:dyDescent="0.3">
      <c r="A486" s="105">
        <f t="shared" si="30"/>
        <v>17</v>
      </c>
      <c r="B486" s="22">
        <v>44677</v>
      </c>
      <c r="C486" s="11" t="s">
        <v>4</v>
      </c>
      <c r="D486" s="12" t="s">
        <v>69</v>
      </c>
      <c r="E486" s="13">
        <f>IF(VLOOKUP(D486,Budget!A:B,2,FALSE)&lt;&gt;0,IF(G486=0,24,24-G486),0)</f>
        <v>22</v>
      </c>
      <c r="F486" s="12" t="s">
        <v>29</v>
      </c>
      <c r="G486" s="13">
        <v>2</v>
      </c>
      <c r="H486" s="85">
        <f>IF(E486=0,0,IF(M486="ja",(VLOOKUP(D486,Budget!A:F,6,FALSE)*(E486-(VLOOKUP(D486,Budget!A:F,3,FALSE)))),VLOOKUP($D486,Budget!$A$1:$F$19,6,FALSE)*E486))</f>
        <v>34693.144326651302</v>
      </c>
      <c r="I486" s="85">
        <f>IF(F486=0,0,IF(M486="ja",((VLOOKUP(F486,Budget!A:F,6,FALSE)*(E486-(VLOOKUP(F486,Budget!A:F,3,FALSE))))),VLOOKUP($D486,Budget!A:F,5,FALSE)*E486))</f>
        <v>0</v>
      </c>
      <c r="J486" s="85">
        <f t="shared" si="31"/>
        <v>34693.144326651302</v>
      </c>
      <c r="K486" s="14"/>
      <c r="L486" s="73" t="s">
        <v>93</v>
      </c>
      <c r="M486" s="80" t="str">
        <f t="shared" si="32"/>
        <v>ja</v>
      </c>
      <c r="N486">
        <f t="shared" si="33"/>
        <v>2022</v>
      </c>
    </row>
    <row r="487" spans="1:14" hidden="1" x14ac:dyDescent="0.3">
      <c r="A487" s="105">
        <f t="shared" si="30"/>
        <v>17</v>
      </c>
      <c r="B487" s="22">
        <v>44678</v>
      </c>
      <c r="C487" s="11" t="s">
        <v>5</v>
      </c>
      <c r="D487" s="12" t="s">
        <v>29</v>
      </c>
      <c r="E487" s="13">
        <f>IF(VLOOKUP(D487,Budget!A:B,2,FALSE)&lt;&gt;0,IF(G487=0,24,24-G487),0)</f>
        <v>0</v>
      </c>
      <c r="G487" s="13"/>
      <c r="H487" s="85">
        <f>IF(E487=0,0,IF(M487="ja",(VLOOKUP(D487,Budget!A:F,6,FALSE)*(E487-(VLOOKUP(D487,Budget!A:F,3,FALSE)))),VLOOKUP($D487,Budget!$A$1:$F$19,6,FALSE)*E487))</f>
        <v>0</v>
      </c>
      <c r="I487" s="85">
        <f>IF(F487=0,0,IF(M487="ja",((VLOOKUP(F487,Budget!A:F,6,FALSE)*(E487-(VLOOKUP(F487,Budget!A:F,3,FALSE))))),VLOOKUP($D487,Budget!A:F,5,FALSE)*E487))</f>
        <v>0</v>
      </c>
      <c r="J487" s="85">
        <f t="shared" si="31"/>
        <v>0</v>
      </c>
      <c r="K487" s="14"/>
      <c r="L487" s="73"/>
      <c r="M487" s="80" t="str">
        <f t="shared" si="32"/>
        <v>nein</v>
      </c>
      <c r="N487">
        <f t="shared" si="33"/>
        <v>2022</v>
      </c>
    </row>
    <row r="488" spans="1:14" hidden="1" x14ac:dyDescent="0.3">
      <c r="A488" s="103">
        <f t="shared" si="30"/>
        <v>17</v>
      </c>
      <c r="B488" s="22">
        <v>44679</v>
      </c>
      <c r="C488" s="11" t="s">
        <v>6</v>
      </c>
      <c r="D488" s="12" t="s">
        <v>29</v>
      </c>
      <c r="E488" s="13">
        <f>IF(VLOOKUP(D488,Budget!A:B,2,FALSE)&lt;&gt;0,IF(G488=0,24,24-G488),0)</f>
        <v>0</v>
      </c>
      <c r="G488" s="13"/>
      <c r="H488" s="85">
        <f>IF(E488=0,0,IF(M488="ja",(VLOOKUP(D488,Budget!A:F,6,FALSE)*(E488-(VLOOKUP(D488,Budget!A:F,3,FALSE)))),VLOOKUP($D488,Budget!$A$1:$F$19,6,FALSE)*E488))</f>
        <v>0</v>
      </c>
      <c r="I488" s="85">
        <f>IF(F488=0,0,IF(M488="ja",((VLOOKUP(F488,Budget!A:F,6,FALSE)*(E488-(VLOOKUP(F488,Budget!A:F,3,FALSE))))),VLOOKUP($D488,Budget!A:F,5,FALSE)*E488))</f>
        <v>0</v>
      </c>
      <c r="J488" s="85">
        <f t="shared" si="31"/>
        <v>0</v>
      </c>
      <c r="K488" s="14"/>
      <c r="L488" s="73"/>
      <c r="M488" s="80" t="str">
        <f t="shared" si="32"/>
        <v>nein</v>
      </c>
      <c r="N488">
        <f t="shared" si="33"/>
        <v>2022</v>
      </c>
    </row>
    <row r="489" spans="1:14" hidden="1" x14ac:dyDescent="0.3">
      <c r="A489" s="105">
        <f t="shared" si="30"/>
        <v>17</v>
      </c>
      <c r="B489" s="22">
        <v>44680</v>
      </c>
      <c r="C489" s="11" t="s">
        <v>7</v>
      </c>
      <c r="D489" s="12" t="s">
        <v>29</v>
      </c>
      <c r="E489" s="13">
        <f>IF(VLOOKUP(D489,Budget!A:B,2,FALSE)&lt;&gt;0,IF(G489=0,24,24-G489),0)</f>
        <v>0</v>
      </c>
      <c r="G489" s="13"/>
      <c r="H489" s="85">
        <f>IF(E489=0,0,IF(M489="ja",(VLOOKUP(D489,Budget!A:F,6,FALSE)*(E489-(VLOOKUP(D489,Budget!A:F,3,FALSE)))),VLOOKUP($D489,Budget!$A$1:$F$19,6,FALSE)*E489))</f>
        <v>0</v>
      </c>
      <c r="I489" s="85">
        <f>IF(F489=0,0,IF(M489="ja",((VLOOKUP(F489,Budget!A:F,6,FALSE)*(E489-(VLOOKUP(F489,Budget!A:F,3,FALSE))))),VLOOKUP($D489,Budget!A:F,5,FALSE)*E489))</f>
        <v>0</v>
      </c>
      <c r="J489" s="85">
        <f t="shared" si="31"/>
        <v>0</v>
      </c>
      <c r="K489" s="14"/>
      <c r="L489" s="25"/>
      <c r="M489" s="80" t="str">
        <f t="shared" si="32"/>
        <v>nein</v>
      </c>
      <c r="N489">
        <f t="shared" si="33"/>
        <v>2022</v>
      </c>
    </row>
    <row r="490" spans="1:14" hidden="1" x14ac:dyDescent="0.3">
      <c r="A490" s="105">
        <f t="shared" si="30"/>
        <v>17</v>
      </c>
      <c r="B490" s="22">
        <v>44681</v>
      </c>
      <c r="C490" s="16" t="s">
        <v>8</v>
      </c>
      <c r="D490" s="17" t="s">
        <v>29</v>
      </c>
      <c r="E490" s="24">
        <f>IF(VLOOKUP(D490,Budget!A:B,2,FALSE)&lt;&gt;0,IF(G490=0,24,24-G490),0)</f>
        <v>0</v>
      </c>
      <c r="F490" s="17"/>
      <c r="G490" s="17"/>
      <c r="H490" s="86">
        <f>IF(E490=0,0,IF(M490="ja",(VLOOKUP(D490,Budget!A:F,6,FALSE)*(E490-(VLOOKUP(D490,Budget!A:F,3,FALSE)))),VLOOKUP($D490,Budget!$A$1:$F$19,6,FALSE)*E490))</f>
        <v>0</v>
      </c>
      <c r="I490" s="86">
        <f>IF(F490=0,0,IF(M490="ja",((VLOOKUP(F490,Budget!A:F,6,FALSE)*(E490-(VLOOKUP(F490,Budget!A:F,3,FALSE))))),VLOOKUP($D490,Budget!A:F,5,FALSE)*E490))</f>
        <v>0</v>
      </c>
      <c r="J490" s="86">
        <f t="shared" si="31"/>
        <v>0</v>
      </c>
      <c r="K490" s="18"/>
      <c r="L490" s="75"/>
      <c r="M490" s="76" t="str">
        <f t="shared" si="32"/>
        <v>nein</v>
      </c>
      <c r="N490">
        <f t="shared" si="33"/>
        <v>2022</v>
      </c>
    </row>
    <row r="491" spans="1:14" ht="15" hidden="1" thickBot="1" x14ac:dyDescent="0.35">
      <c r="A491" s="105">
        <f t="shared" si="30"/>
        <v>17</v>
      </c>
      <c r="B491" s="27">
        <v>44682</v>
      </c>
      <c r="C491" s="19" t="s">
        <v>9</v>
      </c>
      <c r="D491" s="20" t="s">
        <v>29</v>
      </c>
      <c r="E491" s="20">
        <f>IF(VLOOKUP(D491,Budget!A:B,2,FALSE)&lt;&gt;0,IF(G491=0,24,24-G491),0)</f>
        <v>0</v>
      </c>
      <c r="F491" s="20"/>
      <c r="G491" s="20"/>
      <c r="H491" s="93">
        <f>IF(E491=0,0,IF(M491="ja",(VLOOKUP(D491,Budget!A:F,6,FALSE)*(E491-(VLOOKUP(D491,Budget!A:F,3,FALSE)))),VLOOKUP($D491,Budget!$A$1:$F$19,6,FALSE)*E491))</f>
        <v>0</v>
      </c>
      <c r="I491" s="93">
        <f>IF(F491=0,0,IF(M491="ja",((VLOOKUP(F491,Budget!A:F,6,FALSE)*(E491-(VLOOKUP(F491,Budget!A:F,3,FALSE))))),VLOOKUP($D491,Budget!A:F,5,FALSE)*E491))</f>
        <v>0</v>
      </c>
      <c r="J491" s="87">
        <f t="shared" si="31"/>
        <v>0</v>
      </c>
      <c r="K491" s="21"/>
      <c r="L491" s="74"/>
      <c r="M491" s="77" t="str">
        <f t="shared" si="32"/>
        <v>nein</v>
      </c>
      <c r="N491">
        <f t="shared" si="33"/>
        <v>2022</v>
      </c>
    </row>
    <row r="492" spans="1:14" hidden="1" x14ac:dyDescent="0.3">
      <c r="A492" s="104">
        <f t="shared" si="30"/>
        <v>18</v>
      </c>
      <c r="B492" s="22">
        <v>44683</v>
      </c>
      <c r="C492" s="10" t="s">
        <v>3</v>
      </c>
      <c r="D492" s="12" t="s">
        <v>30</v>
      </c>
      <c r="E492" s="13">
        <f>IF(VLOOKUP(D492,Budget!A:B,2,FALSE)&lt;&gt;0,IF(G492=0,24,24-G492),0)</f>
        <v>0</v>
      </c>
      <c r="F492" s="13"/>
      <c r="G492" s="13"/>
      <c r="H492" s="85">
        <f>IF(E492=0,0,IF(M492="ja",(VLOOKUP(D492,Budget!A:F,6,FALSE)*(E492-(VLOOKUP(D492,Budget!A:F,3,FALSE)))),VLOOKUP($D492,Budget!$A$1:$F$19,6,FALSE)*E492))</f>
        <v>0</v>
      </c>
      <c r="I492" s="85">
        <f>IF(F492=0,0,IF(M492="ja",((VLOOKUP(F492,Budget!A:F,6,FALSE)*(E492-(VLOOKUP(F492,Budget!A:F,3,FALSE))))),VLOOKUP($D492,Budget!A:F,5,FALSE)*E492))</f>
        <v>0</v>
      </c>
      <c r="J492" s="85">
        <f t="shared" si="31"/>
        <v>0</v>
      </c>
      <c r="K492" s="15"/>
      <c r="L492" s="72"/>
      <c r="M492" s="80" t="str">
        <f t="shared" si="32"/>
        <v>nein</v>
      </c>
      <c r="N492">
        <f t="shared" si="33"/>
        <v>2022</v>
      </c>
    </row>
    <row r="493" spans="1:14" ht="28.8" hidden="1" x14ac:dyDescent="0.3">
      <c r="A493" s="105">
        <f t="shared" si="30"/>
        <v>18</v>
      </c>
      <c r="B493" s="22">
        <v>44684</v>
      </c>
      <c r="C493" s="11" t="s">
        <v>4</v>
      </c>
      <c r="D493" s="12" t="s">
        <v>18</v>
      </c>
      <c r="E493" s="13">
        <f>IF(VLOOKUP(D493,Budget!A:B,2,FALSE)&lt;&gt;0,IF(G493=0,24,24-G493),0)</f>
        <v>24</v>
      </c>
      <c r="G493" s="13"/>
      <c r="H493" s="85">
        <f>IF(E493=0,0,IF(M493="ja",(VLOOKUP(D493,Budget!A:F,6,FALSE)*(E493-(VLOOKUP(D493,Budget!A:F,3,FALSE)))),VLOOKUP($D493,Budget!$A$1:$F$19,6,FALSE)*E493))</f>
        <v>25200</v>
      </c>
      <c r="I493" s="85">
        <f>IF(F493=0,0,IF(M493="ja",((VLOOKUP(F493,Budget!A:F,6,FALSE)*(E493-(VLOOKUP(F493,Budget!A:F,3,FALSE))))),VLOOKUP($D493,Budget!A:F,5,FALSE)*E493))</f>
        <v>0</v>
      </c>
      <c r="J493" s="85">
        <f t="shared" si="31"/>
        <v>25200</v>
      </c>
      <c r="K493" s="14"/>
      <c r="L493" s="73" t="s">
        <v>103</v>
      </c>
      <c r="M493" s="80" t="str">
        <f t="shared" si="32"/>
        <v>ja</v>
      </c>
      <c r="N493">
        <f t="shared" si="33"/>
        <v>2022</v>
      </c>
    </row>
    <row r="494" spans="1:14" hidden="1" x14ac:dyDescent="0.3">
      <c r="A494" s="105">
        <f t="shared" si="30"/>
        <v>18</v>
      </c>
      <c r="B494" s="22">
        <v>44685</v>
      </c>
      <c r="C494" s="11" t="s">
        <v>5</v>
      </c>
      <c r="D494" s="12" t="s">
        <v>18</v>
      </c>
      <c r="E494" s="13">
        <f>IF(VLOOKUP(D494,Budget!A:B,2,FALSE)&lt;&gt;0,IF(G494=0,24,24-G494),0)</f>
        <v>24</v>
      </c>
      <c r="G494" s="13"/>
      <c r="H494" s="85">
        <f>IF(E494=0,0,IF(M494="ja",(VLOOKUP(D494,Budget!A:F,6,FALSE)*(E494-(VLOOKUP(D494,Budget!A:F,3,FALSE)))),VLOOKUP($D494,Budget!$A$1:$F$19,6,FALSE)*E494))</f>
        <v>28800</v>
      </c>
      <c r="I494" s="85">
        <f>IF(F494=0,0,IF(M494="ja",((VLOOKUP(F494,Budget!A:F,6,FALSE)*(E494-(VLOOKUP(F494,Budget!A:F,3,FALSE))))),VLOOKUP($D494,Budget!A:F,5,FALSE)*E494))</f>
        <v>0</v>
      </c>
      <c r="J494" s="85">
        <f t="shared" si="31"/>
        <v>28800</v>
      </c>
      <c r="K494" s="14"/>
      <c r="L494" s="73"/>
      <c r="M494" s="80" t="str">
        <f t="shared" si="32"/>
        <v>nein</v>
      </c>
      <c r="N494">
        <f t="shared" si="33"/>
        <v>2022</v>
      </c>
    </row>
    <row r="495" spans="1:14" hidden="1" x14ac:dyDescent="0.3">
      <c r="A495" s="103">
        <f t="shared" si="30"/>
        <v>18</v>
      </c>
      <c r="B495" s="22">
        <v>44686</v>
      </c>
      <c r="C495" s="11" t="s">
        <v>6</v>
      </c>
      <c r="D495" s="12" t="s">
        <v>69</v>
      </c>
      <c r="E495" s="13">
        <f>IF(VLOOKUP(D495,Budget!A:B,2,FALSE)&lt;&gt;0,IF(G495=0,24,24-G495),0)</f>
        <v>24</v>
      </c>
      <c r="G495" s="13"/>
      <c r="H495" s="85">
        <f>IF(E495=0,0,IF(M495="ja",(VLOOKUP(D495,Budget!A:F,6,FALSE)*(E495-(VLOOKUP(D495,Budget!A:F,3,FALSE)))),VLOOKUP($D495,Budget!$A$1:$F$19,6,FALSE)*E495))</f>
        <v>38269.757143831848</v>
      </c>
      <c r="I495" s="85">
        <f>IF(F495=0,0,IF(M495="ja",((VLOOKUP(F495,Budget!A:F,6,FALSE)*(E495-(VLOOKUP(F495,Budget!A:F,3,FALSE))))),VLOOKUP($D495,Budget!A:F,5,FALSE)*E495))</f>
        <v>0</v>
      </c>
      <c r="J495" s="85">
        <f t="shared" si="31"/>
        <v>38269.757143831848</v>
      </c>
      <c r="K495" s="14"/>
      <c r="L495" s="73" t="s">
        <v>104</v>
      </c>
      <c r="M495" s="80" t="str">
        <f t="shared" si="32"/>
        <v>ja</v>
      </c>
      <c r="N495">
        <f t="shared" si="33"/>
        <v>2022</v>
      </c>
    </row>
    <row r="496" spans="1:14" hidden="1" x14ac:dyDescent="0.3">
      <c r="A496" s="105">
        <f t="shared" si="30"/>
        <v>18</v>
      </c>
      <c r="B496" s="22">
        <v>44687</v>
      </c>
      <c r="C496" s="11" t="s">
        <v>7</v>
      </c>
      <c r="D496" s="12" t="s">
        <v>69</v>
      </c>
      <c r="E496" s="13">
        <f>IF(VLOOKUP(D496,Budget!A:B,2,FALSE)&lt;&gt;0,IF(G496=0,24,24-G496),0)</f>
        <v>24</v>
      </c>
      <c r="G496" s="13"/>
      <c r="H496" s="85">
        <f>IF(E496=0,0,IF(M496="ja",(VLOOKUP(D496,Budget!A:F,6,FALSE)*(E496-(VLOOKUP(D496,Budget!A:F,3,FALSE)))),VLOOKUP($D496,Budget!$A$1:$F$19,6,FALSE)*E496))</f>
        <v>42919.35380616656</v>
      </c>
      <c r="I496" s="85">
        <f>IF(F496=0,0,IF(M496="ja",((VLOOKUP(F496,Budget!A:F,6,FALSE)*(E496-(VLOOKUP(F496,Budget!A:F,3,FALSE))))),VLOOKUP($D496,Budget!A:F,5,FALSE)*E496))</f>
        <v>0</v>
      </c>
      <c r="J496" s="85">
        <f t="shared" si="31"/>
        <v>42919.35380616656</v>
      </c>
      <c r="K496" s="14"/>
      <c r="L496" s="25"/>
      <c r="M496" s="80" t="str">
        <f t="shared" si="32"/>
        <v>nein</v>
      </c>
      <c r="N496">
        <f t="shared" si="33"/>
        <v>2022</v>
      </c>
    </row>
    <row r="497" spans="1:14" hidden="1" x14ac:dyDescent="0.3">
      <c r="A497" s="105">
        <f t="shared" si="30"/>
        <v>18</v>
      </c>
      <c r="B497" s="22">
        <v>44688</v>
      </c>
      <c r="C497" s="16" t="s">
        <v>8</v>
      </c>
      <c r="D497" s="17" t="s">
        <v>66</v>
      </c>
      <c r="E497" s="24">
        <f>IF(VLOOKUP(D497,Budget!A:B,2,FALSE)&lt;&gt;0,IF(G497=0,24,24-G497),0)</f>
        <v>24</v>
      </c>
      <c r="F497" s="17"/>
      <c r="G497" s="17"/>
      <c r="H497" s="86">
        <f>IF(E497=0,0,IF(M497="ja",(VLOOKUP(D497,Budget!A:F,6,FALSE)*(E497-(VLOOKUP(D497,Budget!A:F,3,FALSE)))),VLOOKUP($D497,Budget!$A$1:$F$19,6,FALSE)*E497))</f>
        <v>32328.172065231582</v>
      </c>
      <c r="I497" s="86">
        <f>IF(F497=0,0,IF(M497="ja",((VLOOKUP(F497,Budget!A:F,6,FALSE)*(E497-(VLOOKUP(F497,Budget!A:F,3,FALSE))))),VLOOKUP($D497,Budget!A:F,5,FALSE)*E497))</f>
        <v>0</v>
      </c>
      <c r="J497" s="86">
        <f t="shared" si="31"/>
        <v>32328.172065231582</v>
      </c>
      <c r="K497" s="18"/>
      <c r="L497" s="75" t="s">
        <v>105</v>
      </c>
      <c r="M497" s="76" t="str">
        <f t="shared" si="32"/>
        <v>ja</v>
      </c>
      <c r="N497">
        <f t="shared" si="33"/>
        <v>2022</v>
      </c>
    </row>
    <row r="498" spans="1:14" ht="15" hidden="1" thickBot="1" x14ac:dyDescent="0.35">
      <c r="A498" s="105">
        <f t="shared" si="30"/>
        <v>18</v>
      </c>
      <c r="B498" s="27">
        <v>44689</v>
      </c>
      <c r="C498" s="19" t="s">
        <v>9</v>
      </c>
      <c r="D498" s="20" t="s">
        <v>66</v>
      </c>
      <c r="E498" s="20">
        <f>IF(VLOOKUP(D498,Budget!A:B,2,FALSE)&lt;&gt;0,IF(G498=0,24,24-G498),0)</f>
        <v>24</v>
      </c>
      <c r="F498" s="20"/>
      <c r="G498" s="20"/>
      <c r="H498" s="93">
        <f>IF(E498=0,0,IF(M498="ja",(VLOOKUP(D498,Budget!A:F,6,FALSE)*(E498-(VLOOKUP(D498,Budget!A:F,3,FALSE)))),VLOOKUP($D498,Budget!$A$1:$F$19,6,FALSE)*E498))</f>
        <v>36946.482360264665</v>
      </c>
      <c r="I498" s="93">
        <f>IF(F498=0,0,IF(M498="ja",((VLOOKUP(F498,Budget!A:F,6,FALSE)*(E498-(VLOOKUP(F498,Budget!A:F,3,FALSE))))),VLOOKUP($D498,Budget!A:F,5,FALSE)*E498))</f>
        <v>0</v>
      </c>
      <c r="J498" s="87">
        <f t="shared" si="31"/>
        <v>36946.482360264665</v>
      </c>
      <c r="K498" s="21"/>
      <c r="L498" s="74"/>
      <c r="M498" s="77" t="str">
        <f t="shared" si="32"/>
        <v>nein</v>
      </c>
      <c r="N498">
        <f t="shared" si="33"/>
        <v>2022</v>
      </c>
    </row>
    <row r="499" spans="1:14" hidden="1" x14ac:dyDescent="0.3">
      <c r="A499" s="104">
        <f t="shared" ref="A499:A562" si="34">_xlfn.ISOWEEKNUM(B499)</f>
        <v>19</v>
      </c>
      <c r="B499" s="22">
        <v>44690</v>
      </c>
      <c r="C499" s="10" t="s">
        <v>3</v>
      </c>
      <c r="D499" s="12" t="s">
        <v>66</v>
      </c>
      <c r="E499" s="13">
        <f>IF(VLOOKUP(D499,Budget!A:B,2,FALSE)&lt;&gt;0,IF(G499=0,24,24-G499),0)</f>
        <v>12</v>
      </c>
      <c r="F499" s="13" t="s">
        <v>69</v>
      </c>
      <c r="G499" s="13">
        <v>12</v>
      </c>
      <c r="H499" s="85">
        <f>IF(E499=0,0,IF(M499="ja",(VLOOKUP(D499,Budget!A:F,6,FALSE)*(E499-(VLOOKUP(D499,Budget!A:F,3,FALSE)))),VLOOKUP($D499,Budget!$A$1:$F$19,6,FALSE)*E499))</f>
        <v>13854.930885099249</v>
      </c>
      <c r="I499" s="85">
        <f>IF(F499=0,0,IF(M499="ja",((VLOOKUP(F499,Budget!A:F,6,FALSE)*(E499-(VLOOKUP(F499,Budget!A:F,3,FALSE))))),VLOOKUP($D499,Budget!A:F,5,FALSE)*E499))</f>
        <v>16810.080240748572</v>
      </c>
      <c r="J499" s="85">
        <f t="shared" ref="J499:J562" si="35">H499+I499</f>
        <v>30665.011125847821</v>
      </c>
      <c r="K499" s="15"/>
      <c r="L499" s="72"/>
      <c r="M499" s="80" t="str">
        <f t="shared" ref="M499:M562" si="36">IF(E499=0,"nein",IF(OR(E499&lt;&gt;24,F498&lt;&gt;0,D499&lt;&gt;D498),"ja","nein"))</f>
        <v>ja</v>
      </c>
      <c r="N499">
        <f t="shared" si="33"/>
        <v>2022</v>
      </c>
    </row>
    <row r="500" spans="1:14" hidden="1" x14ac:dyDescent="0.3">
      <c r="A500" s="105">
        <f t="shared" si="34"/>
        <v>19</v>
      </c>
      <c r="B500" s="22">
        <v>44691</v>
      </c>
      <c r="C500" s="11" t="s">
        <v>4</v>
      </c>
      <c r="D500" s="12" t="s">
        <v>65</v>
      </c>
      <c r="E500" s="13">
        <f>IF(VLOOKUP(D500,Budget!A:B,2,FALSE)&lt;&gt;0,IF(G500=0,24,24-G500),0)</f>
        <v>24</v>
      </c>
      <c r="G500" s="13"/>
      <c r="H500" s="85">
        <f>IF(E500=0,0,IF(M500="ja",(VLOOKUP(D500,Budget!A:F,6,FALSE)*(E500-(VLOOKUP(D500,Budget!A:F,3,FALSE)))),VLOOKUP($D500,Budget!$A$1:$F$19,6,FALSE)*E500))</f>
        <v>22220.983707552332</v>
      </c>
      <c r="I500" s="85">
        <f>IF(F500=0,0,IF(M500="ja",((VLOOKUP(F500,Budget!A:F,6,FALSE)*(E500-(VLOOKUP(F500,Budget!A:F,3,FALSE))))),VLOOKUP($D500,Budget!A:F,5,FALSE)*E500))</f>
        <v>0</v>
      </c>
      <c r="J500" s="85">
        <f t="shared" si="35"/>
        <v>22220.983707552332</v>
      </c>
      <c r="K500" s="14"/>
      <c r="L500" s="73" t="s">
        <v>106</v>
      </c>
      <c r="M500" s="80" t="str">
        <f t="shared" si="36"/>
        <v>ja</v>
      </c>
      <c r="N500">
        <f t="shared" si="33"/>
        <v>2022</v>
      </c>
    </row>
    <row r="501" spans="1:14" hidden="1" x14ac:dyDescent="0.3">
      <c r="A501" s="105">
        <f t="shared" si="34"/>
        <v>19</v>
      </c>
      <c r="B501" s="22">
        <v>44692</v>
      </c>
      <c r="C501" s="11" t="s">
        <v>5</v>
      </c>
      <c r="D501" s="12" t="s">
        <v>65</v>
      </c>
      <c r="E501" s="13">
        <f>IF(VLOOKUP(D501,Budget!A:B,2,FALSE)&lt;&gt;0,IF(G501=0,24,24-G501),0)</f>
        <v>24</v>
      </c>
      <c r="G501" s="13"/>
      <c r="H501" s="85">
        <f>IF(E501=0,0,IF(M501="ja",(VLOOKUP(D501,Budget!A:F,6,FALSE)*(E501-(VLOOKUP(D501,Budget!A:F,3,FALSE)))),VLOOKUP($D501,Budget!$A$1:$F$19,6,FALSE)*E501))</f>
        <v>35553.573932083731</v>
      </c>
      <c r="I501" s="85">
        <f>IF(F501=0,0,IF(M501="ja",((VLOOKUP(F501,Budget!A:F,6,FALSE)*(E501-(VLOOKUP(F501,Budget!A:F,3,FALSE))))),VLOOKUP($D501,Budget!A:F,5,FALSE)*E501))</f>
        <v>0</v>
      </c>
      <c r="J501" s="85">
        <f t="shared" si="35"/>
        <v>35553.573932083731</v>
      </c>
      <c r="K501" s="14"/>
      <c r="L501" s="73" t="s">
        <v>107</v>
      </c>
      <c r="M501" s="80" t="str">
        <f t="shared" si="36"/>
        <v>nein</v>
      </c>
      <c r="N501">
        <f t="shared" si="33"/>
        <v>2022</v>
      </c>
    </row>
    <row r="502" spans="1:14" hidden="1" x14ac:dyDescent="0.3">
      <c r="A502" s="103">
        <f t="shared" si="34"/>
        <v>19</v>
      </c>
      <c r="B502" s="22">
        <v>44693</v>
      </c>
      <c r="C502" s="11" t="s">
        <v>6</v>
      </c>
      <c r="D502" s="12" t="s">
        <v>12</v>
      </c>
      <c r="E502" s="13">
        <f>IF(VLOOKUP(D502,Budget!A:B,2,FALSE)&lt;&gt;0,IF(G502=0,24,24-G502),0)</f>
        <v>24</v>
      </c>
      <c r="G502" s="13"/>
      <c r="H502" s="85">
        <f>IF(E502=0,0,IF(M502="ja",(VLOOKUP(D502,Budget!A:F,6,FALSE)*(E502-(VLOOKUP(D502,Budget!A:F,3,FALSE)))),VLOOKUP($D502,Budget!$A$1:$F$19,6,FALSE)*E502))</f>
        <v>27720</v>
      </c>
      <c r="I502" s="85">
        <f>IF(F502=0,0,IF(M502="ja",((VLOOKUP(F502,Budget!A:F,6,FALSE)*(E502-(VLOOKUP(F502,Budget!A:F,3,FALSE))))),VLOOKUP($D502,Budget!A:F,5,FALSE)*E502))</f>
        <v>0</v>
      </c>
      <c r="J502" s="85">
        <f t="shared" si="35"/>
        <v>27720</v>
      </c>
      <c r="K502" s="14"/>
      <c r="L502" s="73"/>
      <c r="M502" s="80" t="str">
        <f t="shared" si="36"/>
        <v>ja</v>
      </c>
      <c r="N502">
        <f t="shared" si="33"/>
        <v>2022</v>
      </c>
    </row>
    <row r="503" spans="1:14" hidden="1" x14ac:dyDescent="0.3">
      <c r="A503" s="105">
        <f t="shared" si="34"/>
        <v>19</v>
      </c>
      <c r="B503" s="22">
        <v>44694</v>
      </c>
      <c r="C503" s="11" t="s">
        <v>7</v>
      </c>
      <c r="D503" s="12" t="s">
        <v>12</v>
      </c>
      <c r="E503" s="13">
        <f>IF(VLOOKUP(D503,Budget!A:B,2,FALSE)&lt;&gt;0,IF(G503=0,24,24-G503),0)</f>
        <v>24</v>
      </c>
      <c r="G503" s="13"/>
      <c r="H503" s="85">
        <f>IF(E503=0,0,IF(M503="ja",(VLOOKUP(D503,Budget!A:F,6,FALSE)*(E503-(VLOOKUP(D503,Budget!A:F,3,FALSE)))),VLOOKUP($D503,Budget!$A$1:$F$19,6,FALSE)*E503))</f>
        <v>36960</v>
      </c>
      <c r="I503" s="85">
        <f>IF(F503=0,0,IF(M503="ja",((VLOOKUP(F503,Budget!A:F,6,FALSE)*(E503-(VLOOKUP(F503,Budget!A:F,3,FALSE))))),VLOOKUP($D503,Budget!A:F,5,FALSE)*E503))</f>
        <v>0</v>
      </c>
      <c r="J503" s="85">
        <f t="shared" si="35"/>
        <v>36960</v>
      </c>
      <c r="K503" s="14"/>
      <c r="L503" s="25"/>
      <c r="M503" s="80" t="str">
        <f t="shared" si="36"/>
        <v>nein</v>
      </c>
      <c r="N503">
        <f t="shared" si="33"/>
        <v>2022</v>
      </c>
    </row>
    <row r="504" spans="1:14" hidden="1" x14ac:dyDescent="0.3">
      <c r="A504" s="105">
        <f t="shared" si="34"/>
        <v>19</v>
      </c>
      <c r="B504" s="22">
        <v>44695</v>
      </c>
      <c r="C504" s="16" t="s">
        <v>8</v>
      </c>
      <c r="D504" s="17" t="s">
        <v>69</v>
      </c>
      <c r="E504" s="24">
        <f>IF(VLOOKUP(D504,Budget!A:B,2,FALSE)&lt;&gt;0,IF(G504=0,24,24-G504),0)</f>
        <v>24</v>
      </c>
      <c r="F504" s="17"/>
      <c r="G504" s="17"/>
      <c r="H504" s="86">
        <f>IF(E504=0,0,IF(M504="ja",(VLOOKUP(D504,Budget!A:F,6,FALSE)*(E504-(VLOOKUP(D504,Budget!A:F,3,FALSE)))),VLOOKUP($D504,Budget!$A$1:$F$19,6,FALSE)*E504))</f>
        <v>38269.757143831848</v>
      </c>
      <c r="I504" s="86">
        <f>IF(F504=0,0,IF(M504="ja",((VLOOKUP(F504,Budget!A:F,6,FALSE)*(E504-(VLOOKUP(F504,Budget!A:F,3,FALSE))))),VLOOKUP($D504,Budget!A:F,5,FALSE)*E504))</f>
        <v>0</v>
      </c>
      <c r="J504" s="86">
        <f t="shared" si="35"/>
        <v>38269.757143831848</v>
      </c>
      <c r="K504" s="18"/>
      <c r="L504" s="75"/>
      <c r="M504" s="76" t="str">
        <f t="shared" si="36"/>
        <v>ja</v>
      </c>
      <c r="N504">
        <f t="shared" si="33"/>
        <v>2022</v>
      </c>
    </row>
    <row r="505" spans="1:14" ht="15" hidden="1" thickBot="1" x14ac:dyDescent="0.35">
      <c r="A505" s="105">
        <f t="shared" si="34"/>
        <v>19</v>
      </c>
      <c r="B505" s="27">
        <v>44696</v>
      </c>
      <c r="C505" s="19" t="s">
        <v>9</v>
      </c>
      <c r="D505" s="20" t="s">
        <v>69</v>
      </c>
      <c r="E505" s="20">
        <f>IF(VLOOKUP(D505,Budget!A:B,2,FALSE)&lt;&gt;0,IF(G505=0,24,24-G505),0)</f>
        <v>24</v>
      </c>
      <c r="F505" s="20"/>
      <c r="G505" s="20"/>
      <c r="H505" s="93">
        <f>IF(E505=0,0,IF(M505="ja",(VLOOKUP(D505,Budget!A:F,6,FALSE)*(E505-(VLOOKUP(D505,Budget!A:F,3,FALSE)))),VLOOKUP($D505,Budget!$A$1:$F$19,6,FALSE)*E505))</f>
        <v>42919.35380616656</v>
      </c>
      <c r="I505" s="93">
        <f>IF(F505=0,0,IF(M505="ja",((VLOOKUP(F505,Budget!A:F,6,FALSE)*(E505-(VLOOKUP(F505,Budget!A:F,3,FALSE))))),VLOOKUP($D505,Budget!A:F,5,FALSE)*E505))</f>
        <v>0</v>
      </c>
      <c r="J505" s="87">
        <f t="shared" si="35"/>
        <v>42919.35380616656</v>
      </c>
      <c r="K505" s="21"/>
      <c r="L505" s="74"/>
      <c r="M505" s="77" t="str">
        <f t="shared" si="36"/>
        <v>nein</v>
      </c>
      <c r="N505">
        <f t="shared" si="33"/>
        <v>2022</v>
      </c>
    </row>
    <row r="506" spans="1:14" hidden="1" x14ac:dyDescent="0.3">
      <c r="A506" s="104">
        <f t="shared" si="34"/>
        <v>20</v>
      </c>
      <c r="B506" s="22">
        <v>44697</v>
      </c>
      <c r="C506" s="10" t="s">
        <v>3</v>
      </c>
      <c r="D506" s="12" t="s">
        <v>11</v>
      </c>
      <c r="E506" s="13">
        <f>IF(VLOOKUP(D506,Budget!A:B,2,FALSE)&lt;&gt;0,IF(G506=0,24,24-G506),0)</f>
        <v>24</v>
      </c>
      <c r="F506" s="13"/>
      <c r="G506" s="13"/>
      <c r="H506" s="85">
        <f>IF(E506=0,0,IF(M506="ja",(VLOOKUP(D506,Budget!A:F,6,FALSE)*(E506-(VLOOKUP(D506,Budget!A:F,3,FALSE)))),VLOOKUP($D506,Budget!$A$1:$F$19,6,FALSE)*E506))</f>
        <v>30030</v>
      </c>
      <c r="I506" s="85">
        <f>IF(F506=0,0,IF(M506="ja",((VLOOKUP(F506,Budget!A:F,6,FALSE)*(E506-(VLOOKUP(F506,Budget!A:F,3,FALSE))))),VLOOKUP($D506,Budget!A:F,5,FALSE)*E506))</f>
        <v>0</v>
      </c>
      <c r="J506" s="85">
        <f t="shared" si="35"/>
        <v>30030</v>
      </c>
      <c r="K506" s="15"/>
      <c r="L506" s="72" t="s">
        <v>108</v>
      </c>
      <c r="M506" s="80" t="str">
        <f t="shared" si="36"/>
        <v>ja</v>
      </c>
      <c r="N506">
        <f t="shared" si="33"/>
        <v>2022</v>
      </c>
    </row>
    <row r="507" spans="1:14" hidden="1" x14ac:dyDescent="0.3">
      <c r="A507" s="105">
        <f t="shared" si="34"/>
        <v>20</v>
      </c>
      <c r="B507" s="22">
        <v>44698</v>
      </c>
      <c r="C507" s="11" t="s">
        <v>4</v>
      </c>
      <c r="D507" s="12" t="s">
        <v>11</v>
      </c>
      <c r="E507" s="13">
        <f>IF(VLOOKUP(D507,Budget!A:B,2,FALSE)&lt;&gt;0,IF(G507=0,24,24-G507),0)</f>
        <v>24</v>
      </c>
      <c r="G507" s="13"/>
      <c r="H507" s="85">
        <f>IF(E507=0,0,IF(M507="ja",(VLOOKUP(D507,Budget!A:F,6,FALSE)*(E507-(VLOOKUP(D507,Budget!A:F,3,FALSE)))),VLOOKUP($D507,Budget!$A$1:$F$19,6,FALSE)*E507))</f>
        <v>36960</v>
      </c>
      <c r="I507" s="85">
        <f>IF(F507=0,0,IF(M507="ja",((VLOOKUP(F507,Budget!A:F,6,FALSE)*(E507-(VLOOKUP(F507,Budget!A:F,3,FALSE))))),VLOOKUP($D507,Budget!A:F,5,FALSE)*E507))</f>
        <v>0</v>
      </c>
      <c r="J507" s="85">
        <f t="shared" si="35"/>
        <v>36960</v>
      </c>
      <c r="K507" s="14"/>
      <c r="L507" s="73"/>
      <c r="M507" s="80" t="str">
        <f t="shared" si="36"/>
        <v>nein</v>
      </c>
      <c r="N507">
        <f t="shared" si="33"/>
        <v>2022</v>
      </c>
    </row>
    <row r="508" spans="1:14" hidden="1" x14ac:dyDescent="0.3">
      <c r="A508" s="105">
        <f t="shared" si="34"/>
        <v>20</v>
      </c>
      <c r="B508" s="22">
        <v>44699</v>
      </c>
      <c r="C508" s="11" t="s">
        <v>5</v>
      </c>
      <c r="D508" s="12" t="s">
        <v>11</v>
      </c>
      <c r="E508" s="13">
        <f>IF(VLOOKUP(D508,Budget!A:B,2,FALSE)&lt;&gt;0,IF(G508=0,24,24-G508),0)</f>
        <v>24</v>
      </c>
      <c r="G508" s="13"/>
      <c r="H508" s="85">
        <f>IF(E508=0,0,IF(M508="ja",(VLOOKUP(D508,Budget!A:F,6,FALSE)*(E508-(VLOOKUP(D508,Budget!A:F,3,FALSE)))),VLOOKUP($D508,Budget!$A$1:$F$19,6,FALSE)*E508))</f>
        <v>36960</v>
      </c>
      <c r="I508" s="85">
        <f>IF(F508=0,0,IF(M508="ja",((VLOOKUP(F508,Budget!A:F,6,FALSE)*(E508-(VLOOKUP(F508,Budget!A:F,3,FALSE))))),VLOOKUP($D508,Budget!A:F,5,FALSE)*E508))</f>
        <v>0</v>
      </c>
      <c r="J508" s="85">
        <f t="shared" si="35"/>
        <v>36960</v>
      </c>
      <c r="K508" s="14"/>
      <c r="L508" s="73"/>
      <c r="M508" s="80" t="str">
        <f t="shared" si="36"/>
        <v>nein</v>
      </c>
      <c r="N508">
        <f t="shared" si="33"/>
        <v>2022</v>
      </c>
    </row>
    <row r="509" spans="1:14" hidden="1" x14ac:dyDescent="0.3">
      <c r="A509" s="103">
        <f t="shared" si="34"/>
        <v>20</v>
      </c>
      <c r="B509" s="22">
        <v>44700</v>
      </c>
      <c r="C509" s="11" t="s">
        <v>6</v>
      </c>
      <c r="D509" s="12" t="s">
        <v>11</v>
      </c>
      <c r="E509" s="13">
        <f>IF(VLOOKUP(D509,Budget!A:B,2,FALSE)&lt;&gt;0,IF(G509=0,24,24-G509),0)</f>
        <v>24</v>
      </c>
      <c r="G509" s="13"/>
      <c r="H509" s="85">
        <f>IF(E509=0,0,IF(M509="ja",(VLOOKUP(D509,Budget!A:F,6,FALSE)*(E509-(VLOOKUP(D509,Budget!A:F,3,FALSE)))),VLOOKUP($D509,Budget!$A$1:$F$19,6,FALSE)*E509))</f>
        <v>36960</v>
      </c>
      <c r="I509" s="85">
        <f>IF(F509=0,0,IF(M509="ja",((VLOOKUP(F509,Budget!A:F,6,FALSE)*(E509-(VLOOKUP(F509,Budget!A:F,3,FALSE))))),VLOOKUP($D509,Budget!A:F,5,FALSE)*E509))</f>
        <v>0</v>
      </c>
      <c r="J509" s="85">
        <f t="shared" si="35"/>
        <v>36960</v>
      </c>
      <c r="K509" s="14"/>
      <c r="L509" s="73"/>
      <c r="M509" s="80" t="str">
        <f t="shared" si="36"/>
        <v>nein</v>
      </c>
      <c r="N509">
        <f t="shared" si="33"/>
        <v>2022</v>
      </c>
    </row>
    <row r="510" spans="1:14" hidden="1" x14ac:dyDescent="0.3">
      <c r="A510" s="105">
        <f t="shared" si="34"/>
        <v>20</v>
      </c>
      <c r="B510" s="22">
        <v>44701</v>
      </c>
      <c r="C510" s="11" t="s">
        <v>7</v>
      </c>
      <c r="D510" s="12" t="s">
        <v>11</v>
      </c>
      <c r="E510" s="13">
        <f>IF(VLOOKUP(D510,Budget!A:B,2,FALSE)&lt;&gt;0,IF(G510=0,24,24-G510),0)</f>
        <v>24</v>
      </c>
      <c r="G510" s="13"/>
      <c r="H510" s="85">
        <f>IF(E510=0,0,IF(M510="ja",(VLOOKUP(D510,Budget!A:F,6,FALSE)*(E510-(VLOOKUP(D510,Budget!A:F,3,FALSE)))),VLOOKUP($D510,Budget!$A$1:$F$19,6,FALSE)*E510))</f>
        <v>36960</v>
      </c>
      <c r="I510" s="85">
        <f>IF(F510=0,0,IF(M510="ja",((VLOOKUP(F510,Budget!A:F,6,FALSE)*(E510-(VLOOKUP(F510,Budget!A:F,3,FALSE))))),VLOOKUP($D510,Budget!A:F,5,FALSE)*E510))</f>
        <v>0</v>
      </c>
      <c r="J510" s="85">
        <f t="shared" si="35"/>
        <v>36960</v>
      </c>
      <c r="K510" s="14"/>
      <c r="L510" s="25"/>
      <c r="M510" s="80" t="str">
        <f t="shared" si="36"/>
        <v>nein</v>
      </c>
      <c r="N510">
        <f t="shared" si="33"/>
        <v>2022</v>
      </c>
    </row>
    <row r="511" spans="1:14" hidden="1" x14ac:dyDescent="0.3">
      <c r="A511" s="105">
        <f t="shared" si="34"/>
        <v>20</v>
      </c>
      <c r="B511" s="22">
        <v>44702</v>
      </c>
      <c r="C511" s="16" t="s">
        <v>8</v>
      </c>
      <c r="D511" s="17" t="s">
        <v>11</v>
      </c>
      <c r="E511" s="24">
        <f>IF(VLOOKUP(D511,Budget!A:B,2,FALSE)&lt;&gt;0,IF(G511=0,24,24-G511),0)</f>
        <v>24</v>
      </c>
      <c r="F511" s="17"/>
      <c r="G511" s="17"/>
      <c r="H511" s="86">
        <f>IF(E511=0,0,IF(M511="ja",(VLOOKUP(D511,Budget!A:F,6,FALSE)*(E511-(VLOOKUP(D511,Budget!A:F,3,FALSE)))),VLOOKUP($D511,Budget!$A$1:$F$19,6,FALSE)*E511))</f>
        <v>36960</v>
      </c>
      <c r="I511" s="86">
        <f>IF(F511=0,0,IF(M511="ja",((VLOOKUP(F511,Budget!A:F,6,FALSE)*(E511-(VLOOKUP(F511,Budget!A:F,3,FALSE))))),VLOOKUP($D511,Budget!A:F,5,FALSE)*E511))</f>
        <v>0</v>
      </c>
      <c r="J511" s="86">
        <f t="shared" si="35"/>
        <v>36960</v>
      </c>
      <c r="K511" s="18"/>
      <c r="L511" s="75"/>
      <c r="M511" s="76" t="str">
        <f t="shared" si="36"/>
        <v>nein</v>
      </c>
      <c r="N511">
        <f t="shared" si="33"/>
        <v>2022</v>
      </c>
    </row>
    <row r="512" spans="1:14" ht="15" hidden="1" thickBot="1" x14ac:dyDescent="0.35">
      <c r="A512" s="105">
        <f t="shared" si="34"/>
        <v>20</v>
      </c>
      <c r="B512" s="27">
        <v>44703</v>
      </c>
      <c r="C512" s="19" t="s">
        <v>9</v>
      </c>
      <c r="D512" s="20" t="s">
        <v>69</v>
      </c>
      <c r="E512" s="20">
        <f>IF(VLOOKUP(D512,Budget!A:B,2,FALSE)&lt;&gt;0,IF(G512=0,24,24-G512),0)</f>
        <v>24</v>
      </c>
      <c r="F512" s="20"/>
      <c r="G512" s="20"/>
      <c r="H512" s="93">
        <f>IF(E512=0,0,IF(M512="ja",(VLOOKUP(D512,Budget!A:F,6,FALSE)*(E512-(VLOOKUP(D512,Budget!A:F,3,FALSE)))),VLOOKUP($D512,Budget!$A$1:$F$19,6,FALSE)*E512))</f>
        <v>38269.757143831848</v>
      </c>
      <c r="I512" s="93">
        <f>IF(F512=0,0,IF(M512="ja",((VLOOKUP(F512,Budget!A:F,6,FALSE)*(E512-(VLOOKUP(F512,Budget!A:F,3,FALSE))))),VLOOKUP($D512,Budget!A:F,5,FALSE)*E512))</f>
        <v>0</v>
      </c>
      <c r="J512" s="87">
        <f t="shared" si="35"/>
        <v>38269.757143831848</v>
      </c>
      <c r="K512" s="21"/>
      <c r="L512" s="74"/>
      <c r="M512" s="77" t="str">
        <f t="shared" si="36"/>
        <v>ja</v>
      </c>
      <c r="N512">
        <f t="shared" si="33"/>
        <v>2022</v>
      </c>
    </row>
    <row r="513" spans="1:14" hidden="1" x14ac:dyDescent="0.3">
      <c r="A513" s="104">
        <f t="shared" si="34"/>
        <v>21</v>
      </c>
      <c r="B513" s="22">
        <v>44704</v>
      </c>
      <c r="C513" s="10" t="s">
        <v>3</v>
      </c>
      <c r="D513" s="12" t="s">
        <v>69</v>
      </c>
      <c r="E513" s="13">
        <f>IF(VLOOKUP(D513,Budget!A:B,2,FALSE)&lt;&gt;0,IF(G513=0,24,24-G513),0)</f>
        <v>24</v>
      </c>
      <c r="F513" s="13"/>
      <c r="G513" s="13"/>
      <c r="H513" s="85">
        <f>IF(E513=0,0,IF(M513="ja",(VLOOKUP(D513,Budget!A:F,6,FALSE)*(E513-(VLOOKUP(D513,Budget!A:F,3,FALSE)))),VLOOKUP($D513,Budget!$A$1:$F$19,6,FALSE)*E513))</f>
        <v>42919.35380616656</v>
      </c>
      <c r="I513" s="85">
        <f>IF(F513=0,0,IF(M513="ja",((VLOOKUP(F513,Budget!A:F,6,FALSE)*(E513-(VLOOKUP(F513,Budget!A:F,3,FALSE))))),VLOOKUP($D513,Budget!A:F,5,FALSE)*E513))</f>
        <v>0</v>
      </c>
      <c r="J513" s="85">
        <f t="shared" si="35"/>
        <v>42919.35380616656</v>
      </c>
      <c r="K513" s="15"/>
      <c r="L513" s="72"/>
      <c r="M513" s="80" t="str">
        <f t="shared" si="36"/>
        <v>nein</v>
      </c>
      <c r="N513">
        <f t="shared" si="33"/>
        <v>2022</v>
      </c>
    </row>
    <row r="514" spans="1:14" hidden="1" x14ac:dyDescent="0.3">
      <c r="A514" s="105">
        <f t="shared" si="34"/>
        <v>21</v>
      </c>
      <c r="B514" s="22">
        <v>44705</v>
      </c>
      <c r="C514" s="11" t="s">
        <v>4</v>
      </c>
      <c r="D514" s="12" t="s">
        <v>69</v>
      </c>
      <c r="E514" s="13">
        <f>IF(VLOOKUP(D514,Budget!A:B,2,FALSE)&lt;&gt;0,IF(G514=0,24,24-G514),0)</f>
        <v>24</v>
      </c>
      <c r="G514" s="13"/>
      <c r="H514" s="85">
        <f>IF(E514=0,0,IF(M514="ja",(VLOOKUP(D514,Budget!A:F,6,FALSE)*(E514-(VLOOKUP(D514,Budget!A:F,3,FALSE)))),VLOOKUP($D514,Budget!$A$1:$F$19,6,FALSE)*E514))</f>
        <v>42919.35380616656</v>
      </c>
      <c r="I514" s="85">
        <f>IF(F514=0,0,IF(M514="ja",((VLOOKUP(F514,Budget!A:F,6,FALSE)*(E514-(VLOOKUP(F514,Budget!A:F,3,FALSE))))),VLOOKUP($D514,Budget!A:F,5,FALSE)*E514))</f>
        <v>0</v>
      </c>
      <c r="J514" s="85">
        <f t="shared" si="35"/>
        <v>42919.35380616656</v>
      </c>
      <c r="K514" s="14"/>
      <c r="L514" s="73"/>
      <c r="M514" s="80" t="str">
        <f t="shared" si="36"/>
        <v>nein</v>
      </c>
      <c r="N514">
        <f t="shared" si="33"/>
        <v>2022</v>
      </c>
    </row>
    <row r="515" spans="1:14" hidden="1" x14ac:dyDescent="0.3">
      <c r="A515" s="105">
        <f t="shared" si="34"/>
        <v>21</v>
      </c>
      <c r="B515" s="22">
        <v>44706</v>
      </c>
      <c r="C515" s="11" t="s">
        <v>5</v>
      </c>
      <c r="D515" s="12" t="s">
        <v>11</v>
      </c>
      <c r="E515" s="13">
        <f>IF(VLOOKUP(D515,Budget!A:B,2,FALSE)&lt;&gt;0,IF(G515=0,24,24-G515),0)</f>
        <v>24</v>
      </c>
      <c r="G515" s="13"/>
      <c r="H515" s="85">
        <f>IF(E515=0,0,IF(M515="ja",(VLOOKUP(D515,Budget!A:F,6,FALSE)*(E515-(VLOOKUP(D515,Budget!A:F,3,FALSE)))),VLOOKUP($D515,Budget!$A$1:$F$19,6,FALSE)*E515))</f>
        <v>30030</v>
      </c>
      <c r="I515" s="85">
        <f>IF(F515=0,0,IF(M515="ja",((VLOOKUP(F515,Budget!A:F,6,FALSE)*(E515-(VLOOKUP(F515,Budget!A:F,3,FALSE))))),VLOOKUP($D515,Budget!A:F,5,FALSE)*E515))</f>
        <v>0</v>
      </c>
      <c r="J515" s="85">
        <f t="shared" si="35"/>
        <v>30030</v>
      </c>
      <c r="K515" s="14"/>
      <c r="L515" s="73"/>
      <c r="M515" s="80" t="str">
        <f t="shared" si="36"/>
        <v>ja</v>
      </c>
      <c r="N515">
        <f t="shared" ref="N515:N578" si="37">YEAR(B515)</f>
        <v>2022</v>
      </c>
    </row>
    <row r="516" spans="1:14" hidden="1" x14ac:dyDescent="0.3">
      <c r="A516" s="103">
        <f t="shared" si="34"/>
        <v>21</v>
      </c>
      <c r="B516" s="22">
        <v>44707</v>
      </c>
      <c r="C516" s="11" t="s">
        <v>6</v>
      </c>
      <c r="D516" s="12" t="s">
        <v>11</v>
      </c>
      <c r="E516" s="13">
        <f>IF(VLOOKUP(D516,Budget!A:B,2,FALSE)&lt;&gt;0,IF(G516=0,24,24-G516),0)</f>
        <v>24</v>
      </c>
      <c r="G516" s="13"/>
      <c r="H516" s="85">
        <f>IF(E516=0,0,IF(M516="ja",(VLOOKUP(D516,Budget!A:F,6,FALSE)*(E516-(VLOOKUP(D516,Budget!A:F,3,FALSE)))),VLOOKUP($D516,Budget!$A$1:$F$19,6,FALSE)*E516))</f>
        <v>36960</v>
      </c>
      <c r="I516" s="85">
        <f>IF(F516=0,0,IF(M516="ja",((VLOOKUP(F516,Budget!A:F,6,FALSE)*(E516-(VLOOKUP(F516,Budget!A:F,3,FALSE))))),VLOOKUP($D516,Budget!A:F,5,FALSE)*E516))</f>
        <v>0</v>
      </c>
      <c r="J516" s="85">
        <f t="shared" si="35"/>
        <v>36960</v>
      </c>
      <c r="K516" s="14"/>
      <c r="L516" s="73"/>
      <c r="M516" s="80" t="str">
        <f t="shared" si="36"/>
        <v>nein</v>
      </c>
      <c r="N516">
        <f t="shared" si="37"/>
        <v>2022</v>
      </c>
    </row>
    <row r="517" spans="1:14" hidden="1" x14ac:dyDescent="0.3">
      <c r="A517" s="105">
        <f t="shared" si="34"/>
        <v>21</v>
      </c>
      <c r="B517" s="22">
        <v>44708</v>
      </c>
      <c r="C517" s="11" t="s">
        <v>7</v>
      </c>
      <c r="D517" s="12" t="s">
        <v>11</v>
      </c>
      <c r="E517" s="13">
        <f>IF(VLOOKUP(D517,Budget!A:B,2,FALSE)&lt;&gt;0,IF(G517=0,24,24-G517),0)</f>
        <v>24</v>
      </c>
      <c r="G517" s="13"/>
      <c r="H517" s="85">
        <f>IF(E517=0,0,IF(M517="ja",(VLOOKUP(D517,Budget!A:F,6,FALSE)*(E517-(VLOOKUP(D517,Budget!A:F,3,FALSE)))),VLOOKUP($D517,Budget!$A$1:$F$19,6,FALSE)*E517))</f>
        <v>36960</v>
      </c>
      <c r="I517" s="85">
        <f>IF(F517=0,0,IF(M517="ja",((VLOOKUP(F517,Budget!A:F,6,FALSE)*(E517-(VLOOKUP(F517,Budget!A:F,3,FALSE))))),VLOOKUP($D517,Budget!A:F,5,FALSE)*E517))</f>
        <v>0</v>
      </c>
      <c r="J517" s="85">
        <f t="shared" si="35"/>
        <v>36960</v>
      </c>
      <c r="K517" s="14"/>
      <c r="L517" s="25"/>
      <c r="M517" s="80" t="str">
        <f t="shared" si="36"/>
        <v>nein</v>
      </c>
      <c r="N517">
        <f t="shared" si="37"/>
        <v>2022</v>
      </c>
    </row>
    <row r="518" spans="1:14" hidden="1" x14ac:dyDescent="0.3">
      <c r="A518" s="105">
        <f t="shared" si="34"/>
        <v>21</v>
      </c>
      <c r="B518" s="22">
        <v>44709</v>
      </c>
      <c r="C518" s="16" t="s">
        <v>8</v>
      </c>
      <c r="D518" s="17" t="s">
        <v>11</v>
      </c>
      <c r="E518" s="24">
        <f>IF(VLOOKUP(D518,Budget!A:B,2,FALSE)&lt;&gt;0,IF(G518=0,24,24-G518),0)</f>
        <v>24</v>
      </c>
      <c r="F518" s="17"/>
      <c r="G518" s="17"/>
      <c r="H518" s="86">
        <f>IF(E518=0,0,IF(M518="ja",(VLOOKUP(D518,Budget!A:F,6,FALSE)*(E518-(VLOOKUP(D518,Budget!A:F,3,FALSE)))),VLOOKUP($D518,Budget!$A$1:$F$19,6,FALSE)*E518))</f>
        <v>36960</v>
      </c>
      <c r="I518" s="86">
        <f>IF(F518=0,0,IF(M518="ja",((VLOOKUP(F518,Budget!A:F,6,FALSE)*(E518-(VLOOKUP(F518,Budget!A:F,3,FALSE))))),VLOOKUP($D518,Budget!A:F,5,FALSE)*E518))</f>
        <v>0</v>
      </c>
      <c r="J518" s="86">
        <f t="shared" si="35"/>
        <v>36960</v>
      </c>
      <c r="K518" s="18"/>
      <c r="L518" s="75"/>
      <c r="M518" s="76" t="str">
        <f t="shared" si="36"/>
        <v>nein</v>
      </c>
      <c r="N518">
        <f t="shared" si="37"/>
        <v>2022</v>
      </c>
    </row>
    <row r="519" spans="1:14" ht="15" hidden="1" thickBot="1" x14ac:dyDescent="0.35">
      <c r="A519" s="105">
        <f t="shared" si="34"/>
        <v>21</v>
      </c>
      <c r="B519" s="27">
        <v>44710</v>
      </c>
      <c r="C519" s="19" t="s">
        <v>9</v>
      </c>
      <c r="D519" s="20" t="s">
        <v>11</v>
      </c>
      <c r="E519" s="20">
        <f>IF(VLOOKUP(D519,Budget!A:B,2,FALSE)&lt;&gt;0,IF(G519=0,24,24-G519),0)</f>
        <v>24</v>
      </c>
      <c r="F519" s="20"/>
      <c r="G519" s="20"/>
      <c r="H519" s="93">
        <f>IF(E519=0,0,IF(M519="ja",(VLOOKUP(D519,Budget!A:F,6,FALSE)*(E519-(VLOOKUP(D519,Budget!A:F,3,FALSE)))),VLOOKUP($D519,Budget!$A$1:$F$19,6,FALSE)*E519))</f>
        <v>36960</v>
      </c>
      <c r="I519" s="93">
        <f>IF(F519=0,0,IF(M519="ja",((VLOOKUP(F519,Budget!A:F,6,FALSE)*(E519-(VLOOKUP(F519,Budget!A:F,3,FALSE))))),VLOOKUP($D519,Budget!A:F,5,FALSE)*E519))</f>
        <v>0</v>
      </c>
      <c r="J519" s="87">
        <f t="shared" si="35"/>
        <v>36960</v>
      </c>
      <c r="K519" s="21"/>
      <c r="L519" s="74"/>
      <c r="M519" s="77" t="str">
        <f t="shared" si="36"/>
        <v>nein</v>
      </c>
      <c r="N519">
        <f t="shared" si="37"/>
        <v>2022</v>
      </c>
    </row>
    <row r="520" spans="1:14" ht="22.5" hidden="1" customHeight="1" x14ac:dyDescent="0.3">
      <c r="A520" s="104">
        <f t="shared" si="34"/>
        <v>22</v>
      </c>
      <c r="B520" s="22">
        <v>44711</v>
      </c>
      <c r="C520" s="10" t="s">
        <v>3</v>
      </c>
      <c r="D520" s="12" t="s">
        <v>12</v>
      </c>
      <c r="E520" s="13">
        <f>IF(VLOOKUP(D520,Budget!A:B,2,FALSE)&lt;&gt;0,IF(G520=0,24,24-G520),0)</f>
        <v>24</v>
      </c>
      <c r="F520" s="13"/>
      <c r="G520" s="13"/>
      <c r="H520" s="85">
        <f>IF(E520=0,0,IF(M520="ja",(VLOOKUP(D520,Budget!A:F,6,FALSE)*(E520-(VLOOKUP(D520,Budget!A:F,3,FALSE)))),VLOOKUP($D520,Budget!$A$1:$F$19,6,FALSE)*E520))</f>
        <v>27720</v>
      </c>
      <c r="I520" s="85">
        <f>IF(F520=0,0,IF(M520="ja",((VLOOKUP(F520,Budget!A:F,6,FALSE)*(E520-(VLOOKUP(F520,Budget!A:F,3,FALSE))))),VLOOKUP($D520,Budget!A:F,5,FALSE)*E520))</f>
        <v>0</v>
      </c>
      <c r="J520" s="85">
        <f t="shared" si="35"/>
        <v>27720</v>
      </c>
      <c r="K520" s="15"/>
      <c r="L520" s="72"/>
      <c r="M520" s="80" t="str">
        <f t="shared" si="36"/>
        <v>ja</v>
      </c>
      <c r="N520">
        <f t="shared" si="37"/>
        <v>2022</v>
      </c>
    </row>
    <row r="521" spans="1:14" hidden="1" x14ac:dyDescent="0.3">
      <c r="A521" s="105">
        <f t="shared" si="34"/>
        <v>22</v>
      </c>
      <c r="B521" s="22">
        <v>44712</v>
      </c>
      <c r="C521" s="11" t="s">
        <v>4</v>
      </c>
      <c r="D521" s="12" t="s">
        <v>12</v>
      </c>
      <c r="E521" s="13">
        <f>IF(VLOOKUP(D521,Budget!A:B,2,FALSE)&lt;&gt;0,IF(G521=0,24,24-G521),0)</f>
        <v>24</v>
      </c>
      <c r="G521" s="13"/>
      <c r="H521" s="85">
        <f>IF(E521=0,0,IF(M521="ja",(VLOOKUP(D521,Budget!A:F,6,FALSE)*(E521-(VLOOKUP(D521,Budget!A:F,3,FALSE)))),VLOOKUP($D521,Budget!$A$1:$F$19,6,FALSE)*E521))</f>
        <v>36960</v>
      </c>
      <c r="I521" s="85">
        <f>IF(F521=0,0,IF(M521="ja",((VLOOKUP(F521,Budget!A:F,6,FALSE)*(E521-(VLOOKUP(F521,Budget!A:F,3,FALSE))))),VLOOKUP($D521,Budget!A:F,5,FALSE)*E521))</f>
        <v>0</v>
      </c>
      <c r="J521" s="85">
        <f t="shared" si="35"/>
        <v>36960</v>
      </c>
      <c r="K521" s="14"/>
      <c r="L521" s="73"/>
      <c r="M521" s="80" t="str">
        <f t="shared" si="36"/>
        <v>nein</v>
      </c>
      <c r="N521">
        <f t="shared" si="37"/>
        <v>2022</v>
      </c>
    </row>
    <row r="522" spans="1:14" hidden="1" x14ac:dyDescent="0.3">
      <c r="A522" s="105">
        <f t="shared" si="34"/>
        <v>22</v>
      </c>
      <c r="B522" s="22">
        <v>44713</v>
      </c>
      <c r="C522" s="11" t="s">
        <v>5</v>
      </c>
      <c r="D522" s="12" t="s">
        <v>12</v>
      </c>
      <c r="E522" s="13">
        <f>IF(VLOOKUP(D522,Budget!A:B,2,FALSE)&lt;&gt;0,IF(G522=0,24,24-G522),0)</f>
        <v>24</v>
      </c>
      <c r="G522" s="13"/>
      <c r="H522" s="85">
        <f>IF(E522=0,0,IF(M522="ja",(VLOOKUP(D522,Budget!A:F,6,FALSE)*(E522-(VLOOKUP(D522,Budget!A:F,3,FALSE)))),VLOOKUP($D522,Budget!$A$1:$F$19,6,FALSE)*E522))</f>
        <v>36960</v>
      </c>
      <c r="I522" s="85">
        <f>IF(F522=0,0,IF(M522="ja",((VLOOKUP(F522,Budget!A:F,6,FALSE)*(E522-(VLOOKUP(F522,Budget!A:F,3,FALSE))))),VLOOKUP($D522,Budget!A:F,5,FALSE)*E522))</f>
        <v>0</v>
      </c>
      <c r="J522" s="85">
        <f t="shared" si="35"/>
        <v>36960</v>
      </c>
      <c r="K522" s="14"/>
      <c r="L522" s="73"/>
      <c r="M522" s="80" t="str">
        <f t="shared" si="36"/>
        <v>nein</v>
      </c>
      <c r="N522">
        <f t="shared" si="37"/>
        <v>2022</v>
      </c>
    </row>
    <row r="523" spans="1:14" ht="28.8" hidden="1" x14ac:dyDescent="0.3">
      <c r="A523" s="103">
        <f t="shared" si="34"/>
        <v>22</v>
      </c>
      <c r="B523" s="22">
        <v>44714</v>
      </c>
      <c r="C523" s="11" t="s">
        <v>6</v>
      </c>
      <c r="D523" s="12" t="s">
        <v>12</v>
      </c>
      <c r="E523" s="13">
        <f>IF(VLOOKUP(D523,Budget!A:B,2,FALSE)&lt;&gt;0,IF(G523=0,24,24-G523),0)</f>
        <v>0</v>
      </c>
      <c r="F523" s="13" t="s">
        <v>13</v>
      </c>
      <c r="G523" s="13">
        <v>24</v>
      </c>
      <c r="H523" s="85">
        <f>IF(E523=0,0,IF(M523="ja",(VLOOKUP(D523,Budget!A:F,6,FALSE)*(E523-(VLOOKUP(D523,Budget!A:F,3,FALSE)))),VLOOKUP($D523,Budget!$A$1:$F$19,6,FALSE)*E523))</f>
        <v>0</v>
      </c>
      <c r="I523" s="85">
        <f>IF(F523=0,0,IF(M523="ja",((VLOOKUP(F523,Budget!A:F,6,FALSE)*(E523-(VLOOKUP(F523,Budget!A:F,3,FALSE))))),VLOOKUP($D523,Budget!A:F,5,FALSE)*E523))</f>
        <v>0</v>
      </c>
      <c r="J523" s="85">
        <f t="shared" si="35"/>
        <v>0</v>
      </c>
      <c r="K523" s="14"/>
      <c r="L523" s="72" t="s">
        <v>102</v>
      </c>
      <c r="M523" s="80" t="str">
        <f t="shared" si="36"/>
        <v>nein</v>
      </c>
      <c r="N523">
        <f t="shared" si="37"/>
        <v>2022</v>
      </c>
    </row>
    <row r="524" spans="1:14" hidden="1" x14ac:dyDescent="0.3">
      <c r="A524" s="105">
        <f t="shared" si="34"/>
        <v>22</v>
      </c>
      <c r="B524" s="22">
        <v>44715</v>
      </c>
      <c r="C524" s="11" t="s">
        <v>7</v>
      </c>
      <c r="D524" s="12" t="s">
        <v>69</v>
      </c>
      <c r="E524" s="13">
        <f>IF(VLOOKUP(D524,Budget!A:B,2,FALSE)&lt;&gt;0,IF(G524=0,24,24-G524),0)</f>
        <v>24</v>
      </c>
      <c r="G524" s="13"/>
      <c r="H524" s="85">
        <f>IF(E524=0,0,IF(M524="ja",(VLOOKUP(D524,Budget!A:F,6,FALSE)*(E524-(VLOOKUP(D524,Budget!A:F,3,FALSE)))),VLOOKUP($D524,Budget!$A$1:$F$19,6,FALSE)*E524))</f>
        <v>38269.757143831848</v>
      </c>
      <c r="I524" s="85">
        <f>IF(F524=0,0,IF(M524="ja",((VLOOKUP(F524,Budget!A:F,6,FALSE)*(E524-(VLOOKUP(F524,Budget!A:F,3,FALSE))))),VLOOKUP($D524,Budget!A:F,5,FALSE)*E524))</f>
        <v>0</v>
      </c>
      <c r="J524" s="85">
        <f t="shared" si="35"/>
        <v>38269.757143831848</v>
      </c>
      <c r="K524" s="14"/>
      <c r="L524" s="25"/>
      <c r="M524" s="80" t="str">
        <f t="shared" si="36"/>
        <v>ja</v>
      </c>
      <c r="N524">
        <f t="shared" si="37"/>
        <v>2022</v>
      </c>
    </row>
    <row r="525" spans="1:14" hidden="1" x14ac:dyDescent="0.3">
      <c r="A525" s="105">
        <f t="shared" si="34"/>
        <v>22</v>
      </c>
      <c r="B525" s="22">
        <v>44716</v>
      </c>
      <c r="C525" s="16" t="s">
        <v>8</v>
      </c>
      <c r="D525" s="17" t="s">
        <v>69</v>
      </c>
      <c r="E525" s="24">
        <f>IF(VLOOKUP(D525,Budget!A:B,2,FALSE)&lt;&gt;0,IF(G525=0,24,24-G525),0)</f>
        <v>24</v>
      </c>
      <c r="F525" s="17"/>
      <c r="G525" s="17"/>
      <c r="H525" s="86">
        <f>IF(E525=0,0,IF(M525="ja",(VLOOKUP(D525,Budget!A:F,6,FALSE)*(E525-(VLOOKUP(D525,Budget!A:F,3,FALSE)))),VLOOKUP($D525,Budget!$A$1:$F$19,6,FALSE)*E525))</f>
        <v>42919.35380616656</v>
      </c>
      <c r="I525" s="86">
        <f>IF(F525=0,0,IF(M525="ja",((VLOOKUP(F525,Budget!A:F,6,FALSE)*(E525-(VLOOKUP(F525,Budget!A:F,3,FALSE))))),VLOOKUP($D525,Budget!A:F,5,FALSE)*E525))</f>
        <v>0</v>
      </c>
      <c r="J525" s="86">
        <f t="shared" si="35"/>
        <v>42919.35380616656</v>
      </c>
      <c r="K525" s="18"/>
      <c r="L525" s="75"/>
      <c r="M525" s="76" t="str">
        <f t="shared" si="36"/>
        <v>nein</v>
      </c>
      <c r="N525">
        <f t="shared" si="37"/>
        <v>2022</v>
      </c>
    </row>
    <row r="526" spans="1:14" ht="15" hidden="1" thickBot="1" x14ac:dyDescent="0.35">
      <c r="A526" s="105">
        <f t="shared" si="34"/>
        <v>22</v>
      </c>
      <c r="B526" s="27">
        <v>44717</v>
      </c>
      <c r="C526" s="19" t="s">
        <v>9</v>
      </c>
      <c r="D526" s="20" t="s">
        <v>69</v>
      </c>
      <c r="E526" s="20">
        <f>IF(VLOOKUP(D526,Budget!A:B,2,FALSE)&lt;&gt;0,IF(G526=0,24,24-G526),0)</f>
        <v>24</v>
      </c>
      <c r="F526" s="20"/>
      <c r="G526" s="20"/>
      <c r="H526" s="93">
        <f>IF(E526=0,0,IF(M526="ja",(VLOOKUP(D526,Budget!A:F,6,FALSE)*(E526-(VLOOKUP(D526,Budget!A:F,3,FALSE)))),VLOOKUP($D526,Budget!$A$1:$F$19,6,FALSE)*E526))</f>
        <v>42919.35380616656</v>
      </c>
      <c r="I526" s="93">
        <f>IF(F526=0,0,IF(M526="ja",((VLOOKUP(F526,Budget!A:F,6,FALSE)*(E526-(VLOOKUP(F526,Budget!A:F,3,FALSE))))),VLOOKUP($D526,Budget!A:F,5,FALSE)*E526))</f>
        <v>0</v>
      </c>
      <c r="J526" s="87">
        <f t="shared" si="35"/>
        <v>42919.35380616656</v>
      </c>
      <c r="K526" s="21"/>
      <c r="L526" s="74"/>
      <c r="M526" s="77" t="str">
        <f t="shared" si="36"/>
        <v>nein</v>
      </c>
      <c r="N526">
        <f t="shared" si="37"/>
        <v>2022</v>
      </c>
    </row>
    <row r="527" spans="1:14" hidden="1" x14ac:dyDescent="0.3">
      <c r="A527" s="104">
        <f t="shared" si="34"/>
        <v>23</v>
      </c>
      <c r="B527" s="22">
        <v>44718</v>
      </c>
      <c r="C527" s="10" t="s">
        <v>3</v>
      </c>
      <c r="D527" s="12" t="s">
        <v>29</v>
      </c>
      <c r="E527" s="13">
        <f>IF(VLOOKUP(D527,Budget!A:B,2,FALSE)&lt;&gt;0,IF(G527=0,24,24-G527),0)</f>
        <v>0</v>
      </c>
      <c r="F527" s="13"/>
      <c r="G527" s="13"/>
      <c r="H527" s="85">
        <f>IF(E527=0,0,IF(M527="ja",(VLOOKUP(D527,Budget!A:F,6,FALSE)*(E527-(VLOOKUP(D527,Budget!A:F,3,FALSE)))),VLOOKUP($D527,Budget!$A$1:$F$19,6,FALSE)*E527))</f>
        <v>0</v>
      </c>
      <c r="I527" s="85">
        <f>IF(F527=0,0,IF(M527="ja",((VLOOKUP(F527,Budget!A:F,6,FALSE)*(E527-(VLOOKUP(F527,Budget!A:F,3,FALSE))))),VLOOKUP($D527,Budget!A:F,5,FALSE)*E527))</f>
        <v>0</v>
      </c>
      <c r="J527" s="85">
        <f t="shared" si="35"/>
        <v>0</v>
      </c>
      <c r="K527" s="15"/>
      <c r="L527" s="72"/>
      <c r="M527" s="80" t="str">
        <f t="shared" si="36"/>
        <v>nein</v>
      </c>
      <c r="N527">
        <f t="shared" si="37"/>
        <v>2022</v>
      </c>
    </row>
    <row r="528" spans="1:14" hidden="1" x14ac:dyDescent="0.3">
      <c r="A528" s="105">
        <f t="shared" si="34"/>
        <v>23</v>
      </c>
      <c r="B528" s="22">
        <v>44719</v>
      </c>
      <c r="C528" s="11" t="s">
        <v>4</v>
      </c>
      <c r="D528" s="12" t="s">
        <v>29</v>
      </c>
      <c r="E528" s="13">
        <f>IF(VLOOKUP(D528,Budget!A:B,2,FALSE)&lt;&gt;0,IF(G528=0,24,24-G528),0)</f>
        <v>0</v>
      </c>
      <c r="G528" s="13"/>
      <c r="H528" s="85">
        <f>IF(E528=0,0,IF(M528="ja",(VLOOKUP(D528,Budget!A:F,6,FALSE)*(E528-(VLOOKUP(D528,Budget!A:F,3,FALSE)))),VLOOKUP($D528,Budget!$A$1:$F$19,6,FALSE)*E528))</f>
        <v>0</v>
      </c>
      <c r="I528" s="85">
        <f>IF(F528=0,0,IF(M528="ja",((VLOOKUP(F528,Budget!A:F,6,FALSE)*(E528-(VLOOKUP(F528,Budget!A:F,3,FALSE))))),VLOOKUP($D528,Budget!A:F,5,FALSE)*E528))</f>
        <v>0</v>
      </c>
      <c r="J528" s="85">
        <f t="shared" si="35"/>
        <v>0</v>
      </c>
      <c r="K528" s="14"/>
      <c r="L528" s="73"/>
      <c r="M528" s="80" t="str">
        <f t="shared" si="36"/>
        <v>nein</v>
      </c>
      <c r="N528">
        <f t="shared" si="37"/>
        <v>2022</v>
      </c>
    </row>
    <row r="529" spans="1:14" ht="28.8" hidden="1" x14ac:dyDescent="0.3">
      <c r="A529" s="105">
        <f t="shared" si="34"/>
        <v>23</v>
      </c>
      <c r="B529" s="22">
        <v>44720</v>
      </c>
      <c r="C529" s="11" t="s">
        <v>5</v>
      </c>
      <c r="D529" s="12" t="s">
        <v>10</v>
      </c>
      <c r="E529" s="13">
        <f>IF(VLOOKUP(D529,Budget!A:B,2,FALSE)&lt;&gt;0,IF(G529=0,24,24-G529),0)</f>
        <v>24</v>
      </c>
      <c r="G529" s="13"/>
      <c r="H529" s="85">
        <f>IF(E529=0,0,IF(M529="ja",(VLOOKUP(D529,Budget!A:F,6,FALSE)*(E529-(VLOOKUP(D529,Budget!A:F,3,FALSE)))),VLOOKUP($D529,Budget!$A$1:$F$19,6,FALSE)*E529))</f>
        <v>9843.7955001031441</v>
      </c>
      <c r="I529" s="85">
        <f>IF(F529=0,0,IF(M529="ja",((VLOOKUP(F529,Budget!A:F,6,FALSE)*(E529-(VLOOKUP(F529,Budget!A:F,3,FALSE))))),VLOOKUP($D529,Budget!A:F,5,FALSE)*E529))</f>
        <v>0</v>
      </c>
      <c r="J529" s="85">
        <f t="shared" si="35"/>
        <v>9843.7955001031441</v>
      </c>
      <c r="K529" s="14"/>
      <c r="L529" s="73" t="s">
        <v>110</v>
      </c>
      <c r="M529" s="80" t="str">
        <f t="shared" si="36"/>
        <v>ja</v>
      </c>
      <c r="N529">
        <f t="shared" si="37"/>
        <v>2022</v>
      </c>
    </row>
    <row r="530" spans="1:14" hidden="1" x14ac:dyDescent="0.3">
      <c r="A530" s="103">
        <f t="shared" si="34"/>
        <v>23</v>
      </c>
      <c r="B530" s="22">
        <v>44721</v>
      </c>
      <c r="C530" s="11" t="s">
        <v>6</v>
      </c>
      <c r="D530" s="12" t="s">
        <v>10</v>
      </c>
      <c r="E530" s="13">
        <f>IF(VLOOKUP(D530,Budget!A:B,2,FALSE)&lt;&gt;0,IF(G530=0,24,24-G530),0)</f>
        <v>24</v>
      </c>
      <c r="G530" s="13"/>
      <c r="H530" s="85">
        <f>IF(E530=0,0,IF(M530="ja",(VLOOKUP(D530,Budget!A:F,6,FALSE)*(E530-(VLOOKUP(D530,Budget!A:F,3,FALSE)))),VLOOKUP($D530,Budget!$A$1:$F$19,6,FALSE)*E530))</f>
        <v>11812.554600123773</v>
      </c>
      <c r="I530" s="85">
        <f>IF(F530=0,0,IF(M530="ja",((VLOOKUP(F530,Budget!A:F,6,FALSE)*(E530-(VLOOKUP(F530,Budget!A:F,3,FALSE))))),VLOOKUP($D530,Budget!A:F,5,FALSE)*E530))</f>
        <v>0</v>
      </c>
      <c r="J530" s="85">
        <f t="shared" si="35"/>
        <v>11812.554600123773</v>
      </c>
      <c r="K530" s="14"/>
      <c r="L530" s="73" t="s">
        <v>99</v>
      </c>
      <c r="M530" s="80" t="str">
        <f t="shared" si="36"/>
        <v>nein</v>
      </c>
      <c r="N530">
        <f t="shared" si="37"/>
        <v>2022</v>
      </c>
    </row>
    <row r="531" spans="1:14" hidden="1" x14ac:dyDescent="0.3">
      <c r="A531" s="105">
        <f t="shared" si="34"/>
        <v>23</v>
      </c>
      <c r="B531" s="22">
        <v>44722</v>
      </c>
      <c r="C531" s="11" t="s">
        <v>7</v>
      </c>
      <c r="D531" s="12" t="s">
        <v>10</v>
      </c>
      <c r="E531" s="13">
        <f>IF(VLOOKUP(D531,Budget!A:B,2,FALSE)&lt;&gt;0,IF(G531=0,24,24-G531),0)</f>
        <v>24</v>
      </c>
      <c r="G531" s="13"/>
      <c r="H531" s="85">
        <f>IF(E531=0,0,IF(M531="ja",(VLOOKUP(D531,Budget!A:F,6,FALSE)*(E531-(VLOOKUP(D531,Budget!A:F,3,FALSE)))),VLOOKUP($D531,Budget!$A$1:$F$19,6,FALSE)*E531))</f>
        <v>11812.554600123773</v>
      </c>
      <c r="I531" s="85">
        <f>IF(F531=0,0,IF(M531="ja",((VLOOKUP(F531,Budget!A:F,6,FALSE)*(E531-(VLOOKUP(F531,Budget!A:F,3,FALSE))))),VLOOKUP($D531,Budget!A:F,5,FALSE)*E531))</f>
        <v>0</v>
      </c>
      <c r="J531" s="85">
        <f t="shared" si="35"/>
        <v>11812.554600123773</v>
      </c>
      <c r="K531" s="14"/>
      <c r="L531" s="25"/>
      <c r="M531" s="80" t="str">
        <f t="shared" si="36"/>
        <v>nein</v>
      </c>
      <c r="N531">
        <f t="shared" si="37"/>
        <v>2022</v>
      </c>
    </row>
    <row r="532" spans="1:14" hidden="1" x14ac:dyDescent="0.3">
      <c r="A532" s="105">
        <f t="shared" si="34"/>
        <v>23</v>
      </c>
      <c r="B532" s="22">
        <v>44723</v>
      </c>
      <c r="C532" s="16" t="s">
        <v>8</v>
      </c>
      <c r="D532" s="17" t="s">
        <v>10</v>
      </c>
      <c r="E532" s="24">
        <f>IF(VLOOKUP(D532,Budget!A:B,2,FALSE)&lt;&gt;0,IF(G532=0,24,24-G532),0)</f>
        <v>24</v>
      </c>
      <c r="F532" s="17"/>
      <c r="G532" s="17"/>
      <c r="H532" s="86">
        <f>IF(E532=0,0,IF(M532="ja",(VLOOKUP(D532,Budget!A:F,6,FALSE)*(E532-(VLOOKUP(D532,Budget!A:F,3,FALSE)))),VLOOKUP($D532,Budget!$A$1:$F$19,6,FALSE)*E532))</f>
        <v>11812.554600123773</v>
      </c>
      <c r="I532" s="86">
        <f>IF(F532=0,0,IF(M532="ja",((VLOOKUP(F532,Budget!A:F,6,FALSE)*(E532-(VLOOKUP(F532,Budget!A:F,3,FALSE))))),VLOOKUP($D532,Budget!A:F,5,FALSE)*E532))</f>
        <v>0</v>
      </c>
      <c r="J532" s="86">
        <f t="shared" si="35"/>
        <v>11812.554600123773</v>
      </c>
      <c r="K532" s="18"/>
      <c r="L532" s="75"/>
      <c r="M532" s="76" t="str">
        <f t="shared" si="36"/>
        <v>nein</v>
      </c>
      <c r="N532">
        <f t="shared" si="37"/>
        <v>2022</v>
      </c>
    </row>
    <row r="533" spans="1:14" ht="15" hidden="1" thickBot="1" x14ac:dyDescent="0.35">
      <c r="A533" s="105">
        <f t="shared" si="34"/>
        <v>23</v>
      </c>
      <c r="B533" s="27">
        <v>44724</v>
      </c>
      <c r="C533" s="19" t="s">
        <v>9</v>
      </c>
      <c r="D533" s="20" t="s">
        <v>18</v>
      </c>
      <c r="E533" s="24">
        <f>IF(VLOOKUP(D533,Budget!A:B,2,FALSE)&lt;&gt;0,IF(G533=0,24,24-G533),0)</f>
        <v>24</v>
      </c>
      <c r="F533" s="20"/>
      <c r="G533" s="20"/>
      <c r="H533" s="93">
        <f>IF(E533=0,0,IF(M533="ja",(VLOOKUP(D533,Budget!A:F,6,FALSE)*(E533-(VLOOKUP(D533,Budget!A:F,3,FALSE)))),VLOOKUP($D533,Budget!$A$1:$F$19,6,FALSE)*E533))</f>
        <v>25200</v>
      </c>
      <c r="I533" s="93">
        <f>IF(F533=0,0,IF(M533="ja",((VLOOKUP(F533,Budget!A:F,6,FALSE)*(E533-(VLOOKUP(F533,Budget!A:F,3,FALSE))))),VLOOKUP($D533,Budget!A:F,5,FALSE)*E533))</f>
        <v>0</v>
      </c>
      <c r="J533" s="87">
        <f t="shared" si="35"/>
        <v>25200</v>
      </c>
      <c r="K533" s="21"/>
      <c r="L533" s="74"/>
      <c r="M533" s="77" t="str">
        <f t="shared" si="36"/>
        <v>ja</v>
      </c>
      <c r="N533">
        <f t="shared" si="37"/>
        <v>2022</v>
      </c>
    </row>
    <row r="534" spans="1:14" hidden="1" x14ac:dyDescent="0.3">
      <c r="A534" s="104">
        <f t="shared" si="34"/>
        <v>24</v>
      </c>
      <c r="B534" s="22">
        <v>44725</v>
      </c>
      <c r="C534" s="10" t="s">
        <v>3</v>
      </c>
      <c r="D534" s="12" t="s">
        <v>18</v>
      </c>
      <c r="E534" s="13">
        <f>IF(VLOOKUP(D534,Budget!A:B,2,FALSE)&lt;&gt;0,IF(G534=0,24,24-G534),0)</f>
        <v>24</v>
      </c>
      <c r="F534" s="13"/>
      <c r="G534" s="13"/>
      <c r="H534" s="85">
        <f>IF(E534=0,0,IF(M534="ja",(VLOOKUP(D534,Budget!A:F,6,FALSE)*(E534-(VLOOKUP(D534,Budget!A:F,3,FALSE)))),VLOOKUP($D534,Budget!$A$1:$F$19,6,FALSE)*E534))</f>
        <v>28800</v>
      </c>
      <c r="I534" s="85">
        <f>IF(F534=0,0,IF(M534="ja",((VLOOKUP(F534,Budget!A:F,6,FALSE)*(E534-(VLOOKUP(F534,Budget!A:F,3,FALSE))))),VLOOKUP($D534,Budget!A:F,5,FALSE)*E534))</f>
        <v>0</v>
      </c>
      <c r="J534" s="85">
        <f t="shared" si="35"/>
        <v>28800</v>
      </c>
      <c r="K534" s="15"/>
      <c r="L534" s="72"/>
      <c r="M534" s="80" t="str">
        <f t="shared" si="36"/>
        <v>nein</v>
      </c>
      <c r="N534">
        <f t="shared" si="37"/>
        <v>2022</v>
      </c>
    </row>
    <row r="535" spans="1:14" hidden="1" x14ac:dyDescent="0.3">
      <c r="A535" s="105">
        <f t="shared" si="34"/>
        <v>24</v>
      </c>
      <c r="B535" s="22">
        <v>44726</v>
      </c>
      <c r="C535" s="11" t="s">
        <v>4</v>
      </c>
      <c r="D535" s="12" t="s">
        <v>30</v>
      </c>
      <c r="E535" s="13">
        <v>12</v>
      </c>
      <c r="F535" s="12" t="s">
        <v>69</v>
      </c>
      <c r="G535" s="13">
        <v>12</v>
      </c>
      <c r="H535" s="85">
        <f>IF(E535=0,0,IF(M535="ja",(VLOOKUP(D535,Budget!A:F,6,FALSE)*(E535-(VLOOKUP(D535,Budget!A:F,3,FALSE)))),VLOOKUP($D535,Budget!$A$1:$F$19,6,FALSE)*E535))</f>
        <v>0</v>
      </c>
      <c r="I535" s="85">
        <f>IF(F535=0,0,IF(M535="ja",((VLOOKUP(F535,Budget!A:F,6,FALSE)*(E535-(VLOOKUP(F535,Budget!A:F,3,FALSE))))),VLOOKUP($D535,Budget!A:F,5,FALSE)*E535))</f>
        <v>16810.080240748572</v>
      </c>
      <c r="J535" s="85">
        <f t="shared" si="35"/>
        <v>16810.080240748572</v>
      </c>
      <c r="K535" s="14"/>
      <c r="L535" s="73"/>
      <c r="M535" s="80" t="str">
        <f t="shared" si="36"/>
        <v>ja</v>
      </c>
      <c r="N535">
        <f t="shared" si="37"/>
        <v>2022</v>
      </c>
    </row>
    <row r="536" spans="1:14" hidden="1" x14ac:dyDescent="0.3">
      <c r="A536" s="105">
        <f t="shared" si="34"/>
        <v>24</v>
      </c>
      <c r="B536" s="22">
        <v>44727</v>
      </c>
      <c r="C536" s="11" t="s">
        <v>5</v>
      </c>
      <c r="D536" s="12" t="s">
        <v>30</v>
      </c>
      <c r="E536" s="13">
        <f>IF(VLOOKUP(D536,Budget!A:B,2,FALSE)&lt;&gt;0,IF(G536=0,24,24-G536),0)</f>
        <v>0</v>
      </c>
      <c r="G536" s="13"/>
      <c r="H536" s="85">
        <f>IF(E536=0,0,IF(M536="ja",(VLOOKUP(D536,Budget!A:F,6,FALSE)*(E536-(VLOOKUP(D536,Budget!A:F,3,FALSE)))),VLOOKUP($D536,Budget!$A$1:$F$19,6,FALSE)*E536))</f>
        <v>0</v>
      </c>
      <c r="I536" s="85">
        <f>IF(F536=0,0,IF(M536="ja",((VLOOKUP(F536,Budget!A:F,6,FALSE)*(E536-(VLOOKUP(F536,Budget!A:F,3,FALSE))))),VLOOKUP($D536,Budget!A:F,5,FALSE)*E536))</f>
        <v>0</v>
      </c>
      <c r="J536" s="85">
        <f t="shared" si="35"/>
        <v>0</v>
      </c>
      <c r="K536" s="14"/>
      <c r="L536" s="73"/>
      <c r="M536" s="80" t="str">
        <f t="shared" si="36"/>
        <v>nein</v>
      </c>
      <c r="N536">
        <f t="shared" si="37"/>
        <v>2022</v>
      </c>
    </row>
    <row r="537" spans="1:14" hidden="1" x14ac:dyDescent="0.3">
      <c r="A537" s="103">
        <f t="shared" si="34"/>
        <v>24</v>
      </c>
      <c r="B537" s="22">
        <v>44728</v>
      </c>
      <c r="C537" s="11" t="s">
        <v>6</v>
      </c>
      <c r="D537" s="12" t="s">
        <v>69</v>
      </c>
      <c r="E537" s="13">
        <f>IF(VLOOKUP(D537,Budget!A:B,2,FALSE)&lt;&gt;0,IF(G537=0,24,24-G537),0)</f>
        <v>24</v>
      </c>
      <c r="G537" s="13"/>
      <c r="H537" s="85">
        <f>IF(E537=0,0,IF(M537="ja",(VLOOKUP(D537,Budget!A:F,6,FALSE)*(E537-(VLOOKUP(D537,Budget!A:F,3,FALSE)))),VLOOKUP($D537,Budget!$A$1:$F$19,6,FALSE)*E537))</f>
        <v>38269.757143831848</v>
      </c>
      <c r="I537" s="85">
        <f>IF(F537=0,0,IF(M537="ja",((VLOOKUP(F537,Budget!A:F,6,FALSE)*(E537-(VLOOKUP(F537,Budget!A:F,3,FALSE))))),VLOOKUP($D537,Budget!A:F,5,FALSE)*E537))</f>
        <v>0</v>
      </c>
      <c r="J537" s="85">
        <f t="shared" si="35"/>
        <v>38269.757143831848</v>
      </c>
      <c r="K537" s="14"/>
      <c r="L537" s="73"/>
      <c r="M537" s="80" t="str">
        <f t="shared" si="36"/>
        <v>ja</v>
      </c>
      <c r="N537">
        <f t="shared" si="37"/>
        <v>2022</v>
      </c>
    </row>
    <row r="538" spans="1:14" hidden="1" x14ac:dyDescent="0.3">
      <c r="A538" s="105">
        <f t="shared" si="34"/>
        <v>24</v>
      </c>
      <c r="B538" s="22">
        <v>44729</v>
      </c>
      <c r="C538" s="11" t="s">
        <v>7</v>
      </c>
      <c r="D538" s="12" t="s">
        <v>69</v>
      </c>
      <c r="E538" s="13">
        <f>IF(VLOOKUP(D538,Budget!A:B,2,FALSE)&lt;&gt;0,IF(G538=0,24,24-G538),0)</f>
        <v>24</v>
      </c>
      <c r="G538" s="13"/>
      <c r="H538" s="85">
        <f>IF(E538=0,0,IF(M538="ja",(VLOOKUP(D538,Budget!A:F,6,FALSE)*(E538-(VLOOKUP(D538,Budget!A:F,3,FALSE)))),VLOOKUP($D538,Budget!$A$1:$F$19,6,FALSE)*E538))</f>
        <v>42919.35380616656</v>
      </c>
      <c r="I538" s="85">
        <f>IF(F538=0,0,IF(M538="ja",((VLOOKUP(F538,Budget!A:F,6,FALSE)*(E538-(VLOOKUP(F538,Budget!A:F,3,FALSE))))),VLOOKUP($D538,Budget!A:F,5,FALSE)*E538))</f>
        <v>0</v>
      </c>
      <c r="J538" s="85">
        <f t="shared" si="35"/>
        <v>42919.35380616656</v>
      </c>
      <c r="K538" s="14"/>
      <c r="L538" s="25"/>
      <c r="M538" s="80" t="str">
        <f t="shared" si="36"/>
        <v>nein</v>
      </c>
      <c r="N538">
        <f t="shared" si="37"/>
        <v>2022</v>
      </c>
    </row>
    <row r="539" spans="1:14" hidden="1" x14ac:dyDescent="0.3">
      <c r="A539" s="105">
        <f t="shared" si="34"/>
        <v>24</v>
      </c>
      <c r="B539" s="22">
        <v>44730</v>
      </c>
      <c r="C539" s="16" t="s">
        <v>8</v>
      </c>
      <c r="D539" s="17" t="s">
        <v>69</v>
      </c>
      <c r="E539" s="24">
        <f>IF(VLOOKUP(D539,Budget!A:B,2,FALSE)&lt;&gt;0,IF(G539=0,24,24-G539),0)</f>
        <v>24</v>
      </c>
      <c r="F539" s="17"/>
      <c r="G539" s="17"/>
      <c r="H539" s="86">
        <f>IF(E539=0,0,IF(M539="ja",(VLOOKUP(D539,Budget!A:F,6,FALSE)*(E539-(VLOOKUP(D539,Budget!A:F,3,FALSE)))),VLOOKUP($D539,Budget!$A$1:$F$19,6,FALSE)*E539))</f>
        <v>42919.35380616656</v>
      </c>
      <c r="I539" s="86">
        <f>IF(F539=0,0,IF(M539="ja",((VLOOKUP(F539,Budget!A:F,6,FALSE)*(E539-(VLOOKUP(F539,Budget!A:F,3,FALSE))))),VLOOKUP($D539,Budget!A:F,5,FALSE)*E539))</f>
        <v>0</v>
      </c>
      <c r="J539" s="86">
        <f t="shared" si="35"/>
        <v>42919.35380616656</v>
      </c>
      <c r="K539" s="18"/>
      <c r="L539" s="75"/>
      <c r="M539" s="76" t="str">
        <f t="shared" si="36"/>
        <v>nein</v>
      </c>
      <c r="N539">
        <f t="shared" si="37"/>
        <v>2022</v>
      </c>
    </row>
    <row r="540" spans="1:14" ht="15" hidden="1" thickBot="1" x14ac:dyDescent="0.35">
      <c r="A540" s="105">
        <f t="shared" si="34"/>
        <v>24</v>
      </c>
      <c r="B540" s="27">
        <v>44731</v>
      </c>
      <c r="C540" s="19" t="s">
        <v>9</v>
      </c>
      <c r="D540" s="20" t="s">
        <v>11</v>
      </c>
      <c r="E540" s="20">
        <f>IF(VLOOKUP(D540,Budget!A:B,2,FALSE)&lt;&gt;0,IF(G540=0,24,24-G540),0)</f>
        <v>24</v>
      </c>
      <c r="F540" s="20"/>
      <c r="G540" s="20"/>
      <c r="H540" s="93">
        <f>IF(E540=0,0,IF(M540="ja",(VLOOKUP(D540,Budget!A:F,6,FALSE)*(E540-(VLOOKUP(D540,Budget!A:F,3,FALSE)))),VLOOKUP($D540,Budget!$A$1:$F$19,6,FALSE)*E540))</f>
        <v>30030</v>
      </c>
      <c r="I540" s="93">
        <f>IF(F540=0,0,IF(M540="ja",((VLOOKUP(F540,Budget!A:F,6,FALSE)*(E540-(VLOOKUP(F540,Budget!A:F,3,FALSE))))),VLOOKUP($D540,Budget!A:F,5,FALSE)*E540))</f>
        <v>0</v>
      </c>
      <c r="J540" s="87">
        <f t="shared" si="35"/>
        <v>30030</v>
      </c>
      <c r="K540" s="21"/>
      <c r="L540" s="74"/>
      <c r="M540" s="77" t="str">
        <f t="shared" si="36"/>
        <v>ja</v>
      </c>
      <c r="N540">
        <f t="shared" si="37"/>
        <v>2022</v>
      </c>
    </row>
    <row r="541" spans="1:14" hidden="1" x14ac:dyDescent="0.3">
      <c r="A541" s="104">
        <f t="shared" si="34"/>
        <v>25</v>
      </c>
      <c r="B541" s="22">
        <v>44732</v>
      </c>
      <c r="C541" s="10" t="s">
        <v>3</v>
      </c>
      <c r="D541" s="12" t="s">
        <v>11</v>
      </c>
      <c r="E541" s="13">
        <f>IF(VLOOKUP(D541,Budget!A:B,2,FALSE)&lt;&gt;0,IF(G541=0,24,24-G541),0)</f>
        <v>24</v>
      </c>
      <c r="F541" s="13"/>
      <c r="G541" s="13"/>
      <c r="H541" s="85">
        <f>IF(E541=0,0,IF(M541="ja",(VLOOKUP(D541,Budget!A:F,6,FALSE)*(E541-(VLOOKUP(D541,Budget!A:F,3,FALSE)))),VLOOKUP($D541,Budget!$A$1:$F$19,6,FALSE)*E541))</f>
        <v>36960</v>
      </c>
      <c r="I541" s="85">
        <f>IF(F541=0,0,IF(M541="ja",((VLOOKUP(F541,Budget!A:F,6,FALSE)*(E541-(VLOOKUP(F541,Budget!A:F,3,FALSE))))),VLOOKUP($D541,Budget!A:F,5,FALSE)*E541))</f>
        <v>0</v>
      </c>
      <c r="J541" s="85">
        <f t="shared" si="35"/>
        <v>36960</v>
      </c>
      <c r="K541" s="15"/>
      <c r="L541" s="72"/>
      <c r="M541" s="80" t="str">
        <f t="shared" si="36"/>
        <v>nein</v>
      </c>
      <c r="N541">
        <f t="shared" si="37"/>
        <v>2022</v>
      </c>
    </row>
    <row r="542" spans="1:14" hidden="1" x14ac:dyDescent="0.3">
      <c r="A542" s="105">
        <f t="shared" si="34"/>
        <v>25</v>
      </c>
      <c r="B542" s="22">
        <v>44733</v>
      </c>
      <c r="C542" s="11" t="s">
        <v>4</v>
      </c>
      <c r="D542" s="12" t="s">
        <v>11</v>
      </c>
      <c r="E542" s="13">
        <f>IF(VLOOKUP(D542,Budget!A:B,2,FALSE)&lt;&gt;0,IF(G542=0,24,24-G542),0)</f>
        <v>24</v>
      </c>
      <c r="G542" s="13"/>
      <c r="H542" s="85">
        <f>IF(E542=0,0,IF(M542="ja",(VLOOKUP(D542,Budget!A:F,6,FALSE)*(E542-(VLOOKUP(D542,Budget!A:F,3,FALSE)))),VLOOKUP($D542,Budget!$A$1:$F$19,6,FALSE)*E542))</f>
        <v>36960</v>
      </c>
      <c r="I542" s="85">
        <f>IF(F542=0,0,IF(M542="ja",((VLOOKUP(F542,Budget!A:F,6,FALSE)*(E542-(VLOOKUP(F542,Budget!A:F,3,FALSE))))),VLOOKUP($D542,Budget!A:F,5,FALSE)*E542))</f>
        <v>0</v>
      </c>
      <c r="J542" s="85">
        <f t="shared" si="35"/>
        <v>36960</v>
      </c>
      <c r="K542" s="14"/>
      <c r="L542" s="73"/>
      <c r="M542" s="80" t="str">
        <f t="shared" si="36"/>
        <v>nein</v>
      </c>
      <c r="N542">
        <f t="shared" si="37"/>
        <v>2022</v>
      </c>
    </row>
    <row r="543" spans="1:14" hidden="1" x14ac:dyDescent="0.3">
      <c r="A543" s="105">
        <f t="shared" si="34"/>
        <v>25</v>
      </c>
      <c r="B543" s="22">
        <v>44734</v>
      </c>
      <c r="C543" s="11" t="s">
        <v>5</v>
      </c>
      <c r="D543" s="12" t="s">
        <v>11</v>
      </c>
      <c r="E543" s="13">
        <f>IF(VLOOKUP(D543,Budget!A:B,2,FALSE)&lt;&gt;0,IF(G543=0,24,24-G543),0)</f>
        <v>24</v>
      </c>
      <c r="G543" s="13"/>
      <c r="H543" s="85">
        <f>IF(E543=0,0,IF(M543="ja",(VLOOKUP(D543,Budget!A:F,6,FALSE)*(E543-(VLOOKUP(D543,Budget!A:F,3,FALSE)))),VLOOKUP($D543,Budget!$A$1:$F$19,6,FALSE)*E543))</f>
        <v>36960</v>
      </c>
      <c r="I543" s="85">
        <f>IF(F543=0,0,IF(M543="ja",((VLOOKUP(F543,Budget!A:F,6,FALSE)*(E543-(VLOOKUP(F543,Budget!A:F,3,FALSE))))),VLOOKUP($D543,Budget!A:F,5,FALSE)*E543))</f>
        <v>0</v>
      </c>
      <c r="J543" s="85">
        <f t="shared" si="35"/>
        <v>36960</v>
      </c>
      <c r="K543" s="14"/>
      <c r="L543" s="73"/>
      <c r="M543" s="80" t="str">
        <f t="shared" si="36"/>
        <v>nein</v>
      </c>
      <c r="N543">
        <f t="shared" si="37"/>
        <v>2022</v>
      </c>
    </row>
    <row r="544" spans="1:14" hidden="1" x14ac:dyDescent="0.3">
      <c r="A544" s="103">
        <f t="shared" si="34"/>
        <v>25</v>
      </c>
      <c r="B544" s="22">
        <v>44735</v>
      </c>
      <c r="C544" s="11" t="s">
        <v>6</v>
      </c>
      <c r="D544" s="12" t="s">
        <v>11</v>
      </c>
      <c r="E544" s="13">
        <f>IF(VLOOKUP(D544,Budget!A:B,2,FALSE)&lt;&gt;0,IF(G544=0,24,24-G544),0)</f>
        <v>24</v>
      </c>
      <c r="G544" s="13"/>
      <c r="H544" s="85">
        <f>IF(E544=0,0,IF(M544="ja",(VLOOKUP(D544,Budget!A:F,6,FALSE)*(E544-(VLOOKUP(D544,Budget!A:F,3,FALSE)))),VLOOKUP($D544,Budget!$A$1:$F$19,6,FALSE)*E544))</f>
        <v>36960</v>
      </c>
      <c r="I544" s="85">
        <f>IF(F544=0,0,IF(M544="ja",((VLOOKUP(F544,Budget!A:F,6,FALSE)*(E544-(VLOOKUP(F544,Budget!A:F,3,FALSE))))),VLOOKUP($D544,Budget!A:F,5,FALSE)*E544))</f>
        <v>0</v>
      </c>
      <c r="J544" s="85">
        <f t="shared" si="35"/>
        <v>36960</v>
      </c>
      <c r="K544" s="14"/>
      <c r="L544" s="73"/>
      <c r="M544" s="80" t="str">
        <f t="shared" si="36"/>
        <v>nein</v>
      </c>
      <c r="N544">
        <f t="shared" si="37"/>
        <v>2022</v>
      </c>
    </row>
    <row r="545" spans="1:14" hidden="1" x14ac:dyDescent="0.3">
      <c r="A545" s="105">
        <f t="shared" si="34"/>
        <v>25</v>
      </c>
      <c r="B545" s="22">
        <v>44736</v>
      </c>
      <c r="C545" s="11" t="s">
        <v>7</v>
      </c>
      <c r="D545" s="12" t="s">
        <v>11</v>
      </c>
      <c r="E545" s="13">
        <f>IF(VLOOKUP(D545,Budget!A:B,2,FALSE)&lt;&gt;0,IF(G545=0,24,24-G545),0)</f>
        <v>24</v>
      </c>
      <c r="G545" s="13"/>
      <c r="H545" s="85">
        <f>IF(E545=0,0,IF(M545="ja",(VLOOKUP(D545,Budget!A:F,6,FALSE)*(E545-(VLOOKUP(D545,Budget!A:F,3,FALSE)))),VLOOKUP($D545,Budget!$A$1:$F$19,6,FALSE)*E545))</f>
        <v>36960</v>
      </c>
      <c r="I545" s="85">
        <f>IF(F545=0,0,IF(M545="ja",((VLOOKUP(F545,Budget!A:F,6,FALSE)*(E545-(VLOOKUP(F545,Budget!A:F,3,FALSE))))),VLOOKUP($D545,Budget!A:F,5,FALSE)*E545))</f>
        <v>0</v>
      </c>
      <c r="J545" s="85">
        <f t="shared" si="35"/>
        <v>36960</v>
      </c>
      <c r="K545" s="14"/>
      <c r="L545" s="25"/>
      <c r="M545" s="80" t="str">
        <f t="shared" si="36"/>
        <v>nein</v>
      </c>
      <c r="N545">
        <f t="shared" si="37"/>
        <v>2022</v>
      </c>
    </row>
    <row r="546" spans="1:14" hidden="1" x14ac:dyDescent="0.3">
      <c r="A546" s="105">
        <f t="shared" si="34"/>
        <v>25</v>
      </c>
      <c r="B546" s="22">
        <v>44737</v>
      </c>
      <c r="C546" s="16" t="s">
        <v>8</v>
      </c>
      <c r="D546" s="17" t="s">
        <v>11</v>
      </c>
      <c r="E546" s="24">
        <f>IF(VLOOKUP(D546,Budget!A:B,2,FALSE)&lt;&gt;0,IF(G546=0,24,24-G546),0)</f>
        <v>24</v>
      </c>
      <c r="F546" s="17"/>
      <c r="G546" s="17"/>
      <c r="H546" s="86">
        <f>IF(E546=0,0,IF(M546="ja",(VLOOKUP(D546,Budget!A:F,6,FALSE)*(E546-(VLOOKUP(D546,Budget!A:F,3,FALSE)))),VLOOKUP($D546,Budget!$A$1:$F$19,6,FALSE)*E546))</f>
        <v>36960</v>
      </c>
      <c r="I546" s="86">
        <f>IF(F546=0,0,IF(M546="ja",((VLOOKUP(F546,Budget!A:F,6,FALSE)*(E546-(VLOOKUP(F546,Budget!A:F,3,FALSE))))),VLOOKUP($D546,Budget!A:F,5,FALSE)*E546))</f>
        <v>0</v>
      </c>
      <c r="J546" s="86">
        <f t="shared" si="35"/>
        <v>36960</v>
      </c>
      <c r="K546" s="18"/>
      <c r="L546" s="75"/>
      <c r="M546" s="76" t="str">
        <f t="shared" si="36"/>
        <v>nein</v>
      </c>
      <c r="N546">
        <f t="shared" si="37"/>
        <v>2022</v>
      </c>
    </row>
    <row r="547" spans="1:14" ht="15" hidden="1" thickBot="1" x14ac:dyDescent="0.35">
      <c r="A547" s="105">
        <f t="shared" si="34"/>
        <v>25</v>
      </c>
      <c r="B547" s="27">
        <v>44738</v>
      </c>
      <c r="C547" s="19" t="s">
        <v>9</v>
      </c>
      <c r="D547" s="20" t="s">
        <v>11</v>
      </c>
      <c r="E547" s="20">
        <f>IF(VLOOKUP(D547,Budget!A:B,2,FALSE)&lt;&gt;0,IF(G547=0,24,24-G547),0)</f>
        <v>24</v>
      </c>
      <c r="F547" s="20"/>
      <c r="G547" s="20"/>
      <c r="H547" s="93">
        <f>IF(E547=0,0,IF(M547="ja",(VLOOKUP(D547,Budget!A:F,6,FALSE)*(E547-(VLOOKUP(D547,Budget!A:F,3,FALSE)))),VLOOKUP($D547,Budget!$A$1:$F$19,6,FALSE)*E547))</f>
        <v>36960</v>
      </c>
      <c r="I547" s="93">
        <f>IF(F547=0,0,IF(M547="ja",((VLOOKUP(F547,Budget!A:F,6,FALSE)*(E547-(VLOOKUP(F547,Budget!A:F,3,FALSE))))),VLOOKUP($D547,Budget!A:F,5,FALSE)*E547))</f>
        <v>0</v>
      </c>
      <c r="J547" s="87">
        <f t="shared" si="35"/>
        <v>36960</v>
      </c>
      <c r="K547" s="21"/>
      <c r="L547" s="74"/>
      <c r="M547" s="77" t="str">
        <f t="shared" si="36"/>
        <v>nein</v>
      </c>
      <c r="N547">
        <f t="shared" si="37"/>
        <v>2022</v>
      </c>
    </row>
    <row r="548" spans="1:14" hidden="1" x14ac:dyDescent="0.3">
      <c r="A548" s="104">
        <f t="shared" si="34"/>
        <v>26</v>
      </c>
      <c r="B548" s="22">
        <v>44739</v>
      </c>
      <c r="C548" s="10" t="s">
        <v>3</v>
      </c>
      <c r="D548" s="12" t="s">
        <v>11</v>
      </c>
      <c r="E548" s="13">
        <f>IF(VLOOKUP(D548,Budget!A:B,2,FALSE)&lt;&gt;0,IF(G548=0,24,24-G548),0)</f>
        <v>24</v>
      </c>
      <c r="F548" s="13"/>
      <c r="G548" s="13"/>
      <c r="H548" s="85">
        <f>IF(E548=0,0,IF(M548="ja",(VLOOKUP(D548,Budget!A:F,6,FALSE)*(E548-(VLOOKUP(D548,Budget!A:F,3,FALSE)))),VLOOKUP($D548,Budget!$A$1:$F$19,6,FALSE)*E548))</f>
        <v>36960</v>
      </c>
      <c r="I548" s="85">
        <f>IF(F548=0,0,IF(M548="ja",((VLOOKUP(F548,Budget!A:F,6,FALSE)*(E548-(VLOOKUP(F548,Budget!A:F,3,FALSE))))),VLOOKUP($D548,Budget!A:F,5,FALSE)*E548))</f>
        <v>0</v>
      </c>
      <c r="J548" s="85">
        <f t="shared" si="35"/>
        <v>36960</v>
      </c>
      <c r="K548" s="15"/>
      <c r="L548" s="72"/>
      <c r="M548" s="80" t="str">
        <f t="shared" si="36"/>
        <v>nein</v>
      </c>
      <c r="N548">
        <f t="shared" si="37"/>
        <v>2022</v>
      </c>
    </row>
    <row r="549" spans="1:14" hidden="1" x14ac:dyDescent="0.3">
      <c r="A549" s="105">
        <f t="shared" si="34"/>
        <v>26</v>
      </c>
      <c r="B549" s="22">
        <v>44740</v>
      </c>
      <c r="C549" s="11" t="s">
        <v>4</v>
      </c>
      <c r="D549" s="12" t="s">
        <v>11</v>
      </c>
      <c r="E549" s="13">
        <f>IF(VLOOKUP(D549,Budget!A:B,2,FALSE)&lt;&gt;0,IF(G549=0,24,24-G549),0)</f>
        <v>24</v>
      </c>
      <c r="G549" s="13"/>
      <c r="H549" s="85">
        <f>IF(E549=0,0,IF(M549="ja",(VLOOKUP(D549,Budget!A:F,6,FALSE)*(E549-(VLOOKUP(D549,Budget!A:F,3,FALSE)))),VLOOKUP($D549,Budget!$A$1:$F$19,6,FALSE)*E549))</f>
        <v>36960</v>
      </c>
      <c r="I549" s="85">
        <f>IF(F549=0,0,IF(M549="ja",((VLOOKUP(F549,Budget!A:F,6,FALSE)*(E549-(VLOOKUP(F549,Budget!A:F,3,FALSE))))),VLOOKUP($D549,Budget!A:F,5,FALSE)*E549))</f>
        <v>0</v>
      </c>
      <c r="J549" s="85">
        <f t="shared" si="35"/>
        <v>36960</v>
      </c>
      <c r="K549" s="14"/>
      <c r="L549" s="73"/>
      <c r="M549" s="80" t="str">
        <f t="shared" si="36"/>
        <v>nein</v>
      </c>
      <c r="N549">
        <f t="shared" si="37"/>
        <v>2022</v>
      </c>
    </row>
    <row r="550" spans="1:14" hidden="1" x14ac:dyDescent="0.3">
      <c r="A550" s="105">
        <f t="shared" si="34"/>
        <v>26</v>
      </c>
      <c r="B550" s="22">
        <v>44741</v>
      </c>
      <c r="C550" s="11" t="s">
        <v>5</v>
      </c>
      <c r="D550" s="12" t="s">
        <v>11</v>
      </c>
      <c r="E550" s="13">
        <f>IF(VLOOKUP(D550,Budget!A:B,2,FALSE)&lt;&gt;0,IF(G550=0,24,24-G550),0)</f>
        <v>24</v>
      </c>
      <c r="G550" s="13"/>
      <c r="H550" s="85">
        <f>IF(E550=0,0,IF(M550="ja",(VLOOKUP(D550,Budget!A:F,6,FALSE)*(E550-(VLOOKUP(D550,Budget!A:F,3,FALSE)))),VLOOKUP($D550,Budget!$A$1:$F$19,6,FALSE)*E550))</f>
        <v>36960</v>
      </c>
      <c r="I550" s="85">
        <f>IF(F550=0,0,IF(M550="ja",((VLOOKUP(F550,Budget!A:F,6,FALSE)*(E550-(VLOOKUP(F550,Budget!A:F,3,FALSE))))),VLOOKUP($D550,Budget!A:F,5,FALSE)*E550))</f>
        <v>0</v>
      </c>
      <c r="J550" s="85">
        <f t="shared" si="35"/>
        <v>36960</v>
      </c>
      <c r="K550" s="14"/>
      <c r="L550" s="73"/>
      <c r="M550" s="80" t="str">
        <f t="shared" si="36"/>
        <v>nein</v>
      </c>
      <c r="N550">
        <f t="shared" si="37"/>
        <v>2022</v>
      </c>
    </row>
    <row r="551" spans="1:14" hidden="1" x14ac:dyDescent="0.3">
      <c r="A551" s="103">
        <f t="shared" si="34"/>
        <v>26</v>
      </c>
      <c r="B551" s="22">
        <v>44742</v>
      </c>
      <c r="C551" s="11" t="s">
        <v>6</v>
      </c>
      <c r="D551" s="12" t="s">
        <v>11</v>
      </c>
      <c r="E551" s="13">
        <f>IF(VLOOKUP(D551,Budget!A:B,2,FALSE)&lt;&gt;0,IF(G551=0,24,24-G551),0)</f>
        <v>24</v>
      </c>
      <c r="G551" s="13"/>
      <c r="H551" s="85">
        <f>IF(E551=0,0,IF(M551="ja",(VLOOKUP(D551,Budget!A:F,6,FALSE)*(E551-(VLOOKUP(D551,Budget!A:F,3,FALSE)))),VLOOKUP($D551,Budget!$A$1:$F$19,6,FALSE)*E551))</f>
        <v>36960</v>
      </c>
      <c r="I551" s="85">
        <f>IF(F551=0,0,IF(M551="ja",((VLOOKUP(F551,Budget!A:F,6,FALSE)*(E551-(VLOOKUP(F551,Budget!A:F,3,FALSE))))),VLOOKUP($D551,Budget!A:F,5,FALSE)*E551))</f>
        <v>0</v>
      </c>
      <c r="J551" s="85">
        <f t="shared" si="35"/>
        <v>36960</v>
      </c>
      <c r="K551" s="14"/>
      <c r="L551" s="73"/>
      <c r="M551" s="80" t="str">
        <f t="shared" si="36"/>
        <v>nein</v>
      </c>
      <c r="N551">
        <f t="shared" si="37"/>
        <v>2022</v>
      </c>
    </row>
    <row r="552" spans="1:14" hidden="1" x14ac:dyDescent="0.3">
      <c r="A552" s="105">
        <f t="shared" si="34"/>
        <v>26</v>
      </c>
      <c r="B552" s="22">
        <v>44743</v>
      </c>
      <c r="C552" s="11" t="s">
        <v>7</v>
      </c>
      <c r="D552" s="12" t="s">
        <v>11</v>
      </c>
      <c r="E552" s="13">
        <f>IF(VLOOKUP(D552,Budget!A:B,2,FALSE)&lt;&gt;0,IF(G552=0,24,24-G552),0)</f>
        <v>24</v>
      </c>
      <c r="G552" s="13"/>
      <c r="H552" s="85">
        <f>IF(E552=0,0,IF(M552="ja",(VLOOKUP(D552,Budget!A:F,6,FALSE)*(E552-(VLOOKUP(D552,Budget!A:F,3,FALSE)))),VLOOKUP($D552,Budget!$A$1:$F$19,6,FALSE)*E552))</f>
        <v>36960</v>
      </c>
      <c r="I552" s="85">
        <f>IF(F552=0,0,IF(M552="ja",((VLOOKUP(F552,Budget!A:F,6,FALSE)*(E552-(VLOOKUP(F552,Budget!A:F,3,FALSE))))),VLOOKUP($D552,Budget!A:F,5,FALSE)*E552))</f>
        <v>0</v>
      </c>
      <c r="J552" s="85">
        <f t="shared" si="35"/>
        <v>36960</v>
      </c>
      <c r="K552" s="14"/>
      <c r="L552" s="25"/>
      <c r="M552" s="80" t="str">
        <f t="shared" si="36"/>
        <v>nein</v>
      </c>
      <c r="N552">
        <f t="shared" si="37"/>
        <v>2022</v>
      </c>
    </row>
    <row r="553" spans="1:14" hidden="1" x14ac:dyDescent="0.3">
      <c r="A553" s="105">
        <f t="shared" si="34"/>
        <v>26</v>
      </c>
      <c r="B553" s="22">
        <v>44744</v>
      </c>
      <c r="C553" s="16" t="s">
        <v>8</v>
      </c>
      <c r="D553" s="17" t="s">
        <v>11</v>
      </c>
      <c r="E553" s="24">
        <f>IF(VLOOKUP(D553,Budget!A:B,2,FALSE)&lt;&gt;0,IF(G553=0,24,24-G553),0)</f>
        <v>24</v>
      </c>
      <c r="F553" s="17"/>
      <c r="G553" s="17"/>
      <c r="H553" s="86">
        <f>IF(E553=0,0,IF(M553="ja",(VLOOKUP(D553,Budget!A:F,6,FALSE)*(E553-(VLOOKUP(D553,Budget!A:F,3,FALSE)))),VLOOKUP($D553,Budget!$A$1:$F$19,6,FALSE)*E553))</f>
        <v>36960</v>
      </c>
      <c r="I553" s="86">
        <f>IF(F553=0,0,IF(M553="ja",((VLOOKUP(F553,Budget!A:F,6,FALSE)*(E553-(VLOOKUP(F553,Budget!A:F,3,FALSE))))),VLOOKUP($D553,Budget!A:F,5,FALSE)*E553))</f>
        <v>0</v>
      </c>
      <c r="J553" s="86">
        <f t="shared" si="35"/>
        <v>36960</v>
      </c>
      <c r="K553" s="18"/>
      <c r="L553" s="75"/>
      <c r="M553" s="76" t="str">
        <f t="shared" si="36"/>
        <v>nein</v>
      </c>
      <c r="N553">
        <f t="shared" si="37"/>
        <v>2022</v>
      </c>
    </row>
    <row r="554" spans="1:14" ht="15" hidden="1" thickBot="1" x14ac:dyDescent="0.35">
      <c r="A554" s="105">
        <f t="shared" si="34"/>
        <v>26</v>
      </c>
      <c r="B554" s="27">
        <v>44745</v>
      </c>
      <c r="C554" s="19" t="s">
        <v>9</v>
      </c>
      <c r="D554" s="20" t="s">
        <v>69</v>
      </c>
      <c r="E554" s="20">
        <f>IF(VLOOKUP(D554,Budget!A:B,2,FALSE)&lt;&gt;0,IF(G554=0,24,24-G554),0)</f>
        <v>24</v>
      </c>
      <c r="F554" s="20"/>
      <c r="G554" s="20"/>
      <c r="H554" s="93">
        <f>IF(E554=0,0,IF(M554="ja",(VLOOKUP(D554,Budget!A:F,6,FALSE)*(E554-(VLOOKUP(D554,Budget!A:F,3,FALSE)))),VLOOKUP($D554,Budget!$A$1:$F$19,6,FALSE)*E554))</f>
        <v>38269.757143831848</v>
      </c>
      <c r="I554" s="93">
        <f>IF(F554=0,0,IF(M554="ja",((VLOOKUP(F554,Budget!A:F,6,FALSE)*(E554-(VLOOKUP(F554,Budget!A:F,3,FALSE))))),VLOOKUP($D554,Budget!A:F,5,FALSE)*E554))</f>
        <v>0</v>
      </c>
      <c r="J554" s="87">
        <f t="shared" si="35"/>
        <v>38269.757143831848</v>
      </c>
      <c r="K554" s="21"/>
      <c r="L554" s="74"/>
      <c r="M554" s="77" t="str">
        <f t="shared" si="36"/>
        <v>ja</v>
      </c>
      <c r="N554">
        <f t="shared" si="37"/>
        <v>2022</v>
      </c>
    </row>
    <row r="555" spans="1:14" hidden="1" x14ac:dyDescent="0.3">
      <c r="A555" s="104">
        <f t="shared" si="34"/>
        <v>27</v>
      </c>
      <c r="B555" s="22">
        <v>44746</v>
      </c>
      <c r="C555" s="10" t="s">
        <v>3</v>
      </c>
      <c r="D555" s="12" t="s">
        <v>69</v>
      </c>
      <c r="E555" s="13">
        <f>IF(VLOOKUP(D555,Budget!A:B,2,FALSE)&lt;&gt;0,IF(G555=0,24,24-G555),0)</f>
        <v>24</v>
      </c>
      <c r="F555" s="13"/>
      <c r="G555" s="13"/>
      <c r="H555" s="85">
        <f>IF(E555=0,0,IF(M555="ja",(VLOOKUP(D555,Budget!A:F,6,FALSE)*(E555-(VLOOKUP(D555,Budget!A:F,3,FALSE)))),VLOOKUP($D555,Budget!$A$1:$F$19,6,FALSE)*E555))</f>
        <v>42919.35380616656</v>
      </c>
      <c r="I555" s="85">
        <f>IF(F555=0,0,IF(M555="ja",((VLOOKUP(F555,Budget!A:F,6,FALSE)*(E555-(VLOOKUP(F555,Budget!A:F,3,FALSE))))),VLOOKUP($D555,Budget!A:F,5,FALSE)*E555))</f>
        <v>0</v>
      </c>
      <c r="J555" s="85">
        <f t="shared" si="35"/>
        <v>42919.35380616656</v>
      </c>
      <c r="K555" s="15"/>
      <c r="L555" s="72"/>
      <c r="M555" s="80" t="str">
        <f t="shared" si="36"/>
        <v>nein</v>
      </c>
      <c r="N555">
        <f t="shared" si="37"/>
        <v>2022</v>
      </c>
    </row>
    <row r="556" spans="1:14" hidden="1" x14ac:dyDescent="0.3">
      <c r="A556" s="105">
        <f t="shared" si="34"/>
        <v>27</v>
      </c>
      <c r="B556" s="22">
        <v>44747</v>
      </c>
      <c r="C556" s="11" t="s">
        <v>4</v>
      </c>
      <c r="D556" s="12" t="s">
        <v>69</v>
      </c>
      <c r="E556" s="13">
        <f>IF(VLOOKUP(D556,Budget!A:B,2,FALSE)&lt;&gt;0,IF(G556=0,24,24-G556),0)</f>
        <v>10</v>
      </c>
      <c r="F556" s="13" t="s">
        <v>13</v>
      </c>
      <c r="G556" s="13">
        <v>14</v>
      </c>
      <c r="H556" s="85">
        <f>IF(E556=0,0,IF(M556="ja",(VLOOKUP(D556,Budget!A:F,6,FALSE)*(E556-(VLOOKUP(D556,Budget!A:F,3,FALSE)))),VLOOKUP($D556,Budget!$A$1:$F$19,6,FALSE)*E556))</f>
        <v>13233.467423568023</v>
      </c>
      <c r="I556" s="85">
        <f>IF(F556=0,0,IF(M556="ja",((VLOOKUP(F556,Budget!A:F,6,FALSE)*(E556-(VLOOKUP(F556,Budget!A:F,3,FALSE))))),VLOOKUP($D556,Budget!A:F,5,FALSE)*E556))</f>
        <v>0</v>
      </c>
      <c r="J556" s="85">
        <f t="shared" si="35"/>
        <v>13233.467423568023</v>
      </c>
      <c r="K556" s="14"/>
      <c r="L556" s="73" t="s">
        <v>109</v>
      </c>
      <c r="M556" s="80" t="str">
        <f t="shared" si="36"/>
        <v>ja</v>
      </c>
      <c r="N556">
        <f t="shared" si="37"/>
        <v>2022</v>
      </c>
    </row>
    <row r="557" spans="1:14" hidden="1" x14ac:dyDescent="0.3">
      <c r="A557" s="105">
        <f t="shared" si="34"/>
        <v>27</v>
      </c>
      <c r="B557" s="22">
        <v>44748</v>
      </c>
      <c r="C557" s="11" t="s">
        <v>5</v>
      </c>
      <c r="D557" s="12" t="s">
        <v>65</v>
      </c>
      <c r="E557" s="13">
        <v>24</v>
      </c>
      <c r="G557" s="13"/>
      <c r="H557" s="85">
        <f>IF(E557=0,0,IF(M557="ja",(VLOOKUP(D557,Budget!A:F,6,FALSE)*(E557-(VLOOKUP(D557,Budget!A:F,3,FALSE)))),VLOOKUP($D557,Budget!$A$1:$F$19,6,FALSE)*E557))</f>
        <v>22220.983707552332</v>
      </c>
      <c r="I557" s="85">
        <f>IF(F557=0,0,IF(M557="ja",((VLOOKUP(F557,Budget!A:F,6,FALSE)*(E557-(VLOOKUP(F557,Budget!A:F,3,FALSE))))),VLOOKUP($D557,Budget!A:F,5,FALSE)*E557))</f>
        <v>0</v>
      </c>
      <c r="J557" s="85">
        <f t="shared" si="35"/>
        <v>22220.983707552332</v>
      </c>
      <c r="K557" s="14"/>
      <c r="L557" s="73"/>
      <c r="M557" s="80" t="str">
        <f t="shared" si="36"/>
        <v>ja</v>
      </c>
      <c r="N557">
        <f t="shared" si="37"/>
        <v>2022</v>
      </c>
    </row>
    <row r="558" spans="1:14" hidden="1" x14ac:dyDescent="0.3">
      <c r="A558" s="103">
        <f t="shared" si="34"/>
        <v>27</v>
      </c>
      <c r="B558" s="22">
        <v>44749</v>
      </c>
      <c r="C558" s="11" t="s">
        <v>6</v>
      </c>
      <c r="D558" s="12" t="s">
        <v>65</v>
      </c>
      <c r="E558" s="13">
        <f>IF(VLOOKUP(D558,Budget!A:B,2,FALSE)&lt;&gt;0,IF(G558=0,24,24-G558),0)</f>
        <v>24</v>
      </c>
      <c r="G558" s="13"/>
      <c r="H558" s="85">
        <f>IF(E558=0,0,IF(M558="ja",(VLOOKUP(D558,Budget!A:F,6,FALSE)*(E558-(VLOOKUP(D558,Budget!A:F,3,FALSE)))),VLOOKUP($D558,Budget!$A$1:$F$19,6,FALSE)*E558))</f>
        <v>35553.573932083731</v>
      </c>
      <c r="I558" s="85">
        <f>IF(F558=0,0,IF(M558="ja",((VLOOKUP(F558,Budget!A:F,6,FALSE)*(E558-(VLOOKUP(F558,Budget!A:F,3,FALSE))))),VLOOKUP($D558,Budget!A:F,5,FALSE)*E558))</f>
        <v>0</v>
      </c>
      <c r="J558" s="85">
        <f t="shared" si="35"/>
        <v>35553.573932083731</v>
      </c>
      <c r="K558" s="14"/>
      <c r="L558" s="73"/>
      <c r="M558" s="80" t="str">
        <f t="shared" si="36"/>
        <v>nein</v>
      </c>
      <c r="N558">
        <f t="shared" si="37"/>
        <v>2022</v>
      </c>
    </row>
    <row r="559" spans="1:14" hidden="1" x14ac:dyDescent="0.3">
      <c r="A559" s="105">
        <f t="shared" si="34"/>
        <v>27</v>
      </c>
      <c r="B559" s="22">
        <v>44750</v>
      </c>
      <c r="C559" s="11" t="s">
        <v>7</v>
      </c>
      <c r="D559" s="12" t="s">
        <v>66</v>
      </c>
      <c r="E559" s="13">
        <f>IF(VLOOKUP(D559,Budget!A:B,2,FALSE)&lt;&gt;0,IF(G559=0,24,24-G559),0)</f>
        <v>24</v>
      </c>
      <c r="G559" s="13"/>
      <c r="H559" s="85">
        <f>IF(E559=0,0,IF(M559="ja",(VLOOKUP(D559,Budget!A:F,6,FALSE)*(E559-(VLOOKUP(D559,Budget!A:F,3,FALSE)))),VLOOKUP($D559,Budget!$A$1:$F$19,6,FALSE)*E559))</f>
        <v>32328.172065231582</v>
      </c>
      <c r="I559" s="85">
        <f>IF(F559=0,0,IF(M559="ja",((VLOOKUP(F559,Budget!A:F,6,FALSE)*(E559-(VLOOKUP(F559,Budget!A:F,3,FALSE))))),VLOOKUP($D559,Budget!A:F,5,FALSE)*E559))</f>
        <v>0</v>
      </c>
      <c r="J559" s="85">
        <f t="shared" si="35"/>
        <v>32328.172065231582</v>
      </c>
      <c r="K559" s="14"/>
      <c r="L559" s="25"/>
      <c r="M559" s="80" t="str">
        <f t="shared" si="36"/>
        <v>ja</v>
      </c>
      <c r="N559">
        <f t="shared" si="37"/>
        <v>2022</v>
      </c>
    </row>
    <row r="560" spans="1:14" hidden="1" x14ac:dyDescent="0.3">
      <c r="A560" s="105">
        <f t="shared" si="34"/>
        <v>27</v>
      </c>
      <c r="B560" s="22">
        <v>44751</v>
      </c>
      <c r="C560" s="16" t="s">
        <v>8</v>
      </c>
      <c r="D560" s="17" t="s">
        <v>69</v>
      </c>
      <c r="E560" s="24">
        <f>IF(VLOOKUP(D560,Budget!A:B,2,FALSE)&lt;&gt;0,IF(G560=0,24,24-G560),0)</f>
        <v>24</v>
      </c>
      <c r="F560" s="17"/>
      <c r="G560" s="17"/>
      <c r="H560" s="86">
        <f>IF(E560=0,0,IF(M560="ja",(VLOOKUP(D560,Budget!A:F,6,FALSE)*(E560-(VLOOKUP(D560,Budget!A:F,3,FALSE)))),VLOOKUP($D560,Budget!$A$1:$F$19,6,FALSE)*E560))</f>
        <v>38269.757143831848</v>
      </c>
      <c r="I560" s="86">
        <f>IF(F560=0,0,IF(M560="ja",((VLOOKUP(F560,Budget!A:F,6,FALSE)*(E560-(VLOOKUP(F560,Budget!A:F,3,FALSE))))),VLOOKUP($D560,Budget!A:F,5,FALSE)*E560))</f>
        <v>0</v>
      </c>
      <c r="J560" s="86">
        <f t="shared" si="35"/>
        <v>38269.757143831848</v>
      </c>
      <c r="K560" s="18"/>
      <c r="L560" s="75"/>
      <c r="M560" s="76" t="str">
        <f t="shared" si="36"/>
        <v>ja</v>
      </c>
      <c r="N560">
        <f t="shared" si="37"/>
        <v>2022</v>
      </c>
    </row>
    <row r="561" spans="1:14" ht="15" hidden="1" thickBot="1" x14ac:dyDescent="0.35">
      <c r="A561" s="105">
        <f t="shared" si="34"/>
        <v>27</v>
      </c>
      <c r="B561" s="27">
        <v>44752</v>
      </c>
      <c r="C561" s="19" t="s">
        <v>9</v>
      </c>
      <c r="D561" s="20" t="s">
        <v>69</v>
      </c>
      <c r="E561" s="20">
        <f>IF(VLOOKUP(D561,Budget!A:B,2,FALSE)&lt;&gt;0,IF(G561=0,24,24-G561),0)</f>
        <v>24</v>
      </c>
      <c r="F561" s="20"/>
      <c r="G561" s="20"/>
      <c r="H561" s="93">
        <f>IF(E561=0,0,IF(M561="ja",(VLOOKUP(D561,Budget!A:F,6,FALSE)*(E561-(VLOOKUP(D561,Budget!A:F,3,FALSE)))),VLOOKUP($D561,Budget!$A$1:$F$19,6,FALSE)*E561))</f>
        <v>42919.35380616656</v>
      </c>
      <c r="I561" s="93">
        <f>IF(F561=0,0,IF(M561="ja",((VLOOKUP(F561,Budget!A:F,6,FALSE)*(E561-(VLOOKUP(F561,Budget!A:F,3,FALSE))))),VLOOKUP($D561,Budget!A:F,5,FALSE)*E561))</f>
        <v>0</v>
      </c>
      <c r="J561" s="87">
        <f t="shared" si="35"/>
        <v>42919.35380616656</v>
      </c>
      <c r="K561" s="21"/>
      <c r="L561" s="74"/>
      <c r="M561" s="77" t="str">
        <f t="shared" si="36"/>
        <v>nein</v>
      </c>
      <c r="N561">
        <f t="shared" si="37"/>
        <v>2022</v>
      </c>
    </row>
    <row r="562" spans="1:14" hidden="1" x14ac:dyDescent="0.3">
      <c r="A562" s="104">
        <f t="shared" si="34"/>
        <v>28</v>
      </c>
      <c r="B562" s="22">
        <v>44753</v>
      </c>
      <c r="C562" s="10" t="s">
        <v>3</v>
      </c>
      <c r="D562" s="12" t="s">
        <v>66</v>
      </c>
      <c r="E562" s="13">
        <f>IF(VLOOKUP(D562,Budget!A:B,2,FALSE)&lt;&gt;0,IF(G562=0,24,24-G562),0)</f>
        <v>24</v>
      </c>
      <c r="F562" s="13"/>
      <c r="G562" s="13"/>
      <c r="H562" s="85">
        <f>IF(E562=0,0,IF(M562="ja",(VLOOKUP(D562,Budget!A:F,6,FALSE)*(E562-(VLOOKUP(D562,Budget!A:F,3,FALSE)))),VLOOKUP($D562,Budget!$A$1:$F$19,6,FALSE)*E562))</f>
        <v>32328.172065231582</v>
      </c>
      <c r="I562" s="85">
        <f>IF(F562=0,0,IF(M562="ja",((VLOOKUP(F562,Budget!A:F,6,FALSE)*(E562-(VLOOKUP(F562,Budget!A:F,3,FALSE))))),VLOOKUP($D562,Budget!A:F,5,FALSE)*E562))</f>
        <v>0</v>
      </c>
      <c r="J562" s="85">
        <f t="shared" si="35"/>
        <v>32328.172065231582</v>
      </c>
      <c r="K562" s="15"/>
      <c r="L562" s="72"/>
      <c r="M562" s="80" t="str">
        <f t="shared" si="36"/>
        <v>ja</v>
      </c>
      <c r="N562">
        <f t="shared" si="37"/>
        <v>2022</v>
      </c>
    </row>
    <row r="563" spans="1:14" hidden="1" x14ac:dyDescent="0.3">
      <c r="A563" s="105">
        <f t="shared" ref="A563:A626" si="38">_xlfn.ISOWEEKNUM(B563)</f>
        <v>28</v>
      </c>
      <c r="B563" s="22">
        <v>44754</v>
      </c>
      <c r="C563" s="11" t="s">
        <v>4</v>
      </c>
      <c r="D563" s="12" t="s">
        <v>69</v>
      </c>
      <c r="E563" s="13">
        <f>IF(VLOOKUP(D563,Budget!A:B,2,FALSE)&lt;&gt;0,IF(G563=0,24,24-G563),0)</f>
        <v>24</v>
      </c>
      <c r="G563" s="13"/>
      <c r="H563" s="85">
        <f>IF(E563=0,0,IF(M563="ja",(VLOOKUP(D563,Budget!A:F,6,FALSE)*(E563-(VLOOKUP(D563,Budget!A:F,3,FALSE)))),VLOOKUP($D563,Budget!$A$1:$F$19,6,FALSE)*E563))</f>
        <v>38269.757143831848</v>
      </c>
      <c r="I563" s="85">
        <f>IF(F563=0,0,IF(M563="ja",((VLOOKUP(F563,Budget!A:F,6,FALSE)*(E563-(VLOOKUP(F563,Budget!A:F,3,FALSE))))),VLOOKUP($D563,Budget!A:F,5,FALSE)*E563))</f>
        <v>0</v>
      </c>
      <c r="J563" s="85">
        <f t="shared" ref="J563:J626" si="39">H563+I563</f>
        <v>38269.757143831848</v>
      </c>
      <c r="K563" s="14"/>
      <c r="L563" s="73" t="s">
        <v>112</v>
      </c>
      <c r="M563" s="80" t="str">
        <f t="shared" ref="M563:M626" si="40">IF(E563=0,"nein",IF(OR(E563&lt;&gt;24,F562&lt;&gt;0,D563&lt;&gt;D562),"ja","nein"))</f>
        <v>ja</v>
      </c>
      <c r="N563">
        <f t="shared" si="37"/>
        <v>2022</v>
      </c>
    </row>
    <row r="564" spans="1:14" hidden="1" x14ac:dyDescent="0.3">
      <c r="A564" s="105">
        <f t="shared" si="38"/>
        <v>28</v>
      </c>
      <c r="B564" s="22">
        <v>44755</v>
      </c>
      <c r="C564" s="11" t="s">
        <v>5</v>
      </c>
      <c r="D564" s="12" t="s">
        <v>11</v>
      </c>
      <c r="E564" s="13">
        <f>IF(VLOOKUP(D564,Budget!A:B,2,FALSE)&lt;&gt;0,IF(G564=0,24,24-G564),0)</f>
        <v>24</v>
      </c>
      <c r="G564" s="13"/>
      <c r="H564" s="85">
        <f>IF(E564=0,0,IF(M564="ja",(VLOOKUP(D564,Budget!A:F,6,FALSE)*(E564-(VLOOKUP(D564,Budget!A:F,3,FALSE)))),VLOOKUP($D564,Budget!$A$1:$F$19,6,FALSE)*E564))</f>
        <v>30030</v>
      </c>
      <c r="I564" s="85">
        <f>IF(F564=0,0,IF(M564="ja",((VLOOKUP(F564,Budget!A:F,6,FALSE)*(E564-(VLOOKUP(F564,Budget!A:F,3,FALSE))))),VLOOKUP($D564,Budget!A:F,5,FALSE)*E564))</f>
        <v>0</v>
      </c>
      <c r="J564" s="85">
        <f t="shared" si="39"/>
        <v>30030</v>
      </c>
      <c r="K564" s="14"/>
      <c r="L564" s="73"/>
      <c r="M564" s="80" t="str">
        <f t="shared" si="40"/>
        <v>ja</v>
      </c>
      <c r="N564">
        <f t="shared" si="37"/>
        <v>2022</v>
      </c>
    </row>
    <row r="565" spans="1:14" hidden="1" x14ac:dyDescent="0.3">
      <c r="A565" s="103">
        <f t="shared" si="38"/>
        <v>28</v>
      </c>
      <c r="B565" s="22">
        <v>44756</v>
      </c>
      <c r="C565" s="11" t="s">
        <v>6</v>
      </c>
      <c r="D565" s="12" t="s">
        <v>11</v>
      </c>
      <c r="E565" s="13">
        <f>IF(VLOOKUP(D565,Budget!A:B,2,FALSE)&lt;&gt;0,IF(G565=0,24,24-G565),0)</f>
        <v>24</v>
      </c>
      <c r="G565" s="13"/>
      <c r="H565" s="85">
        <f>IF(E565=0,0,IF(M565="ja",(VLOOKUP(D565,Budget!A:F,6,FALSE)*(E565-(VLOOKUP(D565,Budget!A:F,3,FALSE)))),VLOOKUP($D565,Budget!$A$1:$F$19,6,FALSE)*E565))</f>
        <v>36960</v>
      </c>
      <c r="I565" s="85">
        <f>IF(F565=0,0,IF(M565="ja",((VLOOKUP(F565,Budget!A:F,6,FALSE)*(E565-(VLOOKUP(F565,Budget!A:F,3,FALSE))))),VLOOKUP($D565,Budget!A:F,5,FALSE)*E565))</f>
        <v>0</v>
      </c>
      <c r="J565" s="85">
        <f t="shared" si="39"/>
        <v>36960</v>
      </c>
      <c r="K565" s="14"/>
      <c r="L565" s="73"/>
      <c r="M565" s="80" t="str">
        <f t="shared" si="40"/>
        <v>nein</v>
      </c>
      <c r="N565">
        <f t="shared" si="37"/>
        <v>2022</v>
      </c>
    </row>
    <row r="566" spans="1:14" hidden="1" x14ac:dyDescent="0.3">
      <c r="A566" s="105">
        <f t="shared" si="38"/>
        <v>28</v>
      </c>
      <c r="B566" s="22">
        <v>44757</v>
      </c>
      <c r="C566" s="11" t="s">
        <v>7</v>
      </c>
      <c r="D566" s="12" t="s">
        <v>11</v>
      </c>
      <c r="E566" s="13">
        <f>IF(VLOOKUP(D566,Budget!A:B,2,FALSE)&lt;&gt;0,IF(G566=0,24,24-G566),0)</f>
        <v>18</v>
      </c>
      <c r="F566" s="12" t="s">
        <v>10</v>
      </c>
      <c r="G566" s="13">
        <v>6</v>
      </c>
      <c r="H566" s="85">
        <f>IF(E566=0,0,IF(M566="ja",(VLOOKUP(D566,Budget!A:F,6,FALSE)*(E566-(VLOOKUP(D566,Budget!A:F,3,FALSE)))),VLOOKUP($D566,Budget!$A$1:$F$19,6,FALSE)*E566))</f>
        <v>20790</v>
      </c>
      <c r="I566" s="85">
        <f>IF(F566=0,0,IF(M566="ja",((VLOOKUP(F566,Budget!A:F,6,FALSE)*(E566-(VLOOKUP(F566,Budget!A:F,3,FALSE))))),VLOOKUP($D566,Budget!A:F,5,FALSE)*E566))</f>
        <v>6890.6568500722005</v>
      </c>
      <c r="J566" s="85">
        <f t="shared" si="39"/>
        <v>27680.656850072199</v>
      </c>
      <c r="K566" s="14"/>
      <c r="L566" s="25"/>
      <c r="M566" s="80" t="str">
        <f t="shared" si="40"/>
        <v>ja</v>
      </c>
      <c r="N566">
        <f t="shared" si="37"/>
        <v>2022</v>
      </c>
    </row>
    <row r="567" spans="1:14" hidden="1" x14ac:dyDescent="0.3">
      <c r="A567" s="105">
        <f t="shared" si="38"/>
        <v>28</v>
      </c>
      <c r="B567" s="22">
        <v>44758</v>
      </c>
      <c r="C567" s="16" t="s">
        <v>8</v>
      </c>
      <c r="D567" s="17" t="s">
        <v>10</v>
      </c>
      <c r="E567" s="24">
        <f>IF(VLOOKUP(D567,Budget!A:B,2,FALSE)&lt;&gt;0,IF(G567=0,24,24-G567),0)</f>
        <v>24</v>
      </c>
      <c r="F567" s="17"/>
      <c r="G567" s="17"/>
      <c r="H567" s="86">
        <f>IF(E567=0,0,IF(M567="ja",(VLOOKUP(D567,Budget!A:F,6,FALSE)*(E567-(VLOOKUP(D567,Budget!A:F,3,FALSE)))),VLOOKUP($D567,Budget!$A$1:$F$19,6,FALSE)*E567))</f>
        <v>9843.7955001031441</v>
      </c>
      <c r="I567" s="86">
        <f>IF(F567=0,0,IF(M567="ja",((VLOOKUP(F567,Budget!A:F,6,FALSE)*(E567-(VLOOKUP(F567,Budget!A:F,3,FALSE))))),VLOOKUP($D567,Budget!A:F,5,FALSE)*E567))</f>
        <v>0</v>
      </c>
      <c r="J567" s="86">
        <f t="shared" si="39"/>
        <v>9843.7955001031441</v>
      </c>
      <c r="K567" s="18"/>
      <c r="L567" s="75"/>
      <c r="M567" s="76" t="str">
        <f t="shared" si="40"/>
        <v>ja</v>
      </c>
      <c r="N567">
        <f t="shared" si="37"/>
        <v>2022</v>
      </c>
    </row>
    <row r="568" spans="1:14" ht="15" hidden="1" thickBot="1" x14ac:dyDescent="0.35">
      <c r="A568" s="105">
        <f t="shared" si="38"/>
        <v>28</v>
      </c>
      <c r="B568" s="27">
        <v>44759</v>
      </c>
      <c r="C568" s="19" t="s">
        <v>9</v>
      </c>
      <c r="D568" s="20" t="s">
        <v>10</v>
      </c>
      <c r="E568" s="20">
        <v>12</v>
      </c>
      <c r="F568" s="20" t="s">
        <v>29</v>
      </c>
      <c r="G568" s="20">
        <v>12</v>
      </c>
      <c r="H568" s="93">
        <f>IF(E568=0,0,IF(M568="ja",(VLOOKUP(D568,Budget!A:F,6,FALSE)*(E568-(VLOOKUP(D568,Budget!A:F,3,FALSE)))),VLOOKUP($D568,Budget!$A$1:$F$19,6,FALSE)*E568))</f>
        <v>3937.5182000412574</v>
      </c>
      <c r="I568" s="93">
        <f>IF(F568=0,0,IF(M568="ja",((VLOOKUP(F568,Budget!A:F,6,FALSE)*(E568-(VLOOKUP(F568,Budget!A:F,3,FALSE))))),VLOOKUP($D568,Budget!A:F,5,FALSE)*E568))</f>
        <v>0</v>
      </c>
      <c r="J568" s="87">
        <f t="shared" si="39"/>
        <v>3937.5182000412574</v>
      </c>
      <c r="K568" s="21"/>
      <c r="L568" s="74"/>
      <c r="M568" s="77" t="str">
        <f t="shared" si="40"/>
        <v>ja</v>
      </c>
      <c r="N568">
        <f t="shared" si="37"/>
        <v>2022</v>
      </c>
    </row>
    <row r="569" spans="1:14" hidden="1" x14ac:dyDescent="0.3">
      <c r="A569" s="104">
        <f t="shared" si="38"/>
        <v>29</v>
      </c>
      <c r="B569" s="22">
        <v>44760</v>
      </c>
      <c r="C569" s="10" t="s">
        <v>3</v>
      </c>
      <c r="D569" s="12" t="s">
        <v>29</v>
      </c>
      <c r="E569" s="13">
        <f>IF(VLOOKUP(D569,Budget!A:B,2,FALSE)&lt;&gt;0,IF(G569=0,24,24-G569),0)</f>
        <v>0</v>
      </c>
      <c r="F569" s="13"/>
      <c r="G569" s="13"/>
      <c r="H569" s="85">
        <f>IF(E569=0,0,IF(M569="ja",(VLOOKUP(D569,Budget!A:F,6,FALSE)*(E569-(VLOOKUP(D569,Budget!A:F,3,FALSE)))),VLOOKUP($D569,Budget!$A$1:$F$19,6,FALSE)*E569))</f>
        <v>0</v>
      </c>
      <c r="I569" s="85">
        <f>IF(F569=0,0,IF(M569="ja",((VLOOKUP(F569,Budget!A:F,6,FALSE)*(E569-(VLOOKUP(F569,Budget!A:F,3,FALSE))))),VLOOKUP($D569,Budget!A:F,5,FALSE)*E569))</f>
        <v>0</v>
      </c>
      <c r="J569" s="85">
        <f t="shared" si="39"/>
        <v>0</v>
      </c>
      <c r="K569" s="15"/>
      <c r="L569" s="72"/>
      <c r="M569" s="80" t="str">
        <f t="shared" si="40"/>
        <v>nein</v>
      </c>
      <c r="N569">
        <f t="shared" si="37"/>
        <v>2022</v>
      </c>
    </row>
    <row r="570" spans="1:14" hidden="1" x14ac:dyDescent="0.3">
      <c r="A570" s="105">
        <f t="shared" si="38"/>
        <v>29</v>
      </c>
      <c r="B570" s="22">
        <v>44761</v>
      </c>
      <c r="C570" s="11" t="s">
        <v>4</v>
      </c>
      <c r="D570" s="12" t="s">
        <v>29</v>
      </c>
      <c r="E570" s="13">
        <f>IF(VLOOKUP(D570,Budget!A:B,2,FALSE)&lt;&gt;0,IF(G570=0,24,24-G570),0)</f>
        <v>0</v>
      </c>
      <c r="G570" s="13"/>
      <c r="H570" s="85">
        <f>IF(E570=0,0,IF(M570="ja",(VLOOKUP(D570,Budget!A:F,6,FALSE)*(E570-(VLOOKUP(D570,Budget!A:F,3,FALSE)))),VLOOKUP($D570,Budget!$A$1:$F$19,6,FALSE)*E570))</f>
        <v>0</v>
      </c>
      <c r="I570" s="85">
        <f>IF(F570=0,0,IF(M570="ja",((VLOOKUP(F570,Budget!A:F,6,FALSE)*(E570-(VLOOKUP(F570,Budget!A:F,3,FALSE))))),VLOOKUP($D570,Budget!A:F,5,FALSE)*E570))</f>
        <v>0</v>
      </c>
      <c r="J570" s="85">
        <f t="shared" si="39"/>
        <v>0</v>
      </c>
      <c r="K570" s="14"/>
      <c r="L570" s="73"/>
      <c r="M570" s="80" t="str">
        <f t="shared" si="40"/>
        <v>nein</v>
      </c>
      <c r="N570">
        <f t="shared" si="37"/>
        <v>2022</v>
      </c>
    </row>
    <row r="571" spans="1:14" hidden="1" x14ac:dyDescent="0.3">
      <c r="A571" s="105">
        <f t="shared" si="38"/>
        <v>29</v>
      </c>
      <c r="B571" s="22">
        <v>44762</v>
      </c>
      <c r="C571" s="11" t="s">
        <v>5</v>
      </c>
      <c r="D571" s="12" t="s">
        <v>29</v>
      </c>
      <c r="E571" s="13">
        <f>IF(VLOOKUP(D571,Budget!A:B,2,FALSE)&lt;&gt;0,IF(G571=0,24,24-G571),0)</f>
        <v>0</v>
      </c>
      <c r="G571" s="13"/>
      <c r="H571" s="85">
        <f>IF(E571=0,0,IF(M571="ja",(VLOOKUP(D571,Budget!A:F,6,FALSE)*(E571-(VLOOKUP(D571,Budget!A:F,3,FALSE)))),VLOOKUP($D571,Budget!$A$1:$F$19,6,FALSE)*E571))</f>
        <v>0</v>
      </c>
      <c r="I571" s="85">
        <f>IF(F571=0,0,IF(M571="ja",((VLOOKUP(F571,Budget!A:F,6,FALSE)*(E571-(VLOOKUP(F571,Budget!A:F,3,FALSE))))),VLOOKUP($D571,Budget!A:F,5,FALSE)*E571))</f>
        <v>0</v>
      </c>
      <c r="J571" s="85">
        <f t="shared" si="39"/>
        <v>0</v>
      </c>
      <c r="K571" s="14"/>
      <c r="L571" s="73"/>
      <c r="M571" s="80" t="str">
        <f t="shared" si="40"/>
        <v>nein</v>
      </c>
      <c r="N571">
        <f t="shared" si="37"/>
        <v>2022</v>
      </c>
    </row>
    <row r="572" spans="1:14" hidden="1" x14ac:dyDescent="0.3">
      <c r="A572" s="103">
        <f t="shared" si="38"/>
        <v>29</v>
      </c>
      <c r="B572" s="22">
        <v>44763</v>
      </c>
      <c r="C572" s="11" t="s">
        <v>6</v>
      </c>
      <c r="D572" s="12" t="s">
        <v>29</v>
      </c>
      <c r="E572" s="13">
        <f>IF(VLOOKUP(D572,Budget!A:B,2,FALSE)&lt;&gt;0,IF(G572=0,24,24-G572),0)</f>
        <v>0</v>
      </c>
      <c r="G572" s="13"/>
      <c r="H572" s="85">
        <f>IF(E572=0,0,IF(M572="ja",(VLOOKUP(D572,Budget!A:F,6,FALSE)*(E572-(VLOOKUP(D572,Budget!A:F,3,FALSE)))),VLOOKUP($D572,Budget!$A$1:$F$19,6,FALSE)*E572))</f>
        <v>0</v>
      </c>
      <c r="I572" s="85">
        <f>IF(F572=0,0,IF(M572="ja",((VLOOKUP(F572,Budget!A:F,6,FALSE)*(E572-(VLOOKUP(F572,Budget!A:F,3,FALSE))))),VLOOKUP($D572,Budget!A:F,5,FALSE)*E572))</f>
        <v>0</v>
      </c>
      <c r="J572" s="85">
        <f t="shared" si="39"/>
        <v>0</v>
      </c>
      <c r="K572" s="14"/>
      <c r="L572" s="73"/>
      <c r="M572" s="80" t="str">
        <f t="shared" si="40"/>
        <v>nein</v>
      </c>
      <c r="N572">
        <f t="shared" si="37"/>
        <v>2022</v>
      </c>
    </row>
    <row r="573" spans="1:14" hidden="1" x14ac:dyDescent="0.3">
      <c r="A573" s="105">
        <f t="shared" si="38"/>
        <v>29</v>
      </c>
      <c r="B573" s="22">
        <v>44764</v>
      </c>
      <c r="C573" s="11" t="s">
        <v>7</v>
      </c>
      <c r="D573" s="12" t="s">
        <v>29</v>
      </c>
      <c r="E573" s="13">
        <f>IF(VLOOKUP(D573,Budget!A:B,2,FALSE)&lt;&gt;0,IF(G573=0,24,24-G573),0)</f>
        <v>0</v>
      </c>
      <c r="G573" s="13"/>
      <c r="H573" s="85">
        <f>IF(E573=0,0,IF(M573="ja",(VLOOKUP(D573,Budget!A:F,6,FALSE)*(E573-(VLOOKUP(D573,Budget!A:F,3,FALSE)))),VLOOKUP($D573,Budget!$A$1:$F$19,6,FALSE)*E573))</f>
        <v>0</v>
      </c>
      <c r="I573" s="85">
        <f>IF(F573=0,0,IF(M573="ja",((VLOOKUP(F573,Budget!A:F,6,FALSE)*(E573-(VLOOKUP(F573,Budget!A:F,3,FALSE))))),VLOOKUP($D573,Budget!A:F,5,FALSE)*E573))</f>
        <v>0</v>
      </c>
      <c r="J573" s="85">
        <f t="shared" si="39"/>
        <v>0</v>
      </c>
      <c r="K573" s="14"/>
      <c r="L573" s="25"/>
      <c r="M573" s="80" t="str">
        <f t="shared" si="40"/>
        <v>nein</v>
      </c>
      <c r="N573">
        <f t="shared" si="37"/>
        <v>2022</v>
      </c>
    </row>
    <row r="574" spans="1:14" hidden="1" x14ac:dyDescent="0.3">
      <c r="A574" s="105">
        <f t="shared" si="38"/>
        <v>29</v>
      </c>
      <c r="B574" s="22">
        <v>44765</v>
      </c>
      <c r="C574" s="16" t="s">
        <v>8</v>
      </c>
      <c r="D574" s="17" t="s">
        <v>29</v>
      </c>
      <c r="E574" s="24">
        <f>IF(VLOOKUP(D574,Budget!A:B,2,FALSE)&lt;&gt;0,IF(G574=0,24,24-G574),0)</f>
        <v>0</v>
      </c>
      <c r="F574" s="17"/>
      <c r="G574" s="17"/>
      <c r="H574" s="86">
        <f>IF(E574=0,0,IF(M574="ja",(VLOOKUP(D574,Budget!A:F,6,FALSE)*(E574-(VLOOKUP(D574,Budget!A:F,3,FALSE)))),VLOOKUP($D574,Budget!$A$1:$F$19,6,FALSE)*E574))</f>
        <v>0</v>
      </c>
      <c r="I574" s="86">
        <f>IF(F574=0,0,IF(M574="ja",((VLOOKUP(F574,Budget!A:F,6,FALSE)*(E574-(VLOOKUP(F574,Budget!A:F,3,FALSE))))),VLOOKUP($D574,Budget!A:F,5,FALSE)*E574))</f>
        <v>0</v>
      </c>
      <c r="J574" s="86">
        <f t="shared" si="39"/>
        <v>0</v>
      </c>
      <c r="K574" s="18"/>
      <c r="L574" s="75"/>
      <c r="M574" s="76" t="str">
        <f t="shared" si="40"/>
        <v>nein</v>
      </c>
      <c r="N574">
        <f t="shared" si="37"/>
        <v>2022</v>
      </c>
    </row>
    <row r="575" spans="1:14" ht="15" hidden="1" thickBot="1" x14ac:dyDescent="0.35">
      <c r="A575" s="105">
        <f t="shared" si="38"/>
        <v>29</v>
      </c>
      <c r="B575" s="27">
        <v>44766</v>
      </c>
      <c r="C575" s="19" t="s">
        <v>9</v>
      </c>
      <c r="D575" s="20" t="s">
        <v>29</v>
      </c>
      <c r="E575" s="20">
        <f>IF(VLOOKUP(D575,Budget!A:B,2,FALSE)&lt;&gt;0,IF(G575=0,24,24-G575),0)</f>
        <v>0</v>
      </c>
      <c r="F575" s="20"/>
      <c r="G575" s="20"/>
      <c r="H575" s="93">
        <f>IF(E575=0,0,IF(M575="ja",(VLOOKUP(D575,Budget!A:F,6,FALSE)*(E575-(VLOOKUP(D575,Budget!A:F,3,FALSE)))),VLOOKUP($D575,Budget!$A$1:$F$19,6,FALSE)*E575))</f>
        <v>0</v>
      </c>
      <c r="I575" s="93">
        <f>IF(F575=0,0,IF(M575="ja",((VLOOKUP(F575,Budget!A:F,6,FALSE)*(E575-(VLOOKUP(F575,Budget!A:F,3,FALSE))))),VLOOKUP($D575,Budget!A:F,5,FALSE)*E575))</f>
        <v>0</v>
      </c>
      <c r="J575" s="87">
        <f t="shared" si="39"/>
        <v>0</v>
      </c>
      <c r="K575" s="21"/>
      <c r="L575" s="74"/>
      <c r="M575" s="77" t="str">
        <f t="shared" si="40"/>
        <v>nein</v>
      </c>
      <c r="N575">
        <f t="shared" si="37"/>
        <v>2022</v>
      </c>
    </row>
    <row r="576" spans="1:14" hidden="1" x14ac:dyDescent="0.3">
      <c r="A576" s="104">
        <f t="shared" si="38"/>
        <v>30</v>
      </c>
      <c r="B576" s="22">
        <v>44767</v>
      </c>
      <c r="C576" s="10" t="s">
        <v>3</v>
      </c>
      <c r="D576" s="12" t="s">
        <v>30</v>
      </c>
      <c r="E576" s="13">
        <f>IF(VLOOKUP(D576,Budget!A:B,2,FALSE)&lt;&gt;0,IF(G576=0,24,24-G576),0)</f>
        <v>0</v>
      </c>
      <c r="F576" s="13"/>
      <c r="G576" s="13"/>
      <c r="H576" s="85">
        <f>IF(E576=0,0,IF(M576="ja",(VLOOKUP(D576,Budget!A:F,6,FALSE)*(E576-(VLOOKUP(D576,Budget!A:F,3,FALSE)))),VLOOKUP($D576,Budget!$A$1:$F$19,6,FALSE)*E576))</f>
        <v>0</v>
      </c>
      <c r="I576" s="85">
        <f>IF(F576=0,0,IF(M576="ja",((VLOOKUP(F576,Budget!A:F,6,FALSE)*(E576-(VLOOKUP(F576,Budget!A:F,3,FALSE))))),VLOOKUP($D576,Budget!A:F,5,FALSE)*E576))</f>
        <v>0</v>
      </c>
      <c r="J576" s="85">
        <f t="shared" si="39"/>
        <v>0</v>
      </c>
      <c r="K576" s="15"/>
      <c r="L576" s="72"/>
      <c r="M576" s="80" t="str">
        <f t="shared" si="40"/>
        <v>nein</v>
      </c>
      <c r="N576">
        <f t="shared" si="37"/>
        <v>2022</v>
      </c>
    </row>
    <row r="577" spans="1:14" hidden="1" x14ac:dyDescent="0.3">
      <c r="A577" s="105">
        <f t="shared" si="38"/>
        <v>30</v>
      </c>
      <c r="B577" s="22">
        <v>44768</v>
      </c>
      <c r="C577" s="11" t="s">
        <v>4</v>
      </c>
      <c r="D577" s="12" t="s">
        <v>30</v>
      </c>
      <c r="E577" s="13">
        <f>IF(VLOOKUP(D577,Budget!A:B,2,FALSE)&lt;&gt;0,IF(G577=0,24,24-G577),0)</f>
        <v>0</v>
      </c>
      <c r="G577" s="13"/>
      <c r="H577" s="85">
        <f>IF(E577=0,0,IF(M577="ja",(VLOOKUP(D577,Budget!A:F,6,FALSE)*(E577-(VLOOKUP(D577,Budget!A:F,3,FALSE)))),VLOOKUP($D577,Budget!$A$1:$F$19,6,FALSE)*E577))</f>
        <v>0</v>
      </c>
      <c r="I577" s="85">
        <f>IF(F577=0,0,IF(M577="ja",((VLOOKUP(F577,Budget!A:F,6,FALSE)*(E577-(VLOOKUP(F577,Budget!A:F,3,FALSE))))),VLOOKUP($D577,Budget!A:F,5,FALSE)*E577))</f>
        <v>0</v>
      </c>
      <c r="J577" s="85">
        <f t="shared" si="39"/>
        <v>0</v>
      </c>
      <c r="K577" s="14"/>
      <c r="L577" s="73"/>
      <c r="M577" s="80" t="str">
        <f t="shared" si="40"/>
        <v>nein</v>
      </c>
      <c r="N577">
        <f t="shared" si="37"/>
        <v>2022</v>
      </c>
    </row>
    <row r="578" spans="1:14" hidden="1" x14ac:dyDescent="0.3">
      <c r="A578" s="105">
        <f t="shared" si="38"/>
        <v>30</v>
      </c>
      <c r="B578" s="22">
        <v>44769</v>
      </c>
      <c r="C578" s="11" t="s">
        <v>5</v>
      </c>
      <c r="D578" s="12" t="s">
        <v>69</v>
      </c>
      <c r="E578" s="13">
        <f>IF(VLOOKUP(D578,Budget!A:B,2,FALSE)&lt;&gt;0,IF(G578=0,24,24-G578),0)</f>
        <v>24</v>
      </c>
      <c r="G578" s="13"/>
      <c r="H578" s="85">
        <f>IF(E578=0,0,IF(M578="ja",(VLOOKUP(D578,Budget!A:F,6,FALSE)*(E578-(VLOOKUP(D578,Budget!A:F,3,FALSE)))),VLOOKUP($D578,Budget!$A$1:$F$19,6,FALSE)*E578))</f>
        <v>38269.757143831848</v>
      </c>
      <c r="I578" s="85">
        <f>IF(F578=0,0,IF(M578="ja",((VLOOKUP(F578,Budget!A:F,6,FALSE)*(E578-(VLOOKUP(F578,Budget!A:F,3,FALSE))))),VLOOKUP($D578,Budget!A:F,5,FALSE)*E578))</f>
        <v>0</v>
      </c>
      <c r="J578" s="85">
        <f t="shared" si="39"/>
        <v>38269.757143831848</v>
      </c>
      <c r="K578" s="14"/>
      <c r="L578" s="73"/>
      <c r="M578" s="80" t="str">
        <f t="shared" si="40"/>
        <v>ja</v>
      </c>
      <c r="N578">
        <f t="shared" si="37"/>
        <v>2022</v>
      </c>
    </row>
    <row r="579" spans="1:14" hidden="1" x14ac:dyDescent="0.3">
      <c r="A579" s="103">
        <f t="shared" si="38"/>
        <v>30</v>
      </c>
      <c r="B579" s="22">
        <v>44770</v>
      </c>
      <c r="C579" s="11" t="s">
        <v>6</v>
      </c>
      <c r="D579" s="12" t="s">
        <v>69</v>
      </c>
      <c r="E579" s="13">
        <f>IF(VLOOKUP(D579,Budget!A:B,2,FALSE)&lt;&gt;0,IF(G579=0,24,24-G579),0)</f>
        <v>24</v>
      </c>
      <c r="G579" s="13"/>
      <c r="H579" s="85">
        <f>IF(E579=0,0,IF(M579="ja",(VLOOKUP(D579,Budget!A:F,6,FALSE)*(E579-(VLOOKUP(D579,Budget!A:F,3,FALSE)))),VLOOKUP($D579,Budget!$A$1:$F$19,6,FALSE)*E579))</f>
        <v>42919.35380616656</v>
      </c>
      <c r="I579" s="85">
        <f>IF(F579=0,0,IF(M579="ja",((VLOOKUP(F579,Budget!A:F,6,FALSE)*(E579-(VLOOKUP(F579,Budget!A:F,3,FALSE))))),VLOOKUP($D579,Budget!A:F,5,FALSE)*E579))</f>
        <v>0</v>
      </c>
      <c r="J579" s="85">
        <f t="shared" si="39"/>
        <v>42919.35380616656</v>
      </c>
      <c r="K579" s="14"/>
      <c r="L579" s="73"/>
      <c r="M579" s="80" t="str">
        <f t="shared" si="40"/>
        <v>nein</v>
      </c>
      <c r="N579">
        <f t="shared" ref="N579:N642" si="41">YEAR(B579)</f>
        <v>2022</v>
      </c>
    </row>
    <row r="580" spans="1:14" hidden="1" x14ac:dyDescent="0.3">
      <c r="A580" s="105">
        <f t="shared" si="38"/>
        <v>30</v>
      </c>
      <c r="B580" s="22">
        <v>44771</v>
      </c>
      <c r="C580" s="11" t="s">
        <v>7</v>
      </c>
      <c r="D580" s="12" t="s">
        <v>12</v>
      </c>
      <c r="E580" s="13">
        <f>IF(VLOOKUP(D580,Budget!A:B,2,FALSE)&lt;&gt;0,IF(G580=0,24,24-G580),0)</f>
        <v>24</v>
      </c>
      <c r="G580" s="13"/>
      <c r="H580" s="85">
        <f>IF(E580=0,0,IF(M580="ja",(VLOOKUP(D580,Budget!A:F,6,FALSE)*(E580-(VLOOKUP(D580,Budget!A:F,3,FALSE)))),VLOOKUP($D580,Budget!$A$1:$F$19,6,FALSE)*E580))</f>
        <v>27720</v>
      </c>
      <c r="I580" s="85">
        <f>IF(F580=0,0,IF(M580="ja",((VLOOKUP(F580,Budget!A:F,6,FALSE)*(E580-(VLOOKUP(F580,Budget!A:F,3,FALSE))))),VLOOKUP($D580,Budget!A:F,5,FALSE)*E580))</f>
        <v>0</v>
      </c>
      <c r="J580" s="85">
        <f t="shared" si="39"/>
        <v>27720</v>
      </c>
      <c r="K580" s="14"/>
      <c r="L580" s="25"/>
      <c r="M580" s="80" t="str">
        <f t="shared" si="40"/>
        <v>ja</v>
      </c>
      <c r="N580">
        <f t="shared" si="41"/>
        <v>2022</v>
      </c>
    </row>
    <row r="581" spans="1:14" hidden="1" x14ac:dyDescent="0.3">
      <c r="A581" s="105">
        <f t="shared" si="38"/>
        <v>30</v>
      </c>
      <c r="B581" s="22">
        <v>44772</v>
      </c>
      <c r="C581" s="16" t="s">
        <v>8</v>
      </c>
      <c r="D581" s="17" t="s">
        <v>12</v>
      </c>
      <c r="E581" s="24">
        <f>IF(VLOOKUP(D581,Budget!A:B,2,FALSE)&lt;&gt;0,IF(G581=0,24,24-G581),0)</f>
        <v>24</v>
      </c>
      <c r="F581" s="17"/>
      <c r="G581" s="17"/>
      <c r="H581" s="86">
        <f>IF(E581=0,0,IF(M581="ja",(VLOOKUP(D581,Budget!A:F,6,FALSE)*(E581-(VLOOKUP(D581,Budget!A:F,3,FALSE)))),VLOOKUP($D581,Budget!$A$1:$F$19,6,FALSE)*E581))</f>
        <v>36960</v>
      </c>
      <c r="I581" s="86">
        <f>IF(F581=0,0,IF(M581="ja",((VLOOKUP(F581,Budget!A:F,6,FALSE)*(E581-(VLOOKUP(F581,Budget!A:F,3,FALSE))))),VLOOKUP($D581,Budget!A:F,5,FALSE)*E581))</f>
        <v>0</v>
      </c>
      <c r="J581" s="86">
        <f t="shared" si="39"/>
        <v>36960</v>
      </c>
      <c r="K581" s="18"/>
      <c r="L581" s="75"/>
      <c r="M581" s="76" t="str">
        <f t="shared" si="40"/>
        <v>nein</v>
      </c>
      <c r="N581">
        <f t="shared" si="41"/>
        <v>2022</v>
      </c>
    </row>
    <row r="582" spans="1:14" ht="15" hidden="1" thickBot="1" x14ac:dyDescent="0.35">
      <c r="A582" s="105">
        <f t="shared" si="38"/>
        <v>30</v>
      </c>
      <c r="B582" s="27">
        <v>44773</v>
      </c>
      <c r="C582" s="19" t="s">
        <v>9</v>
      </c>
      <c r="D582" s="20" t="s">
        <v>12</v>
      </c>
      <c r="E582" s="20">
        <f>IF(VLOOKUP(D582,Budget!A:B,2,FALSE)&lt;&gt;0,IF(G582=0,24,24-G582),0)</f>
        <v>24</v>
      </c>
      <c r="F582" s="20"/>
      <c r="G582" s="20"/>
      <c r="H582" s="93">
        <f>IF(E582=0,0,IF(M582="ja",(VLOOKUP(D582,Budget!A:F,6,FALSE)*(E582-(VLOOKUP(D582,Budget!A:F,3,FALSE)))),VLOOKUP($D582,Budget!$A$1:$F$19,6,FALSE)*E582))</f>
        <v>36960</v>
      </c>
      <c r="I582" s="93">
        <f>IF(F582=0,0,IF(M582="ja",((VLOOKUP(F582,Budget!A:F,6,FALSE)*(E582-(VLOOKUP(F582,Budget!A:F,3,FALSE))))),VLOOKUP($D582,Budget!A:F,5,FALSE)*E582))</f>
        <v>0</v>
      </c>
      <c r="J582" s="87">
        <f t="shared" si="39"/>
        <v>36960</v>
      </c>
      <c r="K582" s="21"/>
      <c r="L582" s="74"/>
      <c r="M582" s="77" t="str">
        <f t="shared" si="40"/>
        <v>nein</v>
      </c>
      <c r="N582">
        <f t="shared" si="41"/>
        <v>2022</v>
      </c>
    </row>
    <row r="583" spans="1:14" hidden="1" x14ac:dyDescent="0.3">
      <c r="A583" s="104">
        <f t="shared" si="38"/>
        <v>31</v>
      </c>
      <c r="B583" s="22">
        <v>44774</v>
      </c>
      <c r="C583" s="10" t="s">
        <v>3</v>
      </c>
      <c r="D583" s="12" t="s">
        <v>11</v>
      </c>
      <c r="E583" s="13">
        <f>IF(VLOOKUP(D583,Budget!A:B,2,FALSE)&lt;&gt;0,IF(G583=0,24,24-G583),0)</f>
        <v>24</v>
      </c>
      <c r="F583" s="13"/>
      <c r="G583" s="13"/>
      <c r="H583" s="85">
        <f>IF(E583=0,0,IF(M583="ja",(VLOOKUP(D583,Budget!A:F,6,FALSE)*(E583-(VLOOKUP(D583,Budget!A:F,3,FALSE)))),VLOOKUP($D583,Budget!$A$1:$F$19,6,FALSE)*E583))</f>
        <v>30030</v>
      </c>
      <c r="I583" s="85">
        <f>IF(F583=0,0,IF(M583="ja",((VLOOKUP(F583,Budget!A:F,6,FALSE)*(E583-(VLOOKUP(F583,Budget!A:F,3,FALSE))))),VLOOKUP($D583,Budget!A:F,5,FALSE)*E583))</f>
        <v>0</v>
      </c>
      <c r="J583" s="85">
        <f t="shared" si="39"/>
        <v>30030</v>
      </c>
      <c r="K583" s="15"/>
      <c r="L583" s="72"/>
      <c r="M583" s="80" t="str">
        <f t="shared" si="40"/>
        <v>ja</v>
      </c>
      <c r="N583">
        <f t="shared" si="41"/>
        <v>2022</v>
      </c>
    </row>
    <row r="584" spans="1:14" hidden="1" x14ac:dyDescent="0.3">
      <c r="A584" s="105">
        <f t="shared" si="38"/>
        <v>31</v>
      </c>
      <c r="B584" s="22">
        <v>44775</v>
      </c>
      <c r="C584" s="11" t="s">
        <v>4</v>
      </c>
      <c r="D584" s="12" t="s">
        <v>13</v>
      </c>
      <c r="E584" s="13">
        <v>24</v>
      </c>
      <c r="G584" s="13"/>
      <c r="H584" s="85">
        <f>IF(E584=0,0,IF(M584="ja",(VLOOKUP(D584,Budget!A:F,6,FALSE)*(E584-(VLOOKUP(D584,Budget!A:F,3,FALSE)))),VLOOKUP($D584,Budget!$A$1:$F$19,6,FALSE)*E584))</f>
        <v>0</v>
      </c>
      <c r="I584" s="85">
        <f>IF(F584=0,0,IF(M584="ja",((VLOOKUP(F584,Budget!A:F,6,FALSE)*(E584-(VLOOKUP(F584,Budget!A:F,3,FALSE))))),VLOOKUP($D584,Budget!A:F,5,FALSE)*E584))</f>
        <v>0</v>
      </c>
      <c r="J584" s="85">
        <f t="shared" si="39"/>
        <v>0</v>
      </c>
      <c r="K584" s="14"/>
      <c r="L584" s="73" t="s">
        <v>111</v>
      </c>
      <c r="M584" s="80" t="str">
        <f t="shared" si="40"/>
        <v>ja</v>
      </c>
      <c r="N584">
        <f t="shared" si="41"/>
        <v>2022</v>
      </c>
    </row>
    <row r="585" spans="1:14" hidden="1" x14ac:dyDescent="0.3">
      <c r="A585" s="105">
        <f t="shared" si="38"/>
        <v>31</v>
      </c>
      <c r="B585" s="22">
        <v>44776</v>
      </c>
      <c r="C585" s="11" t="s">
        <v>5</v>
      </c>
      <c r="D585" s="12" t="s">
        <v>11</v>
      </c>
      <c r="E585" s="13">
        <f>IF(VLOOKUP(D585,Budget!A:B,2,FALSE)&lt;&gt;0,IF(G585=0,24,24-G585),0)</f>
        <v>24</v>
      </c>
      <c r="G585" s="13"/>
      <c r="H585" s="85">
        <f>IF(E585=0,0,IF(M585="ja",(VLOOKUP(D585,Budget!A:F,6,FALSE)*(E585-(VLOOKUP(D585,Budget!A:F,3,FALSE)))),VLOOKUP($D585,Budget!$A$1:$F$19,6,FALSE)*E585))</f>
        <v>30030</v>
      </c>
      <c r="I585" s="85">
        <f>IF(F585=0,0,IF(M585="ja",((VLOOKUP(F585,Budget!A:F,6,FALSE)*(E585-(VLOOKUP(F585,Budget!A:F,3,FALSE))))),VLOOKUP($D585,Budget!A:F,5,FALSE)*E585))</f>
        <v>0</v>
      </c>
      <c r="J585" s="85">
        <f t="shared" si="39"/>
        <v>30030</v>
      </c>
      <c r="K585" s="14"/>
      <c r="L585" s="73"/>
      <c r="M585" s="80" t="str">
        <f t="shared" si="40"/>
        <v>ja</v>
      </c>
      <c r="N585">
        <f t="shared" si="41"/>
        <v>2022</v>
      </c>
    </row>
    <row r="586" spans="1:14" hidden="1" x14ac:dyDescent="0.3">
      <c r="A586" s="103">
        <f t="shared" si="38"/>
        <v>31</v>
      </c>
      <c r="B586" s="22">
        <v>44777</v>
      </c>
      <c r="C586" s="11" t="s">
        <v>6</v>
      </c>
      <c r="D586" s="12" t="s">
        <v>11</v>
      </c>
      <c r="E586" s="13">
        <f>IF(VLOOKUP(D586,Budget!A:B,2,FALSE)&lt;&gt;0,IF(G586=0,24,24-G586),0)</f>
        <v>24</v>
      </c>
      <c r="G586" s="13"/>
      <c r="H586" s="85">
        <f>IF(E586=0,0,IF(M586="ja",(VLOOKUP(D586,Budget!A:F,6,FALSE)*(E586-(VLOOKUP(D586,Budget!A:F,3,FALSE)))),VLOOKUP($D586,Budget!$A$1:$F$19,6,FALSE)*E586))</f>
        <v>36960</v>
      </c>
      <c r="I586" s="85">
        <f>IF(F586=0,0,IF(M586="ja",((VLOOKUP(F586,Budget!A:F,6,FALSE)*(E586-(VLOOKUP(F586,Budget!A:F,3,FALSE))))),VLOOKUP($D586,Budget!A:F,5,FALSE)*E586))</f>
        <v>0</v>
      </c>
      <c r="J586" s="85">
        <f t="shared" si="39"/>
        <v>36960</v>
      </c>
      <c r="K586" s="14"/>
      <c r="L586" s="73"/>
      <c r="M586" s="80" t="str">
        <f t="shared" si="40"/>
        <v>nein</v>
      </c>
      <c r="N586">
        <f t="shared" si="41"/>
        <v>2022</v>
      </c>
    </row>
    <row r="587" spans="1:14" hidden="1" x14ac:dyDescent="0.3">
      <c r="A587" s="105">
        <f t="shared" si="38"/>
        <v>31</v>
      </c>
      <c r="B587" s="22">
        <v>44778</v>
      </c>
      <c r="C587" s="11" t="s">
        <v>7</v>
      </c>
      <c r="D587" s="12" t="s">
        <v>11</v>
      </c>
      <c r="E587" s="13">
        <f>IF(VLOOKUP(D587,Budget!A:B,2,FALSE)&lt;&gt;0,IF(G587=0,24,24-G587),0)</f>
        <v>24</v>
      </c>
      <c r="G587" s="13"/>
      <c r="H587" s="85">
        <f>IF(E587=0,0,IF(M587="ja",(VLOOKUP(D587,Budget!A:F,6,FALSE)*(E587-(VLOOKUP(D587,Budget!A:F,3,FALSE)))),VLOOKUP($D587,Budget!$A$1:$F$19,6,FALSE)*E587))</f>
        <v>36960</v>
      </c>
      <c r="I587" s="85">
        <f>IF(F587=0,0,IF(M587="ja",((VLOOKUP(F587,Budget!A:F,6,FALSE)*(E587-(VLOOKUP(F587,Budget!A:F,3,FALSE))))),VLOOKUP($D587,Budget!A:F,5,FALSE)*E587))</f>
        <v>0</v>
      </c>
      <c r="J587" s="85">
        <f t="shared" si="39"/>
        <v>36960</v>
      </c>
      <c r="K587" s="14"/>
      <c r="L587" s="25"/>
      <c r="M587" s="80" t="str">
        <f t="shared" si="40"/>
        <v>nein</v>
      </c>
      <c r="N587">
        <f t="shared" si="41"/>
        <v>2022</v>
      </c>
    </row>
    <row r="588" spans="1:14" hidden="1" x14ac:dyDescent="0.3">
      <c r="A588" s="105">
        <f t="shared" si="38"/>
        <v>31</v>
      </c>
      <c r="B588" s="22">
        <v>44779</v>
      </c>
      <c r="C588" s="16" t="s">
        <v>8</v>
      </c>
      <c r="D588" s="17" t="s">
        <v>11</v>
      </c>
      <c r="E588" s="24">
        <f>IF(VLOOKUP(D588,Budget!A:B,2,FALSE)&lt;&gt;0,IF(G588=0,24,24-G588),0)</f>
        <v>24</v>
      </c>
      <c r="F588" s="17"/>
      <c r="G588" s="17"/>
      <c r="H588" s="86">
        <f>IF(E588=0,0,IF(M588="ja",(VLOOKUP(D588,Budget!A:F,6,FALSE)*(E588-(VLOOKUP(D588,Budget!A:F,3,FALSE)))),VLOOKUP($D588,Budget!$A$1:$F$19,6,FALSE)*E588))</f>
        <v>36960</v>
      </c>
      <c r="I588" s="86">
        <f>IF(F588=0,0,IF(M588="ja",((VLOOKUP(F588,Budget!A:F,6,FALSE)*(E588-(VLOOKUP(F588,Budget!A:F,3,FALSE))))),VLOOKUP($D588,Budget!A:F,5,FALSE)*E588))</f>
        <v>0</v>
      </c>
      <c r="J588" s="86">
        <f t="shared" si="39"/>
        <v>36960</v>
      </c>
      <c r="K588" s="18"/>
      <c r="L588" s="75"/>
      <c r="M588" s="76" t="str">
        <f t="shared" si="40"/>
        <v>nein</v>
      </c>
      <c r="N588">
        <f t="shared" si="41"/>
        <v>2022</v>
      </c>
    </row>
    <row r="589" spans="1:14" ht="15" hidden="1" thickBot="1" x14ac:dyDescent="0.35">
      <c r="A589" s="105">
        <f t="shared" si="38"/>
        <v>31</v>
      </c>
      <c r="B589" s="27">
        <v>44780</v>
      </c>
      <c r="C589" s="19" t="s">
        <v>9</v>
      </c>
      <c r="D589" s="20" t="s">
        <v>11</v>
      </c>
      <c r="E589" s="20">
        <f>IF(VLOOKUP(D589,Budget!A:B,2,FALSE)&lt;&gt;0,IF(G589=0,24,24-G589),0)</f>
        <v>24</v>
      </c>
      <c r="F589" s="20"/>
      <c r="G589" s="20"/>
      <c r="H589" s="93">
        <f>IF(E589=0,0,IF(M589="ja",(VLOOKUP(D589,Budget!A:F,6,FALSE)*(E589-(VLOOKUP(D589,Budget!A:F,3,FALSE)))),VLOOKUP($D589,Budget!$A$1:$F$19,6,FALSE)*E589))</f>
        <v>36960</v>
      </c>
      <c r="I589" s="93">
        <f>IF(F589=0,0,IF(M589="ja",((VLOOKUP(F589,Budget!A:F,6,FALSE)*(E589-(VLOOKUP(F589,Budget!A:F,3,FALSE))))),VLOOKUP($D589,Budget!A:F,5,FALSE)*E589))</f>
        <v>0</v>
      </c>
      <c r="J589" s="87">
        <f t="shared" si="39"/>
        <v>36960</v>
      </c>
      <c r="K589" s="21"/>
      <c r="L589" s="74"/>
      <c r="M589" s="77" t="str">
        <f t="shared" si="40"/>
        <v>nein</v>
      </c>
      <c r="N589">
        <f t="shared" si="41"/>
        <v>2022</v>
      </c>
    </row>
    <row r="590" spans="1:14" hidden="1" x14ac:dyDescent="0.3">
      <c r="A590" s="104">
        <f t="shared" si="38"/>
        <v>32</v>
      </c>
      <c r="B590" s="22">
        <v>44781</v>
      </c>
      <c r="C590" s="10" t="s">
        <v>3</v>
      </c>
      <c r="D590" s="12" t="s">
        <v>11</v>
      </c>
      <c r="E590" s="13">
        <f>IF(VLOOKUP(D590,Budget!A:B,2,FALSE)&lt;&gt;0,IF(G590=0,24,24-G590),0)</f>
        <v>24</v>
      </c>
      <c r="F590" s="13"/>
      <c r="G590" s="13"/>
      <c r="H590" s="85">
        <f>IF(E590=0,0,IF(M590="ja",(VLOOKUP(D590,Budget!A:F,6,FALSE)*(E590-(VLOOKUP(D590,Budget!A:F,3,FALSE)))),VLOOKUP($D590,Budget!$A$1:$F$19,6,FALSE)*E590))</f>
        <v>36960</v>
      </c>
      <c r="I590" s="85">
        <f>IF(F590=0,0,IF(M590="ja",((VLOOKUP(F590,Budget!A:F,6,FALSE)*(E590-(VLOOKUP(F590,Budget!A:F,3,FALSE))))),VLOOKUP($D590,Budget!A:F,5,FALSE)*E590))</f>
        <v>0</v>
      </c>
      <c r="J590" s="85">
        <f t="shared" si="39"/>
        <v>36960</v>
      </c>
      <c r="K590" s="15"/>
      <c r="L590" s="72"/>
      <c r="M590" s="80" t="str">
        <f t="shared" si="40"/>
        <v>nein</v>
      </c>
      <c r="N590">
        <f t="shared" si="41"/>
        <v>2022</v>
      </c>
    </row>
    <row r="591" spans="1:14" hidden="1" x14ac:dyDescent="0.3">
      <c r="A591" s="105">
        <f t="shared" si="38"/>
        <v>32</v>
      </c>
      <c r="B591" s="22">
        <v>44782</v>
      </c>
      <c r="C591" s="11" t="s">
        <v>4</v>
      </c>
      <c r="D591" s="12" t="s">
        <v>11</v>
      </c>
      <c r="E591" s="13">
        <f>IF(VLOOKUP(D591,Budget!A:B,2,FALSE)&lt;&gt;0,IF(G591=0,24,24-G591),0)</f>
        <v>24</v>
      </c>
      <c r="G591" s="13"/>
      <c r="H591" s="85">
        <f>IF(E591=0,0,IF(M591="ja",(VLOOKUP(D591,Budget!A:F,6,FALSE)*(E591-(VLOOKUP(D591,Budget!A:F,3,FALSE)))),VLOOKUP($D591,Budget!$A$1:$F$19,6,FALSE)*E591))</f>
        <v>36960</v>
      </c>
      <c r="I591" s="85">
        <f>IF(F591=0,0,IF(M591="ja",((VLOOKUP(F591,Budget!A:F,6,FALSE)*(E591-(VLOOKUP(F591,Budget!A:F,3,FALSE))))),VLOOKUP($D591,Budget!A:F,5,FALSE)*E591))</f>
        <v>0</v>
      </c>
      <c r="J591" s="85">
        <f t="shared" si="39"/>
        <v>36960</v>
      </c>
      <c r="K591" s="14"/>
      <c r="L591" s="73"/>
      <c r="M591" s="80" t="str">
        <f t="shared" si="40"/>
        <v>nein</v>
      </c>
      <c r="N591">
        <f t="shared" si="41"/>
        <v>2022</v>
      </c>
    </row>
    <row r="592" spans="1:14" hidden="1" x14ac:dyDescent="0.3">
      <c r="A592" s="105">
        <f t="shared" si="38"/>
        <v>32</v>
      </c>
      <c r="B592" s="22">
        <v>44783</v>
      </c>
      <c r="C592" s="11" t="s">
        <v>5</v>
      </c>
      <c r="D592" s="12" t="s">
        <v>11</v>
      </c>
      <c r="E592" s="13">
        <f>IF(VLOOKUP(D592,Budget!A:B,2,FALSE)&lt;&gt;0,IF(G592=0,24,24-G592),0)</f>
        <v>24</v>
      </c>
      <c r="G592" s="13"/>
      <c r="H592" s="85">
        <f>IF(E592=0,0,IF(M592="ja",(VLOOKUP(D592,Budget!A:F,6,FALSE)*(E592-(VLOOKUP(D592,Budget!A:F,3,FALSE)))),VLOOKUP($D592,Budget!$A$1:$F$19,6,FALSE)*E592))</f>
        <v>36960</v>
      </c>
      <c r="I592" s="85">
        <f>IF(F592=0,0,IF(M592="ja",((VLOOKUP(F592,Budget!A:F,6,FALSE)*(E592-(VLOOKUP(F592,Budget!A:F,3,FALSE))))),VLOOKUP($D592,Budget!A:F,5,FALSE)*E592))</f>
        <v>0</v>
      </c>
      <c r="J592" s="85">
        <f t="shared" si="39"/>
        <v>36960</v>
      </c>
      <c r="K592" s="14"/>
      <c r="L592" s="73"/>
      <c r="M592" s="80" t="str">
        <f t="shared" si="40"/>
        <v>nein</v>
      </c>
      <c r="N592">
        <f t="shared" si="41"/>
        <v>2022</v>
      </c>
    </row>
    <row r="593" spans="1:14" hidden="1" x14ac:dyDescent="0.3">
      <c r="A593" s="103">
        <f t="shared" si="38"/>
        <v>32</v>
      </c>
      <c r="B593" s="22">
        <v>44784</v>
      </c>
      <c r="C593" s="11" t="s">
        <v>6</v>
      </c>
      <c r="D593" s="12" t="s">
        <v>12</v>
      </c>
      <c r="E593" s="13">
        <f>IF(VLOOKUP(D593,Budget!A:B,2,FALSE)&lt;&gt;0,IF(G593=0,24,24-G593),0)</f>
        <v>24</v>
      </c>
      <c r="G593" s="13"/>
      <c r="H593" s="85">
        <f>IF(E593=0,0,IF(M593="ja",(VLOOKUP(D593,Budget!A:F,6,FALSE)*(E593-(VLOOKUP(D593,Budget!A:F,3,FALSE)))),VLOOKUP($D593,Budget!$A$1:$F$19,6,FALSE)*E593))</f>
        <v>27720</v>
      </c>
      <c r="I593" s="85">
        <f>IF(F593=0,0,IF(M593="ja",((VLOOKUP(F593,Budget!A:F,6,FALSE)*(E593-(VLOOKUP(F593,Budget!A:F,3,FALSE))))),VLOOKUP($D593,Budget!A:F,5,FALSE)*E593))</f>
        <v>0</v>
      </c>
      <c r="J593" s="85">
        <f t="shared" si="39"/>
        <v>27720</v>
      </c>
      <c r="K593" s="14"/>
      <c r="L593" s="73"/>
      <c r="M593" s="80" t="str">
        <f t="shared" si="40"/>
        <v>ja</v>
      </c>
      <c r="N593">
        <f t="shared" si="41"/>
        <v>2022</v>
      </c>
    </row>
    <row r="594" spans="1:14" hidden="1" x14ac:dyDescent="0.3">
      <c r="A594" s="105">
        <f t="shared" si="38"/>
        <v>32</v>
      </c>
      <c r="B594" s="22">
        <v>44785</v>
      </c>
      <c r="C594" s="11" t="s">
        <v>7</v>
      </c>
      <c r="D594" s="12" t="s">
        <v>12</v>
      </c>
      <c r="E594" s="13">
        <f>IF(VLOOKUP(D594,Budget!A:B,2,FALSE)&lt;&gt;0,IF(G594=0,24,24-G594),0)</f>
        <v>24</v>
      </c>
      <c r="G594" s="13"/>
      <c r="H594" s="85">
        <f>IF(E594=0,0,IF(M594="ja",(VLOOKUP(D594,Budget!A:F,6,FALSE)*(E594-(VLOOKUP(D594,Budget!A:F,3,FALSE)))),VLOOKUP($D594,Budget!$A$1:$F$19,6,FALSE)*E594))</f>
        <v>36960</v>
      </c>
      <c r="I594" s="85">
        <f>IF(F594=0,0,IF(M594="ja",((VLOOKUP(F594,Budget!A:F,6,FALSE)*(E594-(VLOOKUP(F594,Budget!A:F,3,FALSE))))),VLOOKUP($D594,Budget!A:F,5,FALSE)*E594))</f>
        <v>0</v>
      </c>
      <c r="J594" s="85">
        <f t="shared" si="39"/>
        <v>36960</v>
      </c>
      <c r="K594" s="14"/>
      <c r="L594" s="25"/>
      <c r="M594" s="80" t="str">
        <f t="shared" si="40"/>
        <v>nein</v>
      </c>
      <c r="N594">
        <f t="shared" si="41"/>
        <v>2022</v>
      </c>
    </row>
    <row r="595" spans="1:14" hidden="1" x14ac:dyDescent="0.3">
      <c r="A595" s="105">
        <f t="shared" si="38"/>
        <v>32</v>
      </c>
      <c r="B595" s="22">
        <v>44786</v>
      </c>
      <c r="C595" s="16" t="s">
        <v>8</v>
      </c>
      <c r="D595" s="17" t="s">
        <v>69</v>
      </c>
      <c r="E595" s="24">
        <f>IF(VLOOKUP(D595,Budget!A:B,2,FALSE)&lt;&gt;0,IF(G595=0,24,24-G595),0)</f>
        <v>24</v>
      </c>
      <c r="F595" s="17"/>
      <c r="G595" s="17"/>
      <c r="H595" s="86">
        <f>IF(E595=0,0,IF(M595="ja",(VLOOKUP(D595,Budget!A:F,6,FALSE)*(E595-(VLOOKUP(D595,Budget!A:F,3,FALSE)))),VLOOKUP($D595,Budget!$A$1:$F$19,6,FALSE)*E595))</f>
        <v>38269.757143831848</v>
      </c>
      <c r="I595" s="86">
        <f>IF(F595=0,0,IF(M595="ja",((VLOOKUP(F595,Budget!A:F,6,FALSE)*(E595-(VLOOKUP(F595,Budget!A:F,3,FALSE))))),VLOOKUP($D595,Budget!A:F,5,FALSE)*E595))</f>
        <v>0</v>
      </c>
      <c r="J595" s="86">
        <f t="shared" si="39"/>
        <v>38269.757143831848</v>
      </c>
      <c r="K595" s="18"/>
      <c r="L595" s="75"/>
      <c r="M595" s="76" t="str">
        <f t="shared" si="40"/>
        <v>ja</v>
      </c>
      <c r="N595">
        <f t="shared" si="41"/>
        <v>2022</v>
      </c>
    </row>
    <row r="596" spans="1:14" ht="15" hidden="1" thickBot="1" x14ac:dyDescent="0.35">
      <c r="A596" s="105">
        <f t="shared" si="38"/>
        <v>32</v>
      </c>
      <c r="B596" s="27">
        <v>44787</v>
      </c>
      <c r="C596" s="19" t="s">
        <v>9</v>
      </c>
      <c r="D596" s="20" t="s">
        <v>69</v>
      </c>
      <c r="E596" s="20">
        <f>IF(VLOOKUP(D596,Budget!A:B,2,FALSE)&lt;&gt;0,IF(G596=0,24,24-G596),0)</f>
        <v>24</v>
      </c>
      <c r="F596" s="20"/>
      <c r="G596" s="20"/>
      <c r="H596" s="93">
        <f>IF(E596=0,0,IF(M596="ja",(VLOOKUP(D596,Budget!A:F,6,FALSE)*(E596-(VLOOKUP(D596,Budget!A:F,3,FALSE)))),VLOOKUP($D596,Budget!$A$1:$F$19,6,FALSE)*E596))</f>
        <v>42919.35380616656</v>
      </c>
      <c r="I596" s="93">
        <f>IF(F596=0,0,IF(M596="ja",((VLOOKUP(F596,Budget!A:F,6,FALSE)*(E596-(VLOOKUP(F596,Budget!A:F,3,FALSE))))),VLOOKUP($D596,Budget!A:F,5,FALSE)*E596))</f>
        <v>0</v>
      </c>
      <c r="J596" s="87">
        <f t="shared" si="39"/>
        <v>42919.35380616656</v>
      </c>
      <c r="K596" s="21"/>
      <c r="L596" s="74"/>
      <c r="M596" s="77" t="str">
        <f t="shared" si="40"/>
        <v>nein</v>
      </c>
      <c r="N596">
        <f t="shared" si="41"/>
        <v>2022</v>
      </c>
    </row>
    <row r="597" spans="1:14" hidden="1" x14ac:dyDescent="0.3">
      <c r="A597" s="104">
        <f t="shared" si="38"/>
        <v>33</v>
      </c>
      <c r="B597" s="22">
        <v>44788</v>
      </c>
      <c r="C597" s="10" t="s">
        <v>3</v>
      </c>
      <c r="D597" s="12" t="s">
        <v>65</v>
      </c>
      <c r="E597" s="13">
        <f>IF(VLOOKUP(D597,Budget!A:B,2,FALSE)&lt;&gt;0,IF(G597=0,24,24-G597),0)</f>
        <v>24</v>
      </c>
      <c r="F597" s="13"/>
      <c r="G597" s="13"/>
      <c r="H597" s="85">
        <f>IF(E597=0,0,IF(M597="ja",(VLOOKUP(D597,Budget!A:F,6,FALSE)*(E597-(VLOOKUP(D597,Budget!A:F,3,FALSE)))),VLOOKUP($D597,Budget!$A$1:$F$19,6,FALSE)*E597))</f>
        <v>22220.983707552332</v>
      </c>
      <c r="I597" s="85">
        <f>IF(F597=0,0,IF(M597="ja",((VLOOKUP(F597,Budget!A:F,6,FALSE)*(E597-(VLOOKUP(F597,Budget!A:F,3,FALSE))))),VLOOKUP($D597,Budget!A:F,5,FALSE)*E597))</f>
        <v>0</v>
      </c>
      <c r="J597" s="85">
        <f t="shared" si="39"/>
        <v>22220.983707552332</v>
      </c>
      <c r="K597" s="15"/>
      <c r="L597" s="72"/>
      <c r="M597" s="80" t="str">
        <f t="shared" si="40"/>
        <v>ja</v>
      </c>
      <c r="N597">
        <f t="shared" si="41"/>
        <v>2022</v>
      </c>
    </row>
    <row r="598" spans="1:14" hidden="1" x14ac:dyDescent="0.3">
      <c r="A598" s="105">
        <f t="shared" si="38"/>
        <v>33</v>
      </c>
      <c r="B598" s="22">
        <v>44789</v>
      </c>
      <c r="C598" s="11" t="s">
        <v>4</v>
      </c>
      <c r="D598" s="12" t="s">
        <v>65</v>
      </c>
      <c r="E598" s="13">
        <f>IF(VLOOKUP(D598,Budget!A:B,2,FALSE)&lt;&gt;0,IF(G598=0,24,24-G598),0)</f>
        <v>24</v>
      </c>
      <c r="G598" s="13"/>
      <c r="H598" s="85">
        <f>IF(E598=0,0,IF(M598="ja",(VLOOKUP(D598,Budget!A:F,6,FALSE)*(E598-(VLOOKUP(D598,Budget!A:F,3,FALSE)))),VLOOKUP($D598,Budget!$A$1:$F$19,6,FALSE)*E598))</f>
        <v>35553.573932083731</v>
      </c>
      <c r="I598" s="85">
        <f>IF(F598=0,0,IF(M598="ja",((VLOOKUP(F598,Budget!A:F,6,FALSE)*(E598-(VLOOKUP(F598,Budget!A:F,3,FALSE))))),VLOOKUP($D598,Budget!A:F,5,FALSE)*E598))</f>
        <v>0</v>
      </c>
      <c r="J598" s="85">
        <f t="shared" si="39"/>
        <v>35553.573932083731</v>
      </c>
      <c r="K598" s="14"/>
      <c r="L598" s="73"/>
      <c r="M598" s="80" t="str">
        <f t="shared" si="40"/>
        <v>nein</v>
      </c>
      <c r="N598">
        <f t="shared" si="41"/>
        <v>2022</v>
      </c>
    </row>
    <row r="599" spans="1:14" hidden="1" x14ac:dyDescent="0.3">
      <c r="A599" s="105">
        <f t="shared" si="38"/>
        <v>33</v>
      </c>
      <c r="B599" s="22">
        <v>44790</v>
      </c>
      <c r="C599" s="11" t="s">
        <v>5</v>
      </c>
      <c r="D599" s="12" t="s">
        <v>11</v>
      </c>
      <c r="E599" s="13">
        <f>IF(VLOOKUP(D599,Budget!A:B,2,FALSE)&lt;&gt;0,IF(G599=0,24,24-G599),0)</f>
        <v>24</v>
      </c>
      <c r="G599" s="13"/>
      <c r="H599" s="85">
        <f>IF(E599=0,0,IF(M599="ja",(VLOOKUP(D599,Budget!A:F,6,FALSE)*(E599-(VLOOKUP(D599,Budget!A:F,3,FALSE)))),VLOOKUP($D599,Budget!$A$1:$F$19,6,FALSE)*E599))</f>
        <v>30030</v>
      </c>
      <c r="I599" s="85">
        <f>IF(F599=0,0,IF(M599="ja",((VLOOKUP(F599,Budget!A:F,6,FALSE)*(E599-(VLOOKUP(F599,Budget!A:F,3,FALSE))))),VLOOKUP($D599,Budget!A:F,5,FALSE)*E599))</f>
        <v>0</v>
      </c>
      <c r="J599" s="85">
        <f t="shared" si="39"/>
        <v>30030</v>
      </c>
      <c r="K599" s="14"/>
      <c r="L599" s="73"/>
      <c r="M599" s="80" t="str">
        <f t="shared" si="40"/>
        <v>ja</v>
      </c>
      <c r="N599">
        <f t="shared" si="41"/>
        <v>2022</v>
      </c>
    </row>
    <row r="600" spans="1:14" hidden="1" x14ac:dyDescent="0.3">
      <c r="A600" s="103">
        <f t="shared" si="38"/>
        <v>33</v>
      </c>
      <c r="B600" s="22">
        <v>44791</v>
      </c>
      <c r="C600" s="11" t="s">
        <v>6</v>
      </c>
      <c r="D600" s="12" t="s">
        <v>11</v>
      </c>
      <c r="E600" s="13">
        <f>IF(VLOOKUP(D600,Budget!A:B,2,FALSE)&lt;&gt;0,IF(G600=0,24,24-G600),0)</f>
        <v>24</v>
      </c>
      <c r="G600" s="13"/>
      <c r="H600" s="85">
        <f>IF(E600=0,0,IF(M600="ja",(VLOOKUP(D600,Budget!A:F,6,FALSE)*(E600-(VLOOKUP(D600,Budget!A:F,3,FALSE)))),VLOOKUP($D600,Budget!$A$1:$F$19,6,FALSE)*E600))</f>
        <v>36960</v>
      </c>
      <c r="I600" s="85">
        <f>IF(F600=0,0,IF(M600="ja",((VLOOKUP(F600,Budget!A:F,6,FALSE)*(E600-(VLOOKUP(F600,Budget!A:F,3,FALSE))))),VLOOKUP($D600,Budget!A:F,5,FALSE)*E600))</f>
        <v>0</v>
      </c>
      <c r="J600" s="85">
        <f t="shared" si="39"/>
        <v>36960</v>
      </c>
      <c r="K600" s="14"/>
      <c r="L600" s="73"/>
      <c r="M600" s="80" t="str">
        <f t="shared" si="40"/>
        <v>nein</v>
      </c>
      <c r="N600">
        <f t="shared" si="41"/>
        <v>2022</v>
      </c>
    </row>
    <row r="601" spans="1:14" hidden="1" x14ac:dyDescent="0.3">
      <c r="A601" s="105">
        <f t="shared" si="38"/>
        <v>33</v>
      </c>
      <c r="B601" s="22">
        <v>44792</v>
      </c>
      <c r="C601" s="11" t="s">
        <v>7</v>
      </c>
      <c r="D601" s="12" t="s">
        <v>11</v>
      </c>
      <c r="E601" s="13">
        <f>IF(VLOOKUP(D601,Budget!A:B,2,FALSE)&lt;&gt;0,IF(G601=0,24,24-G601),0)</f>
        <v>24</v>
      </c>
      <c r="G601" s="13"/>
      <c r="H601" s="85">
        <f>IF(E601=0,0,IF(M601="ja",(VLOOKUP(D601,Budget!A:F,6,FALSE)*(E601-(VLOOKUP(D601,Budget!A:F,3,FALSE)))),VLOOKUP($D601,Budget!$A$1:$F$19,6,FALSE)*E601))</f>
        <v>36960</v>
      </c>
      <c r="I601" s="85">
        <f>IF(F601=0,0,IF(M601="ja",((VLOOKUP(F601,Budget!A:F,6,FALSE)*(E601-(VLOOKUP(F601,Budget!A:F,3,FALSE))))),VLOOKUP($D601,Budget!A:F,5,FALSE)*E601))</f>
        <v>0</v>
      </c>
      <c r="J601" s="85">
        <f t="shared" si="39"/>
        <v>36960</v>
      </c>
      <c r="K601" s="14"/>
      <c r="L601" s="25"/>
      <c r="M601" s="80" t="str">
        <f t="shared" si="40"/>
        <v>nein</v>
      </c>
      <c r="N601">
        <f t="shared" si="41"/>
        <v>2022</v>
      </c>
    </row>
    <row r="602" spans="1:14" hidden="1" x14ac:dyDescent="0.3">
      <c r="A602" s="105">
        <f t="shared" si="38"/>
        <v>33</v>
      </c>
      <c r="B602" s="22">
        <v>44793</v>
      </c>
      <c r="C602" s="16" t="s">
        <v>8</v>
      </c>
      <c r="D602" s="17" t="s">
        <v>11</v>
      </c>
      <c r="E602" s="24">
        <f>IF(VLOOKUP(D602,Budget!A:B,2,FALSE)&lt;&gt;0,IF(G602=0,24,24-G602),0)</f>
        <v>24</v>
      </c>
      <c r="F602" s="17"/>
      <c r="G602" s="17"/>
      <c r="H602" s="86">
        <f>IF(E602=0,0,IF(M602="ja",(VLOOKUP(D602,Budget!A:F,6,FALSE)*(E602-(VLOOKUP(D602,Budget!A:F,3,FALSE)))),VLOOKUP($D602,Budget!$A$1:$F$19,6,FALSE)*E602))</f>
        <v>36960</v>
      </c>
      <c r="I602" s="86">
        <f>IF(F602=0,0,IF(M602="ja",((VLOOKUP(F602,Budget!A:F,6,FALSE)*(E602-(VLOOKUP(F602,Budget!A:F,3,FALSE))))),VLOOKUP($D602,Budget!A:F,5,FALSE)*E602))</f>
        <v>0</v>
      </c>
      <c r="J602" s="86">
        <f t="shared" si="39"/>
        <v>36960</v>
      </c>
      <c r="K602" s="18"/>
      <c r="L602" s="75"/>
      <c r="M602" s="76" t="str">
        <f t="shared" si="40"/>
        <v>nein</v>
      </c>
      <c r="N602">
        <f t="shared" si="41"/>
        <v>2022</v>
      </c>
    </row>
    <row r="603" spans="1:14" ht="15" hidden="1" thickBot="1" x14ac:dyDescent="0.35">
      <c r="A603" s="105">
        <f t="shared" si="38"/>
        <v>33</v>
      </c>
      <c r="B603" s="27">
        <v>44794</v>
      </c>
      <c r="C603" s="19" t="s">
        <v>9</v>
      </c>
      <c r="D603" s="20" t="s">
        <v>11</v>
      </c>
      <c r="E603" s="20">
        <f>IF(VLOOKUP(D603,Budget!A:B,2,FALSE)&lt;&gt;0,IF(G603=0,24,24-G603),0)</f>
        <v>24</v>
      </c>
      <c r="F603" s="20"/>
      <c r="G603" s="20"/>
      <c r="H603" s="93">
        <f>IF(E603=0,0,IF(M603="ja",(VLOOKUP(D603,Budget!A:F,6,FALSE)*(E603-(VLOOKUP(D603,Budget!A:F,3,FALSE)))),VLOOKUP($D603,Budget!$A$1:$F$19,6,FALSE)*E603))</f>
        <v>36960</v>
      </c>
      <c r="I603" s="93">
        <f>IF(F603=0,0,IF(M603="ja",((VLOOKUP(F603,Budget!A:F,6,FALSE)*(E603-(VLOOKUP(F603,Budget!A:F,3,FALSE))))),VLOOKUP($D603,Budget!A:F,5,FALSE)*E603))</f>
        <v>0</v>
      </c>
      <c r="J603" s="87">
        <f t="shared" si="39"/>
        <v>36960</v>
      </c>
      <c r="K603" s="21"/>
      <c r="L603" s="74"/>
      <c r="M603" s="77" t="str">
        <f t="shared" si="40"/>
        <v>nein</v>
      </c>
      <c r="N603">
        <f t="shared" si="41"/>
        <v>2022</v>
      </c>
    </row>
    <row r="604" spans="1:14" hidden="1" x14ac:dyDescent="0.3">
      <c r="A604" s="104">
        <f t="shared" si="38"/>
        <v>34</v>
      </c>
      <c r="B604" s="22">
        <v>44795</v>
      </c>
      <c r="C604" s="10" t="s">
        <v>3</v>
      </c>
      <c r="D604" s="12" t="s">
        <v>11</v>
      </c>
      <c r="E604" s="13">
        <f>IF(VLOOKUP(D604,Budget!A:B,2,FALSE)&lt;&gt;0,IF(G604=0,24,24-G604),0)</f>
        <v>24</v>
      </c>
      <c r="F604" s="13"/>
      <c r="G604" s="13"/>
      <c r="H604" s="85">
        <f>IF(E604=0,0,IF(M604="ja",(VLOOKUP(D604,Budget!A:F,6,FALSE)*(E604-(VLOOKUP(D604,Budget!A:F,3,FALSE)))),VLOOKUP($D604,Budget!$A$1:$F$19,6,FALSE)*E604))</f>
        <v>36960</v>
      </c>
      <c r="I604" s="85">
        <f>IF(F604=0,0,IF(M604="ja",((VLOOKUP(F604,Budget!A:F,6,FALSE)*(E604-(VLOOKUP(F604,Budget!A:F,3,FALSE))))),VLOOKUP($D604,Budget!A:F,5,FALSE)*E604))</f>
        <v>0</v>
      </c>
      <c r="J604" s="85">
        <f t="shared" si="39"/>
        <v>36960</v>
      </c>
      <c r="K604" s="15"/>
      <c r="L604" s="72"/>
      <c r="M604" s="80" t="str">
        <f t="shared" si="40"/>
        <v>nein</v>
      </c>
      <c r="N604">
        <f t="shared" si="41"/>
        <v>2022</v>
      </c>
    </row>
    <row r="605" spans="1:14" hidden="1" x14ac:dyDescent="0.3">
      <c r="A605" s="105">
        <f t="shared" si="38"/>
        <v>34</v>
      </c>
      <c r="B605" s="22">
        <v>44796</v>
      </c>
      <c r="C605" s="11" t="s">
        <v>4</v>
      </c>
      <c r="D605" s="12" t="s">
        <v>11</v>
      </c>
      <c r="E605" s="13">
        <v>24</v>
      </c>
      <c r="G605" s="13"/>
      <c r="H605" s="85">
        <f>IF(E605=0,0,IF(M605="ja",(VLOOKUP(D605,Budget!A:F,6,FALSE)*(E605-(VLOOKUP(D605,Budget!A:F,3,FALSE)))),VLOOKUP($D605,Budget!$A$1:$F$19,6,FALSE)*E605))</f>
        <v>36960</v>
      </c>
      <c r="I605" s="85">
        <f>IF(F605=0,0,IF(M605="ja",((VLOOKUP(F605,Budget!A:F,6,FALSE)*(E605-(VLOOKUP(F605,Budget!A:F,3,FALSE))))),VLOOKUP($D605,Budget!A:F,5,FALSE)*E605))</f>
        <v>0</v>
      </c>
      <c r="J605" s="85">
        <f t="shared" si="39"/>
        <v>36960</v>
      </c>
      <c r="K605" s="14"/>
      <c r="L605" s="97"/>
      <c r="M605" s="80" t="str">
        <f t="shared" si="40"/>
        <v>nein</v>
      </c>
      <c r="N605">
        <f t="shared" si="41"/>
        <v>2022</v>
      </c>
    </row>
    <row r="606" spans="1:14" hidden="1" x14ac:dyDescent="0.3">
      <c r="A606" s="105">
        <f t="shared" si="38"/>
        <v>34</v>
      </c>
      <c r="B606" s="22">
        <v>44797</v>
      </c>
      <c r="C606" s="11" t="s">
        <v>5</v>
      </c>
      <c r="D606" s="12" t="s">
        <v>11</v>
      </c>
      <c r="E606" s="13">
        <f>IF(VLOOKUP(D606,Budget!A:B,2,FALSE)&lt;&gt;0,IF(G606=0,24,24-G606),0)</f>
        <v>24</v>
      </c>
      <c r="G606" s="13"/>
      <c r="H606" s="85">
        <f>IF(E606=0,0,IF(M606="ja",(VLOOKUP(D606,Budget!A:F,6,FALSE)*(E606-(VLOOKUP(D606,Budget!A:F,3,FALSE)))),VLOOKUP($D606,Budget!$A$1:$F$19,6,FALSE)*E606))</f>
        <v>36960</v>
      </c>
      <c r="I606" s="85">
        <f>IF(F606=0,0,IF(M606="ja",((VLOOKUP(F606,Budget!A:F,6,FALSE)*(E606-(VLOOKUP(F606,Budget!A:F,3,FALSE))))),VLOOKUP($D606,Budget!A:F,5,FALSE)*E606))</f>
        <v>0</v>
      </c>
      <c r="J606" s="85">
        <f t="shared" si="39"/>
        <v>36960</v>
      </c>
      <c r="K606" s="14"/>
      <c r="L606" s="73"/>
      <c r="M606" s="80" t="str">
        <f t="shared" si="40"/>
        <v>nein</v>
      </c>
      <c r="N606">
        <f t="shared" si="41"/>
        <v>2022</v>
      </c>
    </row>
    <row r="607" spans="1:14" hidden="1" x14ac:dyDescent="0.3">
      <c r="A607" s="103">
        <f t="shared" si="38"/>
        <v>34</v>
      </c>
      <c r="B607" s="22">
        <v>44798</v>
      </c>
      <c r="C607" s="11" t="s">
        <v>6</v>
      </c>
      <c r="D607" s="12" t="s">
        <v>11</v>
      </c>
      <c r="E607" s="13">
        <f>IF(VLOOKUP(D607,Budget!A:B,2,FALSE)&lt;&gt;0,IF(G607=0,24,24-G607),0)</f>
        <v>24</v>
      </c>
      <c r="G607" s="13"/>
      <c r="H607" s="85">
        <f>IF(E607=0,0,IF(M607="ja",(VLOOKUP(D607,Budget!A:F,6,FALSE)*(E607-(VLOOKUP(D607,Budget!A:F,3,FALSE)))),VLOOKUP($D607,Budget!$A$1:$F$19,6,FALSE)*E607))</f>
        <v>36960</v>
      </c>
      <c r="I607" s="85">
        <f>IF(F607=0,0,IF(M607="ja",((VLOOKUP(F607,Budget!A:F,6,FALSE)*(E607-(VLOOKUP(F607,Budget!A:F,3,FALSE))))),VLOOKUP($D607,Budget!A:F,5,FALSE)*E607))</f>
        <v>0</v>
      </c>
      <c r="J607" s="85">
        <f t="shared" si="39"/>
        <v>36960</v>
      </c>
      <c r="K607" s="14"/>
      <c r="L607" s="73"/>
      <c r="M607" s="80" t="str">
        <f t="shared" si="40"/>
        <v>nein</v>
      </c>
      <c r="N607">
        <f t="shared" si="41"/>
        <v>2022</v>
      </c>
    </row>
    <row r="608" spans="1:14" hidden="1" x14ac:dyDescent="0.3">
      <c r="A608" s="105">
        <f t="shared" si="38"/>
        <v>34</v>
      </c>
      <c r="B608" s="22">
        <v>44799</v>
      </c>
      <c r="C608" s="11" t="s">
        <v>7</v>
      </c>
      <c r="D608" s="12" t="s">
        <v>11</v>
      </c>
      <c r="E608" s="13">
        <f>IF(VLOOKUP(D608,Budget!A:B,2,FALSE)&lt;&gt;0,IF(G608=0,24,24-G608),0)</f>
        <v>24</v>
      </c>
      <c r="G608" s="13"/>
      <c r="H608" s="85">
        <f>IF(E608=0,0,IF(M608="ja",(VLOOKUP(D608,Budget!A:F,6,FALSE)*(E608-(VLOOKUP(D608,Budget!A:F,3,FALSE)))),VLOOKUP($D608,Budget!$A$1:$F$19,6,FALSE)*E608))</f>
        <v>36960</v>
      </c>
      <c r="I608" s="85">
        <f>IF(F608=0,0,IF(M608="ja",((VLOOKUP(F608,Budget!A:F,6,FALSE)*(E608-(VLOOKUP(F608,Budget!A:F,3,FALSE))))),VLOOKUP($D608,Budget!A:F,5,FALSE)*E608))</f>
        <v>0</v>
      </c>
      <c r="J608" s="85">
        <f t="shared" si="39"/>
        <v>36960</v>
      </c>
      <c r="K608" s="14"/>
      <c r="L608" s="25"/>
      <c r="M608" s="80" t="str">
        <f t="shared" si="40"/>
        <v>nein</v>
      </c>
      <c r="N608">
        <f t="shared" si="41"/>
        <v>2022</v>
      </c>
    </row>
    <row r="609" spans="1:14" hidden="1" x14ac:dyDescent="0.3">
      <c r="A609" s="105">
        <f t="shared" si="38"/>
        <v>34</v>
      </c>
      <c r="B609" s="22">
        <v>44800</v>
      </c>
      <c r="C609" s="16" t="s">
        <v>8</v>
      </c>
      <c r="D609" s="17" t="s">
        <v>11</v>
      </c>
      <c r="E609" s="24">
        <f>IF(VLOOKUP(D609,Budget!A:B,2,FALSE)&lt;&gt;0,IF(G609=0,24,24-G609),0)</f>
        <v>24</v>
      </c>
      <c r="F609" s="17"/>
      <c r="G609" s="17"/>
      <c r="H609" s="86">
        <f>IF(E609=0,0,IF(M609="ja",(VLOOKUP(D609,Budget!A:F,6,FALSE)*(E609-(VLOOKUP(D609,Budget!A:F,3,FALSE)))),VLOOKUP($D609,Budget!$A$1:$F$19,6,FALSE)*E609))</f>
        <v>36960</v>
      </c>
      <c r="I609" s="86">
        <f>IF(F609=0,0,IF(M609="ja",((VLOOKUP(F609,Budget!A:F,6,FALSE)*(E609-(VLOOKUP(F609,Budget!A:F,3,FALSE))))),VLOOKUP($D609,Budget!A:F,5,FALSE)*E609))</f>
        <v>0</v>
      </c>
      <c r="J609" s="86">
        <f t="shared" si="39"/>
        <v>36960</v>
      </c>
      <c r="K609" s="18"/>
      <c r="L609" s="75"/>
      <c r="M609" s="76" t="str">
        <f t="shared" si="40"/>
        <v>nein</v>
      </c>
      <c r="N609">
        <f t="shared" si="41"/>
        <v>2022</v>
      </c>
    </row>
    <row r="610" spans="1:14" ht="15" hidden="1" thickBot="1" x14ac:dyDescent="0.35">
      <c r="A610" s="105">
        <f t="shared" si="38"/>
        <v>34</v>
      </c>
      <c r="B610" s="27">
        <v>44801</v>
      </c>
      <c r="C610" s="19" t="s">
        <v>9</v>
      </c>
      <c r="D610" s="20" t="s">
        <v>11</v>
      </c>
      <c r="E610" s="20">
        <f>IF(VLOOKUP(D610,Budget!A:B,2,FALSE)&lt;&gt;0,IF(G610=0,24,24-G610),0)</f>
        <v>24</v>
      </c>
      <c r="F610" s="20"/>
      <c r="G610" s="20"/>
      <c r="H610" s="93">
        <f>IF(E610=0,0,IF(M610="ja",(VLOOKUP(D610,Budget!A:F,6,FALSE)*(E610-(VLOOKUP(D610,Budget!A:F,3,FALSE)))),VLOOKUP($D610,Budget!$A$1:$F$19,6,FALSE)*E610))</f>
        <v>36960</v>
      </c>
      <c r="I610" s="93">
        <f>IF(F610=0,0,IF(M610="ja",((VLOOKUP(F610,Budget!A:F,6,FALSE)*(E610-(VLOOKUP(F610,Budget!A:F,3,FALSE))))),VLOOKUP($D610,Budget!A:F,5,FALSE)*E610))</f>
        <v>0</v>
      </c>
      <c r="J610" s="87">
        <f t="shared" si="39"/>
        <v>36960</v>
      </c>
      <c r="K610" s="21"/>
      <c r="L610" s="74"/>
      <c r="M610" s="77" t="str">
        <f t="shared" si="40"/>
        <v>nein</v>
      </c>
      <c r="N610">
        <f t="shared" si="41"/>
        <v>2022</v>
      </c>
    </row>
    <row r="611" spans="1:14" hidden="1" x14ac:dyDescent="0.3">
      <c r="A611" s="104">
        <f t="shared" si="38"/>
        <v>35</v>
      </c>
      <c r="B611" s="22">
        <v>44802</v>
      </c>
      <c r="C611" s="10" t="s">
        <v>3</v>
      </c>
      <c r="D611" s="12" t="s">
        <v>66</v>
      </c>
      <c r="E611" s="13">
        <f>IF(VLOOKUP(D611,Budget!A:B,2,FALSE)&lt;&gt;0,IF(G611=0,24,24-G611),0)</f>
        <v>24</v>
      </c>
      <c r="F611" s="13"/>
      <c r="G611" s="13"/>
      <c r="H611" s="85">
        <f>IF(E611=0,0,IF(M611="ja",(VLOOKUP(D611,Budget!A:F,6,FALSE)*(E611-(VLOOKUP(D611,Budget!A:F,3,FALSE)))),VLOOKUP($D611,Budget!$A$1:$F$19,6,FALSE)*E611))</f>
        <v>32328.172065231582</v>
      </c>
      <c r="I611" s="85">
        <f>IF(F611=0,0,IF(M611="ja",((VLOOKUP(F611,Budget!A:F,6,FALSE)*(E611-(VLOOKUP(F611,Budget!A:F,3,FALSE))))),VLOOKUP($D611,Budget!A:F,5,FALSE)*E611))</f>
        <v>0</v>
      </c>
      <c r="J611" s="85">
        <f t="shared" si="39"/>
        <v>32328.172065231582</v>
      </c>
      <c r="K611" s="15"/>
      <c r="L611" s="72"/>
      <c r="M611" s="80" t="str">
        <f t="shared" si="40"/>
        <v>ja</v>
      </c>
      <c r="N611">
        <f t="shared" si="41"/>
        <v>2022</v>
      </c>
    </row>
    <row r="612" spans="1:14" hidden="1" x14ac:dyDescent="0.3">
      <c r="A612" s="105">
        <f t="shared" si="38"/>
        <v>35</v>
      </c>
      <c r="B612" s="22">
        <v>44803</v>
      </c>
      <c r="C612" s="11" t="s">
        <v>4</v>
      </c>
      <c r="D612" s="12" t="s">
        <v>69</v>
      </c>
      <c r="E612" s="13">
        <f>IF(VLOOKUP(D612,Budget!A:B,2,FALSE)&lt;&gt;0,IF(G612=0,24,24-G612),0)</f>
        <v>24</v>
      </c>
      <c r="G612" s="13"/>
      <c r="H612" s="85">
        <f>IF(E612=0,0,IF(M612="ja",(VLOOKUP(D612,Budget!A:F,6,FALSE)*(E612-(VLOOKUP(D612,Budget!A:F,3,FALSE)))),VLOOKUP($D612,Budget!$A$1:$F$19,6,FALSE)*E612))</f>
        <v>38269.757143831848</v>
      </c>
      <c r="I612" s="85">
        <f>IF(F612=0,0,IF(M612="ja",((VLOOKUP(F612,Budget!A:F,6,FALSE)*(E612-(VLOOKUP(F612,Budget!A:F,3,FALSE))))),VLOOKUP($D612,Budget!A:F,5,FALSE)*E612))</f>
        <v>0</v>
      </c>
      <c r="J612" s="85">
        <f t="shared" si="39"/>
        <v>38269.757143831848</v>
      </c>
      <c r="K612" s="14"/>
      <c r="L612" s="73"/>
      <c r="M612" s="80" t="str">
        <f t="shared" si="40"/>
        <v>ja</v>
      </c>
      <c r="N612">
        <f t="shared" si="41"/>
        <v>2022</v>
      </c>
    </row>
    <row r="613" spans="1:14" hidden="1" x14ac:dyDescent="0.3">
      <c r="A613" s="105">
        <f t="shared" si="38"/>
        <v>35</v>
      </c>
      <c r="B613" s="22">
        <v>44804</v>
      </c>
      <c r="C613" s="11" t="s">
        <v>5</v>
      </c>
      <c r="D613" s="12" t="s">
        <v>69</v>
      </c>
      <c r="E613" s="13">
        <f>IF(VLOOKUP(D613,Budget!A:B,2,FALSE)&lt;&gt;0,IF(G613=0,24,24-G613),0)</f>
        <v>24</v>
      </c>
      <c r="G613" s="13"/>
      <c r="H613" s="85">
        <f>IF(E613=0,0,IF(M613="ja",(VLOOKUP(D613,Budget!A:F,6,FALSE)*(E613-(VLOOKUP(D613,Budget!A:F,3,FALSE)))),VLOOKUP($D613,Budget!$A$1:$F$19,6,FALSE)*E613))</f>
        <v>42919.35380616656</v>
      </c>
      <c r="I613" s="85">
        <f>IF(F613=0,0,IF(M613="ja",((VLOOKUP(F613,Budget!A:F,6,FALSE)*(E613-(VLOOKUP(F613,Budget!A:F,3,FALSE))))),VLOOKUP($D613,Budget!A:F,5,FALSE)*E613))</f>
        <v>0</v>
      </c>
      <c r="J613" s="85">
        <f t="shared" si="39"/>
        <v>42919.35380616656</v>
      </c>
      <c r="K613" s="14"/>
      <c r="L613" s="73"/>
      <c r="M613" s="80" t="str">
        <f t="shared" si="40"/>
        <v>nein</v>
      </c>
      <c r="N613">
        <f t="shared" si="41"/>
        <v>2022</v>
      </c>
    </row>
    <row r="614" spans="1:14" hidden="1" x14ac:dyDescent="0.3">
      <c r="A614" s="103">
        <f t="shared" si="38"/>
        <v>35</v>
      </c>
      <c r="B614" s="22">
        <v>44805</v>
      </c>
      <c r="C614" s="11" t="s">
        <v>6</v>
      </c>
      <c r="D614" s="12" t="s">
        <v>18</v>
      </c>
      <c r="E614" s="13">
        <f>IF(VLOOKUP(D614,Budget!A:B,2,FALSE)&lt;&gt;0,IF(G614=0,24,24-G614),0)</f>
        <v>24</v>
      </c>
      <c r="G614" s="13"/>
      <c r="H614" s="85">
        <f>IF(E614=0,0,IF(M614="ja",(VLOOKUP(D614,Budget!A:F,6,FALSE)*(E614-(VLOOKUP(D614,Budget!A:F,3,FALSE)))),VLOOKUP($D614,Budget!$A$1:$F$19,6,FALSE)*E614))</f>
        <v>25200</v>
      </c>
      <c r="I614" s="85">
        <f>IF(F614=0,0,IF(M614="ja",((VLOOKUP(F614,Budget!A:F,6,FALSE)*(E614-(VLOOKUP(F614,Budget!A:F,3,FALSE))))),VLOOKUP($D614,Budget!A:F,5,FALSE)*E614))</f>
        <v>0</v>
      </c>
      <c r="J614" s="85">
        <f t="shared" si="39"/>
        <v>25200</v>
      </c>
      <c r="K614" s="14"/>
      <c r="L614" s="73"/>
      <c r="M614" s="80" t="str">
        <f t="shared" si="40"/>
        <v>ja</v>
      </c>
      <c r="N614">
        <f t="shared" si="41"/>
        <v>2022</v>
      </c>
    </row>
    <row r="615" spans="1:14" hidden="1" x14ac:dyDescent="0.3">
      <c r="A615" s="105">
        <f t="shared" si="38"/>
        <v>35</v>
      </c>
      <c r="B615" s="22">
        <v>44806</v>
      </c>
      <c r="C615" s="11" t="s">
        <v>7</v>
      </c>
      <c r="D615" s="12" t="s">
        <v>30</v>
      </c>
      <c r="E615" s="13">
        <f>IF(VLOOKUP(D615,Budget!A:B,2,FALSE)&lt;&gt;0,IF(G615=0,24,24-G615),0)</f>
        <v>0</v>
      </c>
      <c r="G615" s="13"/>
      <c r="H615" s="85">
        <f>IF(E615=0,0,IF(M615="ja",(VLOOKUP(D615,Budget!A:F,6,FALSE)*(E615-(VLOOKUP(D615,Budget!A:F,3,FALSE)))),VLOOKUP($D615,Budget!$A$1:$F$19,6,FALSE)*E615))</f>
        <v>0</v>
      </c>
      <c r="I615" s="85">
        <f>IF(F615=0,0,IF(M615="ja",((VLOOKUP(F615,Budget!A:F,6,FALSE)*(E615-(VLOOKUP(F615,Budget!A:F,3,FALSE))))),VLOOKUP($D615,Budget!A:F,5,FALSE)*E615))</f>
        <v>0</v>
      </c>
      <c r="J615" s="85">
        <f t="shared" si="39"/>
        <v>0</v>
      </c>
      <c r="K615" s="14"/>
      <c r="L615" s="25"/>
      <c r="M615" s="80" t="str">
        <f t="shared" si="40"/>
        <v>nein</v>
      </c>
      <c r="N615">
        <f t="shared" si="41"/>
        <v>2022</v>
      </c>
    </row>
    <row r="616" spans="1:14" hidden="1" x14ac:dyDescent="0.3">
      <c r="A616" s="105">
        <f t="shared" si="38"/>
        <v>35</v>
      </c>
      <c r="B616" s="22">
        <v>44807</v>
      </c>
      <c r="C616" s="16" t="s">
        <v>8</v>
      </c>
      <c r="D616" s="17" t="s">
        <v>69</v>
      </c>
      <c r="E616" s="24">
        <f>IF(VLOOKUP(D616,Budget!A:B,2,FALSE)&lt;&gt;0,IF(G616=0,24,24-G616),0)</f>
        <v>24</v>
      </c>
      <c r="F616" s="17"/>
      <c r="G616" s="17"/>
      <c r="H616" s="86">
        <f>IF(E616=0,0,IF(M616="ja",(VLOOKUP(D616,Budget!A:F,6,FALSE)*(E616-(VLOOKUP(D616,Budget!A:F,3,FALSE)))),VLOOKUP($D616,Budget!$A$1:$F$19,6,FALSE)*E616))</f>
        <v>38269.757143831848</v>
      </c>
      <c r="I616" s="86">
        <f>IF(F616=0,0,IF(M616="ja",((VLOOKUP(F616,Budget!A:F,6,FALSE)*(E616-(VLOOKUP(F616,Budget!A:F,3,FALSE))))),VLOOKUP($D616,Budget!A:F,5,FALSE)*E616))</f>
        <v>0</v>
      </c>
      <c r="J616" s="86">
        <f t="shared" si="39"/>
        <v>38269.757143831848</v>
      </c>
      <c r="K616" s="18"/>
      <c r="L616" s="75"/>
      <c r="M616" s="76" t="str">
        <f t="shared" si="40"/>
        <v>ja</v>
      </c>
      <c r="N616">
        <f t="shared" si="41"/>
        <v>2022</v>
      </c>
    </row>
    <row r="617" spans="1:14" ht="15" hidden="1" thickBot="1" x14ac:dyDescent="0.35">
      <c r="A617" s="105">
        <f t="shared" si="38"/>
        <v>35</v>
      </c>
      <c r="B617" s="27">
        <v>44808</v>
      </c>
      <c r="C617" s="19" t="s">
        <v>9</v>
      </c>
      <c r="D617" s="20" t="s">
        <v>69</v>
      </c>
      <c r="E617" s="20">
        <v>14</v>
      </c>
      <c r="F617" s="20"/>
      <c r="G617" s="20"/>
      <c r="H617" s="93">
        <f>IF(E617=0,0,IF(M617="ja",(VLOOKUP(D617,Budget!A:F,6,FALSE)*(E617-(VLOOKUP(D617,Budget!A:F,3,FALSE)))),VLOOKUP($D617,Budget!$A$1:$F$19,6,FALSE)*E617))</f>
        <v>20386.693057929118</v>
      </c>
      <c r="I617" s="93">
        <f>IF(F617=0,0,IF(M617="ja",((VLOOKUP(F617,Budget!A:F,6,FALSE)*(E617-(VLOOKUP(F617,Budget!A:F,3,FALSE))))),VLOOKUP($D617,Budget!A:F,5,FALSE)*E617))</f>
        <v>0</v>
      </c>
      <c r="J617" s="87">
        <f t="shared" si="39"/>
        <v>20386.693057929118</v>
      </c>
      <c r="K617" s="21"/>
      <c r="L617" s="74"/>
      <c r="M617" s="77" t="str">
        <f t="shared" si="40"/>
        <v>ja</v>
      </c>
      <c r="N617">
        <f t="shared" si="41"/>
        <v>2022</v>
      </c>
    </row>
    <row r="618" spans="1:14" hidden="1" x14ac:dyDescent="0.3">
      <c r="A618" s="104">
        <f t="shared" si="38"/>
        <v>36</v>
      </c>
      <c r="B618" s="22">
        <v>44809</v>
      </c>
      <c r="C618" s="10" t="s">
        <v>3</v>
      </c>
      <c r="D618" s="12" t="s">
        <v>29</v>
      </c>
      <c r="E618" s="13">
        <f>IF(VLOOKUP(D618,Budget!A:B,2,FALSE)&lt;&gt;0,IF(G618=0,24,24-G618),0)</f>
        <v>0</v>
      </c>
      <c r="F618" s="13"/>
      <c r="G618" s="13"/>
      <c r="H618" s="85">
        <f>IF(E618=0,0,IF(M618="ja",(VLOOKUP(D618,Budget!A:F,6,FALSE)*(E618-(VLOOKUP(D618,Budget!A:F,3,FALSE)))),VLOOKUP($D618,Budget!$A$1:$F$19,6,FALSE)*E618))</f>
        <v>0</v>
      </c>
      <c r="I618" s="85">
        <f>IF(F618=0,0,IF(M618="ja",((VLOOKUP(F618,Budget!A:F,6,FALSE)*(E618-(VLOOKUP(F618,Budget!A:F,3,FALSE))))),VLOOKUP($D618,Budget!A:F,5,FALSE)*E618))</f>
        <v>0</v>
      </c>
      <c r="J618" s="85">
        <f t="shared" si="39"/>
        <v>0</v>
      </c>
      <c r="K618" s="15"/>
      <c r="L618" s="72"/>
      <c r="M618" s="80" t="str">
        <f t="shared" si="40"/>
        <v>nein</v>
      </c>
      <c r="N618">
        <f t="shared" si="41"/>
        <v>2022</v>
      </c>
    </row>
    <row r="619" spans="1:14" hidden="1" x14ac:dyDescent="0.3">
      <c r="A619" s="105">
        <f t="shared" si="38"/>
        <v>36</v>
      </c>
      <c r="B619" s="22">
        <v>44810</v>
      </c>
      <c r="C619" s="11" t="s">
        <v>4</v>
      </c>
      <c r="D619" s="12" t="s">
        <v>29</v>
      </c>
      <c r="E619" s="13">
        <f>IF(VLOOKUP(D619,Budget!A:B,2,FALSE)&lt;&gt;0,IF(G619=0,24,24-G619),0)</f>
        <v>0</v>
      </c>
      <c r="G619" s="13"/>
      <c r="H619" s="85">
        <f>IF(E619=0,0,IF(M619="ja",(VLOOKUP(D619,Budget!A:F,6,FALSE)*(E619-(VLOOKUP(D619,Budget!A:F,3,FALSE)))),VLOOKUP($D619,Budget!$A$1:$F$19,6,FALSE)*E619))</f>
        <v>0</v>
      </c>
      <c r="I619" s="85">
        <f>IF(F619=0,0,IF(M619="ja",((VLOOKUP(F619,Budget!A:F,6,FALSE)*(E619-(VLOOKUP(F619,Budget!A:F,3,FALSE))))),VLOOKUP($D619,Budget!A:F,5,FALSE)*E619))</f>
        <v>0</v>
      </c>
      <c r="J619" s="85">
        <f t="shared" si="39"/>
        <v>0</v>
      </c>
      <c r="K619" s="14"/>
      <c r="L619" s="73" t="s">
        <v>114</v>
      </c>
      <c r="M619" s="80" t="str">
        <f t="shared" si="40"/>
        <v>nein</v>
      </c>
      <c r="N619">
        <f t="shared" si="41"/>
        <v>2022</v>
      </c>
    </row>
    <row r="620" spans="1:14" hidden="1" x14ac:dyDescent="0.3">
      <c r="A620" s="105">
        <f t="shared" si="38"/>
        <v>36</v>
      </c>
      <c r="B620" s="22">
        <v>44811</v>
      </c>
      <c r="C620" s="11" t="s">
        <v>5</v>
      </c>
      <c r="D620" s="12" t="s">
        <v>30</v>
      </c>
      <c r="E620" s="13">
        <f>IF(VLOOKUP(D620,Budget!A:B,2,FALSE)&lt;&gt;0,IF(G620=0,24,24-G620),0)</f>
        <v>0</v>
      </c>
      <c r="G620" s="13"/>
      <c r="H620" s="85">
        <f>IF(E620=0,0,IF(M620="ja",(VLOOKUP(D620,Budget!A:F,6,FALSE)*(E620-(VLOOKUP(D620,Budget!A:F,3,FALSE)))),VLOOKUP($D620,Budget!$A$1:$F$19,6,FALSE)*E620))</f>
        <v>0</v>
      </c>
      <c r="I620" s="85">
        <f>IF(F620=0,0,IF(M620="ja",((VLOOKUP(F620,Budget!A:F,6,FALSE)*(E620-(VLOOKUP(F620,Budget!A:F,3,FALSE))))),VLOOKUP($D620,Budget!A:F,5,FALSE)*E620))</f>
        <v>0</v>
      </c>
      <c r="J620" s="85">
        <f t="shared" si="39"/>
        <v>0</v>
      </c>
      <c r="K620" s="14"/>
      <c r="L620" s="73" t="s">
        <v>114</v>
      </c>
      <c r="M620" s="80" t="str">
        <f t="shared" si="40"/>
        <v>nein</v>
      </c>
      <c r="N620">
        <f t="shared" si="41"/>
        <v>2022</v>
      </c>
    </row>
    <row r="621" spans="1:14" hidden="1" x14ac:dyDescent="0.3">
      <c r="A621" s="103">
        <f t="shared" si="38"/>
        <v>36</v>
      </c>
      <c r="B621" s="22">
        <v>44812</v>
      </c>
      <c r="C621" s="11" t="s">
        <v>6</v>
      </c>
      <c r="D621" s="12" t="s">
        <v>29</v>
      </c>
      <c r="E621" s="13">
        <f>IF(VLOOKUP(D621,Budget!A:B,2,FALSE)&lt;&gt;0,IF(G621=0,24,24-G621),0)</f>
        <v>0</v>
      </c>
      <c r="G621" s="13"/>
      <c r="H621" s="85">
        <f>IF(E621=0,0,IF(M621="ja",(VLOOKUP(D621,Budget!A:F,6,FALSE)*(E621-(VLOOKUP(D621,Budget!A:F,3,FALSE)))),VLOOKUP($D621,Budget!$A$1:$F$19,6,FALSE)*E621))</f>
        <v>0</v>
      </c>
      <c r="I621" s="85">
        <f>IF(F621=0,0,IF(M621="ja",((VLOOKUP(F621,Budget!A:F,6,FALSE)*(E621-(VLOOKUP(F621,Budget!A:F,3,FALSE))))),VLOOKUP($D621,Budget!A:F,5,FALSE)*E621))</f>
        <v>0</v>
      </c>
      <c r="J621" s="85">
        <f t="shared" si="39"/>
        <v>0</v>
      </c>
      <c r="K621" s="14"/>
      <c r="L621" s="73" t="s">
        <v>115</v>
      </c>
      <c r="M621" s="80" t="str">
        <f t="shared" si="40"/>
        <v>nein</v>
      </c>
      <c r="N621">
        <f t="shared" si="41"/>
        <v>2022</v>
      </c>
    </row>
    <row r="622" spans="1:14" hidden="1" x14ac:dyDescent="0.3">
      <c r="A622" s="105">
        <f t="shared" si="38"/>
        <v>36</v>
      </c>
      <c r="B622" s="22">
        <v>44813</v>
      </c>
      <c r="C622" s="11" t="s">
        <v>7</v>
      </c>
      <c r="D622" s="12" t="s">
        <v>29</v>
      </c>
      <c r="E622" s="13">
        <f>IF(VLOOKUP(D622,Budget!A:B,2,FALSE)&lt;&gt;0,IF(G622=0,24,24-G622),0)</f>
        <v>0</v>
      </c>
      <c r="G622" s="13"/>
      <c r="H622" s="85">
        <f>IF(E622=0,0,IF(M622="ja",(VLOOKUP(D622,Budget!A:F,6,FALSE)*(E622-(VLOOKUP(D622,Budget!A:F,3,FALSE)))),VLOOKUP($D622,Budget!$A$1:$F$19,6,FALSE)*E622))</f>
        <v>0</v>
      </c>
      <c r="I622" s="85">
        <f>IF(F622=0,0,IF(M622="ja",((VLOOKUP(F622,Budget!A:F,6,FALSE)*(E622-(VLOOKUP(F622,Budget!A:F,3,FALSE))))),VLOOKUP($D622,Budget!A:F,5,FALSE)*E622))</f>
        <v>0</v>
      </c>
      <c r="J622" s="85">
        <f t="shared" si="39"/>
        <v>0</v>
      </c>
      <c r="K622" s="14"/>
      <c r="L622" s="25" t="s">
        <v>116</v>
      </c>
      <c r="M622" s="80" t="str">
        <f t="shared" si="40"/>
        <v>nein</v>
      </c>
      <c r="N622">
        <f t="shared" si="41"/>
        <v>2022</v>
      </c>
    </row>
    <row r="623" spans="1:14" hidden="1" x14ac:dyDescent="0.3">
      <c r="A623" s="105">
        <f t="shared" si="38"/>
        <v>36</v>
      </c>
      <c r="B623" s="22">
        <v>44814</v>
      </c>
      <c r="C623" s="16" t="s">
        <v>8</v>
      </c>
      <c r="D623" s="17" t="s">
        <v>29</v>
      </c>
      <c r="E623" s="24">
        <f>IF(VLOOKUP(D623,Budget!A:B,2,FALSE)&lt;&gt;0,IF(G623=0,24,24-G623),0)</f>
        <v>0</v>
      </c>
      <c r="F623" s="17"/>
      <c r="G623" s="17"/>
      <c r="H623" s="86">
        <f>IF(E623=0,0,IF(M623="ja",(VLOOKUP(D623,Budget!A:F,6,FALSE)*(E623-(VLOOKUP(D623,Budget!A:F,3,FALSE)))),VLOOKUP($D623,Budget!$A$1:$F$19,6,FALSE)*E623))</f>
        <v>0</v>
      </c>
      <c r="I623" s="86">
        <f>IF(F623=0,0,IF(M623="ja",((VLOOKUP(F623,Budget!A:F,6,FALSE)*(E623-(VLOOKUP(F623,Budget!A:F,3,FALSE))))),VLOOKUP($D623,Budget!A:F,5,FALSE)*E623))</f>
        <v>0</v>
      </c>
      <c r="J623" s="86">
        <f t="shared" si="39"/>
        <v>0</v>
      </c>
      <c r="K623" s="18"/>
      <c r="L623" s="96" t="s">
        <v>117</v>
      </c>
      <c r="M623" s="76" t="str">
        <f t="shared" si="40"/>
        <v>nein</v>
      </c>
      <c r="N623">
        <f t="shared" si="41"/>
        <v>2022</v>
      </c>
    </row>
    <row r="624" spans="1:14" ht="15" hidden="1" thickBot="1" x14ac:dyDescent="0.35">
      <c r="A624" s="105">
        <f t="shared" si="38"/>
        <v>36</v>
      </c>
      <c r="B624" s="27">
        <v>44815</v>
      </c>
      <c r="C624" s="19" t="s">
        <v>9</v>
      </c>
      <c r="D624" s="20" t="s">
        <v>29</v>
      </c>
      <c r="E624" s="20">
        <f>IF(VLOOKUP(D624,Budget!A:B,2,FALSE)&lt;&gt;0,IF(G624=0,24,24-G624),0)</f>
        <v>0</v>
      </c>
      <c r="F624" s="20"/>
      <c r="G624" s="20"/>
      <c r="H624" s="93">
        <f>IF(E624=0,0,IF(M624="ja",(VLOOKUP(D624,Budget!A:F,6,FALSE)*(E624-(VLOOKUP(D624,Budget!A:F,3,FALSE)))),VLOOKUP($D624,Budget!$A$1:$F$19,6,FALSE)*E624))</f>
        <v>0</v>
      </c>
      <c r="I624" s="93">
        <f>IF(F624=0,0,IF(M624="ja",((VLOOKUP(F624,Budget!A:F,6,FALSE)*(E624-(VLOOKUP(F624,Budget!A:F,3,FALSE))))),VLOOKUP($D624,Budget!A:F,5,FALSE)*E624))</f>
        <v>0</v>
      </c>
      <c r="J624" s="87">
        <f t="shared" si="39"/>
        <v>0</v>
      </c>
      <c r="K624" s="21"/>
      <c r="L624" s="99" t="s">
        <v>117</v>
      </c>
      <c r="M624" s="77" t="str">
        <f t="shared" si="40"/>
        <v>nein</v>
      </c>
      <c r="N624">
        <f t="shared" si="41"/>
        <v>2022</v>
      </c>
    </row>
    <row r="625" spans="1:14" hidden="1" x14ac:dyDescent="0.3">
      <c r="A625" s="104">
        <f t="shared" si="38"/>
        <v>37</v>
      </c>
      <c r="B625" s="22">
        <v>44816</v>
      </c>
      <c r="C625" s="10" t="s">
        <v>3</v>
      </c>
      <c r="D625" s="12" t="s">
        <v>29</v>
      </c>
      <c r="E625" s="13">
        <f>IF(VLOOKUP(D625,Budget!A:B,2,FALSE)&lt;&gt;0,IF(G625=0,24,24-G625),0)</f>
        <v>0</v>
      </c>
      <c r="F625" s="13"/>
      <c r="G625" s="13"/>
      <c r="H625" s="85">
        <f>IF(E625=0,0,IF(M625="ja",(VLOOKUP(D625,Budget!A:F,6,FALSE)*(E625-(VLOOKUP(D625,Budget!A:F,3,FALSE)))),VLOOKUP($D625,Budget!$A$1:$F$19,6,FALSE)*E625))</f>
        <v>0</v>
      </c>
      <c r="I625" s="85">
        <f>IF(F625=0,0,IF(M625="ja",((VLOOKUP(F625,Budget!A:F,6,FALSE)*(E625-(VLOOKUP(F625,Budget!A:F,3,FALSE))))),VLOOKUP($D625,Budget!A:F,5,FALSE)*E625))</f>
        <v>0</v>
      </c>
      <c r="J625" s="85">
        <f t="shared" si="39"/>
        <v>0</v>
      </c>
      <c r="K625" s="15"/>
      <c r="L625" s="72" t="s">
        <v>117</v>
      </c>
      <c r="M625" s="80" t="str">
        <f t="shared" si="40"/>
        <v>nein</v>
      </c>
      <c r="N625">
        <f t="shared" si="41"/>
        <v>2022</v>
      </c>
    </row>
    <row r="626" spans="1:14" hidden="1" x14ac:dyDescent="0.3">
      <c r="A626" s="105">
        <f t="shared" si="38"/>
        <v>37</v>
      </c>
      <c r="B626" s="22">
        <v>44817</v>
      </c>
      <c r="C626" s="11" t="s">
        <v>4</v>
      </c>
      <c r="D626" s="12" t="s">
        <v>29</v>
      </c>
      <c r="E626" s="13">
        <f>IF(VLOOKUP(D626,Budget!A:B,2,FALSE)&lt;&gt;0,IF(G626=0,24,24-G626),0)</f>
        <v>0</v>
      </c>
      <c r="G626" s="13"/>
      <c r="H626" s="85">
        <f>IF(E626=0,0,IF(M626="ja",(VLOOKUP(D626,Budget!A:F,6,FALSE)*(E626-(VLOOKUP(D626,Budget!A:F,3,FALSE)))),VLOOKUP($D626,Budget!$A$1:$F$19,6,FALSE)*E626))</f>
        <v>0</v>
      </c>
      <c r="I626" s="85">
        <f>IF(F626=0,0,IF(M626="ja",((VLOOKUP(F626,Budget!A:F,6,FALSE)*(E626-(VLOOKUP(F626,Budget!A:F,3,FALSE))))),VLOOKUP($D626,Budget!A:F,5,FALSE)*E626))</f>
        <v>0</v>
      </c>
      <c r="J626" s="85">
        <f t="shared" si="39"/>
        <v>0</v>
      </c>
      <c r="K626" s="14"/>
      <c r="L626" s="97" t="s">
        <v>117</v>
      </c>
      <c r="M626" s="80" t="str">
        <f t="shared" si="40"/>
        <v>nein</v>
      </c>
      <c r="N626">
        <f t="shared" si="41"/>
        <v>2022</v>
      </c>
    </row>
    <row r="627" spans="1:14" hidden="1" x14ac:dyDescent="0.3">
      <c r="A627" s="105">
        <f t="shared" ref="A627:A690" si="42">_xlfn.ISOWEEKNUM(B627)</f>
        <v>37</v>
      </c>
      <c r="B627" s="22">
        <v>44818</v>
      </c>
      <c r="C627" s="11" t="s">
        <v>5</v>
      </c>
      <c r="D627" s="12" t="s">
        <v>29</v>
      </c>
      <c r="E627" s="13">
        <f>IF(VLOOKUP(D627,Budget!A:B,2,FALSE)&lt;&gt;0,IF(G627=0,24,24-G627),0)</f>
        <v>0</v>
      </c>
      <c r="G627" s="13"/>
      <c r="H627" s="85">
        <f>IF(E627=0,0,IF(M627="ja",(VLOOKUP(D627,Budget!A:F,6,FALSE)*(E627-(VLOOKUP(D627,Budget!A:F,3,FALSE)))),VLOOKUP($D627,Budget!$A$1:$F$19,6,FALSE)*E627))</f>
        <v>0</v>
      </c>
      <c r="I627" s="85">
        <f>IF(F627=0,0,IF(M627="ja",((VLOOKUP(F627,Budget!A:F,6,FALSE)*(E627-(VLOOKUP(F627,Budget!A:F,3,FALSE))))),VLOOKUP($D627,Budget!A:F,5,FALSE)*E627))</f>
        <v>0</v>
      </c>
      <c r="J627" s="85">
        <f t="shared" ref="J627:J690" si="43">H627+I627</f>
        <v>0</v>
      </c>
      <c r="K627" s="14"/>
      <c r="L627" s="97" t="s">
        <v>117</v>
      </c>
      <c r="M627" s="80" t="str">
        <f t="shared" ref="M627:M690" si="44">IF(E627=0,"nein",IF(OR(E627&lt;&gt;24,F626&lt;&gt;0,D627&lt;&gt;D626),"ja","nein"))</f>
        <v>nein</v>
      </c>
      <c r="N627">
        <f t="shared" si="41"/>
        <v>2022</v>
      </c>
    </row>
    <row r="628" spans="1:14" hidden="1" x14ac:dyDescent="0.3">
      <c r="A628" s="103">
        <f t="shared" si="42"/>
        <v>37</v>
      </c>
      <c r="B628" s="22">
        <v>44819</v>
      </c>
      <c r="C628" s="11" t="s">
        <v>6</v>
      </c>
      <c r="D628" s="12" t="s">
        <v>29</v>
      </c>
      <c r="E628" s="13">
        <f>IF(VLOOKUP(D628,Budget!A:B,2,FALSE)&lt;&gt;0,IF(G628=0,24,24-G628),0)</f>
        <v>0</v>
      </c>
      <c r="G628" s="13"/>
      <c r="H628" s="85">
        <f>IF(E628=0,0,IF(M628="ja",(VLOOKUP(D628,Budget!A:F,6,FALSE)*(E628-(VLOOKUP(D628,Budget!A:F,3,FALSE)))),VLOOKUP($D628,Budget!$A$1:$F$19,6,FALSE)*E628))</f>
        <v>0</v>
      </c>
      <c r="I628" s="85">
        <f>IF(F628=0,0,IF(M628="ja",((VLOOKUP(F628,Budget!A:F,6,FALSE)*(E628-(VLOOKUP(F628,Budget!A:F,3,FALSE))))),VLOOKUP($D628,Budget!A:F,5,FALSE)*E628))</f>
        <v>0</v>
      </c>
      <c r="J628" s="85">
        <f t="shared" si="43"/>
        <v>0</v>
      </c>
      <c r="K628" s="14"/>
      <c r="L628" s="97" t="s">
        <v>117</v>
      </c>
      <c r="M628" s="80" t="str">
        <f t="shared" si="44"/>
        <v>nein</v>
      </c>
      <c r="N628">
        <f t="shared" si="41"/>
        <v>2022</v>
      </c>
    </row>
    <row r="629" spans="1:14" hidden="1" x14ac:dyDescent="0.3">
      <c r="A629" s="105">
        <f t="shared" si="42"/>
        <v>37</v>
      </c>
      <c r="B629" s="22">
        <v>44820</v>
      </c>
      <c r="C629" s="11" t="s">
        <v>7</v>
      </c>
      <c r="D629" s="12" t="s">
        <v>29</v>
      </c>
      <c r="E629" s="13">
        <f>IF(VLOOKUP(D629,Budget!A:B,2,FALSE)&lt;&gt;0,IF(G629=0,24,24-G629),0)</f>
        <v>0</v>
      </c>
      <c r="G629" s="13"/>
      <c r="H629" s="85">
        <f>IF(E629=0,0,IF(M629="ja",(VLOOKUP(D629,Budget!A:F,6,FALSE)*(E629-(VLOOKUP(D629,Budget!A:F,3,FALSE)))),VLOOKUP($D629,Budget!$A$1:$F$19,6,FALSE)*E629))</f>
        <v>0</v>
      </c>
      <c r="I629" s="85">
        <f>IF(F629=0,0,IF(M629="ja",((VLOOKUP(F629,Budget!A:F,6,FALSE)*(E629-(VLOOKUP(F629,Budget!A:F,3,FALSE))))),VLOOKUP($D629,Budget!A:F,5,FALSE)*E629))</f>
        <v>0</v>
      </c>
      <c r="J629" s="85">
        <f t="shared" si="43"/>
        <v>0</v>
      </c>
      <c r="K629" s="14"/>
      <c r="L629" s="98" t="s">
        <v>117</v>
      </c>
      <c r="M629" s="80" t="str">
        <f t="shared" si="44"/>
        <v>nein</v>
      </c>
      <c r="N629">
        <f t="shared" si="41"/>
        <v>2022</v>
      </c>
    </row>
    <row r="630" spans="1:14" hidden="1" x14ac:dyDescent="0.3">
      <c r="A630" s="105">
        <f t="shared" si="42"/>
        <v>37</v>
      </c>
      <c r="B630" s="22">
        <v>44821</v>
      </c>
      <c r="C630" s="16" t="s">
        <v>8</v>
      </c>
      <c r="D630" s="17" t="s">
        <v>69</v>
      </c>
      <c r="E630" s="24">
        <f>IF(VLOOKUP(D630,Budget!A:B,2,FALSE)&lt;&gt;0,IF(G630=0,24,24-G630),0)</f>
        <v>24</v>
      </c>
      <c r="F630" s="17"/>
      <c r="G630" s="17"/>
      <c r="H630" s="86">
        <f>IF(E630=0,0,IF(M630="ja",(VLOOKUP(D630,Budget!A:F,6,FALSE)*(E630-(VLOOKUP(D630,Budget!A:F,3,FALSE)))),VLOOKUP($D630,Budget!$A$1:$F$19,6,FALSE)*E630))</f>
        <v>38269.757143831848</v>
      </c>
      <c r="I630" s="86">
        <f>IF(F630=0,0,IF(M630="ja",((VLOOKUP(F630,Budget!A:F,6,FALSE)*(E630-(VLOOKUP(F630,Budget!A:F,3,FALSE))))),VLOOKUP($D630,Budget!A:F,5,FALSE)*E630))</f>
        <v>0</v>
      </c>
      <c r="J630" s="86">
        <f t="shared" si="43"/>
        <v>38269.757143831848</v>
      </c>
      <c r="K630" s="18"/>
      <c r="L630" s="75"/>
      <c r="M630" s="76" t="str">
        <f t="shared" si="44"/>
        <v>ja</v>
      </c>
      <c r="N630">
        <f t="shared" si="41"/>
        <v>2022</v>
      </c>
    </row>
    <row r="631" spans="1:14" ht="15" hidden="1" thickBot="1" x14ac:dyDescent="0.35">
      <c r="A631" s="105">
        <f t="shared" si="42"/>
        <v>37</v>
      </c>
      <c r="B631" s="27">
        <v>44822</v>
      </c>
      <c r="C631" s="19" t="s">
        <v>9</v>
      </c>
      <c r="D631" s="20" t="s">
        <v>69</v>
      </c>
      <c r="E631" s="20">
        <f>IF(VLOOKUP(D631,Budget!A:B,2,FALSE)&lt;&gt;0,IF(G631=0,24,24-G631),0)</f>
        <v>24</v>
      </c>
      <c r="F631" s="20"/>
      <c r="G631" s="20"/>
      <c r="H631" s="93">
        <f>IF(E631=0,0,IF(M631="ja",(VLOOKUP(D631,Budget!A:F,6,FALSE)*(E631-(VLOOKUP(D631,Budget!A:F,3,FALSE)))),VLOOKUP($D631,Budget!$A$1:$F$19,6,FALSE)*E631))</f>
        <v>42919.35380616656</v>
      </c>
      <c r="I631" s="93">
        <f>IF(F631=0,0,IF(M631="ja",((VLOOKUP(F631,Budget!A:F,6,FALSE)*(E631-(VLOOKUP(F631,Budget!A:F,3,FALSE))))),VLOOKUP($D631,Budget!A:F,5,FALSE)*E631))</f>
        <v>0</v>
      </c>
      <c r="J631" s="87">
        <f t="shared" si="43"/>
        <v>42919.35380616656</v>
      </c>
      <c r="K631" s="21"/>
      <c r="L631" s="74"/>
      <c r="M631" s="77" t="str">
        <f t="shared" si="44"/>
        <v>nein</v>
      </c>
      <c r="N631">
        <f t="shared" si="41"/>
        <v>2022</v>
      </c>
    </row>
    <row r="632" spans="1:14" hidden="1" x14ac:dyDescent="0.3">
      <c r="A632" s="104">
        <f t="shared" si="42"/>
        <v>38</v>
      </c>
      <c r="B632" s="22">
        <v>44823</v>
      </c>
      <c r="C632" s="10" t="s">
        <v>3</v>
      </c>
      <c r="D632" s="12" t="s">
        <v>12</v>
      </c>
      <c r="E632" s="13">
        <f>IF(VLOOKUP(D632,Budget!A:B,2,FALSE)&lt;&gt;0,IF(G632=0,24,24-G632),0)</f>
        <v>24</v>
      </c>
      <c r="F632" s="13"/>
      <c r="G632" s="13"/>
      <c r="H632" s="85">
        <f>IF(E632=0,0,IF(M632="ja",(VLOOKUP(D632,Budget!A:F,6,FALSE)*(E632-(VLOOKUP(D632,Budget!A:F,3,FALSE)))),VLOOKUP($D632,Budget!$A$1:$F$19,6,FALSE)*E632))</f>
        <v>27720</v>
      </c>
      <c r="I632" s="85">
        <f>IF(F632=0,0,IF(M632="ja",((VLOOKUP(F632,Budget!A:F,6,FALSE)*(E632-(VLOOKUP(F632,Budget!A:F,3,FALSE))))),VLOOKUP($D632,Budget!A:F,5,FALSE)*E632))</f>
        <v>0</v>
      </c>
      <c r="J632" s="85">
        <f t="shared" si="43"/>
        <v>27720</v>
      </c>
      <c r="K632" s="15"/>
      <c r="L632" s="72"/>
      <c r="M632" s="80" t="str">
        <f t="shared" si="44"/>
        <v>ja</v>
      </c>
      <c r="N632">
        <f t="shared" si="41"/>
        <v>2022</v>
      </c>
    </row>
    <row r="633" spans="1:14" hidden="1" x14ac:dyDescent="0.3">
      <c r="A633" s="105">
        <f t="shared" si="42"/>
        <v>38</v>
      </c>
      <c r="B633" s="22">
        <v>44824</v>
      </c>
      <c r="C633" s="11" t="s">
        <v>4</v>
      </c>
      <c r="D633" s="12" t="s">
        <v>12</v>
      </c>
      <c r="E633" s="13">
        <f>IF(VLOOKUP(D633,Budget!A:B,2,FALSE)&lt;&gt;0,IF(G633=0,24,24-G633),0)</f>
        <v>24</v>
      </c>
      <c r="G633" s="13"/>
      <c r="H633" s="85">
        <f>IF(E633=0,0,IF(M633="ja",(VLOOKUP(D633,Budget!A:F,6,FALSE)*(E633-(VLOOKUP(D633,Budget!A:F,3,FALSE)))),VLOOKUP($D633,Budget!$A$1:$F$19,6,FALSE)*E633))</f>
        <v>36960</v>
      </c>
      <c r="I633" s="85">
        <f>IF(F633=0,0,IF(M633="ja",((VLOOKUP(F633,Budget!A:F,6,FALSE)*(E633-(VLOOKUP(F633,Budget!A:F,3,FALSE))))),VLOOKUP($D633,Budget!A:F,5,FALSE)*E633))</f>
        <v>0</v>
      </c>
      <c r="J633" s="85">
        <f t="shared" si="43"/>
        <v>36960</v>
      </c>
      <c r="K633" s="14"/>
      <c r="L633" s="73"/>
      <c r="M633" s="80" t="str">
        <f t="shared" si="44"/>
        <v>nein</v>
      </c>
      <c r="N633">
        <f t="shared" si="41"/>
        <v>2022</v>
      </c>
    </row>
    <row r="634" spans="1:14" hidden="1" x14ac:dyDescent="0.3">
      <c r="A634" s="105">
        <f t="shared" si="42"/>
        <v>38</v>
      </c>
      <c r="B634" s="22">
        <v>44825</v>
      </c>
      <c r="C634" s="11" t="s">
        <v>5</v>
      </c>
      <c r="D634" s="12" t="s">
        <v>12</v>
      </c>
      <c r="E634" s="13">
        <f>IF(VLOOKUP(D634,Budget!A:B,2,FALSE)&lt;&gt;0,IF(G634=0,24,24-G634),0)</f>
        <v>24</v>
      </c>
      <c r="G634" s="13"/>
      <c r="H634" s="85">
        <f>IF(E634=0,0,IF(M634="ja",(VLOOKUP(D634,Budget!A:F,6,FALSE)*(E634-(VLOOKUP(D634,Budget!A:F,3,FALSE)))),VLOOKUP($D634,Budget!$A$1:$F$19,6,FALSE)*E634))</f>
        <v>36960</v>
      </c>
      <c r="I634" s="85">
        <f>IF(F634=0,0,IF(M634="ja",((VLOOKUP(F634,Budget!A:F,6,FALSE)*(E634-(VLOOKUP(F634,Budget!A:F,3,FALSE))))),VLOOKUP($D634,Budget!A:F,5,FALSE)*E634))</f>
        <v>0</v>
      </c>
      <c r="J634" s="85">
        <f t="shared" si="43"/>
        <v>36960</v>
      </c>
      <c r="K634" s="14"/>
      <c r="L634" s="73"/>
      <c r="M634" s="80" t="str">
        <f t="shared" si="44"/>
        <v>nein</v>
      </c>
      <c r="N634">
        <f t="shared" si="41"/>
        <v>2022</v>
      </c>
    </row>
    <row r="635" spans="1:14" hidden="1" x14ac:dyDescent="0.3">
      <c r="A635" s="103">
        <f t="shared" si="42"/>
        <v>38</v>
      </c>
      <c r="B635" s="22">
        <v>44826</v>
      </c>
      <c r="C635" s="11" t="s">
        <v>6</v>
      </c>
      <c r="D635" s="12" t="s">
        <v>12</v>
      </c>
      <c r="E635" s="13">
        <f>IF(VLOOKUP(D635,Budget!A:B,2,FALSE)&lt;&gt;0,IF(G635=0,24,24-G635),0)</f>
        <v>24</v>
      </c>
      <c r="G635" s="13"/>
      <c r="H635" s="85">
        <f>IF(E635=0,0,IF(M635="ja",(VLOOKUP(D635,Budget!A:F,6,FALSE)*(E635-(VLOOKUP(D635,Budget!A:F,3,FALSE)))),VLOOKUP($D635,Budget!$A$1:$F$19,6,FALSE)*E635))</f>
        <v>36960</v>
      </c>
      <c r="I635" s="85">
        <f>IF(F635=0,0,IF(M635="ja",((VLOOKUP(F635,Budget!A:F,6,FALSE)*(E635-(VLOOKUP(F635,Budget!A:F,3,FALSE))))),VLOOKUP($D635,Budget!A:F,5,FALSE)*E635))</f>
        <v>0</v>
      </c>
      <c r="J635" s="85">
        <f t="shared" si="43"/>
        <v>36960</v>
      </c>
      <c r="K635" s="14"/>
      <c r="L635" s="73"/>
      <c r="M635" s="80" t="str">
        <f t="shared" si="44"/>
        <v>nein</v>
      </c>
      <c r="N635">
        <f t="shared" si="41"/>
        <v>2022</v>
      </c>
    </row>
    <row r="636" spans="1:14" hidden="1" x14ac:dyDescent="0.3">
      <c r="A636" s="105">
        <f t="shared" si="42"/>
        <v>38</v>
      </c>
      <c r="B636" s="22">
        <v>44827</v>
      </c>
      <c r="C636" s="11" t="s">
        <v>7</v>
      </c>
      <c r="D636" s="12" t="s">
        <v>12</v>
      </c>
      <c r="E636" s="13">
        <f>IF(VLOOKUP(D636,Budget!A:B,2,FALSE)&lt;&gt;0,IF(G636=0,24,24-G636),0)</f>
        <v>24</v>
      </c>
      <c r="G636" s="13"/>
      <c r="H636" s="85">
        <f>IF(E636=0,0,IF(M636="ja",(VLOOKUP(D636,Budget!A:F,6,FALSE)*(E636-(VLOOKUP(D636,Budget!A:F,3,FALSE)))),VLOOKUP($D636,Budget!$A$1:$F$19,6,FALSE)*E636))</f>
        <v>36960</v>
      </c>
      <c r="I636" s="85">
        <f>IF(F636=0,0,IF(M636="ja",((VLOOKUP(F636,Budget!A:F,6,FALSE)*(E636-(VLOOKUP(F636,Budget!A:F,3,FALSE))))),VLOOKUP($D636,Budget!A:F,5,FALSE)*E636))</f>
        <v>0</v>
      </c>
      <c r="J636" s="85">
        <f t="shared" si="43"/>
        <v>36960</v>
      </c>
      <c r="K636" s="14"/>
      <c r="L636" s="25"/>
      <c r="M636" s="80" t="str">
        <f t="shared" si="44"/>
        <v>nein</v>
      </c>
      <c r="N636">
        <f t="shared" si="41"/>
        <v>2022</v>
      </c>
    </row>
    <row r="637" spans="1:14" hidden="1" x14ac:dyDescent="0.3">
      <c r="A637" s="105">
        <f t="shared" si="42"/>
        <v>38</v>
      </c>
      <c r="B637" s="22">
        <v>44828</v>
      </c>
      <c r="C637" s="16" t="s">
        <v>8</v>
      </c>
      <c r="D637" s="17" t="s">
        <v>69</v>
      </c>
      <c r="E637" s="24">
        <f>IF(VLOOKUP(D637,Budget!A:B,2,FALSE)&lt;&gt;0,IF(G637=0,24,24-G637),0)</f>
        <v>24</v>
      </c>
      <c r="F637" s="17"/>
      <c r="G637" s="17"/>
      <c r="H637" s="86">
        <f>IF(E637=0,0,IF(M637="ja",(VLOOKUP(D637,Budget!A:F,6,FALSE)*(E637-(VLOOKUP(D637,Budget!A:F,3,FALSE)))),VLOOKUP($D637,Budget!$A$1:$F$19,6,FALSE)*E637))</f>
        <v>38269.757143831848</v>
      </c>
      <c r="I637" s="86">
        <f>IF(F637=0,0,IF(M637="ja",((VLOOKUP(F637,Budget!A:F,6,FALSE)*(E637-(VLOOKUP(F637,Budget!A:F,3,FALSE))))),VLOOKUP($D637,Budget!A:F,5,FALSE)*E637))</f>
        <v>0</v>
      </c>
      <c r="J637" s="86">
        <f t="shared" si="43"/>
        <v>38269.757143831848</v>
      </c>
      <c r="K637" s="18"/>
      <c r="L637" s="75"/>
      <c r="M637" s="76" t="str">
        <f t="shared" si="44"/>
        <v>ja</v>
      </c>
      <c r="N637">
        <f t="shared" si="41"/>
        <v>2022</v>
      </c>
    </row>
    <row r="638" spans="1:14" ht="15" hidden="1" thickBot="1" x14ac:dyDescent="0.35">
      <c r="A638" s="105">
        <f t="shared" si="42"/>
        <v>38</v>
      </c>
      <c r="B638" s="27">
        <v>44829</v>
      </c>
      <c r="C638" s="19" t="s">
        <v>9</v>
      </c>
      <c r="D638" s="20" t="s">
        <v>69</v>
      </c>
      <c r="E638" s="20">
        <f>IF(VLOOKUP(D638,Budget!A:B,2,FALSE)&lt;&gt;0,IF(G638=0,24,24-G638),0)</f>
        <v>24</v>
      </c>
      <c r="F638" s="20"/>
      <c r="G638" s="20"/>
      <c r="H638" s="93">
        <f>IF(E638=0,0,IF(M638="ja",(VLOOKUP(D638,Budget!A:F,6,FALSE)*(E638-(VLOOKUP(D638,Budget!A:F,3,FALSE)))),VLOOKUP($D638,Budget!$A$1:$F$19,6,FALSE)*E638))</f>
        <v>42919.35380616656</v>
      </c>
      <c r="I638" s="93">
        <f>IF(F638=0,0,IF(M638="ja",((VLOOKUP(F638,Budget!A:F,6,FALSE)*(E638-(VLOOKUP(F638,Budget!A:F,3,FALSE))))),VLOOKUP($D638,Budget!A:F,5,FALSE)*E638))</f>
        <v>0</v>
      </c>
      <c r="J638" s="87">
        <f t="shared" si="43"/>
        <v>42919.35380616656</v>
      </c>
      <c r="K638" s="21"/>
      <c r="L638" s="74"/>
      <c r="M638" s="77" t="str">
        <f t="shared" si="44"/>
        <v>nein</v>
      </c>
      <c r="N638">
        <f t="shared" si="41"/>
        <v>2022</v>
      </c>
    </row>
    <row r="639" spans="1:14" hidden="1" x14ac:dyDescent="0.3">
      <c r="A639" s="104">
        <f t="shared" si="42"/>
        <v>39</v>
      </c>
      <c r="B639" s="22">
        <v>44830</v>
      </c>
      <c r="C639" s="10" t="s">
        <v>3</v>
      </c>
      <c r="D639" s="12" t="s">
        <v>69</v>
      </c>
      <c r="E639" s="13">
        <f>IF(VLOOKUP(D639,Budget!A:B,2,FALSE)&lt;&gt;0,IF(G639=0,24,24-G639),0)</f>
        <v>24</v>
      </c>
      <c r="F639" s="13"/>
      <c r="G639" s="13"/>
      <c r="H639" s="85">
        <f>IF(E639=0,0,IF(M639="ja",(VLOOKUP(D639,Budget!A:F,6,FALSE)*(E639-(VLOOKUP(D639,Budget!A:F,3,FALSE)))),VLOOKUP($D639,Budget!$A$1:$F$19,6,FALSE)*E639))</f>
        <v>42919.35380616656</v>
      </c>
      <c r="I639" s="85">
        <f>IF(F639=0,0,IF(M639="ja",((VLOOKUP(F639,Budget!A:F,6,FALSE)*(E639-(VLOOKUP(F639,Budget!A:F,3,FALSE))))),VLOOKUP($D639,Budget!A:F,5,FALSE)*E639))</f>
        <v>0</v>
      </c>
      <c r="J639" s="85">
        <f t="shared" si="43"/>
        <v>42919.35380616656</v>
      </c>
      <c r="K639" s="15"/>
      <c r="L639" s="72"/>
      <c r="M639" s="80" t="str">
        <f t="shared" si="44"/>
        <v>nein</v>
      </c>
      <c r="N639">
        <f t="shared" si="41"/>
        <v>2022</v>
      </c>
    </row>
    <row r="640" spans="1:14" hidden="1" x14ac:dyDescent="0.3">
      <c r="A640" s="105">
        <f t="shared" si="42"/>
        <v>39</v>
      </c>
      <c r="B640" s="22">
        <v>44831</v>
      </c>
      <c r="C640" s="11" t="s">
        <v>4</v>
      </c>
      <c r="D640" s="12" t="s">
        <v>69</v>
      </c>
      <c r="E640" s="13">
        <f>IF(VLOOKUP(D640,Budget!A:B,2,FALSE)&lt;&gt;0,IF(G640=0,24,24-G640),0)</f>
        <v>24</v>
      </c>
      <c r="G640" s="13"/>
      <c r="H640" s="85">
        <f>IF(E640=0,0,IF(M640="ja",(VLOOKUP(D640,Budget!A:F,6,FALSE)*(E640-(VLOOKUP(D640,Budget!A:F,3,FALSE)))),VLOOKUP($D640,Budget!$A$1:$F$19,6,FALSE)*E640))</f>
        <v>42919.35380616656</v>
      </c>
      <c r="I640" s="85">
        <f>IF(F640=0,0,IF(M640="ja",((VLOOKUP(F640,Budget!A:F,6,FALSE)*(E640-(VLOOKUP(F640,Budget!A:F,3,FALSE))))),VLOOKUP($D640,Budget!A:F,5,FALSE)*E640))</f>
        <v>0</v>
      </c>
      <c r="J640" s="85">
        <f t="shared" si="43"/>
        <v>42919.35380616656</v>
      </c>
      <c r="K640" s="14"/>
      <c r="L640" s="73"/>
      <c r="M640" s="80" t="str">
        <f t="shared" si="44"/>
        <v>nein</v>
      </c>
      <c r="N640">
        <f t="shared" si="41"/>
        <v>2022</v>
      </c>
    </row>
    <row r="641" spans="1:14" hidden="1" x14ac:dyDescent="0.3">
      <c r="A641" s="105">
        <f t="shared" si="42"/>
        <v>39</v>
      </c>
      <c r="B641" s="22">
        <v>44832</v>
      </c>
      <c r="C641" s="11" t="s">
        <v>5</v>
      </c>
      <c r="D641" s="12" t="s">
        <v>69</v>
      </c>
      <c r="E641" s="13">
        <f>IF(VLOOKUP(D641,Budget!A:B,2,FALSE)&lt;&gt;0,IF(G641=0,24,24-G641),0)</f>
        <v>24</v>
      </c>
      <c r="G641" s="13"/>
      <c r="H641" s="85">
        <f>IF(E641=0,0,IF(M641="ja",(VLOOKUP(D641,Budget!A:F,6,FALSE)*(E641-(VLOOKUP(D641,Budget!A:F,3,FALSE)))),VLOOKUP($D641,Budget!$A$1:$F$19,6,FALSE)*E641))</f>
        <v>42919.35380616656</v>
      </c>
      <c r="I641" s="85">
        <f>IF(F641=0,0,IF(M641="ja",((VLOOKUP(F641,Budget!A:F,6,FALSE)*(E641-(VLOOKUP(F641,Budget!A:F,3,FALSE))))),VLOOKUP($D641,Budget!A:F,5,FALSE)*E641))</f>
        <v>0</v>
      </c>
      <c r="J641" s="85">
        <f t="shared" si="43"/>
        <v>42919.35380616656</v>
      </c>
      <c r="K641" s="14"/>
      <c r="L641" s="73"/>
      <c r="M641" s="80" t="str">
        <f t="shared" si="44"/>
        <v>nein</v>
      </c>
      <c r="N641">
        <f t="shared" si="41"/>
        <v>2022</v>
      </c>
    </row>
    <row r="642" spans="1:14" hidden="1" x14ac:dyDescent="0.3">
      <c r="A642" s="103">
        <f t="shared" si="42"/>
        <v>39</v>
      </c>
      <c r="B642" s="22">
        <v>44833</v>
      </c>
      <c r="C642" s="11" t="s">
        <v>6</v>
      </c>
      <c r="D642" s="12" t="s">
        <v>11</v>
      </c>
      <c r="E642" s="13">
        <f>IF(VLOOKUP(D642,Budget!A:B,2,FALSE)&lt;&gt;0,IF(G642=0,24,24-G642),0)</f>
        <v>24</v>
      </c>
      <c r="G642" s="13"/>
      <c r="H642" s="85">
        <f>IF(E642=0,0,IF(M642="ja",(VLOOKUP(D642,Budget!A:F,6,FALSE)*(E642-(VLOOKUP(D642,Budget!A:F,3,FALSE)))),VLOOKUP($D642,Budget!$A$1:$F$19,6,FALSE)*E642))</f>
        <v>30030</v>
      </c>
      <c r="I642" s="85">
        <f>IF(F642=0,0,IF(M642="ja",((VLOOKUP(F642,Budget!A:F,6,FALSE)*(E642-(VLOOKUP(F642,Budget!A:F,3,FALSE))))),VLOOKUP($D642,Budget!A:F,5,FALSE)*E642))</f>
        <v>0</v>
      </c>
      <c r="J642" s="85">
        <f t="shared" si="43"/>
        <v>30030</v>
      </c>
      <c r="K642" s="14"/>
      <c r="L642" s="73"/>
      <c r="M642" s="80" t="str">
        <f t="shared" si="44"/>
        <v>ja</v>
      </c>
      <c r="N642">
        <f t="shared" si="41"/>
        <v>2022</v>
      </c>
    </row>
    <row r="643" spans="1:14" hidden="1" x14ac:dyDescent="0.3">
      <c r="A643" s="105">
        <f t="shared" si="42"/>
        <v>39</v>
      </c>
      <c r="B643" s="22">
        <v>44834</v>
      </c>
      <c r="C643" s="11" t="s">
        <v>7</v>
      </c>
      <c r="D643" s="12" t="s">
        <v>11</v>
      </c>
      <c r="E643" s="13">
        <f>IF(VLOOKUP(D643,Budget!A:B,2,FALSE)&lt;&gt;0,IF(G643=0,24,24-G643),0)</f>
        <v>24</v>
      </c>
      <c r="G643" s="13"/>
      <c r="H643" s="85">
        <f>IF(E643=0,0,IF(M643="ja",(VLOOKUP(D643,Budget!A:F,6,FALSE)*(E643-(VLOOKUP(D643,Budget!A:F,3,FALSE)))),VLOOKUP($D643,Budget!$A$1:$F$19,6,FALSE)*E643))</f>
        <v>36960</v>
      </c>
      <c r="I643" s="85">
        <f>IF(F643=0,0,IF(M643="ja",((VLOOKUP(F643,Budget!A:F,6,FALSE)*(E643-(VLOOKUP(F643,Budget!A:F,3,FALSE))))),VLOOKUP($D643,Budget!A:F,5,FALSE)*E643))</f>
        <v>0</v>
      </c>
      <c r="J643" s="85">
        <f t="shared" si="43"/>
        <v>36960</v>
      </c>
      <c r="K643" s="14"/>
      <c r="L643" s="25"/>
      <c r="M643" s="80" t="str">
        <f t="shared" si="44"/>
        <v>nein</v>
      </c>
      <c r="N643">
        <f t="shared" ref="N643:N706" si="45">YEAR(B643)</f>
        <v>2022</v>
      </c>
    </row>
    <row r="644" spans="1:14" hidden="1" x14ac:dyDescent="0.3">
      <c r="A644" s="105">
        <f t="shared" si="42"/>
        <v>39</v>
      </c>
      <c r="B644" s="22">
        <v>44835</v>
      </c>
      <c r="C644" s="16" t="s">
        <v>8</v>
      </c>
      <c r="D644" s="17" t="s">
        <v>11</v>
      </c>
      <c r="E644" s="24">
        <f>IF(VLOOKUP(D644,Budget!A:B,2,FALSE)&lt;&gt;0,IF(G644=0,24,24-G644),0)</f>
        <v>24</v>
      </c>
      <c r="F644" s="17"/>
      <c r="G644" s="17"/>
      <c r="H644" s="86">
        <f>IF(E644=0,0,IF(M644="ja",(VLOOKUP(D644,Budget!A:F,6,FALSE)*(E644-(VLOOKUP(D644,Budget!A:F,3,FALSE)))),VLOOKUP($D644,Budget!$A$1:$F$19,6,FALSE)*E644))</f>
        <v>36960</v>
      </c>
      <c r="I644" s="86">
        <f>IF(F644=0,0,IF(M644="ja",((VLOOKUP(F644,Budget!A:F,6,FALSE)*(E644-(VLOOKUP(F644,Budget!A:F,3,FALSE))))),VLOOKUP($D644,Budget!A:F,5,FALSE)*E644))</f>
        <v>0</v>
      </c>
      <c r="J644" s="86">
        <f t="shared" si="43"/>
        <v>36960</v>
      </c>
      <c r="K644" s="18"/>
      <c r="L644" s="75"/>
      <c r="M644" s="76" t="str">
        <f t="shared" si="44"/>
        <v>nein</v>
      </c>
      <c r="N644">
        <f t="shared" si="45"/>
        <v>2022</v>
      </c>
    </row>
    <row r="645" spans="1:14" ht="15" hidden="1" thickBot="1" x14ac:dyDescent="0.35">
      <c r="A645" s="105">
        <f t="shared" si="42"/>
        <v>39</v>
      </c>
      <c r="B645" s="27">
        <v>44836</v>
      </c>
      <c r="C645" s="19" t="s">
        <v>9</v>
      </c>
      <c r="D645" s="20" t="s">
        <v>11</v>
      </c>
      <c r="E645" s="20">
        <f>IF(VLOOKUP(D645,Budget!A:B,2,FALSE)&lt;&gt;0,IF(G645=0,24,24-G645),0)</f>
        <v>24</v>
      </c>
      <c r="F645" s="20"/>
      <c r="G645" s="20"/>
      <c r="H645" s="93">
        <f>IF(E645=0,0,IF(M645="ja",(VLOOKUP(D645,Budget!A:F,6,FALSE)*(E645-(VLOOKUP(D645,Budget!A:F,3,FALSE)))),VLOOKUP($D645,Budget!$A$1:$F$19,6,FALSE)*E645))</f>
        <v>36960</v>
      </c>
      <c r="I645" s="93">
        <f>IF(F645=0,0,IF(M645="ja",((VLOOKUP(F645,Budget!A:F,6,FALSE)*(E645-(VLOOKUP(F645,Budget!A:F,3,FALSE))))),VLOOKUP($D645,Budget!A:F,5,FALSE)*E645))</f>
        <v>0</v>
      </c>
      <c r="J645" s="87">
        <f t="shared" si="43"/>
        <v>36960</v>
      </c>
      <c r="K645" s="21"/>
      <c r="L645" s="74"/>
      <c r="M645" s="77" t="str">
        <f t="shared" si="44"/>
        <v>nein</v>
      </c>
      <c r="N645">
        <f t="shared" si="45"/>
        <v>2022</v>
      </c>
    </row>
    <row r="646" spans="1:14" hidden="1" x14ac:dyDescent="0.3">
      <c r="A646" s="104">
        <f t="shared" si="42"/>
        <v>40</v>
      </c>
      <c r="B646" s="22">
        <v>44837</v>
      </c>
      <c r="C646" s="10" t="s">
        <v>3</v>
      </c>
      <c r="D646" s="12" t="s">
        <v>11</v>
      </c>
      <c r="E646" s="13">
        <f>IF(VLOOKUP(D646,Budget!A:B,2,FALSE)&lt;&gt;0,IF(G646=0,24,24-G646),0)</f>
        <v>24</v>
      </c>
      <c r="F646" s="13"/>
      <c r="G646" s="13"/>
      <c r="H646" s="85">
        <f>IF(E646=0,0,IF(M646="ja",(VLOOKUP(D646,Budget!A:F,6,FALSE)*(E646-(VLOOKUP(D646,Budget!A:F,3,FALSE)))),VLOOKUP($D646,Budget!$A$1:$F$19,6,FALSE)*E646))</f>
        <v>36960</v>
      </c>
      <c r="I646" s="85">
        <f>IF(F646=0,0,IF(M646="ja",((VLOOKUP(F646,Budget!A:F,6,FALSE)*(E646-(VLOOKUP(F646,Budget!A:F,3,FALSE))))),VLOOKUP($D646,Budget!A:F,5,FALSE)*E646))</f>
        <v>0</v>
      </c>
      <c r="J646" s="85">
        <f t="shared" si="43"/>
        <v>36960</v>
      </c>
      <c r="K646" s="15"/>
      <c r="L646" s="72"/>
      <c r="M646" s="80" t="str">
        <f t="shared" si="44"/>
        <v>nein</v>
      </c>
      <c r="N646">
        <f t="shared" si="45"/>
        <v>2022</v>
      </c>
    </row>
    <row r="647" spans="1:14" hidden="1" x14ac:dyDescent="0.3">
      <c r="A647" s="105">
        <f t="shared" si="42"/>
        <v>40</v>
      </c>
      <c r="B647" s="22">
        <v>44838</v>
      </c>
      <c r="C647" s="11" t="s">
        <v>4</v>
      </c>
      <c r="D647" s="12" t="s">
        <v>11</v>
      </c>
      <c r="E647" s="13">
        <f>IF(VLOOKUP(D647,Budget!A:B,2,FALSE)&lt;&gt;0,IF(G647=0,24,24-G647),0)</f>
        <v>24</v>
      </c>
      <c r="G647" s="13"/>
      <c r="H647" s="85">
        <f>IF(E647=0,0,IF(M647="ja",(VLOOKUP(D647,Budget!A:F,6,FALSE)*(E647-(VLOOKUP(D647,Budget!A:F,3,FALSE)))),VLOOKUP($D647,Budget!$A$1:$F$19,6,FALSE)*E647))</f>
        <v>36960</v>
      </c>
      <c r="I647" s="85">
        <f>IF(F647=0,0,IF(M647="ja",((VLOOKUP(F647,Budget!A:F,6,FALSE)*(E647-(VLOOKUP(F647,Budget!A:F,3,FALSE))))),VLOOKUP($D647,Budget!A:F,5,FALSE)*E647))</f>
        <v>0</v>
      </c>
      <c r="J647" s="85">
        <f t="shared" si="43"/>
        <v>36960</v>
      </c>
      <c r="K647" s="14"/>
      <c r="L647" s="73"/>
      <c r="M647" s="80" t="str">
        <f t="shared" si="44"/>
        <v>nein</v>
      </c>
      <c r="N647">
        <f t="shared" si="45"/>
        <v>2022</v>
      </c>
    </row>
    <row r="648" spans="1:14" hidden="1" x14ac:dyDescent="0.3">
      <c r="A648" s="105">
        <f t="shared" si="42"/>
        <v>40</v>
      </c>
      <c r="B648" s="22">
        <v>44839</v>
      </c>
      <c r="C648" s="11" t="s">
        <v>5</v>
      </c>
      <c r="D648" s="12" t="s">
        <v>11</v>
      </c>
      <c r="E648" s="13">
        <f>IF(VLOOKUP(D648,Budget!A:B,2,FALSE)&lt;&gt;0,IF(G648=0,24,24-G648),0)</f>
        <v>24</v>
      </c>
      <c r="G648" s="13"/>
      <c r="H648" s="85">
        <f>IF(E648=0,0,IF(M648="ja",(VLOOKUP(D648,Budget!A:F,6,FALSE)*(E648-(VLOOKUP(D648,Budget!A:F,3,FALSE)))),VLOOKUP($D648,Budget!$A$1:$F$19,6,FALSE)*E648))</f>
        <v>36960</v>
      </c>
      <c r="I648" s="85">
        <f>IF(F648=0,0,IF(M648="ja",((VLOOKUP(F648,Budget!A:F,6,FALSE)*(E648-(VLOOKUP(F648,Budget!A:F,3,FALSE))))),VLOOKUP($D648,Budget!A:F,5,FALSE)*E648))</f>
        <v>0</v>
      </c>
      <c r="J648" s="85">
        <f t="shared" si="43"/>
        <v>36960</v>
      </c>
      <c r="K648" s="14"/>
      <c r="L648" s="73"/>
      <c r="M648" s="80" t="str">
        <f t="shared" si="44"/>
        <v>nein</v>
      </c>
      <c r="N648">
        <f t="shared" si="45"/>
        <v>2022</v>
      </c>
    </row>
    <row r="649" spans="1:14" hidden="1" x14ac:dyDescent="0.3">
      <c r="A649" s="103">
        <f t="shared" si="42"/>
        <v>40</v>
      </c>
      <c r="B649" s="22">
        <v>44840</v>
      </c>
      <c r="C649" s="11" t="s">
        <v>6</v>
      </c>
      <c r="D649" s="12" t="s">
        <v>11</v>
      </c>
      <c r="E649" s="13">
        <f>IF(VLOOKUP(D649,Budget!A:B,2,FALSE)&lt;&gt;0,IF(G649=0,24,24-G649),0)</f>
        <v>24</v>
      </c>
      <c r="G649" s="13"/>
      <c r="H649" s="85">
        <f>IF(E649=0,0,IF(M649="ja",(VLOOKUP(D649,Budget!A:F,6,FALSE)*(E649-(VLOOKUP(D649,Budget!A:F,3,FALSE)))),VLOOKUP($D649,Budget!$A$1:$F$19,6,FALSE)*E649))</f>
        <v>36960</v>
      </c>
      <c r="I649" s="85">
        <f>IF(F649=0,0,IF(M649="ja",((VLOOKUP(F649,Budget!A:F,6,FALSE)*(E649-(VLOOKUP(F649,Budget!A:F,3,FALSE))))),VLOOKUP($D649,Budget!A:F,5,FALSE)*E649))</f>
        <v>0</v>
      </c>
      <c r="J649" s="85">
        <f t="shared" si="43"/>
        <v>36960</v>
      </c>
      <c r="K649" s="14"/>
      <c r="L649" s="73"/>
      <c r="M649" s="80" t="str">
        <f t="shared" si="44"/>
        <v>nein</v>
      </c>
      <c r="N649">
        <f t="shared" si="45"/>
        <v>2022</v>
      </c>
    </row>
    <row r="650" spans="1:14" hidden="1" x14ac:dyDescent="0.3">
      <c r="A650" s="105">
        <f t="shared" si="42"/>
        <v>40</v>
      </c>
      <c r="B650" s="22">
        <v>44841</v>
      </c>
      <c r="C650" s="11" t="s">
        <v>7</v>
      </c>
      <c r="D650" s="12" t="s">
        <v>11</v>
      </c>
      <c r="E650" s="13">
        <f>IF(VLOOKUP(D650,Budget!A:B,2,FALSE)&lt;&gt;0,IF(G650=0,24,24-G650),0)</f>
        <v>24</v>
      </c>
      <c r="G650" s="13"/>
      <c r="H650" s="85">
        <f>IF(E650=0,0,IF(M650="ja",(VLOOKUP(D650,Budget!A:F,6,FALSE)*(E650-(VLOOKUP(D650,Budget!A:F,3,FALSE)))),VLOOKUP($D650,Budget!$A$1:$F$19,6,FALSE)*E650))</f>
        <v>36960</v>
      </c>
      <c r="I650" s="85">
        <f>IF(F650=0,0,IF(M650="ja",((VLOOKUP(F650,Budget!A:F,6,FALSE)*(E650-(VLOOKUP(F650,Budget!A:F,3,FALSE))))),VLOOKUP($D650,Budget!A:F,5,FALSE)*E650))</f>
        <v>0</v>
      </c>
      <c r="J650" s="85">
        <f t="shared" si="43"/>
        <v>36960</v>
      </c>
      <c r="K650" s="14"/>
      <c r="L650" s="25"/>
      <c r="M650" s="80" t="str">
        <f t="shared" si="44"/>
        <v>nein</v>
      </c>
      <c r="N650">
        <f t="shared" si="45"/>
        <v>2022</v>
      </c>
    </row>
    <row r="651" spans="1:14" hidden="1" x14ac:dyDescent="0.3">
      <c r="A651" s="105">
        <f t="shared" si="42"/>
        <v>40</v>
      </c>
      <c r="B651" s="22">
        <v>44842</v>
      </c>
      <c r="C651" s="16" t="s">
        <v>8</v>
      </c>
      <c r="D651" s="17" t="s">
        <v>11</v>
      </c>
      <c r="E651" s="24">
        <f>IF(VLOOKUP(D651,Budget!A:B,2,FALSE)&lt;&gt;0,IF(G651=0,24,24-G651),0)</f>
        <v>24</v>
      </c>
      <c r="F651" s="17"/>
      <c r="G651" s="17"/>
      <c r="H651" s="86">
        <f>IF(E651=0,0,IF(M651="ja",(VLOOKUP(D651,Budget!A:F,6,FALSE)*(E651-(VLOOKUP(D651,Budget!A:F,3,FALSE)))),VLOOKUP($D651,Budget!$A$1:$F$19,6,FALSE)*E651))</f>
        <v>36960</v>
      </c>
      <c r="I651" s="86">
        <f>IF(F651=0,0,IF(M651="ja",((VLOOKUP(F651,Budget!A:F,6,FALSE)*(E651-(VLOOKUP(F651,Budget!A:F,3,FALSE))))),VLOOKUP($D651,Budget!A:F,5,FALSE)*E651))</f>
        <v>0</v>
      </c>
      <c r="J651" s="86">
        <f t="shared" si="43"/>
        <v>36960</v>
      </c>
      <c r="K651" s="18"/>
      <c r="L651" s="75"/>
      <c r="M651" s="76" t="str">
        <f t="shared" si="44"/>
        <v>nein</v>
      </c>
      <c r="N651">
        <f t="shared" si="45"/>
        <v>2022</v>
      </c>
    </row>
    <row r="652" spans="1:14" ht="15" hidden="1" thickBot="1" x14ac:dyDescent="0.35">
      <c r="A652" s="105">
        <f t="shared" si="42"/>
        <v>40</v>
      </c>
      <c r="B652" s="27">
        <v>44843</v>
      </c>
      <c r="C652" s="19" t="s">
        <v>9</v>
      </c>
      <c r="D652" s="20" t="s">
        <v>11</v>
      </c>
      <c r="E652" s="20">
        <f>IF(VLOOKUP(D652,Budget!A:B,2,FALSE)&lt;&gt;0,IF(G652=0,24,24-G652),0)</f>
        <v>24</v>
      </c>
      <c r="F652" s="20"/>
      <c r="G652" s="20"/>
      <c r="H652" s="93">
        <f>IF(E652=0,0,IF(M652="ja",(VLOOKUP(D652,Budget!A:F,6,FALSE)*(E652-(VLOOKUP(D652,Budget!A:F,3,FALSE)))),VLOOKUP($D652,Budget!$A$1:$F$19,6,FALSE)*E652))</f>
        <v>36960</v>
      </c>
      <c r="I652" s="93">
        <f>IF(F652=0,0,IF(M652="ja",((VLOOKUP(F652,Budget!A:F,6,FALSE)*(E652-(VLOOKUP(F652,Budget!A:F,3,FALSE))))),VLOOKUP($D652,Budget!A:F,5,FALSE)*E652))</f>
        <v>0</v>
      </c>
      <c r="J652" s="87">
        <f t="shared" si="43"/>
        <v>36960</v>
      </c>
      <c r="K652" s="21"/>
      <c r="L652" s="74"/>
      <c r="M652" s="77" t="str">
        <f t="shared" si="44"/>
        <v>nein</v>
      </c>
      <c r="N652">
        <f t="shared" si="45"/>
        <v>2022</v>
      </c>
    </row>
    <row r="653" spans="1:14" hidden="1" x14ac:dyDescent="0.3">
      <c r="A653" s="104">
        <f t="shared" si="42"/>
        <v>41</v>
      </c>
      <c r="B653" s="22">
        <v>44844</v>
      </c>
      <c r="C653" s="10" t="s">
        <v>3</v>
      </c>
      <c r="D653" s="12" t="s">
        <v>11</v>
      </c>
      <c r="E653" s="13">
        <f>IF(VLOOKUP(D653,Budget!A:B,2,FALSE)&lt;&gt;0,IF(G653=0,24,24-G653),0)</f>
        <v>24</v>
      </c>
      <c r="F653" s="13"/>
      <c r="G653" s="13"/>
      <c r="H653" s="85">
        <f>IF(E653=0,0,IF(M653="ja",(VLOOKUP(D653,Budget!A:F,6,FALSE)*(E653-(VLOOKUP(D653,Budget!A:F,3,FALSE)))),VLOOKUP($D653,Budget!$A$1:$F$19,6,FALSE)*E653))</f>
        <v>36960</v>
      </c>
      <c r="I653" s="85">
        <f>IF(F653=0,0,IF(M653="ja",((VLOOKUP(F653,Budget!A:F,6,FALSE)*(E653-(VLOOKUP(F653,Budget!A:F,3,FALSE))))),VLOOKUP($D653,Budget!A:F,5,FALSE)*E653))</f>
        <v>0</v>
      </c>
      <c r="J653" s="85">
        <f t="shared" si="43"/>
        <v>36960</v>
      </c>
      <c r="K653" s="15"/>
      <c r="L653" s="72"/>
      <c r="M653" s="80" t="str">
        <f t="shared" si="44"/>
        <v>nein</v>
      </c>
      <c r="N653">
        <f t="shared" si="45"/>
        <v>2022</v>
      </c>
    </row>
    <row r="654" spans="1:14" hidden="1" x14ac:dyDescent="0.3">
      <c r="A654" s="105">
        <f t="shared" si="42"/>
        <v>41</v>
      </c>
      <c r="B654" s="22">
        <v>44845</v>
      </c>
      <c r="C654" s="11" t="s">
        <v>4</v>
      </c>
      <c r="D654" s="12" t="s">
        <v>13</v>
      </c>
      <c r="E654" s="13">
        <v>24</v>
      </c>
      <c r="G654" s="13"/>
      <c r="H654" s="85">
        <f>IF(E654=0,0,IF(M654="ja",(VLOOKUP(D654,Budget!A:F,6,FALSE)*(E654-(VLOOKUP(D654,Budget!A:F,3,FALSE)))),VLOOKUP($D654,Budget!$A$1:$F$19,6,FALSE)*E654))</f>
        <v>0</v>
      </c>
      <c r="I654" s="85">
        <f>IF(F654=0,0,IF(M654="ja",((VLOOKUP(F654,Budget!A:F,6,FALSE)*(E654-(VLOOKUP(F654,Budget!A:F,3,FALSE))))),VLOOKUP($D654,Budget!A:F,5,FALSE)*E654))</f>
        <v>0</v>
      </c>
      <c r="J654" s="85">
        <f t="shared" si="43"/>
        <v>0</v>
      </c>
      <c r="K654" s="14"/>
      <c r="L654" s="73" t="s">
        <v>118</v>
      </c>
      <c r="M654" s="80" t="str">
        <f t="shared" si="44"/>
        <v>ja</v>
      </c>
      <c r="N654">
        <f t="shared" si="45"/>
        <v>2022</v>
      </c>
    </row>
    <row r="655" spans="1:14" hidden="1" x14ac:dyDescent="0.3">
      <c r="A655" s="105">
        <f t="shared" si="42"/>
        <v>41</v>
      </c>
      <c r="B655" s="22">
        <v>44846</v>
      </c>
      <c r="C655" s="11" t="s">
        <v>5</v>
      </c>
      <c r="D655" s="12" t="s">
        <v>69</v>
      </c>
      <c r="E655" s="13">
        <f>IF(VLOOKUP(D655,Budget!A:B,2,FALSE)&lt;&gt;0,IF(G655=0,24,24-G655),0)</f>
        <v>24</v>
      </c>
      <c r="G655" s="13"/>
      <c r="H655" s="85">
        <f>IF(E655=0,0,IF(M655="ja",(VLOOKUP(D655,Budget!A:F,6,FALSE)*(E655-(VLOOKUP(D655,Budget!A:F,3,FALSE)))),VLOOKUP($D655,Budget!$A$1:$F$19,6,FALSE)*E655))</f>
        <v>38269.757143831848</v>
      </c>
      <c r="I655" s="85">
        <f>IF(F655=0,0,IF(M655="ja",((VLOOKUP(F655,Budget!A:F,6,FALSE)*(E655-(VLOOKUP(F655,Budget!A:F,3,FALSE))))),VLOOKUP($D655,Budget!A:F,5,FALSE)*E655))</f>
        <v>0</v>
      </c>
      <c r="J655" s="85">
        <f t="shared" si="43"/>
        <v>38269.757143831848</v>
      </c>
      <c r="K655" s="14"/>
      <c r="L655" s="73"/>
      <c r="M655" s="80" t="str">
        <f t="shared" si="44"/>
        <v>ja</v>
      </c>
      <c r="N655">
        <f t="shared" si="45"/>
        <v>2022</v>
      </c>
    </row>
    <row r="656" spans="1:14" hidden="1" x14ac:dyDescent="0.3">
      <c r="A656" s="103">
        <f t="shared" si="42"/>
        <v>41</v>
      </c>
      <c r="B656" s="22">
        <v>44847</v>
      </c>
      <c r="C656" s="11" t="s">
        <v>6</v>
      </c>
      <c r="D656" s="12" t="s">
        <v>69</v>
      </c>
      <c r="E656" s="13">
        <f>IF(VLOOKUP(D656,Budget!A:B,2,FALSE)&lt;&gt;0,IF(G656=0,24,24-G656),0)</f>
        <v>24</v>
      </c>
      <c r="G656" s="13"/>
      <c r="H656" s="85">
        <f>IF(E656=0,0,IF(M656="ja",(VLOOKUP(D656,Budget!A:F,6,FALSE)*(E656-(VLOOKUP(D656,Budget!A:F,3,FALSE)))),VLOOKUP($D656,Budget!$A$1:$F$19,6,FALSE)*E656))</f>
        <v>42919.35380616656</v>
      </c>
      <c r="I656" s="85">
        <f>IF(F656=0,0,IF(M656="ja",((VLOOKUP(F656,Budget!A:F,6,FALSE)*(E656-(VLOOKUP(F656,Budget!A:F,3,FALSE))))),VLOOKUP($D656,Budget!A:F,5,FALSE)*E656))</f>
        <v>0</v>
      </c>
      <c r="J656" s="85">
        <f t="shared" si="43"/>
        <v>42919.35380616656</v>
      </c>
      <c r="K656" s="14"/>
      <c r="L656" s="73"/>
      <c r="M656" s="80" t="str">
        <f t="shared" si="44"/>
        <v>nein</v>
      </c>
      <c r="N656">
        <f t="shared" si="45"/>
        <v>2022</v>
      </c>
    </row>
    <row r="657" spans="1:14" hidden="1" x14ac:dyDescent="0.3">
      <c r="A657" s="105">
        <f t="shared" si="42"/>
        <v>41</v>
      </c>
      <c r="B657" s="22">
        <v>44848</v>
      </c>
      <c r="C657" s="11" t="s">
        <v>7</v>
      </c>
      <c r="D657" s="12" t="s">
        <v>69</v>
      </c>
      <c r="E657" s="13">
        <f>IF(VLOOKUP(D657,Budget!A:B,2,FALSE)&lt;&gt;0,IF(G657=0,24,24-G657),0)</f>
        <v>24</v>
      </c>
      <c r="G657" s="13"/>
      <c r="H657" s="85">
        <f>IF(E657=0,0,IF(M657="ja",(VLOOKUP(D657,Budget!A:F,6,FALSE)*(E657-(VLOOKUP(D657,Budget!A:F,3,FALSE)))),VLOOKUP($D657,Budget!$A$1:$F$19,6,FALSE)*E657))</f>
        <v>42919.35380616656</v>
      </c>
      <c r="I657" s="85">
        <f>IF(F657=0,0,IF(M657="ja",((VLOOKUP(F657,Budget!A:F,6,FALSE)*(E657-(VLOOKUP(F657,Budget!A:F,3,FALSE))))),VLOOKUP($D657,Budget!A:F,5,FALSE)*E657))</f>
        <v>0</v>
      </c>
      <c r="J657" s="85">
        <f t="shared" si="43"/>
        <v>42919.35380616656</v>
      </c>
      <c r="K657" s="14"/>
      <c r="L657" s="25"/>
      <c r="M657" s="80" t="str">
        <f t="shared" si="44"/>
        <v>nein</v>
      </c>
      <c r="N657">
        <f t="shared" si="45"/>
        <v>2022</v>
      </c>
    </row>
    <row r="658" spans="1:14" hidden="1" x14ac:dyDescent="0.3">
      <c r="A658" s="105">
        <f t="shared" si="42"/>
        <v>41</v>
      </c>
      <c r="B658" s="22">
        <v>44849</v>
      </c>
      <c r="C658" s="16" t="s">
        <v>8</v>
      </c>
      <c r="D658" s="17" t="s">
        <v>69</v>
      </c>
      <c r="E658" s="24">
        <f>IF(VLOOKUP(D658,Budget!A:B,2,FALSE)&lt;&gt;0,IF(G658=0,24,24-G658),0)</f>
        <v>24</v>
      </c>
      <c r="F658" s="17"/>
      <c r="G658" s="17"/>
      <c r="H658" s="86">
        <f>IF(E658=0,0,IF(M658="ja",(VLOOKUP(D658,Budget!A:F,6,FALSE)*(E658-(VLOOKUP(D658,Budget!A:F,3,FALSE)))),VLOOKUP($D658,Budget!$A$1:$F$19,6,FALSE)*E658))</f>
        <v>42919.35380616656</v>
      </c>
      <c r="I658" s="86">
        <f>IF(F658=0,0,IF(M658="ja",((VLOOKUP(F658,Budget!A:F,6,FALSE)*(E658-(VLOOKUP(F658,Budget!A:F,3,FALSE))))),VLOOKUP($D658,Budget!A:F,5,FALSE)*E658))</f>
        <v>0</v>
      </c>
      <c r="J658" s="86">
        <f t="shared" si="43"/>
        <v>42919.35380616656</v>
      </c>
      <c r="K658" s="18"/>
      <c r="L658" s="75"/>
      <c r="M658" s="76" t="str">
        <f t="shared" si="44"/>
        <v>nein</v>
      </c>
      <c r="N658">
        <f t="shared" si="45"/>
        <v>2022</v>
      </c>
    </row>
    <row r="659" spans="1:14" ht="15" hidden="1" thickBot="1" x14ac:dyDescent="0.35">
      <c r="A659" s="105">
        <f t="shared" si="42"/>
        <v>41</v>
      </c>
      <c r="B659" s="27">
        <v>44850</v>
      </c>
      <c r="C659" s="19" t="s">
        <v>9</v>
      </c>
      <c r="D659" s="20" t="s">
        <v>69</v>
      </c>
      <c r="E659" s="20">
        <f>IF(VLOOKUP(D659,Budget!A:B,2,FALSE)&lt;&gt;0,IF(G659=0,24,24-G659),0)</f>
        <v>24</v>
      </c>
      <c r="F659" s="20"/>
      <c r="G659" s="20"/>
      <c r="H659" s="93">
        <f>IF(E659=0,0,IF(M659="ja",(VLOOKUP(D659,Budget!A:F,6,FALSE)*(E659-(VLOOKUP(D659,Budget!A:F,3,FALSE)))),VLOOKUP($D659,Budget!$A$1:$F$19,6,FALSE)*E659))</f>
        <v>42919.35380616656</v>
      </c>
      <c r="I659" s="93">
        <f>IF(F659=0,0,IF(M659="ja",((VLOOKUP(F659,Budget!A:F,6,FALSE)*(E659-(VLOOKUP(F659,Budget!A:F,3,FALSE))))),VLOOKUP($D659,Budget!A:F,5,FALSE)*E659))</f>
        <v>0</v>
      </c>
      <c r="J659" s="87">
        <f t="shared" si="43"/>
        <v>42919.35380616656</v>
      </c>
      <c r="K659" s="21"/>
      <c r="L659" s="74"/>
      <c r="M659" s="77" t="str">
        <f t="shared" si="44"/>
        <v>nein</v>
      </c>
      <c r="N659">
        <f t="shared" si="45"/>
        <v>2022</v>
      </c>
    </row>
    <row r="660" spans="1:14" hidden="1" x14ac:dyDescent="0.3">
      <c r="A660" s="104">
        <f t="shared" si="42"/>
        <v>42</v>
      </c>
      <c r="B660" s="22">
        <v>44851</v>
      </c>
      <c r="C660" s="10" t="s">
        <v>3</v>
      </c>
      <c r="D660" s="12" t="s">
        <v>66</v>
      </c>
      <c r="E660" s="13">
        <f>IF(VLOOKUP(D660,Budget!A:B,2,FALSE)&lt;&gt;0,IF(G660=0,24,24-G660),0)</f>
        <v>24</v>
      </c>
      <c r="F660" s="13"/>
      <c r="G660" s="13"/>
      <c r="H660" s="85">
        <f>IF(E660=0,0,IF(M660="ja",(VLOOKUP(D660,Budget!A:F,6,FALSE)*(E660-(VLOOKUP(D660,Budget!A:F,3,FALSE)))),VLOOKUP($D660,Budget!$A$1:$F$19,6,FALSE)*E660))</f>
        <v>32328.172065231582</v>
      </c>
      <c r="I660" s="85">
        <f>IF(F660=0,0,IF(M660="ja",((VLOOKUP(F660,Budget!A:F,6,FALSE)*(E660-(VLOOKUP(F660,Budget!A:F,3,FALSE))))),VLOOKUP($D660,Budget!A:F,5,FALSE)*E660))</f>
        <v>0</v>
      </c>
      <c r="J660" s="85">
        <f t="shared" si="43"/>
        <v>32328.172065231582</v>
      </c>
      <c r="K660" s="15"/>
      <c r="L660" s="72" t="s">
        <v>119</v>
      </c>
      <c r="M660" s="80" t="str">
        <f t="shared" si="44"/>
        <v>ja</v>
      </c>
      <c r="N660">
        <f t="shared" si="45"/>
        <v>2022</v>
      </c>
    </row>
    <row r="661" spans="1:14" hidden="1" x14ac:dyDescent="0.3">
      <c r="A661" s="105">
        <f t="shared" si="42"/>
        <v>42</v>
      </c>
      <c r="B661" s="22">
        <v>44852</v>
      </c>
      <c r="C661" s="11" t="s">
        <v>4</v>
      </c>
      <c r="D661" s="12" t="s">
        <v>12</v>
      </c>
      <c r="E661" s="13">
        <f>IF(VLOOKUP(D661,Budget!A:B,2,FALSE)&lt;&gt;0,IF(G661=0,24,24-G661),0)</f>
        <v>24</v>
      </c>
      <c r="G661" s="13"/>
      <c r="H661" s="85">
        <f>IF(E661=0,0,IF(M661="ja",(VLOOKUP(D661,Budget!A:F,6,FALSE)*(E661-(VLOOKUP(D661,Budget!A:F,3,FALSE)))),VLOOKUP($D661,Budget!$A$1:$F$19,6,FALSE)*E661))</f>
        <v>27720</v>
      </c>
      <c r="I661" s="85">
        <f>IF(F661=0,0,IF(M661="ja",((VLOOKUP(F661,Budget!A:F,6,FALSE)*(E661-(VLOOKUP(F661,Budget!A:F,3,FALSE))))),VLOOKUP($D661,Budget!A:F,5,FALSE)*E661))</f>
        <v>0</v>
      </c>
      <c r="J661" s="85">
        <f t="shared" si="43"/>
        <v>27720</v>
      </c>
      <c r="K661" s="14"/>
      <c r="L661" s="73"/>
      <c r="M661" s="80" t="str">
        <f t="shared" si="44"/>
        <v>ja</v>
      </c>
      <c r="N661">
        <f t="shared" si="45"/>
        <v>2022</v>
      </c>
    </row>
    <row r="662" spans="1:14" hidden="1" x14ac:dyDescent="0.3">
      <c r="A662" s="105">
        <f t="shared" si="42"/>
        <v>42</v>
      </c>
      <c r="B662" s="22">
        <v>44853</v>
      </c>
      <c r="C662" s="11" t="s">
        <v>5</v>
      </c>
      <c r="D662" s="12" t="s">
        <v>12</v>
      </c>
      <c r="E662" s="13">
        <f>IF(VLOOKUP(D662,Budget!A:B,2,FALSE)&lt;&gt;0,IF(G662=0,24,24-G662),0)</f>
        <v>24</v>
      </c>
      <c r="G662" s="13"/>
      <c r="H662" s="85">
        <f>IF(E662=0,0,IF(M662="ja",(VLOOKUP(D662,Budget!A:F,6,FALSE)*(E662-(VLOOKUP(D662,Budget!A:F,3,FALSE)))),VLOOKUP($D662,Budget!$A$1:$F$19,6,FALSE)*E662))</f>
        <v>36960</v>
      </c>
      <c r="I662" s="85">
        <f>IF(F662=0,0,IF(M662="ja",((VLOOKUP(F662,Budget!A:F,6,FALSE)*(E662-(VLOOKUP(F662,Budget!A:F,3,FALSE))))),VLOOKUP($D662,Budget!A:F,5,FALSE)*E662))</f>
        <v>0</v>
      </c>
      <c r="J662" s="85">
        <f t="shared" si="43"/>
        <v>36960</v>
      </c>
      <c r="K662" s="14"/>
      <c r="L662" s="73"/>
      <c r="M662" s="80" t="str">
        <f t="shared" si="44"/>
        <v>nein</v>
      </c>
      <c r="N662">
        <f t="shared" si="45"/>
        <v>2022</v>
      </c>
    </row>
    <row r="663" spans="1:14" hidden="1" x14ac:dyDescent="0.3">
      <c r="A663" s="103">
        <f t="shared" si="42"/>
        <v>42</v>
      </c>
      <c r="B663" s="22">
        <v>44854</v>
      </c>
      <c r="C663" s="11" t="s">
        <v>6</v>
      </c>
      <c r="D663" s="12" t="s">
        <v>11</v>
      </c>
      <c r="E663" s="13">
        <f>IF(VLOOKUP(D663,Budget!A:B,2,FALSE)&lt;&gt;0,IF(G663=0,24,24-G663),0)</f>
        <v>24</v>
      </c>
      <c r="G663" s="13"/>
      <c r="H663" s="85">
        <f>IF(E663=0,0,IF(M663="ja",(VLOOKUP(D663,Budget!A:F,6,FALSE)*(E663-(VLOOKUP(D663,Budget!A:F,3,FALSE)))),VLOOKUP($D663,Budget!$A$1:$F$19,6,FALSE)*E663))</f>
        <v>30030</v>
      </c>
      <c r="I663" s="85">
        <f>IF(F663=0,0,IF(M663="ja",((VLOOKUP(F663,Budget!A:F,6,FALSE)*(E663-(VLOOKUP(F663,Budget!A:F,3,FALSE))))),VLOOKUP($D663,Budget!A:F,5,FALSE)*E663))</f>
        <v>0</v>
      </c>
      <c r="J663" s="85">
        <f t="shared" si="43"/>
        <v>30030</v>
      </c>
      <c r="K663" s="14"/>
      <c r="L663" s="73"/>
      <c r="M663" s="80" t="str">
        <f t="shared" si="44"/>
        <v>ja</v>
      </c>
      <c r="N663">
        <f t="shared" si="45"/>
        <v>2022</v>
      </c>
    </row>
    <row r="664" spans="1:14" hidden="1" x14ac:dyDescent="0.3">
      <c r="A664" s="105">
        <f t="shared" si="42"/>
        <v>42</v>
      </c>
      <c r="B664" s="22">
        <v>44855</v>
      </c>
      <c r="C664" s="11" t="s">
        <v>7</v>
      </c>
      <c r="D664" s="12" t="s">
        <v>18</v>
      </c>
      <c r="E664" s="13">
        <f>IF(VLOOKUP(D664,Budget!A:B,2,FALSE)&lt;&gt;0,IF(G664=0,24,24-G664),0)</f>
        <v>24</v>
      </c>
      <c r="G664" s="13"/>
      <c r="H664" s="85">
        <f>IF(E664=0,0,IF(M664="ja",(VLOOKUP(D664,Budget!A:F,6,FALSE)*(E664-(VLOOKUP(D664,Budget!A:F,3,FALSE)))),VLOOKUP($D664,Budget!$A$1:$F$19,6,FALSE)*E664))</f>
        <v>25200</v>
      </c>
      <c r="I664" s="85">
        <f>IF(F664=0,0,IF(M664="ja",((VLOOKUP(F664,Budget!A:F,6,FALSE)*(E664-(VLOOKUP(F664,Budget!A:F,3,FALSE))))),VLOOKUP($D664,Budget!A:F,5,FALSE)*E664))</f>
        <v>0</v>
      </c>
      <c r="J664" s="85">
        <f t="shared" si="43"/>
        <v>25200</v>
      </c>
      <c r="K664" s="14"/>
      <c r="L664" s="25"/>
      <c r="M664" s="80" t="str">
        <f t="shared" si="44"/>
        <v>ja</v>
      </c>
      <c r="N664">
        <f t="shared" si="45"/>
        <v>2022</v>
      </c>
    </row>
    <row r="665" spans="1:14" hidden="1" x14ac:dyDescent="0.3">
      <c r="A665" s="105">
        <f t="shared" si="42"/>
        <v>42</v>
      </c>
      <c r="B665" s="22">
        <v>44856</v>
      </c>
      <c r="C665" s="16" t="s">
        <v>8</v>
      </c>
      <c r="D665" s="12" t="s">
        <v>18</v>
      </c>
      <c r="E665" s="24">
        <f>IF(VLOOKUP(D665,Budget!A:B,2,FALSE)&lt;&gt;0,IF(G665=0,24,24-G665),0)</f>
        <v>24</v>
      </c>
      <c r="F665" s="17"/>
      <c r="G665" s="17"/>
      <c r="H665" s="86">
        <f>IF(E665=0,0,IF(M665="ja",(VLOOKUP(D665,Budget!A:F,6,FALSE)*(E665-(VLOOKUP(D665,Budget!A:F,3,FALSE)))),VLOOKUP($D665,Budget!$A$1:$F$19,6,FALSE)*E665))</f>
        <v>28800</v>
      </c>
      <c r="I665" s="86">
        <f>IF(F665=0,0,IF(M665="ja",((VLOOKUP(F665,Budget!A:F,6,FALSE)*(E665-(VLOOKUP(F665,Budget!A:F,3,FALSE))))),VLOOKUP($D665,Budget!A:F,5,FALSE)*E665))</f>
        <v>0</v>
      </c>
      <c r="J665" s="86">
        <f t="shared" si="43"/>
        <v>28800</v>
      </c>
      <c r="K665" s="18"/>
      <c r="L665" s="75"/>
      <c r="M665" s="76" t="str">
        <f t="shared" si="44"/>
        <v>nein</v>
      </c>
      <c r="N665">
        <f t="shared" si="45"/>
        <v>2022</v>
      </c>
    </row>
    <row r="666" spans="1:14" ht="15" hidden="1" thickBot="1" x14ac:dyDescent="0.35">
      <c r="A666" s="105">
        <f t="shared" si="42"/>
        <v>42</v>
      </c>
      <c r="B666" s="27">
        <v>44857</v>
      </c>
      <c r="C666" s="19" t="s">
        <v>9</v>
      </c>
      <c r="D666" s="12" t="s">
        <v>18</v>
      </c>
      <c r="E666" s="20">
        <f>IF(VLOOKUP(D666,Budget!A:B,2,FALSE)&lt;&gt;0,IF(G666=0,24,24-G666),0)</f>
        <v>24</v>
      </c>
      <c r="F666" s="20"/>
      <c r="G666" s="20"/>
      <c r="H666" s="93">
        <f>IF(E666=0,0,IF(M666="ja",(VLOOKUP(D666,Budget!A:F,6,FALSE)*(E666-(VLOOKUP(D666,Budget!A:F,3,FALSE)))),VLOOKUP($D666,Budget!$A$1:$F$19,6,FALSE)*E666))</f>
        <v>28800</v>
      </c>
      <c r="I666" s="93">
        <f>IF(F666=0,0,IF(M666="ja",((VLOOKUP(F666,Budget!A:F,6,FALSE)*(E666-(VLOOKUP(F666,Budget!A:F,3,FALSE))))),VLOOKUP($D666,Budget!A:F,5,FALSE)*E666))</f>
        <v>0</v>
      </c>
      <c r="J666" s="87">
        <f t="shared" si="43"/>
        <v>28800</v>
      </c>
      <c r="K666" s="21"/>
      <c r="L666" s="74"/>
      <c r="M666" s="77" t="str">
        <f t="shared" si="44"/>
        <v>nein</v>
      </c>
      <c r="N666">
        <f t="shared" si="45"/>
        <v>2022</v>
      </c>
    </row>
    <row r="667" spans="1:14" hidden="1" x14ac:dyDescent="0.3">
      <c r="A667" s="104">
        <f t="shared" si="42"/>
        <v>43</v>
      </c>
      <c r="B667" s="22">
        <v>44858</v>
      </c>
      <c r="C667" s="10" t="s">
        <v>3</v>
      </c>
      <c r="D667" s="12" t="s">
        <v>69</v>
      </c>
      <c r="E667" s="13">
        <f>IF(VLOOKUP(D667,Budget!A:B,2,FALSE)&lt;&gt;0,IF(G667=0,24,24-G667),0)</f>
        <v>24</v>
      </c>
      <c r="F667" s="13"/>
      <c r="G667" s="13"/>
      <c r="H667" s="85">
        <f>IF(E667=0,0,IF(M667="ja",(VLOOKUP(D667,Budget!A:F,6,FALSE)*(E667-(VLOOKUP(D667,Budget!A:F,3,FALSE)))),VLOOKUP($D667,Budget!$A$1:$F$19,6,FALSE)*E667))</f>
        <v>38269.757143831848</v>
      </c>
      <c r="I667" s="85">
        <f>IF(F667=0,0,IF(M667="ja",((VLOOKUP(F667,Budget!A:F,6,FALSE)*(E667-(VLOOKUP(F667,Budget!A:F,3,FALSE))))),VLOOKUP($D667,Budget!A:F,5,FALSE)*E667))</f>
        <v>0</v>
      </c>
      <c r="J667" s="85">
        <f t="shared" si="43"/>
        <v>38269.757143831848</v>
      </c>
      <c r="K667" s="15"/>
      <c r="L667" s="72"/>
      <c r="M667" s="80" t="str">
        <f t="shared" si="44"/>
        <v>ja</v>
      </c>
      <c r="N667">
        <f t="shared" si="45"/>
        <v>2022</v>
      </c>
    </row>
    <row r="668" spans="1:14" hidden="1" x14ac:dyDescent="0.3">
      <c r="A668" s="105">
        <f t="shared" si="42"/>
        <v>43</v>
      </c>
      <c r="B668" s="22">
        <v>44859</v>
      </c>
      <c r="C668" s="11" t="s">
        <v>4</v>
      </c>
      <c r="D668" s="12" t="s">
        <v>69</v>
      </c>
      <c r="E668" s="13">
        <f>IF(VLOOKUP(D668,Budget!A:B,2,FALSE)&lt;&gt;0,IF(G668=0,24,24-G668),0)</f>
        <v>24</v>
      </c>
      <c r="G668" s="13"/>
      <c r="H668" s="85">
        <f>IF(E668=0,0,IF(M668="ja",(VLOOKUP(D668,Budget!A:F,6,FALSE)*(E668-(VLOOKUP(D668,Budget!A:F,3,FALSE)))),VLOOKUP($D668,Budget!$A$1:$F$19,6,FALSE)*E668))</f>
        <v>42919.35380616656</v>
      </c>
      <c r="I668" s="85">
        <f>IF(F668=0,0,IF(M668="ja",((VLOOKUP(F668,Budget!A:F,6,FALSE)*(E668-(VLOOKUP(F668,Budget!A:F,3,FALSE))))),VLOOKUP($D668,Budget!A:F,5,FALSE)*E668))</f>
        <v>0</v>
      </c>
      <c r="J668" s="85">
        <f t="shared" si="43"/>
        <v>42919.35380616656</v>
      </c>
      <c r="K668" s="14"/>
      <c r="L668" s="97"/>
      <c r="M668" s="80" t="str">
        <f t="shared" si="44"/>
        <v>nein</v>
      </c>
      <c r="N668">
        <f t="shared" si="45"/>
        <v>2022</v>
      </c>
    </row>
    <row r="669" spans="1:14" hidden="1" x14ac:dyDescent="0.3">
      <c r="A669" s="105">
        <f t="shared" si="42"/>
        <v>43</v>
      </c>
      <c r="B669" s="22">
        <v>44860</v>
      </c>
      <c r="C669" s="11" t="s">
        <v>5</v>
      </c>
      <c r="D669" s="12" t="s">
        <v>69</v>
      </c>
      <c r="E669" s="13">
        <f>IF(VLOOKUP(D669,Budget!A:B,2,FALSE)&lt;&gt;0,IF(G669=0,24,24-G669),0)</f>
        <v>24</v>
      </c>
      <c r="G669" s="13"/>
      <c r="H669" s="85">
        <f>IF(E669=0,0,IF(M669="ja",(VLOOKUP(D669,Budget!A:F,6,FALSE)*(E669-(VLOOKUP(D669,Budget!A:F,3,FALSE)))),VLOOKUP($D669,Budget!$A$1:$F$19,6,FALSE)*E669))</f>
        <v>42919.35380616656</v>
      </c>
      <c r="I669" s="85">
        <f>IF(F669=0,0,IF(M669="ja",((VLOOKUP(F669,Budget!A:F,6,FALSE)*(E669-(VLOOKUP(F669,Budget!A:F,3,FALSE))))),VLOOKUP($D669,Budget!A:F,5,FALSE)*E669))</f>
        <v>0</v>
      </c>
      <c r="J669" s="85">
        <f t="shared" si="43"/>
        <v>42919.35380616656</v>
      </c>
      <c r="K669" s="14"/>
      <c r="L669" s="97"/>
      <c r="M669" s="80" t="str">
        <f t="shared" si="44"/>
        <v>nein</v>
      </c>
      <c r="N669">
        <f t="shared" si="45"/>
        <v>2022</v>
      </c>
    </row>
    <row r="670" spans="1:14" hidden="1" x14ac:dyDescent="0.3">
      <c r="A670" s="103">
        <f t="shared" si="42"/>
        <v>43</v>
      </c>
      <c r="B670" s="22">
        <v>44861</v>
      </c>
      <c r="C670" s="11" t="s">
        <v>6</v>
      </c>
      <c r="D670" s="12" t="s">
        <v>69</v>
      </c>
      <c r="E670" s="13">
        <f>IF(VLOOKUP(D670,Budget!A:B,2,FALSE)&lt;&gt;0,IF(G670=0,24,24-G670),0)</f>
        <v>24</v>
      </c>
      <c r="G670" s="13"/>
      <c r="H670" s="85">
        <f>IF(E670=0,0,IF(M670="ja",(VLOOKUP(D670,Budget!A:F,6,FALSE)*(E670-(VLOOKUP(D670,Budget!A:F,3,FALSE)))),VLOOKUP($D670,Budget!$A$1:$F$19,6,FALSE)*E670))</f>
        <v>42919.35380616656</v>
      </c>
      <c r="I670" s="85">
        <f>IF(F670=0,0,IF(M670="ja",((VLOOKUP(F670,Budget!A:F,6,FALSE)*(E670-(VLOOKUP(F670,Budget!A:F,3,FALSE))))),VLOOKUP($D670,Budget!A:F,5,FALSE)*E670))</f>
        <v>0</v>
      </c>
      <c r="J670" s="85">
        <f t="shared" si="43"/>
        <v>42919.35380616656</v>
      </c>
      <c r="K670" s="14"/>
      <c r="L670" s="97"/>
      <c r="M670" s="80" t="str">
        <f t="shared" si="44"/>
        <v>nein</v>
      </c>
      <c r="N670">
        <f t="shared" si="45"/>
        <v>2022</v>
      </c>
    </row>
    <row r="671" spans="1:14" hidden="1" x14ac:dyDescent="0.3">
      <c r="A671" s="105">
        <f t="shared" si="42"/>
        <v>43</v>
      </c>
      <c r="B671" s="22">
        <v>44862</v>
      </c>
      <c r="C671" s="11" t="s">
        <v>7</v>
      </c>
      <c r="D671" s="12" t="s">
        <v>69</v>
      </c>
      <c r="E671" s="13">
        <f>IF(VLOOKUP(D671,Budget!A:B,2,FALSE)&lt;&gt;0,IF(G671=0,24,24-G671),0)</f>
        <v>24</v>
      </c>
      <c r="G671" s="13"/>
      <c r="H671" s="85">
        <f>IF(E671=0,0,IF(M671="ja",(VLOOKUP(D671,Budget!A:F,6,FALSE)*(E671-(VLOOKUP(D671,Budget!A:F,3,FALSE)))),VLOOKUP($D671,Budget!$A$1:$F$19,6,FALSE)*E671))</f>
        <v>42919.35380616656</v>
      </c>
      <c r="I671" s="85">
        <f>IF(F671=0,0,IF(M671="ja",((VLOOKUP(F671,Budget!A:F,6,FALSE)*(E671-(VLOOKUP(F671,Budget!A:F,3,FALSE))))),VLOOKUP($D671,Budget!A:F,5,FALSE)*E671))</f>
        <v>0</v>
      </c>
      <c r="J671" s="85">
        <f t="shared" si="43"/>
        <v>42919.35380616656</v>
      </c>
      <c r="K671" s="14"/>
      <c r="L671" s="97"/>
      <c r="M671" s="80" t="str">
        <f t="shared" si="44"/>
        <v>nein</v>
      </c>
      <c r="N671">
        <f t="shared" si="45"/>
        <v>2022</v>
      </c>
    </row>
    <row r="672" spans="1:14" hidden="1" x14ac:dyDescent="0.3">
      <c r="A672" s="105">
        <f t="shared" si="42"/>
        <v>43</v>
      </c>
      <c r="B672" s="22">
        <v>44863</v>
      </c>
      <c r="C672" s="16" t="s">
        <v>8</v>
      </c>
      <c r="D672" s="17" t="s">
        <v>69</v>
      </c>
      <c r="E672" s="24">
        <f>IF(VLOOKUP(D672,Budget!A:B,2,FALSE)&lt;&gt;0,IF(G672=0,24,24-G672),0)</f>
        <v>12</v>
      </c>
      <c r="F672" s="17"/>
      <c r="G672" s="17">
        <v>12</v>
      </c>
      <c r="H672" s="86">
        <f>IF(E672=0,0,IF(M672="ja",(VLOOKUP(D672,Budget!A:F,6,FALSE)*(E672-(VLOOKUP(D672,Budget!A:F,3,FALSE)))),VLOOKUP($D672,Budget!$A$1:$F$19,6,FALSE)*E672))</f>
        <v>16810.080240748572</v>
      </c>
      <c r="I672" s="86">
        <f>IF(F672=0,0,IF(M672="ja",((VLOOKUP(F672,Budget!A:F,6,FALSE)*(E672-(VLOOKUP(F672,Budget!A:F,3,FALSE))))),VLOOKUP($D672,Budget!A:F,5,FALSE)*E672))</f>
        <v>0</v>
      </c>
      <c r="J672" s="86">
        <f t="shared" si="43"/>
        <v>16810.080240748572</v>
      </c>
      <c r="K672" s="18"/>
      <c r="L672" s="75"/>
      <c r="M672" s="76" t="str">
        <f t="shared" si="44"/>
        <v>ja</v>
      </c>
      <c r="N672">
        <f t="shared" si="45"/>
        <v>2022</v>
      </c>
    </row>
    <row r="673" spans="1:14" ht="15" hidden="1" thickBot="1" x14ac:dyDescent="0.35">
      <c r="A673" s="105">
        <f t="shared" si="42"/>
        <v>43</v>
      </c>
      <c r="B673" s="27">
        <v>44864</v>
      </c>
      <c r="C673" s="19" t="s">
        <v>9</v>
      </c>
      <c r="D673" s="20" t="s">
        <v>69</v>
      </c>
      <c r="E673" s="20">
        <f>IF(VLOOKUP(D673,Budget!A:B,2,FALSE)&lt;&gt;0,IF(G673=0,24,24-G673),0)</f>
        <v>24</v>
      </c>
      <c r="F673" s="20"/>
      <c r="G673" s="20"/>
      <c r="H673" s="93">
        <f>IF(E673=0,0,IF(M673="ja",(VLOOKUP(D673,Budget!A:F,6,FALSE)*(E673-(VLOOKUP(D673,Budget!A:F,3,FALSE)))),VLOOKUP($D673,Budget!$A$1:$F$19,6,FALSE)*E673))</f>
        <v>42919.35380616656</v>
      </c>
      <c r="I673" s="93">
        <f>IF(F673=0,0,IF(M673="ja",((VLOOKUP(F673,Budget!A:F,6,FALSE)*(E673-(VLOOKUP(F673,Budget!A:F,3,FALSE))))),VLOOKUP($D673,Budget!A:F,5,FALSE)*E673))</f>
        <v>0</v>
      </c>
      <c r="J673" s="87">
        <f t="shared" si="43"/>
        <v>42919.35380616656</v>
      </c>
      <c r="K673" s="21"/>
      <c r="L673" s="74"/>
      <c r="M673" s="77" t="str">
        <f t="shared" si="44"/>
        <v>nein</v>
      </c>
      <c r="N673">
        <f t="shared" si="45"/>
        <v>2022</v>
      </c>
    </row>
    <row r="674" spans="1:14" hidden="1" x14ac:dyDescent="0.3">
      <c r="A674" s="104">
        <f t="shared" si="42"/>
        <v>44</v>
      </c>
      <c r="B674" s="22">
        <v>44865</v>
      </c>
      <c r="C674" s="10" t="s">
        <v>3</v>
      </c>
      <c r="D674" s="12" t="s">
        <v>29</v>
      </c>
      <c r="E674" s="13">
        <f>IF(VLOOKUP(D674,Budget!A:B,2,FALSE)&lt;&gt;0,IF(G674=0,24,24-G674),0)</f>
        <v>0</v>
      </c>
      <c r="F674" s="13"/>
      <c r="G674" s="13"/>
      <c r="H674" s="85">
        <f>IF(E674=0,0,IF(M674="ja",(VLOOKUP(D674,Budget!A:F,6,FALSE)*(E674-(VLOOKUP(D674,Budget!A:F,3,FALSE)))),VLOOKUP($D674,Budget!$A$1:$F$19,6,FALSE)*E674))</f>
        <v>0</v>
      </c>
      <c r="I674" s="85">
        <f>IF(F674=0,0,IF(M674="ja",((VLOOKUP(F674,Budget!A:F,6,FALSE)*(E674-(VLOOKUP(F674,Budget!A:F,3,FALSE))))),VLOOKUP($D674,Budget!A:F,5,FALSE)*E674))</f>
        <v>0</v>
      </c>
      <c r="J674" s="85">
        <f t="shared" si="43"/>
        <v>0</v>
      </c>
      <c r="K674" s="15"/>
      <c r="L674" s="72"/>
      <c r="M674" s="80" t="str">
        <f t="shared" si="44"/>
        <v>nein</v>
      </c>
      <c r="N674">
        <f t="shared" si="45"/>
        <v>2022</v>
      </c>
    </row>
    <row r="675" spans="1:14" hidden="1" x14ac:dyDescent="0.3">
      <c r="A675" s="105">
        <f t="shared" si="42"/>
        <v>44</v>
      </c>
      <c r="B675" s="22">
        <v>44866</v>
      </c>
      <c r="C675" s="11" t="s">
        <v>4</v>
      </c>
      <c r="D675" s="12" t="s">
        <v>29</v>
      </c>
      <c r="E675" s="13">
        <f>IF(VLOOKUP(D675,Budget!A:B,2,FALSE)&lt;&gt;0,IF(G675=0,24,24-G675),0)</f>
        <v>0</v>
      </c>
      <c r="G675" s="13"/>
      <c r="H675" s="85">
        <f>IF(E675=0,0,IF(M675="ja",(VLOOKUP(D675,Budget!A:F,6,FALSE)*(E675-(VLOOKUP(D675,Budget!A:F,3,FALSE)))),VLOOKUP($D675,Budget!$A$1:$F$19,6,FALSE)*E675))</f>
        <v>0</v>
      </c>
      <c r="I675" s="85">
        <f>IF(F675=0,0,IF(M675="ja",((VLOOKUP(F675,Budget!A:F,6,FALSE)*(E675-(VLOOKUP(F675,Budget!A:F,3,FALSE))))),VLOOKUP($D675,Budget!A:F,5,FALSE)*E675))</f>
        <v>0</v>
      </c>
      <c r="J675" s="85">
        <f t="shared" si="43"/>
        <v>0</v>
      </c>
      <c r="K675" s="14"/>
      <c r="L675" s="73"/>
      <c r="M675" s="80" t="str">
        <f t="shared" si="44"/>
        <v>nein</v>
      </c>
      <c r="N675">
        <f t="shared" si="45"/>
        <v>2022</v>
      </c>
    </row>
    <row r="676" spans="1:14" hidden="1" x14ac:dyDescent="0.3">
      <c r="A676" s="105">
        <f t="shared" si="42"/>
        <v>44</v>
      </c>
      <c r="B676" s="22">
        <v>44867</v>
      </c>
      <c r="C676" s="11" t="s">
        <v>5</v>
      </c>
      <c r="D676" s="12" t="s">
        <v>29</v>
      </c>
      <c r="E676" s="13">
        <f>IF(VLOOKUP(D676,Budget!A:B,2,FALSE)&lt;&gt;0,IF(G676=0,24,24-G676),0)</f>
        <v>0</v>
      </c>
      <c r="G676" s="13"/>
      <c r="H676" s="85">
        <f>IF(E676=0,0,IF(M676="ja",(VLOOKUP(D676,Budget!A:F,6,FALSE)*(E676-(VLOOKUP(D676,Budget!A:F,3,FALSE)))),VLOOKUP($D676,Budget!$A$1:$F$19,6,FALSE)*E676))</f>
        <v>0</v>
      </c>
      <c r="I676" s="85">
        <f>IF(F676=0,0,IF(M676="ja",((VLOOKUP(F676,Budget!A:F,6,FALSE)*(E676-(VLOOKUP(F676,Budget!A:F,3,FALSE))))),VLOOKUP($D676,Budget!A:F,5,FALSE)*E676))</f>
        <v>0</v>
      </c>
      <c r="J676" s="85">
        <f t="shared" si="43"/>
        <v>0</v>
      </c>
      <c r="K676" s="14"/>
      <c r="L676" s="73"/>
      <c r="M676" s="80" t="str">
        <f t="shared" si="44"/>
        <v>nein</v>
      </c>
      <c r="N676">
        <f t="shared" si="45"/>
        <v>2022</v>
      </c>
    </row>
    <row r="677" spans="1:14" hidden="1" x14ac:dyDescent="0.3">
      <c r="A677" s="103">
        <f t="shared" si="42"/>
        <v>44</v>
      </c>
      <c r="B677" s="22">
        <v>44868</v>
      </c>
      <c r="C677" s="11" t="s">
        <v>6</v>
      </c>
      <c r="D677" s="12" t="s">
        <v>29</v>
      </c>
      <c r="E677" s="13">
        <f>IF(VLOOKUP(D677,Budget!A:B,2,FALSE)&lt;&gt;0,IF(G677=0,24,24-G677),0)</f>
        <v>0</v>
      </c>
      <c r="G677" s="13"/>
      <c r="H677" s="85">
        <f>IF(E677=0,0,IF(M677="ja",(VLOOKUP(D677,Budget!A:F,6,FALSE)*(E677-(VLOOKUP(D677,Budget!A:F,3,FALSE)))),VLOOKUP($D677,Budget!$A$1:$F$19,6,FALSE)*E677))</f>
        <v>0</v>
      </c>
      <c r="I677" s="85">
        <f>IF(F677=0,0,IF(M677="ja",((VLOOKUP(F677,Budget!A:F,6,FALSE)*(E677-(VLOOKUP(F677,Budget!A:F,3,FALSE))))),VLOOKUP($D677,Budget!A:F,5,FALSE)*E677))</f>
        <v>0</v>
      </c>
      <c r="J677" s="85">
        <f t="shared" si="43"/>
        <v>0</v>
      </c>
      <c r="K677" s="14"/>
      <c r="L677" s="73"/>
      <c r="M677" s="80" t="str">
        <f t="shared" si="44"/>
        <v>nein</v>
      </c>
      <c r="N677">
        <f t="shared" si="45"/>
        <v>2022</v>
      </c>
    </row>
    <row r="678" spans="1:14" hidden="1" x14ac:dyDescent="0.3">
      <c r="A678" s="105">
        <f t="shared" si="42"/>
        <v>44</v>
      </c>
      <c r="B678" s="22">
        <v>44869</v>
      </c>
      <c r="C678" s="11" t="s">
        <v>7</v>
      </c>
      <c r="D678" s="12" t="s">
        <v>29</v>
      </c>
      <c r="E678" s="13">
        <f>IF(VLOOKUP(D678,Budget!A:B,2,FALSE)&lt;&gt;0,IF(G678=0,24,24-G678),0)</f>
        <v>0</v>
      </c>
      <c r="G678" s="13"/>
      <c r="H678" s="85">
        <f>IF(E678=0,0,IF(M678="ja",(VLOOKUP(D678,Budget!A:F,6,FALSE)*(E678-(VLOOKUP(D678,Budget!A:F,3,FALSE)))),VLOOKUP($D678,Budget!$A$1:$F$19,6,FALSE)*E678))</f>
        <v>0</v>
      </c>
      <c r="I678" s="85">
        <f>IF(F678=0,0,IF(M678="ja",((VLOOKUP(F678,Budget!A:F,6,FALSE)*(E678-(VLOOKUP(F678,Budget!A:F,3,FALSE))))),VLOOKUP($D678,Budget!A:F,5,FALSE)*E678))</f>
        <v>0</v>
      </c>
      <c r="J678" s="85">
        <f t="shared" si="43"/>
        <v>0</v>
      </c>
      <c r="K678" s="14"/>
      <c r="L678" s="25"/>
      <c r="M678" s="80" t="str">
        <f t="shared" si="44"/>
        <v>nein</v>
      </c>
      <c r="N678">
        <f t="shared" si="45"/>
        <v>2022</v>
      </c>
    </row>
    <row r="679" spans="1:14" hidden="1" x14ac:dyDescent="0.3">
      <c r="A679" s="105">
        <f t="shared" si="42"/>
        <v>44</v>
      </c>
      <c r="B679" s="22">
        <v>44870</v>
      </c>
      <c r="C679" s="16" t="s">
        <v>8</v>
      </c>
      <c r="D679" s="17" t="s">
        <v>29</v>
      </c>
      <c r="E679" s="24">
        <f>IF(VLOOKUP(D679,Budget!A:B,2,FALSE)&lt;&gt;0,IF(G679=0,24,24-G679),0)</f>
        <v>0</v>
      </c>
      <c r="F679" s="17"/>
      <c r="G679" s="17"/>
      <c r="H679" s="86">
        <f>IF(E679=0,0,IF(M679="ja",(VLOOKUP(D679,Budget!A:F,6,FALSE)*(E679-(VLOOKUP(D679,Budget!A:F,3,FALSE)))),VLOOKUP($D679,Budget!$A$1:$F$19,6,FALSE)*E679))</f>
        <v>0</v>
      </c>
      <c r="I679" s="86">
        <f>IF(F679=0,0,IF(M679="ja",((VLOOKUP(F679,Budget!A:F,6,FALSE)*(E679-(VLOOKUP(F679,Budget!A:F,3,FALSE))))),VLOOKUP($D679,Budget!A:F,5,FALSE)*E679))</f>
        <v>0</v>
      </c>
      <c r="J679" s="86">
        <f t="shared" si="43"/>
        <v>0</v>
      </c>
      <c r="K679" s="18"/>
      <c r="L679" s="75"/>
      <c r="M679" s="76" t="str">
        <f t="shared" si="44"/>
        <v>nein</v>
      </c>
      <c r="N679">
        <f t="shared" si="45"/>
        <v>2022</v>
      </c>
    </row>
    <row r="680" spans="1:14" ht="15" hidden="1" thickBot="1" x14ac:dyDescent="0.35">
      <c r="A680" s="105">
        <f t="shared" si="42"/>
        <v>44</v>
      </c>
      <c r="B680" s="27">
        <v>44871</v>
      </c>
      <c r="C680" s="19" t="s">
        <v>9</v>
      </c>
      <c r="D680" s="20" t="s">
        <v>29</v>
      </c>
      <c r="E680" s="20">
        <f>IF(VLOOKUP(D680,Budget!A:B,2,FALSE)&lt;&gt;0,IF(G680=0,24,24-G680),0)</f>
        <v>0</v>
      </c>
      <c r="F680" s="20"/>
      <c r="G680" s="20"/>
      <c r="H680" s="93">
        <f>IF(E680=0,0,IF(M680="ja",(VLOOKUP(D680,Budget!A:F,6,FALSE)*(E680-(VLOOKUP(D680,Budget!A:F,3,FALSE)))),VLOOKUP($D680,Budget!$A$1:$F$19,6,FALSE)*E680))</f>
        <v>0</v>
      </c>
      <c r="I680" s="93">
        <f>IF(F680=0,0,IF(M680="ja",((VLOOKUP(F680,Budget!A:F,6,FALSE)*(E680-(VLOOKUP(F680,Budget!A:F,3,FALSE))))),VLOOKUP($D680,Budget!A:F,5,FALSE)*E680))</f>
        <v>0</v>
      </c>
      <c r="J680" s="87">
        <f t="shared" si="43"/>
        <v>0</v>
      </c>
      <c r="K680" s="21"/>
      <c r="L680" s="74"/>
      <c r="M680" s="77" t="str">
        <f t="shared" si="44"/>
        <v>nein</v>
      </c>
      <c r="N680">
        <f t="shared" si="45"/>
        <v>2022</v>
      </c>
    </row>
    <row r="681" spans="1:14" ht="28.8" hidden="1" x14ac:dyDescent="0.3">
      <c r="A681" s="104">
        <f t="shared" si="42"/>
        <v>45</v>
      </c>
      <c r="B681" s="22">
        <v>44872</v>
      </c>
      <c r="C681" s="10" t="s">
        <v>3</v>
      </c>
      <c r="D681" s="12" t="s">
        <v>29</v>
      </c>
      <c r="E681" s="13">
        <f>IF(VLOOKUP(D681,Budget!A:B,2,FALSE)&lt;&gt;0,IF(G681=0,24,24-G681),0)</f>
        <v>0</v>
      </c>
      <c r="F681" s="13"/>
      <c r="G681" s="13"/>
      <c r="H681" s="85">
        <f>IF(E681=0,0,IF(M681="ja",(VLOOKUP(D681,Budget!A:F,6,FALSE)*(E681-(VLOOKUP(D681,Budget!A:F,3,FALSE)))),VLOOKUP($D681,Budget!$A$1:$F$19,6,FALSE)*E681))</f>
        <v>0</v>
      </c>
      <c r="I681" s="85">
        <f>IF(F681=0,0,IF(M681="ja",((VLOOKUP(F681,Budget!A:F,6,FALSE)*(E681-(VLOOKUP(F681,Budget!A:F,3,FALSE))))),VLOOKUP($D681,Budget!A:F,5,FALSE)*E681))</f>
        <v>0</v>
      </c>
      <c r="J681" s="85">
        <f t="shared" si="43"/>
        <v>0</v>
      </c>
      <c r="K681" s="15"/>
      <c r="L681" s="72" t="s">
        <v>110</v>
      </c>
      <c r="M681" s="80" t="str">
        <f t="shared" si="44"/>
        <v>nein</v>
      </c>
      <c r="N681">
        <f t="shared" si="45"/>
        <v>2022</v>
      </c>
    </row>
    <row r="682" spans="1:14" hidden="1" x14ac:dyDescent="0.3">
      <c r="A682" s="105">
        <f t="shared" si="42"/>
        <v>45</v>
      </c>
      <c r="B682" s="22">
        <v>44873</v>
      </c>
      <c r="C682" s="11" t="s">
        <v>4</v>
      </c>
      <c r="D682" s="12" t="s">
        <v>30</v>
      </c>
      <c r="E682" s="13">
        <f>IF(VLOOKUP(D682,Budget!A:B,2,FALSE)&lt;&gt;0,IF(G682=0,24,24-G682),0)</f>
        <v>0</v>
      </c>
      <c r="G682" s="13"/>
      <c r="H682" s="85">
        <f>IF(E682=0,0,IF(M682="ja",(VLOOKUP(D682,Budget!A:F,6,FALSE)*(E682-(VLOOKUP(D682,Budget!A:F,3,FALSE)))),VLOOKUP($D682,Budget!$A$1:$F$19,6,FALSE)*E682))</f>
        <v>0</v>
      </c>
      <c r="I682" s="85">
        <f>IF(F682=0,0,IF(M682="ja",((VLOOKUP(F682,Budget!A:F,6,FALSE)*(E682-(VLOOKUP(F682,Budget!A:F,3,FALSE))))),VLOOKUP($D682,Budget!A:F,5,FALSE)*E682))</f>
        <v>0</v>
      </c>
      <c r="J682" s="85">
        <f t="shared" si="43"/>
        <v>0</v>
      </c>
      <c r="K682" s="14"/>
      <c r="L682" s="73"/>
      <c r="M682" s="80" t="str">
        <f t="shared" si="44"/>
        <v>nein</v>
      </c>
      <c r="N682">
        <f t="shared" si="45"/>
        <v>2022</v>
      </c>
    </row>
    <row r="683" spans="1:14" hidden="1" x14ac:dyDescent="0.3">
      <c r="A683" s="105">
        <f t="shared" si="42"/>
        <v>45</v>
      </c>
      <c r="B683" s="22">
        <v>44874</v>
      </c>
      <c r="C683" s="11" t="s">
        <v>5</v>
      </c>
      <c r="D683" s="12" t="s">
        <v>69</v>
      </c>
      <c r="E683" s="13">
        <f>IF(VLOOKUP(D683,Budget!A:B,2,FALSE)&lt;&gt;0,IF(G683=0,24,24-G683),0)</f>
        <v>24</v>
      </c>
      <c r="G683" s="13"/>
      <c r="H683" s="85">
        <f>IF(E683=0,0,IF(M683="ja",(VLOOKUP(D683,Budget!A:F,6,FALSE)*(E683-(VLOOKUP(D683,Budget!A:F,3,FALSE)))),VLOOKUP($D683,Budget!$A$1:$F$19,6,FALSE)*E683))</f>
        <v>38269.757143831848</v>
      </c>
      <c r="I683" s="85">
        <f>IF(F683=0,0,IF(M683="ja",((VLOOKUP(F683,Budget!A:F,6,FALSE)*(E683-(VLOOKUP(F683,Budget!A:F,3,FALSE))))),VLOOKUP($D683,Budget!A:F,5,FALSE)*E683))</f>
        <v>0</v>
      </c>
      <c r="J683" s="85">
        <f t="shared" si="43"/>
        <v>38269.757143831848</v>
      </c>
      <c r="K683" s="14"/>
      <c r="L683" s="73"/>
      <c r="M683" s="80" t="str">
        <f t="shared" si="44"/>
        <v>ja</v>
      </c>
      <c r="N683">
        <f t="shared" si="45"/>
        <v>2022</v>
      </c>
    </row>
    <row r="684" spans="1:14" hidden="1" x14ac:dyDescent="0.3">
      <c r="A684" s="103">
        <f t="shared" si="42"/>
        <v>45</v>
      </c>
      <c r="B684" s="22">
        <v>44875</v>
      </c>
      <c r="C684" s="11" t="s">
        <v>6</v>
      </c>
      <c r="D684" s="12" t="s">
        <v>11</v>
      </c>
      <c r="E684" s="13">
        <f>IF(VLOOKUP(D684,Budget!A:B,2,FALSE)&lt;&gt;0,IF(G684=0,24,24-G684),0)</f>
        <v>24</v>
      </c>
      <c r="G684" s="13"/>
      <c r="H684" s="85">
        <v>0</v>
      </c>
      <c r="I684" s="85">
        <f>IF(F684=0,0,IF(M684="ja",((VLOOKUP(F684,Budget!A:F,6,FALSE)*(E684-(VLOOKUP(F684,Budget!A:F,3,FALSE))))),VLOOKUP($D684,Budget!A:F,5,FALSE)*E684))</f>
        <v>0</v>
      </c>
      <c r="J684" s="85">
        <f t="shared" si="43"/>
        <v>0</v>
      </c>
      <c r="K684" s="14"/>
      <c r="L684" s="97" t="s">
        <v>99</v>
      </c>
      <c r="M684" s="80" t="str">
        <f t="shared" si="44"/>
        <v>ja</v>
      </c>
      <c r="N684">
        <f t="shared" si="45"/>
        <v>2022</v>
      </c>
    </row>
    <row r="685" spans="1:14" hidden="1" x14ac:dyDescent="0.3">
      <c r="A685" s="105">
        <f t="shared" si="42"/>
        <v>45</v>
      </c>
      <c r="B685" s="22">
        <v>44876</v>
      </c>
      <c r="C685" s="11" t="s">
        <v>7</v>
      </c>
      <c r="D685" s="12" t="s">
        <v>11</v>
      </c>
      <c r="E685" s="13">
        <v>12</v>
      </c>
      <c r="G685" s="13"/>
      <c r="H685" s="85">
        <f>IF(E685=0,0,IF(M685="ja",(VLOOKUP(D685,Budget!A:F,6,FALSE)*(E685-(VLOOKUP(D685,Budget!A:F,3,FALSE)))),VLOOKUP($D685,Budget!$A$1:$F$19,6,FALSE)*E685))</f>
        <v>11550</v>
      </c>
      <c r="I685" s="85">
        <f>IF(F685=0,0,IF(M685="ja",((VLOOKUP(F685,Budget!A:F,6,FALSE)*(E685-(VLOOKUP(F685,Budget!A:F,3,FALSE))))),VLOOKUP($D685,Budget!A:F,5,FALSE)*E685))</f>
        <v>0</v>
      </c>
      <c r="J685" s="85">
        <f t="shared" si="43"/>
        <v>11550</v>
      </c>
      <c r="K685" s="14"/>
      <c r="L685" s="25"/>
      <c r="M685" s="80" t="str">
        <f t="shared" si="44"/>
        <v>ja</v>
      </c>
      <c r="N685">
        <f t="shared" si="45"/>
        <v>2022</v>
      </c>
    </row>
    <row r="686" spans="1:14" hidden="1" x14ac:dyDescent="0.3">
      <c r="A686" s="105">
        <f t="shared" si="42"/>
        <v>45</v>
      </c>
      <c r="B686" s="22">
        <v>44877</v>
      </c>
      <c r="C686" s="16" t="s">
        <v>8</v>
      </c>
      <c r="D686" s="12" t="s">
        <v>11</v>
      </c>
      <c r="E686" s="24">
        <f>IF(VLOOKUP(D686,Budget!A:B,2,FALSE)&lt;&gt;0,IF(G686=0,24,24-G686),0)</f>
        <v>24</v>
      </c>
      <c r="F686" s="17"/>
      <c r="G686" s="17"/>
      <c r="H686" s="86">
        <f>IF(E686=0,0,IF(M686="ja",(VLOOKUP(D686,Budget!A:F,6,FALSE)*(E686-(VLOOKUP(D686,Budget!A:F,3,FALSE)))),VLOOKUP($D686,Budget!$A$1:$F$19,6,FALSE)*E686))</f>
        <v>36960</v>
      </c>
      <c r="I686" s="86">
        <f>IF(F686=0,0,IF(M686="ja",((VLOOKUP(F686,Budget!A:F,6,FALSE)*(E686-(VLOOKUP(F686,Budget!A:F,3,FALSE))))),VLOOKUP($D686,Budget!A:F,5,FALSE)*E686))</f>
        <v>0</v>
      </c>
      <c r="J686" s="86">
        <f t="shared" si="43"/>
        <v>36960</v>
      </c>
      <c r="K686" s="18"/>
      <c r="L686" s="75"/>
      <c r="M686" s="76" t="str">
        <f t="shared" si="44"/>
        <v>nein</v>
      </c>
      <c r="N686">
        <f t="shared" si="45"/>
        <v>2022</v>
      </c>
    </row>
    <row r="687" spans="1:14" ht="15" hidden="1" thickBot="1" x14ac:dyDescent="0.35">
      <c r="A687" s="105">
        <f t="shared" si="42"/>
        <v>45</v>
      </c>
      <c r="B687" s="27">
        <v>44878</v>
      </c>
      <c r="C687" s="19" t="s">
        <v>9</v>
      </c>
      <c r="D687" s="20" t="s">
        <v>11</v>
      </c>
      <c r="E687" s="20">
        <f>IF(VLOOKUP(D687,Budget!A:B,2,FALSE)&lt;&gt;0,IF(G687=0,24,24-G687),0)</f>
        <v>24</v>
      </c>
      <c r="F687" s="20"/>
      <c r="G687" s="20"/>
      <c r="H687" s="93">
        <f>IF(E687=0,0,IF(M687="ja",(VLOOKUP(D687,Budget!A:F,6,FALSE)*(E687-(VLOOKUP(D687,Budget!A:F,3,FALSE)))),VLOOKUP($D687,Budget!$A$1:$F$19,6,FALSE)*E687))</f>
        <v>36960</v>
      </c>
      <c r="I687" s="93">
        <f>IF(F687=0,0,IF(M687="ja",((VLOOKUP(F687,Budget!A:F,6,FALSE)*(E687-(VLOOKUP(F687,Budget!A:F,3,FALSE))))),VLOOKUP($D687,Budget!A:F,5,FALSE)*E687))</f>
        <v>0</v>
      </c>
      <c r="J687" s="87">
        <f t="shared" si="43"/>
        <v>36960</v>
      </c>
      <c r="K687" s="21"/>
      <c r="L687" s="74"/>
      <c r="M687" s="77" t="str">
        <f t="shared" si="44"/>
        <v>nein</v>
      </c>
      <c r="N687">
        <f t="shared" si="45"/>
        <v>2022</v>
      </c>
    </row>
    <row r="688" spans="1:14" hidden="1" x14ac:dyDescent="0.3">
      <c r="A688" s="104">
        <f t="shared" si="42"/>
        <v>46</v>
      </c>
      <c r="B688" s="22">
        <v>44879</v>
      </c>
      <c r="C688" s="10" t="s">
        <v>3</v>
      </c>
      <c r="D688" s="12" t="s">
        <v>11</v>
      </c>
      <c r="E688" s="13">
        <f>IF(VLOOKUP(D688,Budget!A:B,2,FALSE)&lt;&gt;0,IF(G688=0,24,24-G688),0)</f>
        <v>24</v>
      </c>
      <c r="F688" s="13"/>
      <c r="G688" s="13"/>
      <c r="H688" s="85">
        <f>IF(E688=0,0,IF(M688="ja",(VLOOKUP(D688,Budget!A:F,6,FALSE)*(E688-(VLOOKUP(D688,Budget!A:F,3,FALSE)))),VLOOKUP($D688,Budget!$A$1:$F$19,6,FALSE)*E688))</f>
        <v>36960</v>
      </c>
      <c r="I688" s="85">
        <f>IF(F688=0,0,IF(M688="ja",((VLOOKUP(F688,Budget!A:F,6,FALSE)*(E688-(VLOOKUP(F688,Budget!A:F,3,FALSE))))),VLOOKUP($D688,Budget!A:F,5,FALSE)*E688))</f>
        <v>0</v>
      </c>
      <c r="J688" s="85">
        <f t="shared" si="43"/>
        <v>36960</v>
      </c>
      <c r="K688" s="15"/>
      <c r="L688" s="72"/>
      <c r="M688" s="80" t="str">
        <f t="shared" si="44"/>
        <v>nein</v>
      </c>
      <c r="N688">
        <f t="shared" si="45"/>
        <v>2022</v>
      </c>
    </row>
    <row r="689" spans="1:14" hidden="1" x14ac:dyDescent="0.3">
      <c r="A689" s="105">
        <f t="shared" si="42"/>
        <v>46</v>
      </c>
      <c r="B689" s="22">
        <v>44880</v>
      </c>
      <c r="C689" s="11" t="s">
        <v>4</v>
      </c>
      <c r="D689" s="12" t="s">
        <v>65</v>
      </c>
      <c r="E689" s="13">
        <f>IF(VLOOKUP(D689,Budget!A:B,2,FALSE)&lt;&gt;0,IF(G689=0,24,24-G689),0)</f>
        <v>24</v>
      </c>
      <c r="G689" s="13"/>
      <c r="H689" s="85">
        <f>IF(E689=0,0,IF(M689="ja",(VLOOKUP(D689,Budget!A:F,6,FALSE)*(E689-(VLOOKUP(D689,Budget!A:F,3,FALSE)))),VLOOKUP($D689,Budget!$A$1:$F$19,6,FALSE)*E689))</f>
        <v>22220.983707552332</v>
      </c>
      <c r="I689" s="85">
        <f>IF(F689=0,0,IF(M689="ja",((VLOOKUP(F689,Budget!A:F,6,FALSE)*(E689-(VLOOKUP(F689,Budget!A:F,3,FALSE))))),VLOOKUP($D689,Budget!A:F,5,FALSE)*E689))</f>
        <v>0</v>
      </c>
      <c r="J689" s="85">
        <f t="shared" si="43"/>
        <v>22220.983707552332</v>
      </c>
      <c r="K689" s="14"/>
      <c r="L689" s="73"/>
      <c r="M689" s="80" t="str">
        <f t="shared" si="44"/>
        <v>ja</v>
      </c>
      <c r="N689">
        <f t="shared" si="45"/>
        <v>2022</v>
      </c>
    </row>
    <row r="690" spans="1:14" hidden="1" x14ac:dyDescent="0.3">
      <c r="A690" s="105">
        <f t="shared" si="42"/>
        <v>46</v>
      </c>
      <c r="B690" s="22">
        <v>44881</v>
      </c>
      <c r="C690" s="11" t="s">
        <v>5</v>
      </c>
      <c r="D690" s="12" t="s">
        <v>65</v>
      </c>
      <c r="E690" s="13">
        <f>IF(VLOOKUP(D690,Budget!A:B,2,FALSE)&lt;&gt;0,IF(G690=0,24,24-G690),0)</f>
        <v>24</v>
      </c>
      <c r="G690" s="13"/>
      <c r="H690" s="85">
        <f>IF(E690=0,0,IF(M690="ja",(VLOOKUP(D690,Budget!A:F,6,FALSE)*(E690-(VLOOKUP(D690,Budget!A:F,3,FALSE)))),VLOOKUP($D690,Budget!$A$1:$F$19,6,FALSE)*E690))</f>
        <v>35553.573932083731</v>
      </c>
      <c r="I690" s="85">
        <f>IF(F690=0,0,IF(M690="ja",((VLOOKUP(F690,Budget!A:F,6,FALSE)*(E690-(VLOOKUP(F690,Budget!A:F,3,FALSE))))),VLOOKUP($D690,Budget!A:F,5,FALSE)*E690))</f>
        <v>0</v>
      </c>
      <c r="J690" s="85">
        <f t="shared" si="43"/>
        <v>35553.573932083731</v>
      </c>
      <c r="K690" s="14"/>
      <c r="L690" s="73" t="s">
        <v>140</v>
      </c>
      <c r="M690" s="80" t="str">
        <f t="shared" si="44"/>
        <v>nein</v>
      </c>
      <c r="N690">
        <f t="shared" si="45"/>
        <v>2022</v>
      </c>
    </row>
    <row r="691" spans="1:14" hidden="1" x14ac:dyDescent="0.3">
      <c r="A691" s="103">
        <f t="shared" ref="A691:A694" si="46">_xlfn.ISOWEEKNUM(B691)</f>
        <v>46</v>
      </c>
      <c r="B691" s="22">
        <v>44882</v>
      </c>
      <c r="C691" s="11" t="s">
        <v>6</v>
      </c>
      <c r="D691" s="12" t="s">
        <v>65</v>
      </c>
      <c r="E691" s="13">
        <v>24</v>
      </c>
      <c r="G691" s="13"/>
      <c r="H691" s="85">
        <f>IF(E691=0,0,IF(M691="ja",(VLOOKUP(D691,Budget!A:F,6,FALSE)*(E691-(VLOOKUP(D691,Budget!A:F,3,FALSE)))),VLOOKUP($D691,Budget!$A$1:$F$19,6,FALSE)*E691))</f>
        <v>35553.573932083731</v>
      </c>
      <c r="I691" s="85">
        <f>IF(F691=0,0,IF(M691="ja",((VLOOKUP(F691,Budget!A:F,6,FALSE)*(E691-(VLOOKUP(F691,Budget!A:F,3,FALSE))))),VLOOKUP($D691,Budget!A:F,5,FALSE)*E691))</f>
        <v>0</v>
      </c>
      <c r="J691" s="85">
        <f t="shared" ref="J691:J694" si="47">H691+I691</f>
        <v>35553.573932083731</v>
      </c>
      <c r="K691" s="14"/>
      <c r="M691" s="80" t="str">
        <f t="shared" ref="M691:M694" si="48">IF(E691=0,"nein",IF(OR(E691&lt;&gt;24,F690&lt;&gt;0,D691&lt;&gt;D690),"ja","nein"))</f>
        <v>nein</v>
      </c>
      <c r="N691">
        <f t="shared" si="45"/>
        <v>2022</v>
      </c>
    </row>
    <row r="692" spans="1:14" hidden="1" x14ac:dyDescent="0.3">
      <c r="A692" s="105">
        <f t="shared" si="46"/>
        <v>46</v>
      </c>
      <c r="B692" s="22">
        <v>44883</v>
      </c>
      <c r="C692" s="11" t="s">
        <v>7</v>
      </c>
      <c r="D692" s="12" t="s">
        <v>69</v>
      </c>
      <c r="E692" s="13">
        <f>IF(VLOOKUP(D692,Budget!A:B,2,FALSE)&lt;&gt;0,IF(G692=0,24,24-G692),0)</f>
        <v>24</v>
      </c>
      <c r="G692" s="13"/>
      <c r="H692" s="85">
        <f>IF(E692=0,0,IF(M692="ja",(VLOOKUP(D692,Budget!A:F,6,FALSE)*(E692-(VLOOKUP(D692,Budget!A:F,3,FALSE)))),VLOOKUP($D692,Budget!$A$1:$F$19,6,FALSE)*E692))</f>
        <v>38269.757143831848</v>
      </c>
      <c r="I692" s="85">
        <f>IF(F692=0,0,IF(M692="ja",((VLOOKUP(F692,Budget!A:F,6,FALSE)*(E692-(VLOOKUP(F692,Budget!A:F,3,FALSE))))),VLOOKUP($D692,Budget!A:F,5,FALSE)*E692))</f>
        <v>0</v>
      </c>
      <c r="J692" s="85">
        <f t="shared" si="47"/>
        <v>38269.757143831848</v>
      </c>
      <c r="K692" s="14"/>
      <c r="L692" s="25"/>
      <c r="M692" s="80" t="str">
        <f t="shared" si="48"/>
        <v>ja</v>
      </c>
      <c r="N692">
        <f t="shared" si="45"/>
        <v>2022</v>
      </c>
    </row>
    <row r="693" spans="1:14" hidden="1" x14ac:dyDescent="0.3">
      <c r="A693" s="105">
        <f t="shared" si="46"/>
        <v>46</v>
      </c>
      <c r="B693" s="22">
        <v>44884</v>
      </c>
      <c r="C693" s="16" t="s">
        <v>8</v>
      </c>
      <c r="D693" s="17" t="s">
        <v>69</v>
      </c>
      <c r="E693" s="24">
        <f>IF(VLOOKUP(D693,Budget!A:B,2,FALSE)&lt;&gt;0,IF(G693=0,24,24-G693),0)</f>
        <v>24</v>
      </c>
      <c r="F693" s="17"/>
      <c r="G693" s="17"/>
      <c r="H693" s="86">
        <f>IF(E693=0,0,IF(M693="ja",(VLOOKUP(D693,Budget!A:F,6,FALSE)*(E693-(VLOOKUP(D693,Budget!A:F,3,FALSE)))),VLOOKUP($D693,Budget!$A$1:$F$19,6,FALSE)*E693))</f>
        <v>42919.35380616656</v>
      </c>
      <c r="I693" s="86">
        <f>IF(F693=0,0,IF(M693="ja",((VLOOKUP(F693,Budget!A:F,6,FALSE)*(E693-(VLOOKUP(F693,Budget!A:F,3,FALSE))))),VLOOKUP($D693,Budget!A:F,5,FALSE)*E693))</f>
        <v>0</v>
      </c>
      <c r="J693" s="86">
        <f t="shared" si="47"/>
        <v>42919.35380616656</v>
      </c>
      <c r="K693" s="18"/>
      <c r="L693" s="75"/>
      <c r="M693" s="76" t="str">
        <f t="shared" si="48"/>
        <v>nein</v>
      </c>
      <c r="N693">
        <f t="shared" si="45"/>
        <v>2022</v>
      </c>
    </row>
    <row r="694" spans="1:14" ht="15" hidden="1" thickBot="1" x14ac:dyDescent="0.35">
      <c r="A694" s="105">
        <f t="shared" si="46"/>
        <v>46</v>
      </c>
      <c r="B694" s="27">
        <v>44885</v>
      </c>
      <c r="C694" s="19" t="s">
        <v>9</v>
      </c>
      <c r="D694" s="20" t="s">
        <v>69</v>
      </c>
      <c r="E694" s="20">
        <f>IF(VLOOKUP(D694,Budget!A:B,2,FALSE)&lt;&gt;0,IF(G694=0,24,24-G694),0)</f>
        <v>24</v>
      </c>
      <c r="F694" s="20"/>
      <c r="G694" s="20"/>
      <c r="H694" s="93">
        <f>IF(E694=0,0,IF(M694="ja",(VLOOKUP(D694,Budget!A:F,6,FALSE)*(E694-(VLOOKUP(D694,Budget!A:F,3,FALSE)))),VLOOKUP($D694,Budget!$A$1:$F$19,6,FALSE)*E694))</f>
        <v>42919.35380616656</v>
      </c>
      <c r="I694" s="93">
        <f>IF(F694=0,0,IF(M694="ja",((VLOOKUP(F694,Budget!A:F,6,FALSE)*(E694-(VLOOKUP(F694,Budget!A:F,3,FALSE))))),VLOOKUP($D694,Budget!A:F,5,FALSE)*E694))</f>
        <v>0</v>
      </c>
      <c r="J694" s="87">
        <f t="shared" si="47"/>
        <v>42919.35380616656</v>
      </c>
      <c r="K694" s="21"/>
      <c r="L694" s="74"/>
      <c r="M694" s="77" t="str">
        <f t="shared" si="48"/>
        <v>nein</v>
      </c>
      <c r="N694">
        <f t="shared" si="45"/>
        <v>2022</v>
      </c>
    </row>
    <row r="695" spans="1:14" hidden="1" x14ac:dyDescent="0.3">
      <c r="A695" s="104">
        <f t="shared" ref="A695:A726" si="49">_xlfn.ISOWEEKNUM(B695)</f>
        <v>47</v>
      </c>
      <c r="B695" s="22">
        <v>44886</v>
      </c>
      <c r="C695" s="10" t="s">
        <v>3</v>
      </c>
      <c r="D695" s="12" t="s">
        <v>29</v>
      </c>
      <c r="E695" s="13">
        <f>IF(VLOOKUP(D695,Budget!A:B,2,FALSE)&lt;&gt;0,IF(G695=0,24,24-G695),0)</f>
        <v>0</v>
      </c>
      <c r="F695" s="13"/>
      <c r="G695" s="13"/>
      <c r="H695" s="85">
        <f>IF(E695=0,0,IF(M695="ja",(VLOOKUP(D695,Budget!A:F,6,FALSE)*(E695-(VLOOKUP(D695,Budget!A:F,3,FALSE)))),VLOOKUP($D695,Budget!$A$1:$F$19,6,FALSE)*E695))</f>
        <v>0</v>
      </c>
      <c r="I695" s="85">
        <f>IF(F695=0,0,IF(M695="ja",((VLOOKUP(F695,Budget!A:F,6,FALSE)*(E695-(VLOOKUP(F695,Budget!A:F,3,FALSE))))),VLOOKUP($D695,Budget!A:F,5,FALSE)*E695))</f>
        <v>0</v>
      </c>
      <c r="J695" s="85">
        <f t="shared" ref="J695:J726" si="50">H695+I695</f>
        <v>0</v>
      </c>
      <c r="K695" s="15"/>
      <c r="L695" s="72" t="s">
        <v>78</v>
      </c>
      <c r="M695" s="80" t="str">
        <f t="shared" ref="M695:M726" si="51">IF(E695=0,"nein",IF(OR(E695&lt;&gt;24,F694&lt;&gt;0,D695&lt;&gt;D694),"ja","nein"))</f>
        <v>nein</v>
      </c>
      <c r="N695">
        <f t="shared" si="45"/>
        <v>2022</v>
      </c>
    </row>
    <row r="696" spans="1:14" hidden="1" x14ac:dyDescent="0.3">
      <c r="A696" s="105">
        <f t="shared" si="49"/>
        <v>47</v>
      </c>
      <c r="B696" s="22">
        <v>44887</v>
      </c>
      <c r="C696" s="11" t="s">
        <v>4</v>
      </c>
      <c r="D696" s="12" t="s">
        <v>29</v>
      </c>
      <c r="E696" s="13">
        <f>IF(VLOOKUP(D696,Budget!A:B,2,FALSE)&lt;&gt;0,IF(G696=0,24,24-G696),0)</f>
        <v>0</v>
      </c>
      <c r="G696" s="13"/>
      <c r="H696" s="85">
        <f>IF(E696=0,0,IF(M696="ja",(VLOOKUP(D696,Budget!A:F,6,FALSE)*(E696-(VLOOKUP(D696,Budget!A:F,3,FALSE)))),VLOOKUP($D696,Budget!$A$1:$F$19,6,FALSE)*E696))</f>
        <v>0</v>
      </c>
      <c r="I696" s="85">
        <f>IF(F696=0,0,IF(M696="ja",((VLOOKUP(F696,Budget!A:F,6,FALSE)*(E696-(VLOOKUP(F696,Budget!A:F,3,FALSE))))),VLOOKUP($D696,Budget!A:F,5,FALSE)*E696))</f>
        <v>0</v>
      </c>
      <c r="J696" s="85">
        <f t="shared" si="50"/>
        <v>0</v>
      </c>
      <c r="K696" s="14"/>
      <c r="L696" s="73" t="s">
        <v>78</v>
      </c>
      <c r="M696" s="80" t="str">
        <f t="shared" si="51"/>
        <v>nein</v>
      </c>
      <c r="N696">
        <f t="shared" si="45"/>
        <v>2022</v>
      </c>
    </row>
    <row r="697" spans="1:14" hidden="1" x14ac:dyDescent="0.3">
      <c r="A697" s="105">
        <f t="shared" si="49"/>
        <v>47</v>
      </c>
      <c r="B697" s="22">
        <v>44888</v>
      </c>
      <c r="C697" s="11" t="s">
        <v>5</v>
      </c>
      <c r="D697" s="12" t="s">
        <v>30</v>
      </c>
      <c r="E697" s="13">
        <f>IF(VLOOKUP(D697,Budget!A:B,2,FALSE)&lt;&gt;0,IF(G697=0,24,24-G697),0)</f>
        <v>0</v>
      </c>
      <c r="G697" s="13"/>
      <c r="H697" s="85">
        <f>IF(E697=0,0,IF(M697="ja",(VLOOKUP(D697,Budget!A:F,6,FALSE)*(E697-(VLOOKUP(D697,Budget!A:F,3,FALSE)))),VLOOKUP($D697,Budget!$A$1:$F$19,6,FALSE)*E697))</f>
        <v>0</v>
      </c>
      <c r="I697" s="85">
        <f>IF(F697=0,0,IF(M697="ja",((VLOOKUP(F697,Budget!A:F,6,FALSE)*(E697-(VLOOKUP(F697,Budget!A:F,3,FALSE))))),VLOOKUP($D697,Budget!A:F,5,FALSE)*E697))</f>
        <v>0</v>
      </c>
      <c r="J697" s="85">
        <f t="shared" si="50"/>
        <v>0</v>
      </c>
      <c r="K697" s="14"/>
      <c r="L697" s="73"/>
      <c r="M697" s="80" t="str">
        <f t="shared" si="51"/>
        <v>nein</v>
      </c>
      <c r="N697">
        <f t="shared" si="45"/>
        <v>2022</v>
      </c>
    </row>
    <row r="698" spans="1:14" hidden="1" x14ac:dyDescent="0.3">
      <c r="A698" s="103">
        <f t="shared" si="49"/>
        <v>47</v>
      </c>
      <c r="B698" s="22">
        <v>44889</v>
      </c>
      <c r="C698" s="11" t="s">
        <v>6</v>
      </c>
      <c r="D698" s="12" t="s">
        <v>11</v>
      </c>
      <c r="E698" s="13">
        <f>IF(VLOOKUP(D698,Budget!A:B,2,FALSE)&lt;&gt;0,IF(G698=0,24,24-G698),0)</f>
        <v>24</v>
      </c>
      <c r="G698" s="13"/>
      <c r="H698" s="85">
        <f>IF(E698=0,0,IF(M698="ja",(VLOOKUP(D698,Budget!A:F,6,FALSE)*(E698-(VLOOKUP(D698,Budget!A:F,3,FALSE)))),VLOOKUP($D698,Budget!$A$1:$F$19,6,FALSE)*E698))</f>
        <v>30030</v>
      </c>
      <c r="I698" s="85">
        <f>IF(F698=0,0,IF(M698="ja",((VLOOKUP(F698,Budget!A:F,6,FALSE)*(E698-(VLOOKUP(F698,Budget!A:F,3,FALSE))))),VLOOKUP($D698,Budget!A:F,5,FALSE)*E698))</f>
        <v>0</v>
      </c>
      <c r="J698" s="85">
        <f t="shared" si="50"/>
        <v>30030</v>
      </c>
      <c r="K698" s="14"/>
      <c r="L698" s="25" t="s">
        <v>142</v>
      </c>
      <c r="M698" s="80" t="str">
        <f t="shared" si="51"/>
        <v>ja</v>
      </c>
      <c r="N698">
        <f t="shared" si="45"/>
        <v>2022</v>
      </c>
    </row>
    <row r="699" spans="1:14" hidden="1" x14ac:dyDescent="0.3">
      <c r="A699" s="105">
        <f t="shared" si="49"/>
        <v>47</v>
      </c>
      <c r="B699" s="22">
        <v>44890</v>
      </c>
      <c r="C699" s="11" t="s">
        <v>7</v>
      </c>
      <c r="D699" s="12" t="s">
        <v>12</v>
      </c>
      <c r="E699" s="13">
        <f>IF(VLOOKUP(D699,Budget!A:B,2,FALSE)&lt;&gt;0,IF(G699=0,24,24-G699),0)</f>
        <v>24</v>
      </c>
      <c r="G699" s="13"/>
      <c r="H699" s="85">
        <f>IF(E699=0,0,IF(M699="ja",(VLOOKUP(D699,Budget!A:F,6,FALSE)*(E699-(VLOOKUP(D699,Budget!A:F,3,FALSE)))),VLOOKUP($D699,Budget!$A$1:$F$19,6,FALSE)*E699))</f>
        <v>27720</v>
      </c>
      <c r="I699" s="85">
        <f>IF(F699=0,0,IF(M699="ja",((VLOOKUP(F699,Budget!A:F,6,FALSE)*(E699-(VLOOKUP(F699,Budget!A:F,3,FALSE))))),VLOOKUP($D699,Budget!A:F,5,FALSE)*E699))</f>
        <v>0</v>
      </c>
      <c r="J699" s="85">
        <f t="shared" si="50"/>
        <v>27720</v>
      </c>
      <c r="K699" s="14"/>
      <c r="L699" s="25"/>
      <c r="M699" s="80" t="str">
        <f t="shared" si="51"/>
        <v>ja</v>
      </c>
      <c r="N699">
        <f t="shared" si="45"/>
        <v>2022</v>
      </c>
    </row>
    <row r="700" spans="1:14" hidden="1" x14ac:dyDescent="0.3">
      <c r="A700" s="105">
        <f t="shared" si="49"/>
        <v>47</v>
      </c>
      <c r="B700" s="22">
        <v>44891</v>
      </c>
      <c r="C700" s="16" t="s">
        <v>8</v>
      </c>
      <c r="D700" s="12" t="s">
        <v>12</v>
      </c>
      <c r="E700" s="24">
        <f>IF(VLOOKUP(D700,Budget!A:B,2,FALSE)&lt;&gt;0,IF(G700=0,24,24-G700),0)</f>
        <v>24</v>
      </c>
      <c r="F700" s="17"/>
      <c r="G700" s="17"/>
      <c r="H700" s="86">
        <f>IF(E700=0,0,IF(M700="ja",(VLOOKUP(D700,Budget!A:F,6,FALSE)*(E700-(VLOOKUP(D700,Budget!A:F,3,FALSE)))),VLOOKUP($D700,Budget!$A$1:$F$19,6,FALSE)*E700))</f>
        <v>36960</v>
      </c>
      <c r="I700" s="86">
        <f>IF(F700=0,0,IF(M700="ja",((VLOOKUP(F700,Budget!A:F,6,FALSE)*(E700-(VLOOKUP(F700,Budget!A:F,3,FALSE))))),VLOOKUP($D700,Budget!A:F,5,FALSE)*E700))</f>
        <v>0</v>
      </c>
      <c r="J700" s="86">
        <f t="shared" si="50"/>
        <v>36960</v>
      </c>
      <c r="K700" s="18"/>
      <c r="L700" s="75"/>
      <c r="M700" s="76" t="str">
        <f t="shared" si="51"/>
        <v>nein</v>
      </c>
      <c r="N700">
        <f t="shared" si="45"/>
        <v>2022</v>
      </c>
    </row>
    <row r="701" spans="1:14" ht="29.4" hidden="1" thickBot="1" x14ac:dyDescent="0.35">
      <c r="A701" s="105">
        <f t="shared" si="49"/>
        <v>47</v>
      </c>
      <c r="B701" s="27">
        <v>44892</v>
      </c>
      <c r="C701" s="19" t="s">
        <v>9</v>
      </c>
      <c r="D701" s="12" t="s">
        <v>12</v>
      </c>
      <c r="E701" s="20">
        <f>IF(VLOOKUP(D701,Budget!A:B,2,FALSE)&lt;&gt;0,IF(G701=0,24,24-G701),0)</f>
        <v>24</v>
      </c>
      <c r="F701" s="20"/>
      <c r="G701" s="20"/>
      <c r="H701" s="93">
        <f>IF(E701=0,0,IF(M701="ja",(VLOOKUP(D701,Budget!A:F,6,FALSE)*(E701-(VLOOKUP(D701,Budget!A:F,3,FALSE)))),VLOOKUP($D701,Budget!$A$1:$F$19,6,FALSE)*E701))</f>
        <v>36960</v>
      </c>
      <c r="I701" s="93">
        <f>IF(F701=0,0,IF(M701="ja",((VLOOKUP(F701,Budget!A:F,6,FALSE)*(E701-(VLOOKUP(F701,Budget!A:F,3,FALSE))))),VLOOKUP($D701,Budget!A:F,5,FALSE)*E701))</f>
        <v>0</v>
      </c>
      <c r="J701" s="87">
        <f t="shared" si="50"/>
        <v>36960</v>
      </c>
      <c r="K701" s="21"/>
      <c r="L701" s="133" t="s">
        <v>141</v>
      </c>
      <c r="M701" s="77" t="str">
        <f t="shared" si="51"/>
        <v>nein</v>
      </c>
      <c r="N701">
        <f t="shared" si="45"/>
        <v>2022</v>
      </c>
    </row>
    <row r="702" spans="1:14" hidden="1" x14ac:dyDescent="0.3">
      <c r="A702" s="104">
        <f t="shared" si="49"/>
        <v>48</v>
      </c>
      <c r="B702" s="22">
        <v>44893</v>
      </c>
      <c r="C702" s="10" t="s">
        <v>3</v>
      </c>
      <c r="D702" s="12" t="s">
        <v>11</v>
      </c>
      <c r="E702" s="13">
        <f>IF(VLOOKUP(D702,Budget!A:B,2,FALSE)&lt;&gt;0,IF(G702=0,24,24-G702),0)</f>
        <v>24</v>
      </c>
      <c r="F702" s="13"/>
      <c r="G702" s="13"/>
      <c r="H702" s="85">
        <f>IF(E702=0,0,IF(M702="ja",(VLOOKUP(D702,Budget!A:F,6,FALSE)*(E702-(VLOOKUP(D702,Budget!A:F,3,FALSE)))),VLOOKUP($D702,Budget!$A$1:$F$19,6,FALSE)*E702))</f>
        <v>30030</v>
      </c>
      <c r="I702" s="85">
        <f>IF(F702=0,0,IF(M702="ja",((VLOOKUP(F702,Budget!A:F,6,FALSE)*(E702-(VLOOKUP(F702,Budget!A:F,3,FALSE))))),VLOOKUP($D702,Budget!A:F,5,FALSE)*E702))</f>
        <v>0</v>
      </c>
      <c r="J702" s="85">
        <f t="shared" si="50"/>
        <v>30030</v>
      </c>
      <c r="K702" s="15"/>
      <c r="L702" s="123"/>
      <c r="M702" s="80" t="str">
        <f t="shared" si="51"/>
        <v>ja</v>
      </c>
      <c r="N702">
        <f t="shared" si="45"/>
        <v>2022</v>
      </c>
    </row>
    <row r="703" spans="1:14" hidden="1" x14ac:dyDescent="0.3">
      <c r="A703" s="105">
        <f t="shared" si="49"/>
        <v>48</v>
      </c>
      <c r="B703" s="22">
        <v>44894</v>
      </c>
      <c r="C703" s="11" t="s">
        <v>4</v>
      </c>
      <c r="D703" s="12" t="s">
        <v>11</v>
      </c>
      <c r="E703" s="13">
        <f>IF(VLOOKUP(D703,Budget!A:B,2,FALSE)&lt;&gt;0,IF(G703=0,24,24-G703),0)</f>
        <v>24</v>
      </c>
      <c r="G703" s="13"/>
      <c r="H703" s="85">
        <f>IF(E703=0,0,IF(M703="ja",(VLOOKUP(D703,Budget!A:F,6,FALSE)*(E703-(VLOOKUP(D703,Budget!A:F,3,FALSE)))),VLOOKUP($D703,Budget!$A$1:$F$19,6,FALSE)*E703))</f>
        <v>36960</v>
      </c>
      <c r="I703" s="85">
        <f>IF(F703=0,0,IF(M703="ja",((VLOOKUP(F703,Budget!A:F,6,FALSE)*(E703-(VLOOKUP(F703,Budget!A:F,3,FALSE))))),VLOOKUP($D703,Budget!A:F,5,FALSE)*E703))</f>
        <v>0</v>
      </c>
      <c r="J703" s="85">
        <f t="shared" si="50"/>
        <v>36960</v>
      </c>
      <c r="K703" s="14"/>
      <c r="L703" s="124"/>
      <c r="M703" s="80" t="str">
        <f t="shared" si="51"/>
        <v>nein</v>
      </c>
      <c r="N703">
        <f t="shared" si="45"/>
        <v>2022</v>
      </c>
    </row>
    <row r="704" spans="1:14" hidden="1" x14ac:dyDescent="0.3">
      <c r="A704" s="105">
        <f t="shared" si="49"/>
        <v>48</v>
      </c>
      <c r="B704" s="22">
        <v>44895</v>
      </c>
      <c r="C704" s="11" t="s">
        <v>5</v>
      </c>
      <c r="D704" s="12" t="s">
        <v>11</v>
      </c>
      <c r="E704" s="13">
        <f>IF(VLOOKUP(D704,Budget!A:B,2,FALSE)&lt;&gt;0,IF(G704=0,24,24-G704),0)</f>
        <v>24</v>
      </c>
      <c r="G704" s="13"/>
      <c r="H704" s="85">
        <f>IF(E704=0,0,IF(M704="ja",(VLOOKUP(D704,Budget!A:F,6,FALSE)*(E704-(VLOOKUP(D704,Budget!A:F,3,FALSE)))),VLOOKUP($D704,Budget!$A$1:$F$19,6,FALSE)*E704))</f>
        <v>36960</v>
      </c>
      <c r="I704" s="85">
        <f>IF(F704=0,0,IF(M704="ja",((VLOOKUP(F704,Budget!A:F,6,FALSE)*(E704-(VLOOKUP(F704,Budget!A:F,3,FALSE))))),VLOOKUP($D704,Budget!A:F,5,FALSE)*E704))</f>
        <v>0</v>
      </c>
      <c r="J704" s="85">
        <f t="shared" si="50"/>
        <v>36960</v>
      </c>
      <c r="K704" s="14"/>
      <c r="L704" s="124"/>
      <c r="M704" s="80" t="str">
        <f t="shared" si="51"/>
        <v>nein</v>
      </c>
      <c r="N704">
        <f t="shared" si="45"/>
        <v>2022</v>
      </c>
    </row>
    <row r="705" spans="1:14" hidden="1" x14ac:dyDescent="0.3">
      <c r="A705" s="103">
        <f t="shared" si="49"/>
        <v>48</v>
      </c>
      <c r="B705" s="22">
        <v>44896</v>
      </c>
      <c r="C705" s="11" t="s">
        <v>6</v>
      </c>
      <c r="D705" s="12" t="s">
        <v>11</v>
      </c>
      <c r="E705" s="13">
        <f>IF(VLOOKUP(D705,Budget!A:B,2,FALSE)&lt;&gt;0,IF(G705=0,24,24-G705),0)</f>
        <v>24</v>
      </c>
      <c r="G705" s="13"/>
      <c r="H705" s="85">
        <f>IF(E705=0,0,IF(M705="ja",(VLOOKUP(D705,Budget!A:F,6,FALSE)*(E705-(VLOOKUP(D705,Budget!A:F,3,FALSE)))),VLOOKUP($D705,Budget!$A$1:$F$19,6,FALSE)*E705))</f>
        <v>36960</v>
      </c>
      <c r="I705" s="85">
        <f>IF(F705=0,0,IF(M705="ja",((VLOOKUP(F705,Budget!A:F,6,FALSE)*(E705-(VLOOKUP(F705,Budget!A:F,3,FALSE))))),VLOOKUP($D705,Budget!A:F,5,FALSE)*E705))</f>
        <v>0</v>
      </c>
      <c r="J705" s="85">
        <f t="shared" si="50"/>
        <v>36960</v>
      </c>
      <c r="K705" s="14"/>
      <c r="L705" s="124"/>
      <c r="M705" s="80" t="str">
        <f t="shared" si="51"/>
        <v>nein</v>
      </c>
      <c r="N705">
        <f t="shared" si="45"/>
        <v>2022</v>
      </c>
    </row>
    <row r="706" spans="1:14" hidden="1" x14ac:dyDescent="0.3">
      <c r="A706" s="105">
        <f t="shared" si="49"/>
        <v>48</v>
      </c>
      <c r="B706" s="22">
        <v>44897</v>
      </c>
      <c r="C706" s="11" t="s">
        <v>7</v>
      </c>
      <c r="D706" s="12" t="s">
        <v>11</v>
      </c>
      <c r="E706" s="13">
        <f>IF(VLOOKUP(D706,Budget!A:B,2,FALSE)&lt;&gt;0,IF(G706=0,24,24-G706),0)</f>
        <v>24</v>
      </c>
      <c r="G706" s="13"/>
      <c r="H706" s="85">
        <f>IF(E706=0,0,IF(M706="ja",(VLOOKUP(D706,Budget!A:F,6,FALSE)*(E706-(VLOOKUP(D706,Budget!A:F,3,FALSE)))),VLOOKUP($D706,Budget!$A$1:$F$19,6,FALSE)*E706))</f>
        <v>36960</v>
      </c>
      <c r="I706" s="85">
        <f>IF(F706=0,0,IF(M706="ja",((VLOOKUP(F706,Budget!A:F,6,FALSE)*(E706-(VLOOKUP(F706,Budget!A:F,3,FALSE))))),VLOOKUP($D706,Budget!A:F,5,FALSE)*E706))</f>
        <v>0</v>
      </c>
      <c r="J706" s="85">
        <f t="shared" si="50"/>
        <v>36960</v>
      </c>
      <c r="K706" s="14"/>
      <c r="L706" s="124"/>
      <c r="M706" s="80" t="str">
        <f t="shared" si="51"/>
        <v>nein</v>
      </c>
      <c r="N706">
        <f t="shared" si="45"/>
        <v>2022</v>
      </c>
    </row>
    <row r="707" spans="1:14" hidden="1" x14ac:dyDescent="0.3">
      <c r="A707" s="105">
        <f t="shared" si="49"/>
        <v>48</v>
      </c>
      <c r="B707" s="22">
        <v>44898</v>
      </c>
      <c r="C707" s="16" t="s">
        <v>8</v>
      </c>
      <c r="D707" s="17" t="s">
        <v>11</v>
      </c>
      <c r="E707" s="24">
        <f>IF(VLOOKUP(D707,Budget!A:B,2,FALSE)&lt;&gt;0,IF(G707=0,24,24-G707),0)</f>
        <v>24</v>
      </c>
      <c r="F707" s="17"/>
      <c r="G707" s="17"/>
      <c r="H707" s="86">
        <f>IF(E707=0,0,IF(M707="ja",(VLOOKUP(D707,Budget!A:F,6,FALSE)*(E707-(VLOOKUP(D707,Budget!A:F,3,FALSE)))),VLOOKUP($D707,Budget!$A$1:$F$19,6,FALSE)*E707))</f>
        <v>36960</v>
      </c>
      <c r="I707" s="86">
        <f>IF(F707=0,0,IF(M707="ja",((VLOOKUP(F707,Budget!A:F,6,FALSE)*(E707-(VLOOKUP(F707,Budget!A:F,3,FALSE))))),VLOOKUP($D707,Budget!A:F,5,FALSE)*E707))</f>
        <v>0</v>
      </c>
      <c r="J707" s="86">
        <f t="shared" si="50"/>
        <v>36960</v>
      </c>
      <c r="K707" s="18"/>
      <c r="L707" s="75"/>
      <c r="M707" s="76" t="str">
        <f t="shared" si="51"/>
        <v>nein</v>
      </c>
      <c r="N707">
        <f t="shared" ref="N707:N770" si="52">YEAR(B707)</f>
        <v>2022</v>
      </c>
    </row>
    <row r="708" spans="1:14" ht="15" hidden="1" thickBot="1" x14ac:dyDescent="0.35">
      <c r="A708" s="105">
        <f t="shared" si="49"/>
        <v>48</v>
      </c>
      <c r="B708" s="27">
        <v>44899</v>
      </c>
      <c r="C708" s="19" t="s">
        <v>9</v>
      </c>
      <c r="D708" s="20" t="s">
        <v>10</v>
      </c>
      <c r="E708" s="20">
        <f>IF(VLOOKUP(D708,Budget!A:B,2,FALSE)&lt;&gt;0,IF(G708=0,24,24-G708),0)</f>
        <v>24</v>
      </c>
      <c r="F708" s="20"/>
      <c r="G708" s="20"/>
      <c r="H708" s="93">
        <f>IF(E708=0,0,IF(M708="ja",(VLOOKUP(D708,Budget!A:F,6,FALSE)*(E708-(VLOOKUP(D708,Budget!A:F,3,FALSE)))),VLOOKUP($D708,Budget!$A$1:$F$19,6,FALSE)*E708))</f>
        <v>9843.7955001031441</v>
      </c>
      <c r="I708" s="93">
        <f>IF(F708=0,0,IF(M708="ja",((VLOOKUP(F708,Budget!A:F,6,FALSE)*(E708-(VLOOKUP(F708,Budget!A:F,3,FALSE))))),VLOOKUP($D708,Budget!A:F,5,FALSE)*E708))</f>
        <v>0</v>
      </c>
      <c r="J708" s="87">
        <f t="shared" si="50"/>
        <v>9843.7955001031441</v>
      </c>
      <c r="K708" s="21"/>
      <c r="L708" s="74"/>
      <c r="M708" s="77" t="str">
        <f t="shared" si="51"/>
        <v>ja</v>
      </c>
      <c r="N708">
        <f t="shared" si="52"/>
        <v>2022</v>
      </c>
    </row>
    <row r="709" spans="1:14" hidden="1" x14ac:dyDescent="0.3">
      <c r="A709" s="104">
        <f t="shared" si="49"/>
        <v>49</v>
      </c>
      <c r="B709" s="22">
        <v>44900</v>
      </c>
      <c r="C709" s="10" t="s">
        <v>3</v>
      </c>
      <c r="D709" s="12" t="s">
        <v>69</v>
      </c>
      <c r="E709" s="13">
        <f>IF(VLOOKUP(D709,Budget!A:B,2,FALSE)&lt;&gt;0,IF(G709=0,24,24-G709),0)</f>
        <v>24</v>
      </c>
      <c r="F709" s="13"/>
      <c r="G709" s="13"/>
      <c r="H709" s="85">
        <f>IF(E709=0,0,IF(M709="ja",(VLOOKUP(D709,Budget!A:F,6,FALSE)*(E709-(VLOOKUP(D709,Budget!A:F,3,FALSE)))),VLOOKUP($D709,Budget!$A$1:$F$19,6,FALSE)*E709))</f>
        <v>38269.757143831848</v>
      </c>
      <c r="I709" s="85">
        <f>IF(F709=0,0,IF(M709="ja",((VLOOKUP(F709,Budget!A:F,6,FALSE)*(E709-(VLOOKUP(F709,Budget!A:F,3,FALSE))))),VLOOKUP($D709,Budget!A:F,5,FALSE)*E709))</f>
        <v>0</v>
      </c>
      <c r="J709" s="85">
        <f t="shared" si="50"/>
        <v>38269.757143831848</v>
      </c>
      <c r="K709" s="15"/>
      <c r="L709" s="125" t="s">
        <v>120</v>
      </c>
      <c r="M709" s="80" t="str">
        <f t="shared" si="51"/>
        <v>ja</v>
      </c>
      <c r="N709">
        <f t="shared" si="52"/>
        <v>2022</v>
      </c>
    </row>
    <row r="710" spans="1:14" hidden="1" x14ac:dyDescent="0.3">
      <c r="A710" s="105">
        <f t="shared" si="49"/>
        <v>49</v>
      </c>
      <c r="B710" s="22">
        <v>44901</v>
      </c>
      <c r="C710" s="11" t="s">
        <v>4</v>
      </c>
      <c r="D710" s="17" t="s">
        <v>69</v>
      </c>
      <c r="E710" s="13">
        <f>IF(VLOOKUP(D710,Budget!A:B,2,FALSE)&lt;&gt;0,IF(G710=0,24,24-G710),0)</f>
        <v>24</v>
      </c>
      <c r="G710" s="13"/>
      <c r="H710" s="85">
        <f>IF(E710=0,0,IF(M710="ja",(VLOOKUP(D710,Budget!A:F,6,FALSE)*(E710-(VLOOKUP(D710,Budget!A:F,3,FALSE)))),VLOOKUP($D710,Budget!$A$1:$F$19,6,FALSE)*E710))</f>
        <v>42919.35380616656</v>
      </c>
      <c r="I710" s="85">
        <f>IF(F710=0,0,IF(M710="ja",((VLOOKUP(F710,Budget!A:F,6,FALSE)*(E710-(VLOOKUP(F710,Budget!A:F,3,FALSE))))),VLOOKUP($D710,Budget!A:F,5,FALSE)*E710))</f>
        <v>0</v>
      </c>
      <c r="J710" s="85">
        <f t="shared" si="50"/>
        <v>42919.35380616656</v>
      </c>
      <c r="K710" s="14"/>
      <c r="L710" s="126" t="s">
        <v>120</v>
      </c>
      <c r="M710" s="80" t="str">
        <f t="shared" si="51"/>
        <v>nein</v>
      </c>
      <c r="N710">
        <f t="shared" si="52"/>
        <v>2022</v>
      </c>
    </row>
    <row r="711" spans="1:14" hidden="1" x14ac:dyDescent="0.3">
      <c r="A711" s="105">
        <f t="shared" si="49"/>
        <v>49</v>
      </c>
      <c r="B711" s="22">
        <v>44902</v>
      </c>
      <c r="C711" s="11" t="s">
        <v>5</v>
      </c>
      <c r="D711" s="17" t="s">
        <v>69</v>
      </c>
      <c r="E711" s="13">
        <f>IF(VLOOKUP(D711,Budget!A:B,2,FALSE)&lt;&gt;0,IF(G711=0,24,24-G711),0)</f>
        <v>24</v>
      </c>
      <c r="G711" s="13"/>
      <c r="H711" s="85">
        <f>IF(E711=0,0,IF(M711="ja",(VLOOKUP(D711,Budget!A:F,6,FALSE)*(E711-(VLOOKUP(D711,Budget!A:F,3,FALSE)))),VLOOKUP($D711,Budget!$A$1:$F$19,6,FALSE)*E711))</f>
        <v>42919.35380616656</v>
      </c>
      <c r="I711" s="85">
        <f>IF(F711=0,0,IF(M711="ja",((VLOOKUP(F711,Budget!A:F,6,FALSE)*(E711-(VLOOKUP(F711,Budget!A:F,3,FALSE))))),VLOOKUP($D711,Budget!A:F,5,FALSE)*E711))</f>
        <v>0</v>
      </c>
      <c r="J711" s="85">
        <f t="shared" si="50"/>
        <v>42919.35380616656</v>
      </c>
      <c r="K711" s="14"/>
      <c r="L711" s="126" t="s">
        <v>120</v>
      </c>
      <c r="M711" s="80" t="str">
        <f t="shared" si="51"/>
        <v>nein</v>
      </c>
      <c r="N711">
        <f t="shared" si="52"/>
        <v>2022</v>
      </c>
    </row>
    <row r="712" spans="1:14" hidden="1" x14ac:dyDescent="0.3">
      <c r="A712" s="103">
        <f t="shared" si="49"/>
        <v>49</v>
      </c>
      <c r="B712" s="22">
        <v>44903</v>
      </c>
      <c r="C712" s="11" t="s">
        <v>6</v>
      </c>
      <c r="D712" s="12" t="s">
        <v>69</v>
      </c>
      <c r="E712" s="13">
        <f>IF(VLOOKUP(D712,Budget!A:B,2,FALSE)&lt;&gt;0,IF(G712=0,24,24-G712),0)</f>
        <v>24</v>
      </c>
      <c r="G712" s="13"/>
      <c r="H712" s="85">
        <f>IF(E712=0,0,IF(M712="ja",(VLOOKUP(D712,Budget!A:F,6,FALSE)*(E712-(VLOOKUP(D712,Budget!A:F,3,FALSE)))),VLOOKUP($D712,Budget!$A$1:$F$19,6,FALSE)*E712))</f>
        <v>42919.35380616656</v>
      </c>
      <c r="I712" s="85">
        <f>IF(F712=0,0,IF(M712="ja",((VLOOKUP(F712,Budget!A:F,6,FALSE)*(E712-(VLOOKUP(F712,Budget!A:F,3,FALSE))))),VLOOKUP($D712,Budget!A:F,5,FALSE)*E712))</f>
        <v>0</v>
      </c>
      <c r="J712" s="85">
        <f t="shared" si="50"/>
        <v>42919.35380616656</v>
      </c>
      <c r="K712" s="14"/>
      <c r="L712" s="126" t="s">
        <v>120</v>
      </c>
      <c r="M712" s="80" t="str">
        <f t="shared" si="51"/>
        <v>nein</v>
      </c>
      <c r="N712">
        <f t="shared" si="52"/>
        <v>2022</v>
      </c>
    </row>
    <row r="713" spans="1:14" ht="27.6" hidden="1" x14ac:dyDescent="0.3">
      <c r="A713" s="105">
        <f t="shared" si="49"/>
        <v>49</v>
      </c>
      <c r="B713" s="22">
        <v>44904</v>
      </c>
      <c r="C713" s="11" t="s">
        <v>7</v>
      </c>
      <c r="D713" s="12" t="s">
        <v>11</v>
      </c>
      <c r="E713" s="13">
        <f>IF(VLOOKUP(D713,Budget!A:B,2,FALSE)&lt;&gt;0,IF(G713=0,24,24-G713),0)</f>
        <v>24</v>
      </c>
      <c r="G713" s="13"/>
      <c r="H713" s="85">
        <f>IF(E713=0,0,IF(M713="ja",(VLOOKUP(D713,Budget!A:F,6,FALSE)*(E713-(VLOOKUP(D713,Budget!A:F,3,FALSE)))),VLOOKUP($D713,Budget!$A$1:$F$19,6,FALSE)*E713))</f>
        <v>30030</v>
      </c>
      <c r="I713" s="85">
        <f>IF(F713=0,0,IF(M713="ja",((VLOOKUP(F713,Budget!A:F,6,FALSE)*(E713-(VLOOKUP(F713,Budget!A:F,3,FALSE))))),VLOOKUP($D713,Budget!A:F,5,FALSE)*E713))</f>
        <v>0</v>
      </c>
      <c r="J713" s="85">
        <f t="shared" si="50"/>
        <v>30030</v>
      </c>
      <c r="K713" s="14"/>
      <c r="L713" s="126" t="s">
        <v>139</v>
      </c>
      <c r="M713" s="80" t="str">
        <f t="shared" si="51"/>
        <v>ja</v>
      </c>
      <c r="N713">
        <f t="shared" si="52"/>
        <v>2022</v>
      </c>
    </row>
    <row r="714" spans="1:14" hidden="1" x14ac:dyDescent="0.3">
      <c r="A714" s="105">
        <f t="shared" si="49"/>
        <v>49</v>
      </c>
      <c r="B714" s="22">
        <v>44905</v>
      </c>
      <c r="C714" s="16" t="s">
        <v>8</v>
      </c>
      <c r="D714" s="12" t="s">
        <v>11</v>
      </c>
      <c r="E714" s="24">
        <f>IF(VLOOKUP(D714,Budget!A:B,2,FALSE)&lt;&gt;0,IF(G714=0,24,24-G714),0)</f>
        <v>24</v>
      </c>
      <c r="F714" s="17"/>
      <c r="G714" s="17"/>
      <c r="H714" s="86">
        <f>IF(E714=0,0,IF(M714="ja",(VLOOKUP(D714,Budget!A:F,6,FALSE)*(E714-(VLOOKUP(D714,Budget!A:F,3,FALSE)))),VLOOKUP($D714,Budget!$A$1:$F$19,6,FALSE)*E714))</f>
        <v>36960</v>
      </c>
      <c r="I714" s="86">
        <f>IF(F714=0,0,IF(M714="ja",((VLOOKUP(F714,Budget!A:F,6,FALSE)*(E714-(VLOOKUP(F714,Budget!A:F,3,FALSE))))),VLOOKUP($D714,Budget!A:F,5,FALSE)*E714))</f>
        <v>0</v>
      </c>
      <c r="J714" s="86">
        <f t="shared" si="50"/>
        <v>36960</v>
      </c>
      <c r="K714" s="18"/>
      <c r="L714" s="75"/>
      <c r="M714" s="76" t="str">
        <f t="shared" si="51"/>
        <v>nein</v>
      </c>
      <c r="N714">
        <f t="shared" si="52"/>
        <v>2022</v>
      </c>
    </row>
    <row r="715" spans="1:14" ht="15" hidden="1" thickBot="1" x14ac:dyDescent="0.35">
      <c r="A715" s="105">
        <f t="shared" si="49"/>
        <v>49</v>
      </c>
      <c r="B715" s="27">
        <v>44906</v>
      </c>
      <c r="C715" s="19" t="s">
        <v>9</v>
      </c>
      <c r="D715" s="12" t="s">
        <v>11</v>
      </c>
      <c r="E715" s="20">
        <f>IF(VLOOKUP(D715,Budget!A:B,2,FALSE)&lt;&gt;0,IF(G715=0,24,24-G715),0)</f>
        <v>24</v>
      </c>
      <c r="F715" s="20"/>
      <c r="G715" s="20"/>
      <c r="H715" s="93">
        <f>IF(E715=0,0,IF(M715="ja",(VLOOKUP(D715,Budget!A:F,6,FALSE)*(E715-(VLOOKUP(D715,Budget!A:F,3,FALSE)))),VLOOKUP($D715,Budget!$A$1:$F$19,6,FALSE)*E715))</f>
        <v>36960</v>
      </c>
      <c r="I715" s="93">
        <f>IF(F715=0,0,IF(M715="ja",((VLOOKUP(F715,Budget!A:F,6,FALSE)*(E715-(VLOOKUP(F715,Budget!A:F,3,FALSE))))),VLOOKUP($D715,Budget!A:F,5,FALSE)*E715))</f>
        <v>0</v>
      </c>
      <c r="J715" s="87">
        <f t="shared" si="50"/>
        <v>36960</v>
      </c>
      <c r="K715" s="21"/>
      <c r="L715" s="74"/>
      <c r="M715" s="77" t="str">
        <f t="shared" si="51"/>
        <v>nein</v>
      </c>
      <c r="N715">
        <f t="shared" si="52"/>
        <v>2022</v>
      </c>
    </row>
    <row r="716" spans="1:14" hidden="1" x14ac:dyDescent="0.3">
      <c r="A716" s="104">
        <f t="shared" si="49"/>
        <v>50</v>
      </c>
      <c r="B716" s="22">
        <v>44907</v>
      </c>
      <c r="C716" s="10" t="s">
        <v>3</v>
      </c>
      <c r="D716" s="12" t="s">
        <v>11</v>
      </c>
      <c r="E716" s="13">
        <f>IF(VLOOKUP(D716,Budget!A:B,2,FALSE)&lt;&gt;0,IF(G716=0,24,24-G716),0)</f>
        <v>24</v>
      </c>
      <c r="F716" s="13"/>
      <c r="G716" s="13"/>
      <c r="H716" s="85">
        <f>IF(E716=0,0,IF(M716="ja",(VLOOKUP(D716,Budget!A:F,6,FALSE)*(E716-(VLOOKUP(D716,Budget!A:F,3,FALSE)))),VLOOKUP($D716,Budget!$A$1:$F$19,6,FALSE)*E716))</f>
        <v>36960</v>
      </c>
      <c r="I716" s="85">
        <f>IF(F716=0,0,IF(M716="ja",((VLOOKUP(F716,Budget!A:F,6,FALSE)*(E716-(VLOOKUP(F716,Budget!A:F,3,FALSE))))),VLOOKUP($D716,Budget!A:F,5,FALSE)*E716))</f>
        <v>0</v>
      </c>
      <c r="J716" s="85">
        <f t="shared" si="50"/>
        <v>36960</v>
      </c>
      <c r="K716" s="15"/>
      <c r="L716" s="72"/>
      <c r="M716" s="80" t="str">
        <f t="shared" si="51"/>
        <v>nein</v>
      </c>
      <c r="N716">
        <f t="shared" si="52"/>
        <v>2022</v>
      </c>
    </row>
    <row r="717" spans="1:14" hidden="1" x14ac:dyDescent="0.3">
      <c r="A717" s="105">
        <f t="shared" si="49"/>
        <v>50</v>
      </c>
      <c r="B717" s="22">
        <v>44908</v>
      </c>
      <c r="C717" s="11" t="s">
        <v>4</v>
      </c>
      <c r="D717" s="12" t="s">
        <v>69</v>
      </c>
      <c r="E717" s="13">
        <f>IF(VLOOKUP(D717,Budget!A:B,2,FALSE)&lt;&gt;0,IF(G717=0,24,24-G717),0)</f>
        <v>24</v>
      </c>
      <c r="G717" s="13"/>
      <c r="H717" s="85">
        <f>IF(E717=0,0,IF(M717="ja",(VLOOKUP(D717,Budget!A:F,6,FALSE)*(E717-(VLOOKUP(D717,Budget!A:F,3,FALSE)))),VLOOKUP($D717,Budget!$A$1:$F$19,6,FALSE)*E717))</f>
        <v>38269.757143831848</v>
      </c>
      <c r="I717" s="85">
        <f>IF(F717=0,0,IF(M717="ja",((VLOOKUP(F717,Budget!A:F,6,FALSE)*(E717-(VLOOKUP(F717,Budget!A:F,3,FALSE))))),VLOOKUP($D717,Budget!A:F,5,FALSE)*E717))</f>
        <v>0</v>
      </c>
      <c r="J717" s="85">
        <f t="shared" si="50"/>
        <v>38269.757143831848</v>
      </c>
      <c r="K717" s="14"/>
      <c r="L717" s="97" t="s">
        <v>118</v>
      </c>
      <c r="M717" s="80" t="str">
        <f t="shared" si="51"/>
        <v>ja</v>
      </c>
      <c r="N717">
        <f t="shared" si="52"/>
        <v>2022</v>
      </c>
    </row>
    <row r="718" spans="1:14" hidden="1" x14ac:dyDescent="0.3">
      <c r="A718" s="105">
        <f t="shared" si="49"/>
        <v>50</v>
      </c>
      <c r="B718" s="22">
        <v>44909</v>
      </c>
      <c r="C718" s="11" t="s">
        <v>5</v>
      </c>
      <c r="D718" s="12" t="s">
        <v>11</v>
      </c>
      <c r="E718" s="13">
        <f>IF(VLOOKUP(D718,Budget!A:B,2,FALSE)&lt;&gt;0,IF(G718=0,24,24-G718),0)</f>
        <v>24</v>
      </c>
      <c r="G718" s="13"/>
      <c r="H718" s="85">
        <f>IF(E718=0,0,IF(M718="ja",(VLOOKUP(D718,Budget!A:F,6,FALSE)*(E718-(VLOOKUP(D718,Budget!A:F,3,FALSE)))),VLOOKUP($D718,Budget!$A$1:$F$19,6,FALSE)*E718))</f>
        <v>30030</v>
      </c>
      <c r="I718" s="85">
        <f>IF(F718=0,0,IF(M718="ja",((VLOOKUP(F718,Budget!A:F,6,FALSE)*(E718-(VLOOKUP(F718,Budget!A:F,3,FALSE))))),VLOOKUP($D718,Budget!A:F,5,FALSE)*E718))</f>
        <v>0</v>
      </c>
      <c r="J718" s="85">
        <f t="shared" si="50"/>
        <v>30030</v>
      </c>
      <c r="K718" s="14"/>
      <c r="L718" s="73"/>
      <c r="M718" s="80" t="str">
        <f t="shared" si="51"/>
        <v>ja</v>
      </c>
      <c r="N718">
        <f t="shared" si="52"/>
        <v>2022</v>
      </c>
    </row>
    <row r="719" spans="1:14" hidden="1" x14ac:dyDescent="0.3">
      <c r="A719" s="103">
        <f t="shared" si="49"/>
        <v>50</v>
      </c>
      <c r="B719" s="22">
        <v>44910</v>
      </c>
      <c r="C719" s="11" t="s">
        <v>6</v>
      </c>
      <c r="D719" s="12" t="s">
        <v>11</v>
      </c>
      <c r="E719" s="13">
        <f>IF(VLOOKUP(D719,Budget!A:B,2,FALSE)&lt;&gt;0,IF(G719=0,24,24-G719),0)</f>
        <v>24</v>
      </c>
      <c r="G719" s="13"/>
      <c r="H719" s="85">
        <f>IF(E719=0,0,IF(M719="ja",(VLOOKUP(D719,Budget!A:F,6,FALSE)*(E719-(VLOOKUP(D719,Budget!A:F,3,FALSE)))),VLOOKUP($D719,Budget!$A$1:$F$19,6,FALSE)*E719))</f>
        <v>36960</v>
      </c>
      <c r="I719" s="85">
        <f>IF(F719=0,0,IF(M719="ja",((VLOOKUP(F719,Budget!A:F,6,FALSE)*(E719-(VLOOKUP(F719,Budget!A:F,3,FALSE))))),VLOOKUP($D719,Budget!A:F,5,FALSE)*E719))</f>
        <v>0</v>
      </c>
      <c r="J719" s="85">
        <f t="shared" si="50"/>
        <v>36960</v>
      </c>
      <c r="K719" s="14"/>
      <c r="L719" s="73"/>
      <c r="M719" s="80" t="str">
        <f t="shared" si="51"/>
        <v>nein</v>
      </c>
      <c r="N719">
        <f t="shared" si="52"/>
        <v>2022</v>
      </c>
    </row>
    <row r="720" spans="1:14" hidden="1" x14ac:dyDescent="0.3">
      <c r="A720" s="105">
        <f t="shared" si="49"/>
        <v>50</v>
      </c>
      <c r="B720" s="22">
        <v>44911</v>
      </c>
      <c r="C720" s="11" t="s">
        <v>7</v>
      </c>
      <c r="D720" s="12" t="s">
        <v>11</v>
      </c>
      <c r="E720" s="13">
        <f>IF(VLOOKUP(D720,Budget!A:B,2,FALSE)&lt;&gt;0,IF(G720=0,24,24-G720),0)</f>
        <v>24</v>
      </c>
      <c r="G720" s="13"/>
      <c r="H720" s="85">
        <f>IF(E720=0,0,IF(M720="ja",(VLOOKUP(D720,Budget!A:F,6,FALSE)*(E720-(VLOOKUP(D720,Budget!A:F,3,FALSE)))),VLOOKUP($D720,Budget!$A$1:$F$19,6,FALSE)*E720))</f>
        <v>36960</v>
      </c>
      <c r="I720" s="85">
        <f>IF(F720=0,0,IF(M720="ja",((VLOOKUP(F720,Budget!A:F,6,FALSE)*(E720-(VLOOKUP(F720,Budget!A:F,3,FALSE))))),VLOOKUP($D720,Budget!A:F,5,FALSE)*E720))</f>
        <v>0</v>
      </c>
      <c r="J720" s="85">
        <f t="shared" si="50"/>
        <v>36960</v>
      </c>
      <c r="K720" s="14"/>
      <c r="L720" s="25"/>
      <c r="M720" s="80" t="str">
        <f t="shared" si="51"/>
        <v>nein</v>
      </c>
      <c r="N720">
        <f t="shared" si="52"/>
        <v>2022</v>
      </c>
    </row>
    <row r="721" spans="1:14" hidden="1" x14ac:dyDescent="0.3">
      <c r="A721" s="105">
        <f t="shared" si="49"/>
        <v>50</v>
      </c>
      <c r="B721" s="22">
        <v>44912</v>
      </c>
      <c r="C721" s="16" t="s">
        <v>8</v>
      </c>
      <c r="D721" s="17" t="s">
        <v>10</v>
      </c>
      <c r="E721" s="24">
        <f>IF(VLOOKUP(D721,Budget!A:B,2,FALSE)&lt;&gt;0,IF(G721=0,24,24-G721),0)</f>
        <v>24</v>
      </c>
      <c r="F721" s="17"/>
      <c r="G721" s="17"/>
      <c r="H721" s="86">
        <f>IF(E721=0,0,IF(M721="ja",(VLOOKUP(D721,Budget!A:F,6,FALSE)*(E721-(VLOOKUP(D721,Budget!A:F,3,FALSE)))),VLOOKUP($D721,Budget!$A$1:$F$19,6,FALSE)*E721))</f>
        <v>9843.7955001031441</v>
      </c>
      <c r="I721" s="86">
        <f>IF(F721=0,0,IF(M721="ja",((VLOOKUP(F721,Budget!A:F,6,FALSE)*(E721-(VLOOKUP(F721,Budget!A:F,3,FALSE))))),VLOOKUP($D721,Budget!A:F,5,FALSE)*E721))</f>
        <v>0</v>
      </c>
      <c r="J721" s="86">
        <f t="shared" si="50"/>
        <v>9843.7955001031441</v>
      </c>
      <c r="K721" s="18"/>
      <c r="L721" s="75"/>
      <c r="M721" s="76" t="str">
        <f t="shared" si="51"/>
        <v>ja</v>
      </c>
      <c r="N721">
        <f t="shared" si="52"/>
        <v>2022</v>
      </c>
    </row>
    <row r="722" spans="1:14" ht="15" hidden="1" thickBot="1" x14ac:dyDescent="0.35">
      <c r="A722" s="105">
        <f t="shared" si="49"/>
        <v>50</v>
      </c>
      <c r="B722" s="27">
        <v>44913</v>
      </c>
      <c r="C722" s="19" t="s">
        <v>9</v>
      </c>
      <c r="D722" s="20" t="s">
        <v>10</v>
      </c>
      <c r="E722" s="20">
        <v>22</v>
      </c>
      <c r="F722" s="20" t="s">
        <v>29</v>
      </c>
      <c r="G722" s="20">
        <v>2</v>
      </c>
      <c r="H722" s="93">
        <f>IF(E722=0,0,IF(M722="ja",(VLOOKUP(D722,Budget!A:F,6,FALSE)*(E722-(VLOOKUP(D722,Budget!A:F,3,FALSE)))),VLOOKUP($D722,Budget!$A$1:$F$19,6,FALSE)*E722))</f>
        <v>8859.415950092829</v>
      </c>
      <c r="I722" s="93">
        <f>IF(F722=0,0,IF(M722="ja",((VLOOKUP(F722,Budget!A:F,6,FALSE)*(E722-(VLOOKUP(F722,Budget!A:F,3,FALSE))))),VLOOKUP($D722,Budget!A:F,5,FALSE)*E722))</f>
        <v>0</v>
      </c>
      <c r="J722" s="87">
        <f t="shared" si="50"/>
        <v>8859.415950092829</v>
      </c>
      <c r="K722" s="21"/>
      <c r="L722" s="74"/>
      <c r="M722" s="77" t="str">
        <f t="shared" si="51"/>
        <v>ja</v>
      </c>
      <c r="N722">
        <f t="shared" si="52"/>
        <v>2022</v>
      </c>
    </row>
    <row r="723" spans="1:14" hidden="1" x14ac:dyDescent="0.3">
      <c r="A723" s="104">
        <f t="shared" si="49"/>
        <v>51</v>
      </c>
      <c r="B723" s="22">
        <v>44914</v>
      </c>
      <c r="C723" s="10" t="s">
        <v>3</v>
      </c>
      <c r="D723" s="12" t="s">
        <v>29</v>
      </c>
      <c r="E723" s="13">
        <f>IF(VLOOKUP(D723,Budget!A:B,2,FALSE)&lt;&gt;0,IF(G723=0,24,24-G723),0)</f>
        <v>0</v>
      </c>
      <c r="F723" s="13"/>
      <c r="G723" s="13"/>
      <c r="H723" s="85">
        <f>IF(E723=0,0,IF(M723="ja",(VLOOKUP(D723,Budget!A:F,6,FALSE)*(E723-(VLOOKUP(D723,Budget!A:F,3,FALSE)))),VLOOKUP($D723,Budget!$A$1:$F$19,6,FALSE)*E723))</f>
        <v>0</v>
      </c>
      <c r="I723" s="85">
        <f>IF(F723=0,0,IF(M723="ja",((VLOOKUP(F723,Budget!A:F,6,FALSE)*(E723-(VLOOKUP(F723,Budget!A:F,3,FALSE))))),VLOOKUP($D723,Budget!A:F,5,FALSE)*E723))</f>
        <v>0</v>
      </c>
      <c r="J723" s="85">
        <f t="shared" si="50"/>
        <v>0</v>
      </c>
      <c r="K723" s="15"/>
      <c r="L723" s="72"/>
      <c r="M723" s="80" t="str">
        <f t="shared" si="51"/>
        <v>nein</v>
      </c>
      <c r="N723">
        <f t="shared" si="52"/>
        <v>2022</v>
      </c>
    </row>
    <row r="724" spans="1:14" hidden="1" x14ac:dyDescent="0.3">
      <c r="A724" s="105">
        <f t="shared" si="49"/>
        <v>51</v>
      </c>
      <c r="B724" s="22">
        <v>44915</v>
      </c>
      <c r="C724" s="11" t="s">
        <v>4</v>
      </c>
      <c r="D724" s="12" t="s">
        <v>29</v>
      </c>
      <c r="E724" s="13">
        <f>IF(VLOOKUP(D724,Budget!A:B,2,FALSE)&lt;&gt;0,IF(G724=0,24,24-G724),0)</f>
        <v>0</v>
      </c>
      <c r="G724" s="13"/>
      <c r="H724" s="85">
        <f>IF(E724=0,0,IF(M724="ja",(VLOOKUP(D724,Budget!A:F,6,FALSE)*(E724-(VLOOKUP(D724,Budget!A:F,3,FALSE)))),VLOOKUP($D724,Budget!$A$1:$F$19,6,FALSE)*E724))</f>
        <v>0</v>
      </c>
      <c r="I724" s="85">
        <f>IF(F724=0,0,IF(M724="ja",((VLOOKUP(F724,Budget!A:F,6,FALSE)*(E724-(VLOOKUP(F724,Budget!A:F,3,FALSE))))),VLOOKUP($D724,Budget!A:F,5,FALSE)*E724))</f>
        <v>0</v>
      </c>
      <c r="J724" s="85">
        <f t="shared" si="50"/>
        <v>0</v>
      </c>
      <c r="K724" s="14"/>
      <c r="L724" s="73"/>
      <c r="M724" s="80" t="str">
        <f t="shared" si="51"/>
        <v>nein</v>
      </c>
      <c r="N724">
        <f t="shared" si="52"/>
        <v>2022</v>
      </c>
    </row>
    <row r="725" spans="1:14" hidden="1" x14ac:dyDescent="0.3">
      <c r="A725" s="105">
        <f t="shared" si="49"/>
        <v>51</v>
      </c>
      <c r="B725" s="22">
        <v>44916</v>
      </c>
      <c r="C725" s="11" t="s">
        <v>5</v>
      </c>
      <c r="D725" s="12" t="s">
        <v>30</v>
      </c>
      <c r="E725" s="13">
        <f>IF(VLOOKUP(D725,Budget!A:B,2,FALSE)&lt;&gt;0,IF(G725=0,24,24-G725),0)</f>
        <v>0</v>
      </c>
      <c r="G725" s="13"/>
      <c r="H725" s="85">
        <f>IF(E725=0,0,IF(M725="ja",(VLOOKUP(D725,Budget!A:F,6,FALSE)*(E725-(VLOOKUP(D725,Budget!A:F,3,FALSE)))),VLOOKUP($D725,Budget!$A$1:$F$19,6,FALSE)*E725))</f>
        <v>0</v>
      </c>
      <c r="I725" s="85">
        <f>IF(F725=0,0,IF(M725="ja",((VLOOKUP(F725,Budget!A:F,6,FALSE)*(E725-(VLOOKUP(F725,Budget!A:F,3,FALSE))))),VLOOKUP($D725,Budget!A:F,5,FALSE)*E725))</f>
        <v>0</v>
      </c>
      <c r="J725" s="85">
        <f t="shared" si="50"/>
        <v>0</v>
      </c>
      <c r="K725" s="14"/>
      <c r="L725" s="73"/>
      <c r="M725" s="80" t="str">
        <f t="shared" si="51"/>
        <v>nein</v>
      </c>
      <c r="N725">
        <f t="shared" si="52"/>
        <v>2022</v>
      </c>
    </row>
    <row r="726" spans="1:14" hidden="1" x14ac:dyDescent="0.3">
      <c r="A726" s="103">
        <f t="shared" si="49"/>
        <v>51</v>
      </c>
      <c r="B726" s="22">
        <v>44917</v>
      </c>
      <c r="C726" s="11" t="s">
        <v>6</v>
      </c>
      <c r="D726" s="12" t="s">
        <v>30</v>
      </c>
      <c r="E726" s="13">
        <f>IF(VLOOKUP(D726,Budget!A:B,2,FALSE)&lt;&gt;0,IF(G726=0,24,24-G726),0)</f>
        <v>0</v>
      </c>
      <c r="G726" s="13"/>
      <c r="H726" s="85">
        <f>IF(E726=0,0,IF(M726="ja",(VLOOKUP(D726,Budget!A:F,6,FALSE)*(E726-(VLOOKUP(D726,Budget!A:F,3,FALSE)))),VLOOKUP($D726,Budget!$A$1:$F$19,6,FALSE)*E726))</f>
        <v>0</v>
      </c>
      <c r="I726" s="85">
        <f>IF(F726=0,0,IF(M726="ja",((VLOOKUP(F726,Budget!A:F,6,FALSE)*(E726-(VLOOKUP(F726,Budget!A:F,3,FALSE))))),VLOOKUP($D726,Budget!A:F,5,FALSE)*E726))</f>
        <v>0</v>
      </c>
      <c r="J726" s="85">
        <f t="shared" si="50"/>
        <v>0</v>
      </c>
      <c r="K726" s="14"/>
      <c r="L726" s="73" t="s">
        <v>99</v>
      </c>
      <c r="M726" s="80" t="str">
        <f t="shared" si="51"/>
        <v>nein</v>
      </c>
      <c r="N726">
        <f t="shared" si="52"/>
        <v>2022</v>
      </c>
    </row>
    <row r="727" spans="1:14" hidden="1" x14ac:dyDescent="0.3">
      <c r="A727" s="105">
        <f t="shared" ref="A727:A758" si="53">_xlfn.ISOWEEKNUM(B727)</f>
        <v>51</v>
      </c>
      <c r="B727" s="22">
        <v>44918</v>
      </c>
      <c r="C727" s="11" t="s">
        <v>7</v>
      </c>
      <c r="D727" s="12" t="s">
        <v>69</v>
      </c>
      <c r="E727" s="13">
        <f>IF(VLOOKUP(D727,Budget!A:B,2,FALSE)&lt;&gt;0,IF(G727=0,24,24-G727),0)</f>
        <v>24</v>
      </c>
      <c r="G727" s="13"/>
      <c r="H727" s="85">
        <f>IF(E727=0,0,IF(M727="ja",(VLOOKUP(D727,Budget!A:F,6,FALSE)*(E727-(VLOOKUP(D727,Budget!A:F,3,FALSE)))),VLOOKUP($D727,Budget!$A$1:$F$19,6,FALSE)*E727))</f>
        <v>38269.757143831848</v>
      </c>
      <c r="I727" s="85">
        <f>IF(F727=0,0,IF(M727="ja",((VLOOKUP(F727,Budget!A:F,6,FALSE)*(E727-(VLOOKUP(F727,Budget!A:F,3,FALSE))))),VLOOKUP($D727,Budget!A:F,5,FALSE)*E727))</f>
        <v>0</v>
      </c>
      <c r="J727" s="85">
        <f t="shared" ref="J727:J758" si="54">H727+I727</f>
        <v>38269.757143831848</v>
      </c>
      <c r="K727" s="14"/>
      <c r="L727" s="25"/>
      <c r="M727" s="80" t="str">
        <f t="shared" ref="M727:M758" si="55">IF(E727=0,"nein",IF(OR(E727&lt;&gt;24,F726&lt;&gt;0,D727&lt;&gt;D726),"ja","nein"))</f>
        <v>ja</v>
      </c>
      <c r="N727">
        <f t="shared" si="52"/>
        <v>2022</v>
      </c>
    </row>
    <row r="728" spans="1:14" hidden="1" x14ac:dyDescent="0.3">
      <c r="A728" s="105">
        <f t="shared" si="53"/>
        <v>51</v>
      </c>
      <c r="B728" s="22">
        <v>44919</v>
      </c>
      <c r="C728" s="16" t="s">
        <v>8</v>
      </c>
      <c r="D728" s="17" t="s">
        <v>69</v>
      </c>
      <c r="E728" s="24">
        <f>IF(VLOOKUP(D728,Budget!A:B,2,FALSE)&lt;&gt;0,IF(G728=0,24,24-G728),0)</f>
        <v>24</v>
      </c>
      <c r="F728" s="17"/>
      <c r="G728" s="17"/>
      <c r="H728" s="86">
        <f>IF(E728=0,0,IF(M728="ja",(VLOOKUP(D728,Budget!A:F,6,FALSE)*(E728-(VLOOKUP(D728,Budget!A:F,3,FALSE)))),VLOOKUP($D728,Budget!$A$1:$F$19,6,FALSE)*E728))</f>
        <v>42919.35380616656</v>
      </c>
      <c r="I728" s="86">
        <f>IF(F728=0,0,IF(M728="ja",((VLOOKUP(F728,Budget!A:F,6,FALSE)*(E728-(VLOOKUP(F728,Budget!A:F,3,FALSE))))),VLOOKUP($D728,Budget!A:F,5,FALSE)*E728))</f>
        <v>0</v>
      </c>
      <c r="J728" s="86">
        <f t="shared" si="54"/>
        <v>42919.35380616656</v>
      </c>
      <c r="K728" s="18"/>
      <c r="L728" s="75"/>
      <c r="M728" s="76" t="str">
        <f t="shared" si="55"/>
        <v>nein</v>
      </c>
      <c r="N728">
        <f t="shared" si="52"/>
        <v>2022</v>
      </c>
    </row>
    <row r="729" spans="1:14" ht="15" hidden="1" thickBot="1" x14ac:dyDescent="0.35">
      <c r="A729" s="105">
        <f t="shared" si="53"/>
        <v>51</v>
      </c>
      <c r="B729" s="27">
        <v>44920</v>
      </c>
      <c r="C729" s="19" t="s">
        <v>9</v>
      </c>
      <c r="D729" s="20" t="s">
        <v>69</v>
      </c>
      <c r="E729" s="20">
        <f>IF(VLOOKUP(D729,Budget!A:B,2,FALSE)&lt;&gt;0,IF(G729=0,24,24-G729),0)</f>
        <v>24</v>
      </c>
      <c r="F729" s="20"/>
      <c r="G729" s="20"/>
      <c r="H729" s="93">
        <f>IF(E729=0,0,IF(M729="ja",(VLOOKUP(D729,Budget!A:F,6,FALSE)*(E729-(VLOOKUP(D729,Budget!A:F,3,FALSE)))),VLOOKUP($D729,Budget!$A$1:$F$19,6,FALSE)*E729))</f>
        <v>42919.35380616656</v>
      </c>
      <c r="I729" s="93">
        <f>IF(F729=0,0,IF(M729="ja",((VLOOKUP(F729,Budget!A:F,6,FALSE)*(E729-(VLOOKUP(F729,Budget!A:F,3,FALSE))))),VLOOKUP($D729,Budget!A:F,5,FALSE)*E729))</f>
        <v>0</v>
      </c>
      <c r="J729" s="87">
        <f t="shared" si="54"/>
        <v>42919.35380616656</v>
      </c>
      <c r="K729" s="21"/>
      <c r="L729" s="74"/>
      <c r="M729" s="77" t="str">
        <f t="shared" si="55"/>
        <v>nein</v>
      </c>
      <c r="N729">
        <f t="shared" si="52"/>
        <v>2022</v>
      </c>
    </row>
    <row r="730" spans="1:14" hidden="1" x14ac:dyDescent="0.3">
      <c r="A730" s="104">
        <f t="shared" si="53"/>
        <v>52</v>
      </c>
      <c r="B730" s="22">
        <v>44921</v>
      </c>
      <c r="C730" s="10" t="s">
        <v>3</v>
      </c>
      <c r="D730" s="12" t="s">
        <v>69</v>
      </c>
      <c r="E730" s="13">
        <f>IF(VLOOKUP(D730,Budget!A:B,2,FALSE)&lt;&gt;0,IF(G730=0,24,24-G730),0)</f>
        <v>24</v>
      </c>
      <c r="F730" s="13"/>
      <c r="G730" s="13"/>
      <c r="H730" s="85">
        <f>IF(E730=0,0,IF(M730="ja",(VLOOKUP(D730,Budget!A:F,6,FALSE)*(E730-(VLOOKUP(D730,Budget!A:F,3,FALSE)))),VLOOKUP($D730,Budget!$A$1:$F$19,6,FALSE)*E730))</f>
        <v>42919.35380616656</v>
      </c>
      <c r="I730" s="85">
        <f>IF(F730=0,0,IF(M730="ja",((VLOOKUP(F730,Budget!A:F,6,FALSE)*(E730-(VLOOKUP(F730,Budget!A:F,3,FALSE))))),VLOOKUP($D730,Budget!A:F,5,FALSE)*E730))</f>
        <v>0</v>
      </c>
      <c r="J730" s="85">
        <f t="shared" si="54"/>
        <v>42919.35380616656</v>
      </c>
      <c r="K730" s="15"/>
      <c r="L730" s="72"/>
      <c r="M730" s="80" t="str">
        <f t="shared" si="55"/>
        <v>nein</v>
      </c>
      <c r="N730">
        <f t="shared" si="52"/>
        <v>2022</v>
      </c>
    </row>
    <row r="731" spans="1:14" hidden="1" x14ac:dyDescent="0.3">
      <c r="A731" s="105">
        <f t="shared" si="53"/>
        <v>52</v>
      </c>
      <c r="B731" s="22">
        <v>44922</v>
      </c>
      <c r="C731" s="11" t="s">
        <v>4</v>
      </c>
      <c r="D731" s="12" t="s">
        <v>69</v>
      </c>
      <c r="E731" s="13">
        <f>IF(VLOOKUP(D731,Budget!A:B,2,FALSE)&lt;&gt;0,IF(G731=0,24,24-G731),0)</f>
        <v>24</v>
      </c>
      <c r="G731" s="13"/>
      <c r="H731" s="85">
        <f>IF(E731=0,0,IF(M731="ja",(VLOOKUP(D731,Budget!A:F,6,FALSE)*(E731-(VLOOKUP(D731,Budget!A:F,3,FALSE)))),VLOOKUP($D731,Budget!$A$1:$F$19,6,FALSE)*E731))</f>
        <v>42919.35380616656</v>
      </c>
      <c r="I731" s="85">
        <f>IF(F731=0,0,IF(M731="ja",((VLOOKUP(F731,Budget!A:F,6,FALSE)*(E731-(VLOOKUP(F731,Budget!A:F,3,FALSE))))),VLOOKUP($D731,Budget!A:F,5,FALSE)*E731))</f>
        <v>0</v>
      </c>
      <c r="J731" s="85">
        <f t="shared" si="54"/>
        <v>42919.35380616656</v>
      </c>
      <c r="K731" s="14"/>
      <c r="L731" s="73"/>
      <c r="M731" s="80" t="str">
        <f t="shared" si="55"/>
        <v>nein</v>
      </c>
      <c r="N731">
        <f t="shared" si="52"/>
        <v>2022</v>
      </c>
    </row>
    <row r="732" spans="1:14" hidden="1" x14ac:dyDescent="0.3">
      <c r="A732" s="105">
        <f t="shared" si="53"/>
        <v>52</v>
      </c>
      <c r="B732" s="22">
        <v>44923</v>
      </c>
      <c r="C732" s="11" t="s">
        <v>5</v>
      </c>
      <c r="D732" s="12" t="s">
        <v>12</v>
      </c>
      <c r="E732" s="13">
        <f>IF(VLOOKUP(D732,Budget!A:B,2,FALSE)&lt;&gt;0,IF(G732=0,24,24-G732),0)</f>
        <v>24</v>
      </c>
      <c r="G732" s="13"/>
      <c r="H732" s="85">
        <f>IF(E732=0,0,IF(M732="ja",(VLOOKUP(D732,Budget!A:F,6,FALSE)*(E732-(VLOOKUP(D732,Budget!A:F,3,FALSE)))),VLOOKUP($D732,Budget!$A$1:$F$19,6,FALSE)*E732))</f>
        <v>27720</v>
      </c>
      <c r="I732" s="85">
        <f>IF(F732=0,0,IF(M732="ja",((VLOOKUP(F732,Budget!A:F,6,FALSE)*(E732-(VLOOKUP(F732,Budget!A:F,3,FALSE))))),VLOOKUP($D732,Budget!A:F,5,FALSE)*E732))</f>
        <v>0</v>
      </c>
      <c r="J732" s="85">
        <f t="shared" si="54"/>
        <v>27720</v>
      </c>
      <c r="K732" s="14"/>
      <c r="L732" s="73"/>
      <c r="M732" s="80" t="str">
        <f t="shared" si="55"/>
        <v>ja</v>
      </c>
      <c r="N732">
        <f t="shared" si="52"/>
        <v>2022</v>
      </c>
    </row>
    <row r="733" spans="1:14" hidden="1" x14ac:dyDescent="0.3">
      <c r="A733" s="103">
        <f t="shared" si="53"/>
        <v>52</v>
      </c>
      <c r="B733" s="22">
        <v>44924</v>
      </c>
      <c r="C733" s="11" t="s">
        <v>6</v>
      </c>
      <c r="D733" s="12" t="s">
        <v>12</v>
      </c>
      <c r="E733" s="13">
        <f>IF(VLOOKUP(D733,Budget!A:B,2,FALSE)&lt;&gt;0,IF(G733=0,24,24-G733),0)</f>
        <v>24</v>
      </c>
      <c r="G733" s="13"/>
      <c r="H733" s="85">
        <f>IF(E733=0,0,IF(M733="ja",(VLOOKUP(D733,Budget!A:F,6,FALSE)*(E733-(VLOOKUP(D733,Budget!A:F,3,FALSE)))),VLOOKUP($D733,Budget!$A$1:$F$19,6,FALSE)*E733))</f>
        <v>36960</v>
      </c>
      <c r="I733" s="85">
        <f>IF(F733=0,0,IF(M733="ja",((VLOOKUP(F733,Budget!A:F,6,FALSE)*(E733-(VLOOKUP(F733,Budget!A:F,3,FALSE))))),VLOOKUP($D733,Budget!A:F,5,FALSE)*E733))</f>
        <v>0</v>
      </c>
      <c r="J733" s="85">
        <f t="shared" si="54"/>
        <v>36960</v>
      </c>
      <c r="K733" s="14"/>
      <c r="L733" s="73"/>
      <c r="M733" s="80" t="str">
        <f t="shared" si="55"/>
        <v>nein</v>
      </c>
      <c r="N733">
        <f t="shared" si="52"/>
        <v>2022</v>
      </c>
    </row>
    <row r="734" spans="1:14" hidden="1" x14ac:dyDescent="0.3">
      <c r="A734" s="105">
        <f t="shared" si="53"/>
        <v>52</v>
      </c>
      <c r="B734" s="22">
        <v>44925</v>
      </c>
      <c r="C734" s="11" t="s">
        <v>7</v>
      </c>
      <c r="D734" s="12" t="s">
        <v>12</v>
      </c>
      <c r="E734" s="13">
        <f>IF(VLOOKUP(D734,Budget!A:B,2,FALSE)&lt;&gt;0,IF(G734=0,24,24-G734),0)</f>
        <v>24</v>
      </c>
      <c r="G734" s="13"/>
      <c r="H734" s="85">
        <f>IF(E734=0,0,IF(M734="ja",(VLOOKUP(D734,Budget!A:F,6,FALSE)*(E734-(VLOOKUP(D734,Budget!A:F,3,FALSE)))),VLOOKUP($D734,Budget!$A$1:$F$19,6,FALSE)*E734))</f>
        <v>36960</v>
      </c>
      <c r="I734" s="85">
        <f>IF(F734=0,0,IF(M734="ja",((VLOOKUP(F734,Budget!A:F,6,FALSE)*(E734-(VLOOKUP(F734,Budget!A:F,3,FALSE))))),VLOOKUP($D734,Budget!A:F,5,FALSE)*E734))</f>
        <v>0</v>
      </c>
      <c r="J734" s="85">
        <f t="shared" si="54"/>
        <v>36960</v>
      </c>
      <c r="K734" s="14"/>
      <c r="L734" s="25"/>
      <c r="M734" s="80" t="str">
        <f t="shared" si="55"/>
        <v>nein</v>
      </c>
      <c r="N734">
        <f t="shared" si="52"/>
        <v>2022</v>
      </c>
    </row>
    <row r="735" spans="1:14" hidden="1" x14ac:dyDescent="0.3">
      <c r="A735" s="105">
        <f t="shared" si="53"/>
        <v>52</v>
      </c>
      <c r="B735" s="22">
        <v>44926</v>
      </c>
      <c r="C735" s="16" t="s">
        <v>8</v>
      </c>
      <c r="D735" s="17" t="s">
        <v>12</v>
      </c>
      <c r="E735" s="13">
        <f>IF(VLOOKUP(D735,Budget!A:B,2,FALSE)&lt;&gt;0,IF(G735=0,24,24-G735),0)</f>
        <v>24</v>
      </c>
      <c r="F735" s="17"/>
      <c r="G735" s="17"/>
      <c r="H735" s="86">
        <f>IF(E735=0,0,IF(M735="ja",(VLOOKUP(D735,Budget!A:F,6,FALSE)*(E735-(VLOOKUP(D735,Budget!A:F,3,FALSE)))),VLOOKUP($D735,Budget!$A$1:$F$19,6,FALSE)*E735))</f>
        <v>36960</v>
      </c>
      <c r="I735" s="86">
        <f>IF(F735=0,0,IF(M735="ja",((VLOOKUP(F735,Budget!A:F,6,FALSE)*(E735-(VLOOKUP(F735,Budget!A:F,3,FALSE))))),VLOOKUP($D735,Budget!A:F,5,FALSE)*E735))</f>
        <v>0</v>
      </c>
      <c r="J735" s="86">
        <f t="shared" si="54"/>
        <v>36960</v>
      </c>
      <c r="K735" s="18"/>
      <c r="L735" s="75"/>
      <c r="M735" s="76" t="str">
        <f t="shared" si="55"/>
        <v>nein</v>
      </c>
      <c r="N735">
        <f t="shared" si="52"/>
        <v>2022</v>
      </c>
    </row>
    <row r="736" spans="1:14" ht="15" hidden="1" thickBot="1" x14ac:dyDescent="0.35">
      <c r="A736" s="105">
        <f t="shared" si="53"/>
        <v>52</v>
      </c>
      <c r="B736" s="129">
        <v>44927</v>
      </c>
      <c r="C736" s="128" t="s">
        <v>9</v>
      </c>
      <c r="D736" s="20" t="s">
        <v>12</v>
      </c>
      <c r="E736" s="13">
        <f>IF(VLOOKUP(D736,Budget!A:B,2,FALSE)&lt;&gt;0,IF(G736=0,24,24-G736),0)</f>
        <v>24</v>
      </c>
      <c r="F736" s="20"/>
      <c r="G736" s="20"/>
      <c r="H736" s="93">
        <f>IF(E736=0,0,IF(M736="ja",(VLOOKUP(D736,Budget!A:F,6,FALSE)*(E736-(VLOOKUP(D736,Budget!A:F,3,FALSE)))),VLOOKUP($D736,Budget!$A$1:$F$19,6,FALSE)*E736))</f>
        <v>36960</v>
      </c>
      <c r="I736" s="93"/>
      <c r="J736" s="87">
        <f t="shared" si="54"/>
        <v>36960</v>
      </c>
      <c r="K736" s="21"/>
      <c r="L736" s="74"/>
      <c r="M736" s="77" t="str">
        <f t="shared" si="55"/>
        <v>nein</v>
      </c>
      <c r="N736">
        <f t="shared" si="52"/>
        <v>2023</v>
      </c>
    </row>
    <row r="737" spans="1:14" hidden="1" x14ac:dyDescent="0.3">
      <c r="A737" s="104">
        <f t="shared" si="53"/>
        <v>1</v>
      </c>
      <c r="B737" s="22">
        <f t="shared" ref="B737:B768" si="56">B736+1</f>
        <v>44928</v>
      </c>
      <c r="C737" s="10" t="s">
        <v>3</v>
      </c>
      <c r="D737" s="12" t="s">
        <v>69</v>
      </c>
      <c r="E737" s="13">
        <f>IF(VLOOKUP(D737,Budget!A:B,2,FALSE)&lt;&gt;0,IF(G737=0,24,24-G737),0)</f>
        <v>24</v>
      </c>
      <c r="F737" s="13"/>
      <c r="G737" s="13"/>
      <c r="H737" s="85">
        <f>IF(E737=0,0,IF(M737="ja",(VLOOKUP(D737,Budget!A:F,6,FALSE)*(E737-(VLOOKUP(D737,Budget!A:F,3,FALSE)))),VLOOKUP($D737,Budget!$A$1:$F$19,6,FALSE)*E737))</f>
        <v>38269.757143831848</v>
      </c>
      <c r="I737" s="85">
        <f>IF(F737=0,0,IF(M737="ja",((VLOOKUP(F737,Budget!A:F,6,FALSE)*(E737-(VLOOKUP(F737,Budget!A:F,3,FALSE))))),VLOOKUP($D737,Budget!A:F,5,FALSE)*E737))</f>
        <v>0</v>
      </c>
      <c r="J737" s="85">
        <f t="shared" si="54"/>
        <v>38269.757143831848</v>
      </c>
      <c r="K737" s="15"/>
      <c r="L737" s="72"/>
      <c r="M737" s="80" t="str">
        <f t="shared" si="55"/>
        <v>ja</v>
      </c>
      <c r="N737">
        <f t="shared" si="52"/>
        <v>2023</v>
      </c>
    </row>
    <row r="738" spans="1:14" hidden="1" x14ac:dyDescent="0.3">
      <c r="A738" s="105">
        <f t="shared" si="53"/>
        <v>1</v>
      </c>
      <c r="B738" s="22">
        <f t="shared" si="56"/>
        <v>44929</v>
      </c>
      <c r="C738" s="11" t="s">
        <v>4</v>
      </c>
      <c r="D738" s="12" t="s">
        <v>11</v>
      </c>
      <c r="E738" s="13">
        <f>IF(VLOOKUP(D738,Budget!A:B,2,FALSE)&lt;&gt;0,IF(G738=0,24,24-G738),0)</f>
        <v>24</v>
      </c>
      <c r="G738" s="13"/>
      <c r="H738" s="85">
        <f>IF(E738=0,0,IF(M738="ja",(VLOOKUP(D738,Budget!A:F,6,FALSE)*(E738-(VLOOKUP(D738,Budget!A:F,3,FALSE)))),VLOOKUP($D738,Budget!$A$1:$F$19,6,FALSE)*E738))</f>
        <v>30030</v>
      </c>
      <c r="I738" s="85">
        <f>IF(F738=0,0,IF(M738="ja",((VLOOKUP(F738,Budget!A:F,6,FALSE)*(E738-(VLOOKUP(F738,Budget!A:F,3,FALSE))))),VLOOKUP($D738,Budget!A:F,5,FALSE)*E738))</f>
        <v>0</v>
      </c>
      <c r="J738" s="85">
        <f t="shared" si="54"/>
        <v>30030</v>
      </c>
      <c r="K738" s="14"/>
      <c r="L738" s="134" t="s">
        <v>143</v>
      </c>
      <c r="M738" s="80" t="str">
        <f t="shared" si="55"/>
        <v>ja</v>
      </c>
      <c r="N738">
        <f t="shared" si="52"/>
        <v>2023</v>
      </c>
    </row>
    <row r="739" spans="1:14" hidden="1" x14ac:dyDescent="0.3">
      <c r="A739" s="105">
        <f t="shared" si="53"/>
        <v>1</v>
      </c>
      <c r="B739" s="22">
        <f t="shared" si="56"/>
        <v>44930</v>
      </c>
      <c r="C739" s="11" t="s">
        <v>5</v>
      </c>
      <c r="D739" s="12" t="s">
        <v>11</v>
      </c>
      <c r="E739" s="13">
        <f>IF(VLOOKUP(D739,Budget!A:B,2,FALSE)&lt;&gt;0,IF(G739=0,24,24-G739),0)</f>
        <v>24</v>
      </c>
      <c r="G739" s="13"/>
      <c r="H739" s="85">
        <f>IF(E739=0,0,IF(M739="ja",(VLOOKUP(D739,Budget!A:F,6,FALSE)*(E739-(VLOOKUP(D739,Budget!A:F,3,FALSE)))),VLOOKUP($D739,Budget!$A$1:$F$19,6,FALSE)*E739))</f>
        <v>36960</v>
      </c>
      <c r="I739" s="85">
        <f>IF(F739=0,0,IF(M739="ja",((VLOOKUP(F739,Budget!A:F,6,FALSE)*(E739-(VLOOKUP(F739,Budget!A:F,3,FALSE))))),VLOOKUP($D739,Budget!A:F,5,FALSE)*E739))</f>
        <v>0</v>
      </c>
      <c r="J739" s="85">
        <f t="shared" si="54"/>
        <v>36960</v>
      </c>
      <c r="K739" s="14"/>
      <c r="L739" s="73"/>
      <c r="M739" s="80" t="str">
        <f t="shared" si="55"/>
        <v>nein</v>
      </c>
      <c r="N739">
        <f t="shared" si="52"/>
        <v>2023</v>
      </c>
    </row>
    <row r="740" spans="1:14" hidden="1" x14ac:dyDescent="0.3">
      <c r="A740" s="103">
        <f t="shared" si="53"/>
        <v>1</v>
      </c>
      <c r="B740" s="22">
        <f t="shared" si="56"/>
        <v>44931</v>
      </c>
      <c r="C740" s="11" t="s">
        <v>6</v>
      </c>
      <c r="D740" s="12" t="s">
        <v>11</v>
      </c>
      <c r="E740" s="13">
        <f>IF(VLOOKUP(D740,Budget!A:B,2,FALSE)&lt;&gt;0,IF(G740=0,24,24-G740),0)</f>
        <v>24</v>
      </c>
      <c r="G740" s="13"/>
      <c r="H740" s="85">
        <f>IF(E740=0,0,IF(M740="ja",(VLOOKUP(D740,Budget!A:F,6,FALSE)*(E740-(VLOOKUP(D740,Budget!A:F,3,FALSE)))),VLOOKUP($D740,Budget!$A$1:$F$19,6,FALSE)*E740))</f>
        <v>36960</v>
      </c>
      <c r="I740" s="85">
        <f>IF(F740=0,0,IF(M740="ja",((VLOOKUP(F740,Budget!A:F,6,FALSE)*(E740-(VLOOKUP(F740,Budget!A:F,3,FALSE))))),VLOOKUP($D740,Budget!A:F,5,FALSE)*E740))</f>
        <v>0</v>
      </c>
      <c r="J740" s="85">
        <f t="shared" si="54"/>
        <v>36960</v>
      </c>
      <c r="K740" s="14"/>
      <c r="L740" s="73"/>
      <c r="M740" s="80" t="str">
        <f t="shared" si="55"/>
        <v>nein</v>
      </c>
      <c r="N740">
        <f t="shared" si="52"/>
        <v>2023</v>
      </c>
    </row>
    <row r="741" spans="1:14" hidden="1" x14ac:dyDescent="0.3">
      <c r="A741" s="105">
        <f t="shared" si="53"/>
        <v>1</v>
      </c>
      <c r="B741" s="22">
        <f t="shared" si="56"/>
        <v>44932</v>
      </c>
      <c r="C741" s="11" t="s">
        <v>7</v>
      </c>
      <c r="D741" s="12" t="s">
        <v>11</v>
      </c>
      <c r="E741" s="13">
        <f>IF(VLOOKUP(D741,Budget!A:B,2,FALSE)&lt;&gt;0,IF(G741=0,24,24-G741),0)</f>
        <v>24</v>
      </c>
      <c r="G741" s="13"/>
      <c r="H741" s="85">
        <f>IF(E741=0,0,IF(M741="ja",(VLOOKUP(D741,Budget!A:F,6,FALSE)*(E741-(VLOOKUP(D741,Budget!A:F,3,FALSE)))),VLOOKUP($D741,Budget!$A$1:$F$19,6,FALSE)*E741))</f>
        <v>36960</v>
      </c>
      <c r="I741" s="85">
        <f>IF(F741=0,0,IF(M741="ja",((VLOOKUP(F741,Budget!A:F,6,FALSE)*(E741-(VLOOKUP(F741,Budget!A:F,3,FALSE))))),VLOOKUP($D741,Budget!A:F,5,FALSE)*E741))</f>
        <v>0</v>
      </c>
      <c r="J741" s="85">
        <f t="shared" si="54"/>
        <v>36960</v>
      </c>
      <c r="K741" s="14"/>
      <c r="L741" s="25"/>
      <c r="M741" s="80" t="str">
        <f t="shared" si="55"/>
        <v>nein</v>
      </c>
      <c r="N741">
        <f t="shared" si="52"/>
        <v>2023</v>
      </c>
    </row>
    <row r="742" spans="1:14" hidden="1" x14ac:dyDescent="0.3">
      <c r="A742" s="105">
        <f t="shared" si="53"/>
        <v>1</v>
      </c>
      <c r="B742" s="22">
        <f t="shared" si="56"/>
        <v>44933</v>
      </c>
      <c r="C742" s="16" t="s">
        <v>8</v>
      </c>
      <c r="D742" s="17" t="s">
        <v>11</v>
      </c>
      <c r="E742" s="13">
        <f>IF(VLOOKUP(D742,Budget!A:B,2,FALSE)&lt;&gt;0,IF(G742=0,24,24-G742),0)</f>
        <v>24</v>
      </c>
      <c r="F742" s="17"/>
      <c r="G742" s="17"/>
      <c r="H742" s="86">
        <f>IF(E742=0,0,IF(M742="ja",(VLOOKUP(D742,Budget!A:F,6,FALSE)*(E742-(VLOOKUP(D742,Budget!A:F,3,FALSE)))),VLOOKUP($D742,Budget!$A$1:$F$19,6,FALSE)*E742))</f>
        <v>36960</v>
      </c>
      <c r="I742" s="86">
        <f>IF(F742=0,0,IF(M742="ja",((VLOOKUP(F742,Budget!A:F,6,FALSE)*(E742-(VLOOKUP(F742,Budget!A:F,3,FALSE))))),VLOOKUP($D742,Budget!A:F,5,FALSE)*E742))</f>
        <v>0</v>
      </c>
      <c r="J742" s="86">
        <f t="shared" si="54"/>
        <v>36960</v>
      </c>
      <c r="K742" s="18"/>
      <c r="L742" s="75"/>
      <c r="M742" s="76" t="str">
        <f t="shared" si="55"/>
        <v>nein</v>
      </c>
      <c r="N742">
        <f t="shared" si="52"/>
        <v>2023</v>
      </c>
    </row>
    <row r="743" spans="1:14" ht="15" hidden="1" thickBot="1" x14ac:dyDescent="0.35">
      <c r="A743" s="105">
        <f t="shared" si="53"/>
        <v>1</v>
      </c>
      <c r="B743" s="27">
        <f t="shared" si="56"/>
        <v>44934</v>
      </c>
      <c r="C743" s="19" t="s">
        <v>9</v>
      </c>
      <c r="D743" s="20" t="s">
        <v>11</v>
      </c>
      <c r="E743" s="13">
        <f>IF(VLOOKUP(D743,Budget!A:B,2,FALSE)&lt;&gt;0,IF(G743=0,24,24-G743),0)</f>
        <v>24</v>
      </c>
      <c r="F743" s="20"/>
      <c r="G743" s="20"/>
      <c r="H743" s="93">
        <f>IF(E743=0,0,IF(M743="ja",(VLOOKUP(D743,Budget!A:F,6,FALSE)*(E743-(VLOOKUP(D743,Budget!A:F,3,FALSE)))),VLOOKUP($D743,Budget!$A$1:$F$19,6,FALSE)*E743))</f>
        <v>36960</v>
      </c>
      <c r="I743" s="93">
        <f>IF(F743=0,0,IF(M743="ja",((VLOOKUP(F743,Budget!A:F,6,FALSE)*(E743-(VLOOKUP(F743,Budget!A:F,3,FALSE))))),VLOOKUP($D743,Budget!A:F,5,FALSE)*E743))</f>
        <v>0</v>
      </c>
      <c r="J743" s="87">
        <f t="shared" si="54"/>
        <v>36960</v>
      </c>
      <c r="K743" s="21"/>
      <c r="L743" s="74"/>
      <c r="M743" s="77" t="str">
        <f t="shared" si="55"/>
        <v>nein</v>
      </c>
      <c r="N743">
        <f t="shared" si="52"/>
        <v>2023</v>
      </c>
    </row>
    <row r="744" spans="1:14" hidden="1" x14ac:dyDescent="0.3">
      <c r="A744" s="104">
        <f t="shared" si="53"/>
        <v>2</v>
      </c>
      <c r="B744" s="22">
        <f t="shared" si="56"/>
        <v>44935</v>
      </c>
      <c r="C744" s="10" t="s">
        <v>3</v>
      </c>
      <c r="D744" s="12" t="s">
        <v>11</v>
      </c>
      <c r="E744" s="13">
        <f>IF(VLOOKUP(D744,Budget!A:B,2,FALSE)&lt;&gt;0,IF(G744=0,24,24-G744),0)</f>
        <v>24</v>
      </c>
      <c r="F744" s="13"/>
      <c r="G744" s="13"/>
      <c r="H744" s="85">
        <f>IF(E744=0,0,IF(M744="ja",(VLOOKUP(D744,Budget!A:F,6,FALSE)*(E744-(VLOOKUP(D744,Budget!A:F,3,FALSE)))),VLOOKUP($D744,Budget!$A$1:$F$19,6,FALSE)*E744))</f>
        <v>36960</v>
      </c>
      <c r="I744" s="85">
        <f>IF(F744=0,0,IF(M744="ja",((VLOOKUP(F744,Budget!A:F,6,FALSE)*(E744-(VLOOKUP(F744,Budget!A:F,3,FALSE))))),VLOOKUP($D744,Budget!A:F,5,FALSE)*E744))</f>
        <v>0</v>
      </c>
      <c r="J744" s="85">
        <f t="shared" si="54"/>
        <v>36960</v>
      </c>
      <c r="K744" s="15"/>
      <c r="L744" s="72"/>
      <c r="M744" s="80" t="str">
        <f t="shared" si="55"/>
        <v>nein</v>
      </c>
      <c r="N744">
        <f t="shared" si="52"/>
        <v>2023</v>
      </c>
    </row>
    <row r="745" spans="1:14" hidden="1" x14ac:dyDescent="0.3">
      <c r="A745" s="105">
        <f t="shared" si="53"/>
        <v>2</v>
      </c>
      <c r="B745" s="22">
        <f t="shared" si="56"/>
        <v>44936</v>
      </c>
      <c r="C745" s="11" t="s">
        <v>4</v>
      </c>
      <c r="D745" s="12" t="s">
        <v>11</v>
      </c>
      <c r="E745" s="13">
        <f>IF(VLOOKUP(D745,Budget!A:B,2,FALSE)&lt;&gt;0,IF(G745=0,24,24-G745),0)</f>
        <v>24</v>
      </c>
      <c r="G745" s="13"/>
      <c r="H745" s="85">
        <f>IF(E745=0,0,IF(M745="ja",(VLOOKUP(D745,Budget!A:F,6,FALSE)*(E745-(VLOOKUP(D745,Budget!A:F,3,FALSE)))),VLOOKUP($D745,Budget!$A$1:$F$19,6,FALSE)*E745))</f>
        <v>36960</v>
      </c>
      <c r="I745" s="85">
        <f>IF(F745=0,0,IF(M745="ja",((VLOOKUP(F745,Budget!A:F,6,FALSE)*(E745-(VLOOKUP(F745,Budget!A:F,3,FALSE))))),VLOOKUP($D745,Budget!A:F,5,FALSE)*E745))</f>
        <v>0</v>
      </c>
      <c r="J745" s="85">
        <f t="shared" si="54"/>
        <v>36960</v>
      </c>
      <c r="K745" s="14"/>
      <c r="L745" s="73"/>
      <c r="M745" s="80" t="str">
        <f t="shared" si="55"/>
        <v>nein</v>
      </c>
      <c r="N745">
        <f t="shared" si="52"/>
        <v>2023</v>
      </c>
    </row>
    <row r="746" spans="1:14" hidden="1" x14ac:dyDescent="0.3">
      <c r="A746" s="105">
        <f t="shared" si="53"/>
        <v>2</v>
      </c>
      <c r="B746" s="22">
        <f t="shared" si="56"/>
        <v>44937</v>
      </c>
      <c r="C746" s="11" t="s">
        <v>5</v>
      </c>
      <c r="D746" s="12" t="s">
        <v>11</v>
      </c>
      <c r="E746" s="13">
        <f>IF(VLOOKUP(D746,Budget!A:B,2,FALSE)&lt;&gt;0,IF(G746=0,24,24-G746),0)</f>
        <v>24</v>
      </c>
      <c r="G746" s="13"/>
      <c r="H746" s="85">
        <f>IF(E746=0,0,IF(M746="ja",(VLOOKUP(D746,Budget!A:F,6,FALSE)*(E746-(VLOOKUP(D746,Budget!A:F,3,FALSE)))),VLOOKUP($D746,Budget!$A$1:$F$19,6,FALSE)*E746))</f>
        <v>36960</v>
      </c>
      <c r="I746" s="85">
        <f>IF(F746=0,0,IF(M746="ja",((VLOOKUP(F746,Budget!A:F,6,FALSE)*(E746-(VLOOKUP(F746,Budget!A:F,3,FALSE))))),VLOOKUP($D746,Budget!A:F,5,FALSE)*E746))</f>
        <v>0</v>
      </c>
      <c r="J746" s="85">
        <f t="shared" si="54"/>
        <v>36960</v>
      </c>
      <c r="K746" s="14"/>
      <c r="L746" s="73"/>
      <c r="M746" s="80" t="str">
        <f t="shared" si="55"/>
        <v>nein</v>
      </c>
      <c r="N746">
        <f t="shared" si="52"/>
        <v>2023</v>
      </c>
    </row>
    <row r="747" spans="1:14" hidden="1" x14ac:dyDescent="0.3">
      <c r="A747" s="103">
        <f t="shared" si="53"/>
        <v>2</v>
      </c>
      <c r="B747" s="22">
        <f t="shared" si="56"/>
        <v>44938</v>
      </c>
      <c r="C747" s="11" t="s">
        <v>6</v>
      </c>
      <c r="D747" s="12" t="s">
        <v>11</v>
      </c>
      <c r="E747" s="13">
        <f>IF(VLOOKUP(D747,Budget!A:B,2,FALSE)&lt;&gt;0,IF(G747=0,24,24-G747),0)</f>
        <v>24</v>
      </c>
      <c r="G747" s="13"/>
      <c r="H747" s="85">
        <f>IF(E747=0,0,IF(M747="ja",(VLOOKUP(D747,Budget!A:F,6,FALSE)*(E747-(VLOOKUP(D747,Budget!A:F,3,FALSE)))),VLOOKUP($D747,Budget!$A$1:$F$19,6,FALSE)*E747))</f>
        <v>36960</v>
      </c>
      <c r="I747" s="85">
        <f>IF(F747=0,0,IF(M747="ja",((VLOOKUP(F747,Budget!A:F,6,FALSE)*(E747-(VLOOKUP(F747,Budget!A:F,3,FALSE))))),VLOOKUP($D747,Budget!A:F,5,FALSE)*E747))</f>
        <v>0</v>
      </c>
      <c r="J747" s="85">
        <f t="shared" si="54"/>
        <v>36960</v>
      </c>
      <c r="K747" s="14"/>
      <c r="L747" s="73"/>
      <c r="M747" s="80" t="str">
        <f t="shared" si="55"/>
        <v>nein</v>
      </c>
      <c r="N747">
        <f t="shared" si="52"/>
        <v>2023</v>
      </c>
    </row>
    <row r="748" spans="1:14" hidden="1" x14ac:dyDescent="0.3">
      <c r="A748" s="105">
        <f t="shared" si="53"/>
        <v>2</v>
      </c>
      <c r="B748" s="22">
        <f t="shared" si="56"/>
        <v>44939</v>
      </c>
      <c r="C748" s="11" t="s">
        <v>7</v>
      </c>
      <c r="D748" s="12" t="s">
        <v>11</v>
      </c>
      <c r="E748" s="13">
        <f>IF(VLOOKUP(D748,Budget!A:B,2,FALSE)&lt;&gt;0,IF(G748=0,24,24-G748),0)</f>
        <v>24</v>
      </c>
      <c r="G748" s="13"/>
      <c r="H748" s="85">
        <f>IF(E748=0,0,IF(M748="ja",(VLOOKUP(D748,Budget!A:F,6,FALSE)*(E748-(VLOOKUP(D748,Budget!A:F,3,FALSE)))),VLOOKUP($D748,Budget!$A$1:$F$19,6,FALSE)*E748))</f>
        <v>36960</v>
      </c>
      <c r="I748" s="85">
        <f>IF(F748=0,0,IF(M748="ja",((VLOOKUP(F748,Budget!A:F,6,FALSE)*(E748-(VLOOKUP(F748,Budget!A:F,3,FALSE))))),VLOOKUP($D748,Budget!A:F,5,FALSE)*E748))</f>
        <v>0</v>
      </c>
      <c r="J748" s="85">
        <f t="shared" si="54"/>
        <v>36960</v>
      </c>
      <c r="K748" s="14"/>
      <c r="L748" s="25"/>
      <c r="M748" s="80" t="str">
        <f t="shared" si="55"/>
        <v>nein</v>
      </c>
      <c r="N748">
        <f t="shared" si="52"/>
        <v>2023</v>
      </c>
    </row>
    <row r="749" spans="1:14" hidden="1" x14ac:dyDescent="0.3">
      <c r="A749" s="105">
        <f t="shared" si="53"/>
        <v>2</v>
      </c>
      <c r="B749" s="22">
        <f t="shared" si="56"/>
        <v>44940</v>
      </c>
      <c r="C749" s="16" t="s">
        <v>8</v>
      </c>
      <c r="D749" s="17" t="s">
        <v>11</v>
      </c>
      <c r="E749" s="13">
        <f>IF(VLOOKUP(D749,Budget!A:B,2,FALSE)&lt;&gt;0,IF(G749=0,24,24-G749),0)</f>
        <v>24</v>
      </c>
      <c r="F749" s="17"/>
      <c r="G749" s="17"/>
      <c r="H749" s="86">
        <f>IF(E749=0,0,IF(M749="ja",(VLOOKUP(D749,Budget!A:F,6,FALSE)*(E749-(VLOOKUP(D749,Budget!A:F,3,FALSE)))),VLOOKUP($D749,Budget!$A$1:$F$19,6,FALSE)*E749))</f>
        <v>36960</v>
      </c>
      <c r="I749" s="86">
        <f>IF(F749=0,0,IF(M749="ja",((VLOOKUP(F749,Budget!A:F,6,FALSE)*(E749-(VLOOKUP(F749,Budget!A:F,3,FALSE))))),VLOOKUP($D749,Budget!A:F,5,FALSE)*E749))</f>
        <v>0</v>
      </c>
      <c r="J749" s="86">
        <f t="shared" si="54"/>
        <v>36960</v>
      </c>
      <c r="K749" s="18"/>
      <c r="L749" s="75"/>
      <c r="M749" s="76" t="str">
        <f t="shared" si="55"/>
        <v>nein</v>
      </c>
      <c r="N749">
        <f t="shared" si="52"/>
        <v>2023</v>
      </c>
    </row>
    <row r="750" spans="1:14" ht="15" hidden="1" thickBot="1" x14ac:dyDescent="0.35">
      <c r="A750" s="105">
        <f t="shared" si="53"/>
        <v>2</v>
      </c>
      <c r="B750" s="27">
        <f t="shared" si="56"/>
        <v>44941</v>
      </c>
      <c r="C750" s="19" t="s">
        <v>9</v>
      </c>
      <c r="D750" s="20" t="s">
        <v>11</v>
      </c>
      <c r="E750" s="13">
        <f>IF(VLOOKUP(D750,Budget!A:B,2,FALSE)&lt;&gt;0,IF(G750=0,24,24-G750),0)</f>
        <v>24</v>
      </c>
      <c r="F750" s="20"/>
      <c r="G750" s="20"/>
      <c r="H750" s="93">
        <f>IF(E750=0,0,IF(M750="ja",(VLOOKUP(D750,Budget!A:F,6,FALSE)*(E750-(VLOOKUP(D750,Budget!A:F,3,FALSE)))),VLOOKUP($D750,Budget!$A$1:$F$19,6,FALSE)*E750))</f>
        <v>36960</v>
      </c>
      <c r="I750" s="93">
        <f>IF(F750=0,0,IF(M750="ja",((VLOOKUP(F750,Budget!A:F,6,FALSE)*(E750-(VLOOKUP(F750,Budget!A:F,3,FALSE))))),VLOOKUP($D750,Budget!A:F,5,FALSE)*E750))</f>
        <v>0</v>
      </c>
      <c r="J750" s="87">
        <f t="shared" si="54"/>
        <v>36960</v>
      </c>
      <c r="K750" s="21"/>
      <c r="L750" s="74"/>
      <c r="M750" s="77" t="str">
        <f t="shared" si="55"/>
        <v>nein</v>
      </c>
      <c r="N750">
        <f t="shared" si="52"/>
        <v>2023</v>
      </c>
    </row>
    <row r="751" spans="1:14" hidden="1" x14ac:dyDescent="0.3">
      <c r="A751" s="104">
        <f t="shared" si="53"/>
        <v>3</v>
      </c>
      <c r="B751" s="22">
        <f t="shared" si="56"/>
        <v>44942</v>
      </c>
      <c r="C751" s="10" t="s">
        <v>3</v>
      </c>
      <c r="D751" s="12" t="s">
        <v>11</v>
      </c>
      <c r="E751" s="13">
        <f>IF(VLOOKUP(D751,Budget!A:B,2,FALSE)&lt;&gt;0,IF(G751=0,24,24-G751),0)</f>
        <v>24</v>
      </c>
      <c r="F751" s="13"/>
      <c r="G751" s="13"/>
      <c r="H751" s="85">
        <f>IF(E751=0,0,IF(M751="ja",(VLOOKUP(D751,Budget!A:F,6,FALSE)*(E751-(VLOOKUP(D751,Budget!A:F,3,FALSE)))),VLOOKUP($D751,Budget!$A$1:$F$19,6,FALSE)*E751))</f>
        <v>36960</v>
      </c>
      <c r="I751" s="85">
        <f>IF(F751=0,0,IF(M751="ja",((VLOOKUP(F751,Budget!A:F,6,FALSE)*(E751-(VLOOKUP(F751,Budget!A:F,3,FALSE))))),VLOOKUP($D751,Budget!A:F,5,FALSE)*E751))</f>
        <v>0</v>
      </c>
      <c r="J751" s="85">
        <f t="shared" si="54"/>
        <v>36960</v>
      </c>
      <c r="K751" s="15"/>
      <c r="L751" s="72"/>
      <c r="M751" s="80" t="str">
        <f t="shared" si="55"/>
        <v>nein</v>
      </c>
      <c r="N751">
        <f t="shared" si="52"/>
        <v>2023</v>
      </c>
    </row>
    <row r="752" spans="1:14" hidden="1" x14ac:dyDescent="0.3">
      <c r="A752" s="105">
        <f t="shared" si="53"/>
        <v>3</v>
      </c>
      <c r="B752" s="22">
        <f t="shared" si="56"/>
        <v>44943</v>
      </c>
      <c r="C752" s="11" t="s">
        <v>4</v>
      </c>
      <c r="D752" s="12" t="s">
        <v>13</v>
      </c>
      <c r="E752" s="13">
        <v>24</v>
      </c>
      <c r="G752" s="13"/>
      <c r="H752" s="85">
        <f>IF(E752=0,0,IF(M752="ja",(VLOOKUP(D752,Budget!A:F,6,FALSE)*(E752-(VLOOKUP(D752,Budget!A:F,3,FALSE)))),VLOOKUP($D752,Budget!$A$1:$F$19,6,FALSE)*E752))</f>
        <v>0</v>
      </c>
      <c r="I752" s="85">
        <f>IF(F752=0,0,IF(M752="ja",((VLOOKUP(F752,Budget!A:F,6,FALSE)*(E752-(VLOOKUP(F752,Budget!A:F,3,FALSE))))),VLOOKUP($D752,Budget!A:F,5,FALSE)*E752))</f>
        <v>0</v>
      </c>
      <c r="J752" s="85">
        <f t="shared" si="54"/>
        <v>0</v>
      </c>
      <c r="K752" s="14"/>
      <c r="L752" s="73" t="s">
        <v>118</v>
      </c>
      <c r="M752" s="80" t="str">
        <f t="shared" si="55"/>
        <v>ja</v>
      </c>
      <c r="N752">
        <f t="shared" si="52"/>
        <v>2023</v>
      </c>
    </row>
    <row r="753" spans="1:14" hidden="1" x14ac:dyDescent="0.3">
      <c r="A753" s="105">
        <f t="shared" si="53"/>
        <v>3</v>
      </c>
      <c r="B753" s="22">
        <f t="shared" si="56"/>
        <v>44944</v>
      </c>
      <c r="C753" s="11" t="s">
        <v>5</v>
      </c>
      <c r="D753" s="12" t="s">
        <v>11</v>
      </c>
      <c r="E753" s="13">
        <f>IF(VLOOKUP(D753,Budget!A:B,2,FALSE)&lt;&gt;0,IF(G753=0,24,24-G753),0)</f>
        <v>24</v>
      </c>
      <c r="G753" s="13"/>
      <c r="H753" s="85">
        <f>IF(E753=0,0,IF(M753="ja",(VLOOKUP(D753,Budget!A:F,6,FALSE)*(E753-(VLOOKUP(D753,Budget!A:F,3,FALSE)))),VLOOKUP($D753,Budget!$A$1:$F$19,6,FALSE)*E753))</f>
        <v>30030</v>
      </c>
      <c r="I753" s="85">
        <f>IF(F753=0,0,IF(M753="ja",((VLOOKUP(F753,Budget!A:F,6,FALSE)*(E753-(VLOOKUP(F753,Budget!A:F,3,FALSE))))),VLOOKUP($D753,Budget!A:F,5,FALSE)*E753))</f>
        <v>0</v>
      </c>
      <c r="J753" s="85">
        <f t="shared" si="54"/>
        <v>30030</v>
      </c>
      <c r="K753" s="14"/>
      <c r="L753" s="73"/>
      <c r="M753" s="80" t="str">
        <f t="shared" si="55"/>
        <v>ja</v>
      </c>
      <c r="N753">
        <f t="shared" si="52"/>
        <v>2023</v>
      </c>
    </row>
    <row r="754" spans="1:14" hidden="1" x14ac:dyDescent="0.3">
      <c r="A754" s="103">
        <f t="shared" si="53"/>
        <v>3</v>
      </c>
      <c r="B754" s="22">
        <f t="shared" si="56"/>
        <v>44945</v>
      </c>
      <c r="C754" s="11" t="s">
        <v>6</v>
      </c>
      <c r="D754" s="12" t="s">
        <v>11</v>
      </c>
      <c r="E754" s="13">
        <f>IF(VLOOKUP(D754,Budget!A:B,2,FALSE)&lt;&gt;0,IF(G754=0,24,24-G754),0)</f>
        <v>24</v>
      </c>
      <c r="G754" s="13"/>
      <c r="H754" s="85">
        <f>IF(E754=0,0,IF(M754="ja",(VLOOKUP(D754,Budget!A:F,6,FALSE)*(E754-(VLOOKUP(D754,Budget!A:F,3,FALSE)))),VLOOKUP($D754,Budget!$A$1:$F$19,6,FALSE)*E754))</f>
        <v>36960</v>
      </c>
      <c r="I754" s="85">
        <f>IF(F754=0,0,IF(M754="ja",((VLOOKUP(F754,Budget!A:F,6,FALSE)*(E754-(VLOOKUP(F754,Budget!A:F,3,FALSE))))),VLOOKUP($D754,Budget!A:F,5,FALSE)*E754))</f>
        <v>0</v>
      </c>
      <c r="J754" s="85">
        <f t="shared" si="54"/>
        <v>36960</v>
      </c>
      <c r="K754" s="14"/>
      <c r="L754" s="73"/>
      <c r="M754" s="80" t="str">
        <f t="shared" si="55"/>
        <v>nein</v>
      </c>
      <c r="N754">
        <f t="shared" si="52"/>
        <v>2023</v>
      </c>
    </row>
    <row r="755" spans="1:14" hidden="1" x14ac:dyDescent="0.3">
      <c r="A755" s="105">
        <f t="shared" si="53"/>
        <v>3</v>
      </c>
      <c r="B755" s="22">
        <f t="shared" si="56"/>
        <v>44946</v>
      </c>
      <c r="C755" s="11" t="s">
        <v>7</v>
      </c>
      <c r="D755" s="12" t="s">
        <v>29</v>
      </c>
      <c r="E755" s="13">
        <f>IF(VLOOKUP(D755,Budget!A:B,2,FALSE)&lt;&gt;0,IF(G755=0,24,24-G755),0)</f>
        <v>0</v>
      </c>
      <c r="G755" s="13"/>
      <c r="H755" s="85">
        <f>IF(E755=0,0,IF(M755="ja",(VLOOKUP(D755,Budget!A:F,6,FALSE)*(E755-(VLOOKUP(D755,Budget!A:F,3,FALSE)))),VLOOKUP($D755,Budget!$A$1:$F$19,6,FALSE)*E755))</f>
        <v>0</v>
      </c>
      <c r="I755" s="85">
        <f>IF(F755=0,0,IF(M755="ja",((VLOOKUP(F755,Budget!A:F,6,FALSE)*(E755-(VLOOKUP(F755,Budget!A:F,3,FALSE))))),VLOOKUP($D755,Budget!A:F,5,FALSE)*E755))</f>
        <v>0</v>
      </c>
      <c r="J755" s="85">
        <f t="shared" si="54"/>
        <v>0</v>
      </c>
      <c r="K755" s="14"/>
      <c r="L755" s="98" t="s">
        <v>146</v>
      </c>
      <c r="M755" s="80" t="str">
        <f t="shared" si="55"/>
        <v>nein</v>
      </c>
      <c r="N755">
        <f t="shared" si="52"/>
        <v>2023</v>
      </c>
    </row>
    <row r="756" spans="1:14" hidden="1" x14ac:dyDescent="0.3">
      <c r="A756" s="105">
        <f t="shared" si="53"/>
        <v>3</v>
      </c>
      <c r="B756" s="22">
        <f t="shared" si="56"/>
        <v>44947</v>
      </c>
      <c r="C756" s="16" t="s">
        <v>8</v>
      </c>
      <c r="D756" s="12" t="s">
        <v>29</v>
      </c>
      <c r="E756" s="13">
        <f>IF(VLOOKUP(D756,Budget!A:B,2,FALSE)&lt;&gt;0,IF(G756=0,24,24-G756),0)</f>
        <v>0</v>
      </c>
      <c r="F756" s="17"/>
      <c r="G756" s="17"/>
      <c r="H756" s="86">
        <f>IF(E756=0,0,IF(M756="ja",(VLOOKUP(D756,Budget!A:F,6,FALSE)*(E756-(VLOOKUP(D756,Budget!A:F,3,FALSE)))),VLOOKUP($D756,Budget!$A$1:$F$19,6,FALSE)*E756))</f>
        <v>0</v>
      </c>
      <c r="I756" s="86">
        <f>IF(F756=0,0,IF(M756="ja",((VLOOKUP(F756,Budget!A:F,6,FALSE)*(E756-(VLOOKUP(F756,Budget!A:F,3,FALSE))))),VLOOKUP($D756,Budget!A:F,5,FALSE)*E756))</f>
        <v>0</v>
      </c>
      <c r="J756" s="86">
        <f t="shared" si="54"/>
        <v>0</v>
      </c>
      <c r="K756" s="18"/>
      <c r="L756" s="96" t="s">
        <v>147</v>
      </c>
      <c r="M756" s="76" t="str">
        <f t="shared" si="55"/>
        <v>nein</v>
      </c>
      <c r="N756">
        <f t="shared" si="52"/>
        <v>2023</v>
      </c>
    </row>
    <row r="757" spans="1:14" ht="15" hidden="1" thickBot="1" x14ac:dyDescent="0.35">
      <c r="A757" s="105">
        <f t="shared" si="53"/>
        <v>3</v>
      </c>
      <c r="B757" s="27">
        <f t="shared" si="56"/>
        <v>44948</v>
      </c>
      <c r="C757" s="19" t="s">
        <v>9</v>
      </c>
      <c r="D757" s="12" t="s">
        <v>29</v>
      </c>
      <c r="E757" s="13">
        <f>IF(VLOOKUP(D757,Budget!A:B,2,FALSE)&lt;&gt;0,IF(G757=0,24,24-G757),0)</f>
        <v>0</v>
      </c>
      <c r="F757" s="20"/>
      <c r="G757" s="20"/>
      <c r="H757" s="93">
        <f>IF(E757=0,0,IF(M757="ja",(VLOOKUP(D757,Budget!A:F,6,FALSE)*(E757-(VLOOKUP(D757,Budget!A:F,3,FALSE)))),VLOOKUP($D757,Budget!$A$1:$F$19,6,FALSE)*E757))</f>
        <v>0</v>
      </c>
      <c r="I757" s="93">
        <f>IF(F757=0,0,IF(M757="ja",((VLOOKUP(F757,Budget!A:F,6,FALSE)*(E757-(VLOOKUP(F757,Budget!A:F,3,FALSE))))),VLOOKUP($D757,Budget!A:F,5,FALSE)*E757))</f>
        <v>0</v>
      </c>
      <c r="J757" s="87">
        <f t="shared" si="54"/>
        <v>0</v>
      </c>
      <c r="K757" s="21"/>
      <c r="L757" s="99" t="s">
        <v>148</v>
      </c>
      <c r="M757" s="77" t="str">
        <f t="shared" si="55"/>
        <v>nein</v>
      </c>
      <c r="N757">
        <f t="shared" si="52"/>
        <v>2023</v>
      </c>
    </row>
    <row r="758" spans="1:14" hidden="1" x14ac:dyDescent="0.3">
      <c r="A758" s="104">
        <f t="shared" si="53"/>
        <v>4</v>
      </c>
      <c r="B758" s="22">
        <f t="shared" si="56"/>
        <v>44949</v>
      </c>
      <c r="C758" s="10" t="s">
        <v>3</v>
      </c>
      <c r="D758" s="12" t="s">
        <v>30</v>
      </c>
      <c r="E758" s="13">
        <f>IF(VLOOKUP(D758,Budget!A:B,2,FALSE)&lt;&gt;0,IF(G758=0,24,24-G758),0)</f>
        <v>0</v>
      </c>
      <c r="F758" s="13"/>
      <c r="G758" s="13"/>
      <c r="H758" s="85">
        <f>IF(E758=0,0,IF(M758="ja",(VLOOKUP(D758,Budget!A:F,6,FALSE)*(E758-(VLOOKUP(D758,Budget!A:F,3,FALSE)))),VLOOKUP($D758,Budget!$A$1:$F$19,6,FALSE)*E758))</f>
        <v>0</v>
      </c>
      <c r="I758" s="85">
        <f>IF(F758=0,0,IF(M758="ja",((VLOOKUP(F758,Budget!A:F,6,FALSE)*(E758-(VLOOKUP(F758,Budget!A:F,3,FALSE))))),VLOOKUP($D758,Budget!A:F,5,FALSE)*E758))</f>
        <v>0</v>
      </c>
      <c r="J758" s="85">
        <f t="shared" si="54"/>
        <v>0</v>
      </c>
      <c r="K758" s="15"/>
      <c r="L758" s="72"/>
      <c r="M758" s="80" t="str">
        <f t="shared" si="55"/>
        <v>nein</v>
      </c>
      <c r="N758">
        <f t="shared" si="52"/>
        <v>2023</v>
      </c>
    </row>
    <row r="759" spans="1:14" hidden="1" x14ac:dyDescent="0.3">
      <c r="A759" s="105">
        <f t="shared" ref="A759:A790" si="57">_xlfn.ISOWEEKNUM(B759)</f>
        <v>4</v>
      </c>
      <c r="B759" s="22">
        <f t="shared" si="56"/>
        <v>44950</v>
      </c>
      <c r="C759" s="11" t="s">
        <v>4</v>
      </c>
      <c r="D759" s="12" t="s">
        <v>149</v>
      </c>
      <c r="E759" s="13" t="e">
        <f>IF(VLOOKUP(D759,Budget!A:B,2,FALSE)&lt;&gt;0,IF(G759=0,24,24-G759),0)</f>
        <v>#N/A</v>
      </c>
      <c r="G759" s="13"/>
      <c r="H759" s="85" t="e">
        <f>IF(E759=0,0,IF(M759="ja",(VLOOKUP(D759,Budget!A:F,6,FALSE)*(E759-(VLOOKUP(D759,Budget!A:F,3,FALSE)))),VLOOKUP($D759,Budget!$A$1:$F$19,6,FALSE)*E759))</f>
        <v>#N/A</v>
      </c>
      <c r="I759" s="85">
        <f>IF(F759=0,0,IF(M759="ja",((VLOOKUP(F759,Budget!A:F,6,FALSE)*(E759-(VLOOKUP(F759,Budget!A:F,3,FALSE))))),VLOOKUP($D759,Budget!A:F,5,FALSE)*E759))</f>
        <v>0</v>
      </c>
      <c r="J759" s="85" t="e">
        <f t="shared" ref="J759:J790" si="58">H759+I759</f>
        <v>#N/A</v>
      </c>
      <c r="K759" s="14"/>
      <c r="L759" s="73" t="s">
        <v>151</v>
      </c>
      <c r="M759" s="80" t="e">
        <f t="shared" ref="M759:M790" si="59">IF(E759=0,"nein",IF(OR(E759&lt;&gt;24,F758&lt;&gt;0,D759&lt;&gt;D758),"ja","nein"))</f>
        <v>#N/A</v>
      </c>
      <c r="N759">
        <f t="shared" si="52"/>
        <v>2023</v>
      </c>
    </row>
    <row r="760" spans="1:14" hidden="1" x14ac:dyDescent="0.3">
      <c r="A760" s="105">
        <f t="shared" si="57"/>
        <v>4</v>
      </c>
      <c r="B760" s="22">
        <f t="shared" si="56"/>
        <v>44951</v>
      </c>
      <c r="C760" s="11" t="s">
        <v>5</v>
      </c>
      <c r="D760" s="12" t="s">
        <v>150</v>
      </c>
      <c r="E760" s="13" t="e">
        <f>IF(VLOOKUP(D760,Budget!A:B,2,FALSE)&lt;&gt;0,IF(G760=0,24,24-G760),0)</f>
        <v>#N/A</v>
      </c>
      <c r="G760" s="13"/>
      <c r="H760" s="85" t="e">
        <f>IF(E760=0,0,IF(M760="ja",(VLOOKUP(D760,Budget!A:F,6,FALSE)*(E760-(VLOOKUP(D760,Budget!A:F,3,FALSE)))),VLOOKUP($D760,Budget!$A$1:$F$19,6,FALSE)*E760))</f>
        <v>#N/A</v>
      </c>
      <c r="I760" s="85">
        <f>IF(F760=0,0,IF(M760="ja",((VLOOKUP(F760,Budget!A:F,6,FALSE)*(E760-(VLOOKUP(F760,Budget!A:F,3,FALSE))))),VLOOKUP($D760,Budget!A:F,5,FALSE)*E760))</f>
        <v>0</v>
      </c>
      <c r="J760" s="85" t="e">
        <f t="shared" si="58"/>
        <v>#N/A</v>
      </c>
      <c r="K760" s="14"/>
      <c r="L760" s="73"/>
      <c r="M760" s="80" t="e">
        <f t="shared" si="59"/>
        <v>#N/A</v>
      </c>
      <c r="N760">
        <f t="shared" si="52"/>
        <v>2023</v>
      </c>
    </row>
    <row r="761" spans="1:14" hidden="1" x14ac:dyDescent="0.3">
      <c r="A761" s="103">
        <f t="shared" si="57"/>
        <v>4</v>
      </c>
      <c r="B761" s="22">
        <f t="shared" si="56"/>
        <v>44952</v>
      </c>
      <c r="C761" s="11" t="s">
        <v>6</v>
      </c>
      <c r="D761" s="12" t="s">
        <v>11</v>
      </c>
      <c r="E761" s="13">
        <f>IF(VLOOKUP(D761,Budget!A:B,2,FALSE)&lt;&gt;0,IF(G761=0,24,24-G761),0)</f>
        <v>24</v>
      </c>
      <c r="G761" s="13"/>
      <c r="H761" s="85">
        <f>IF(E761=0,0,IF(M761="ja",(VLOOKUP(D761,Budget!A:F,6,FALSE)*(E761-(VLOOKUP(D761,Budget!A:F,3,FALSE)))),VLOOKUP($D761,Budget!$A$1:$F$19,6,FALSE)*E761))</f>
        <v>30030</v>
      </c>
      <c r="I761" s="85">
        <f>IF(F761=0,0,IF(M761="ja",((VLOOKUP(F761,Budget!A:F,6,FALSE)*(E761-(VLOOKUP(F761,Budget!A:F,3,FALSE))))),VLOOKUP($D761,Budget!A:F,5,FALSE)*E761))</f>
        <v>0</v>
      </c>
      <c r="J761" s="85">
        <f t="shared" si="58"/>
        <v>30030</v>
      </c>
      <c r="K761" s="14"/>
      <c r="L761" s="73"/>
      <c r="M761" s="80" t="str">
        <f t="shared" si="59"/>
        <v>ja</v>
      </c>
      <c r="N761">
        <f t="shared" si="52"/>
        <v>2023</v>
      </c>
    </row>
    <row r="762" spans="1:14" hidden="1" x14ac:dyDescent="0.3">
      <c r="A762" s="105">
        <f t="shared" si="57"/>
        <v>4</v>
      </c>
      <c r="B762" s="22">
        <f t="shared" si="56"/>
        <v>44953</v>
      </c>
      <c r="C762" s="11" t="s">
        <v>7</v>
      </c>
      <c r="D762" s="12" t="s">
        <v>11</v>
      </c>
      <c r="E762" s="13">
        <f>IF(VLOOKUP(D762,Budget!A:B,2,FALSE)&lt;&gt;0,IF(G762=0,24,24-G762),0)</f>
        <v>24</v>
      </c>
      <c r="G762" s="13"/>
      <c r="H762" s="85">
        <f>IF(E762=0,0,IF(M762="ja",(VLOOKUP(D762,Budget!A:F,6,FALSE)*(E762-(VLOOKUP(D762,Budget!A:F,3,FALSE)))),VLOOKUP($D762,Budget!$A$1:$F$19,6,FALSE)*E762))</f>
        <v>36960</v>
      </c>
      <c r="I762" s="85">
        <f>IF(F762=0,0,IF(M762="ja",((VLOOKUP(F762,Budget!A:F,6,FALSE)*(E762-(VLOOKUP(F762,Budget!A:F,3,FALSE))))),VLOOKUP($D762,Budget!A:F,5,FALSE)*E762))</f>
        <v>0</v>
      </c>
      <c r="J762" s="85">
        <f t="shared" si="58"/>
        <v>36960</v>
      </c>
      <c r="K762" s="14"/>
      <c r="L762" s="25"/>
      <c r="M762" s="80" t="str">
        <f t="shared" si="59"/>
        <v>nein</v>
      </c>
      <c r="N762">
        <f t="shared" si="52"/>
        <v>2023</v>
      </c>
    </row>
    <row r="763" spans="1:14" hidden="1" x14ac:dyDescent="0.3">
      <c r="A763" s="105">
        <f t="shared" si="57"/>
        <v>4</v>
      </c>
      <c r="B763" s="22">
        <f t="shared" si="56"/>
        <v>44954</v>
      </c>
      <c r="C763" s="16" t="s">
        <v>8</v>
      </c>
      <c r="D763" s="12" t="s">
        <v>11</v>
      </c>
      <c r="E763" s="13">
        <f>IF(VLOOKUP(D763,Budget!A:B,2,FALSE)&lt;&gt;0,IF(G763=0,24,24-G763),0)</f>
        <v>24</v>
      </c>
      <c r="F763" s="17"/>
      <c r="G763" s="17"/>
      <c r="H763" s="86">
        <f>IF(E763=0,0,IF(M763="ja",(VLOOKUP(D763,Budget!A:F,6,FALSE)*(E763-(VLOOKUP(D763,Budget!A:F,3,FALSE)))),VLOOKUP($D763,Budget!$A$1:$F$19,6,FALSE)*E763))</f>
        <v>36960</v>
      </c>
      <c r="I763" s="86">
        <f>IF(F763=0,0,IF(M763="ja",((VLOOKUP(F763,Budget!A:F,6,FALSE)*(E763-(VLOOKUP(F763,Budget!A:F,3,FALSE))))),VLOOKUP($D763,Budget!A:F,5,FALSE)*E763))</f>
        <v>0</v>
      </c>
      <c r="J763" s="86">
        <f t="shared" si="58"/>
        <v>36960</v>
      </c>
      <c r="K763" s="18"/>
      <c r="L763" s="75"/>
      <c r="M763" s="76" t="str">
        <f t="shared" si="59"/>
        <v>nein</v>
      </c>
      <c r="N763">
        <f t="shared" si="52"/>
        <v>2023</v>
      </c>
    </row>
    <row r="764" spans="1:14" ht="15" hidden="1" thickBot="1" x14ac:dyDescent="0.35">
      <c r="A764" s="105">
        <f t="shared" si="57"/>
        <v>4</v>
      </c>
      <c r="B764" s="27">
        <f t="shared" si="56"/>
        <v>44955</v>
      </c>
      <c r="C764" s="19" t="s">
        <v>9</v>
      </c>
      <c r="D764" s="12" t="s">
        <v>11</v>
      </c>
      <c r="E764" s="13">
        <f>IF(VLOOKUP(D764,Budget!A:B,2,FALSE)&lt;&gt;0,IF(G764=0,24,24-G764),0)</f>
        <v>24</v>
      </c>
      <c r="F764" s="20"/>
      <c r="G764" s="20"/>
      <c r="H764" s="93">
        <f>IF(E764=0,0,IF(M764="ja",(VLOOKUP(D764,Budget!A:F,6,FALSE)*(E764-(VLOOKUP(D764,Budget!A:F,3,FALSE)))),VLOOKUP($D764,Budget!$A$1:$F$19,6,FALSE)*E764))</f>
        <v>36960</v>
      </c>
      <c r="I764" s="93">
        <f>IF(F764=0,0,IF(M764="ja",((VLOOKUP(F764,Budget!A:F,6,FALSE)*(E764-(VLOOKUP(F764,Budget!A:F,3,FALSE))))),VLOOKUP($D764,Budget!A:F,5,FALSE)*E764))</f>
        <v>0</v>
      </c>
      <c r="J764" s="87">
        <f t="shared" si="58"/>
        <v>36960</v>
      </c>
      <c r="K764" s="21"/>
      <c r="L764" s="74"/>
      <c r="M764" s="77" t="str">
        <f t="shared" si="59"/>
        <v>nein</v>
      </c>
      <c r="N764">
        <f t="shared" si="52"/>
        <v>2023</v>
      </c>
    </row>
    <row r="765" spans="1:14" hidden="1" x14ac:dyDescent="0.3">
      <c r="A765" s="104">
        <f t="shared" si="57"/>
        <v>5</v>
      </c>
      <c r="B765" s="22">
        <f t="shared" si="56"/>
        <v>44956</v>
      </c>
      <c r="C765" s="10" t="s">
        <v>3</v>
      </c>
      <c r="D765" s="12" t="s">
        <v>69</v>
      </c>
      <c r="E765" s="13">
        <f>IF(VLOOKUP(D765,Budget!A:B,2,FALSE)&lt;&gt;0,IF(G765=0,24,24-G765),0)</f>
        <v>24</v>
      </c>
      <c r="F765" s="13"/>
      <c r="G765" s="13"/>
      <c r="H765" s="85">
        <f>IF(E765=0,0,IF(M765="ja",(VLOOKUP(D765,Budget!A:F,6,FALSE)*(E765-(VLOOKUP(D765,Budget!A:F,3,FALSE)))),VLOOKUP($D765,Budget!$A$1:$F$19,6,FALSE)*E765))</f>
        <v>38269.757143831848</v>
      </c>
      <c r="I765" s="85">
        <f>IF(F765=0,0,IF(M765="ja",((VLOOKUP(F765,Budget!A:F,6,FALSE)*(E765-(VLOOKUP(F765,Budget!A:F,3,FALSE))))),VLOOKUP($D765,Budget!A:F,5,FALSE)*E765))</f>
        <v>0</v>
      </c>
      <c r="J765" s="85">
        <f t="shared" si="58"/>
        <v>38269.757143831848</v>
      </c>
      <c r="K765" s="15"/>
      <c r="L765" s="72"/>
      <c r="M765" s="80" t="str">
        <f t="shared" si="59"/>
        <v>ja</v>
      </c>
      <c r="N765">
        <f t="shared" si="52"/>
        <v>2023</v>
      </c>
    </row>
    <row r="766" spans="1:14" hidden="1" x14ac:dyDescent="0.3">
      <c r="A766" s="105">
        <f t="shared" si="57"/>
        <v>5</v>
      </c>
      <c r="B766" s="22">
        <f t="shared" si="56"/>
        <v>44957</v>
      </c>
      <c r="C766" s="11" t="s">
        <v>4</v>
      </c>
      <c r="D766" s="12" t="s">
        <v>69</v>
      </c>
      <c r="E766" s="13">
        <f>IF(VLOOKUP(D766,Budget!A:B,2,FALSE)&lt;&gt;0,IF(G766=0,24,24-G766),0)</f>
        <v>24</v>
      </c>
      <c r="G766" s="13"/>
      <c r="H766" s="85">
        <f>IF(E766=0,0,IF(M766="ja",(VLOOKUP(D766,Budget!A:F,6,FALSE)*(E766-(VLOOKUP(D766,Budget!A:F,3,FALSE)))),VLOOKUP($D766,Budget!$A$1:$F$19,6,FALSE)*E766))</f>
        <v>42919.35380616656</v>
      </c>
      <c r="I766" s="85">
        <f>IF(F766=0,0,IF(M766="ja",((VLOOKUP(F766,Budget!A:F,6,FALSE)*(E766-(VLOOKUP(F766,Budget!A:F,3,FALSE))))),VLOOKUP($D766,Budget!A:F,5,FALSE)*E766))</f>
        <v>0</v>
      </c>
      <c r="J766" s="85">
        <f t="shared" si="58"/>
        <v>42919.35380616656</v>
      </c>
      <c r="K766" s="14"/>
      <c r="L766" s="73"/>
      <c r="M766" s="80" t="str">
        <f t="shared" si="59"/>
        <v>nein</v>
      </c>
      <c r="N766">
        <f t="shared" si="52"/>
        <v>2023</v>
      </c>
    </row>
    <row r="767" spans="1:14" hidden="1" x14ac:dyDescent="0.3">
      <c r="A767" s="105">
        <f t="shared" si="57"/>
        <v>5</v>
      </c>
      <c r="B767" s="22">
        <f t="shared" si="56"/>
        <v>44958</v>
      </c>
      <c r="C767" s="11" t="s">
        <v>5</v>
      </c>
      <c r="D767" s="12" t="s">
        <v>11</v>
      </c>
      <c r="E767" s="13">
        <f>IF(VLOOKUP(D767,Budget!A:B,2,FALSE)&lt;&gt;0,IF(G767=0,24,24-G767),0)</f>
        <v>24</v>
      </c>
      <c r="G767" s="13"/>
      <c r="H767" s="85">
        <f>IF(E767=0,0,IF(M767="ja",(VLOOKUP(D767,Budget!A:F,6,FALSE)*(E767-(VLOOKUP(D767,Budget!A:F,3,FALSE)))),VLOOKUP($D767,Budget!$A$1:$F$19,6,FALSE)*E767))</f>
        <v>30030</v>
      </c>
      <c r="I767" s="85">
        <f>IF(F767=0,0,IF(M767="ja",((VLOOKUP(F767,Budget!A:F,6,FALSE)*(E767-(VLOOKUP(F767,Budget!A:F,3,FALSE))))),VLOOKUP($D767,Budget!A:F,5,FALSE)*E767))</f>
        <v>0</v>
      </c>
      <c r="J767" s="85">
        <f t="shared" si="58"/>
        <v>30030</v>
      </c>
      <c r="K767" s="14"/>
      <c r="L767" s="73"/>
      <c r="M767" s="80" t="str">
        <f t="shared" si="59"/>
        <v>ja</v>
      </c>
      <c r="N767">
        <f t="shared" si="52"/>
        <v>2023</v>
      </c>
    </row>
    <row r="768" spans="1:14" hidden="1" x14ac:dyDescent="0.3">
      <c r="A768" s="103">
        <f t="shared" si="57"/>
        <v>5</v>
      </c>
      <c r="B768" s="22">
        <f t="shared" si="56"/>
        <v>44959</v>
      </c>
      <c r="C768" s="11" t="s">
        <v>6</v>
      </c>
      <c r="D768" s="12" t="s">
        <v>11</v>
      </c>
      <c r="E768" s="13">
        <f>IF(VLOOKUP(D768,Budget!A:B,2,FALSE)&lt;&gt;0,IF(G768=0,24,24-G768),0)</f>
        <v>24</v>
      </c>
      <c r="G768" s="13"/>
      <c r="H768" s="85">
        <f>IF(E768=0,0,IF(M768="ja",(VLOOKUP(D768,Budget!A:F,6,FALSE)*(E768-(VLOOKUP(D768,Budget!A:F,3,FALSE)))),VLOOKUP($D768,Budget!$A$1:$F$19,6,FALSE)*E768))</f>
        <v>36960</v>
      </c>
      <c r="I768" s="85">
        <f>IF(F768=0,0,IF(M768="ja",((VLOOKUP(F768,Budget!A:F,6,FALSE)*(E768-(VLOOKUP(F768,Budget!A:F,3,FALSE))))),VLOOKUP($D768,Budget!A:F,5,FALSE)*E768))</f>
        <v>0</v>
      </c>
      <c r="J768" s="85">
        <f t="shared" si="58"/>
        <v>36960</v>
      </c>
      <c r="K768" s="14"/>
      <c r="L768" s="73"/>
      <c r="M768" s="80" t="str">
        <f t="shared" si="59"/>
        <v>nein</v>
      </c>
      <c r="N768">
        <f t="shared" si="52"/>
        <v>2023</v>
      </c>
    </row>
    <row r="769" spans="1:14" hidden="1" x14ac:dyDescent="0.3">
      <c r="A769" s="105">
        <f t="shared" si="57"/>
        <v>5</v>
      </c>
      <c r="B769" s="22">
        <f t="shared" ref="B769:B800" si="60">B768+1</f>
        <v>44960</v>
      </c>
      <c r="C769" s="11" t="s">
        <v>7</v>
      </c>
      <c r="D769" s="12" t="s">
        <v>11</v>
      </c>
      <c r="E769" s="13">
        <f>IF(VLOOKUP(D769,Budget!A:B,2,FALSE)&lt;&gt;0,IF(G769=0,24,24-G769),0)</f>
        <v>24</v>
      </c>
      <c r="G769" s="13"/>
      <c r="H769" s="85">
        <f>IF(E769=0,0,IF(M769="ja",(VLOOKUP(D769,Budget!A:F,6,FALSE)*(E769-(VLOOKUP(D769,Budget!A:F,3,FALSE)))),VLOOKUP($D769,Budget!$A$1:$F$19,6,FALSE)*E769))</f>
        <v>36960</v>
      </c>
      <c r="I769" s="85">
        <f>IF(F769=0,0,IF(M769="ja",((VLOOKUP(F769,Budget!A:F,6,FALSE)*(E769-(VLOOKUP(F769,Budget!A:F,3,FALSE))))),VLOOKUP($D769,Budget!A:F,5,FALSE)*E769))</f>
        <v>0</v>
      </c>
      <c r="J769" s="85">
        <f t="shared" si="58"/>
        <v>36960</v>
      </c>
      <c r="K769" s="14"/>
      <c r="L769" s="25"/>
      <c r="M769" s="80" t="str">
        <f t="shared" si="59"/>
        <v>nein</v>
      </c>
      <c r="N769">
        <f t="shared" si="52"/>
        <v>2023</v>
      </c>
    </row>
    <row r="770" spans="1:14" hidden="1" x14ac:dyDescent="0.3">
      <c r="A770" s="105">
        <f t="shared" si="57"/>
        <v>5</v>
      </c>
      <c r="B770" s="22">
        <f t="shared" si="60"/>
        <v>44961</v>
      </c>
      <c r="C770" s="16" t="s">
        <v>8</v>
      </c>
      <c r="D770" s="17" t="s">
        <v>11</v>
      </c>
      <c r="E770" s="13">
        <f>IF(VLOOKUP(D770,Budget!A:B,2,FALSE)&lt;&gt;0,IF(G770=0,24,24-G770),0)</f>
        <v>24</v>
      </c>
      <c r="F770" s="17"/>
      <c r="G770" s="17"/>
      <c r="H770" s="86">
        <f>IF(E770=0,0,IF(M770="ja",(VLOOKUP(D770,Budget!A:F,6,FALSE)*(E770-(VLOOKUP(D770,Budget!A:F,3,FALSE)))),VLOOKUP($D770,Budget!$A$1:$F$19,6,FALSE)*E770))</f>
        <v>36960</v>
      </c>
      <c r="I770" s="86">
        <f>IF(F770=0,0,IF(M770="ja",((VLOOKUP(F770,Budget!A:F,6,FALSE)*(E770-(VLOOKUP(F770,Budget!A:F,3,FALSE))))),VLOOKUP($D770,Budget!A:F,5,FALSE)*E770))</f>
        <v>0</v>
      </c>
      <c r="J770" s="86">
        <f t="shared" si="58"/>
        <v>36960</v>
      </c>
      <c r="K770" s="18"/>
      <c r="L770" s="75"/>
      <c r="M770" s="76" t="str">
        <f t="shared" si="59"/>
        <v>nein</v>
      </c>
      <c r="N770">
        <f t="shared" si="52"/>
        <v>2023</v>
      </c>
    </row>
    <row r="771" spans="1:14" ht="15" hidden="1" thickBot="1" x14ac:dyDescent="0.35">
      <c r="A771" s="105">
        <f t="shared" si="57"/>
        <v>5</v>
      </c>
      <c r="B771" s="27">
        <f t="shared" si="60"/>
        <v>44962</v>
      </c>
      <c r="C771" s="19" t="s">
        <v>9</v>
      </c>
      <c r="D771" s="20" t="s">
        <v>11</v>
      </c>
      <c r="E771" s="13">
        <f>IF(VLOOKUP(D771,Budget!A:B,2,FALSE)&lt;&gt;0,IF(G771=0,24,24-G771),0)</f>
        <v>24</v>
      </c>
      <c r="F771" s="20"/>
      <c r="G771" s="20"/>
      <c r="H771" s="93">
        <f>IF(E771=0,0,IF(M771="ja",(VLOOKUP(D771,Budget!A:F,6,FALSE)*(E771-(VLOOKUP(D771,Budget!A:F,3,FALSE)))),VLOOKUP($D771,Budget!$A$1:$F$19,6,FALSE)*E771))</f>
        <v>36960</v>
      </c>
      <c r="I771" s="93">
        <f>IF(F771=0,0,IF(M771="ja",((VLOOKUP(F771,Budget!A:F,6,FALSE)*(E771-(VLOOKUP(F771,Budget!A:F,3,FALSE))))),VLOOKUP($D771,Budget!A:F,5,FALSE)*E771))</f>
        <v>0</v>
      </c>
      <c r="J771" s="87">
        <f t="shared" si="58"/>
        <v>36960</v>
      </c>
      <c r="K771" s="21"/>
      <c r="L771" s="74"/>
      <c r="M771" s="77" t="str">
        <f t="shared" si="59"/>
        <v>nein</v>
      </c>
      <c r="N771">
        <f t="shared" ref="N771:N834" si="61">YEAR(B771)</f>
        <v>2023</v>
      </c>
    </row>
    <row r="772" spans="1:14" hidden="1" x14ac:dyDescent="0.3">
      <c r="A772" s="104">
        <f t="shared" si="57"/>
        <v>6</v>
      </c>
      <c r="B772" s="22">
        <f t="shared" si="60"/>
        <v>44963</v>
      </c>
      <c r="C772" s="10" t="s">
        <v>3</v>
      </c>
      <c r="D772" s="12" t="s">
        <v>11</v>
      </c>
      <c r="E772" s="13">
        <f>IF(VLOOKUP(D772,Budget!A:B,2,FALSE)&lt;&gt;0,IF(G772=0,24,24-G772),0)</f>
        <v>24</v>
      </c>
      <c r="F772" s="13"/>
      <c r="G772" s="13"/>
      <c r="H772" s="85">
        <f>IF(E772=0,0,IF(M772="ja",(VLOOKUP(D772,Budget!A:F,6,FALSE)*(E772-(VLOOKUP(D772,Budget!A:F,3,FALSE)))),VLOOKUP($D772,Budget!$A$1:$F$19,6,FALSE)*E772))</f>
        <v>36960</v>
      </c>
      <c r="I772" s="85">
        <f>IF(F772=0,0,IF(M772="ja",((VLOOKUP(F772,Budget!A:F,6,FALSE)*(E772-(VLOOKUP(F772,Budget!A:F,3,FALSE))))),VLOOKUP($D772,Budget!A:F,5,FALSE)*E772))</f>
        <v>0</v>
      </c>
      <c r="J772" s="85">
        <f t="shared" si="58"/>
        <v>36960</v>
      </c>
      <c r="K772" s="15"/>
      <c r="L772" s="102" t="s">
        <v>145</v>
      </c>
      <c r="M772" s="80" t="str">
        <f t="shared" si="59"/>
        <v>nein</v>
      </c>
      <c r="N772">
        <f t="shared" si="61"/>
        <v>2023</v>
      </c>
    </row>
    <row r="773" spans="1:14" hidden="1" x14ac:dyDescent="0.3">
      <c r="A773" s="105">
        <f t="shared" si="57"/>
        <v>6</v>
      </c>
      <c r="B773" s="22">
        <f t="shared" si="60"/>
        <v>44964</v>
      </c>
      <c r="C773" s="11" t="s">
        <v>4</v>
      </c>
      <c r="D773" s="12" t="s">
        <v>69</v>
      </c>
      <c r="E773" s="13">
        <f>IF(VLOOKUP(D773,Budget!A:B,2,FALSE)&lt;&gt;0,IF(G773=0,24,24-G773),0)</f>
        <v>24</v>
      </c>
      <c r="G773" s="13"/>
      <c r="H773" s="85">
        <f>IF(E773=0,0,IF(M773="ja",(VLOOKUP(D773,Budget!A:F,6,FALSE)*(E773-(VLOOKUP(D773,Budget!A:F,3,FALSE)))),VLOOKUP($D773,Budget!$A$1:$F$19,6,FALSE)*E773))</f>
        <v>38269.757143831848</v>
      </c>
      <c r="I773" s="85">
        <f>IF(F773=0,0,IF(M773="ja",((VLOOKUP(F773,Budget!A:F,6,FALSE)*(E773-(VLOOKUP(F773,Budget!A:F,3,FALSE))))),VLOOKUP($D773,Budget!A:F,5,FALSE)*E773))</f>
        <v>0</v>
      </c>
      <c r="J773" s="85">
        <f t="shared" si="58"/>
        <v>38269.757143831848</v>
      </c>
      <c r="K773" s="14"/>
      <c r="L773" s="73"/>
      <c r="M773" s="80" t="str">
        <f t="shared" si="59"/>
        <v>ja</v>
      </c>
      <c r="N773">
        <f t="shared" si="61"/>
        <v>2023</v>
      </c>
    </row>
    <row r="774" spans="1:14" hidden="1" x14ac:dyDescent="0.3">
      <c r="A774" s="105">
        <f t="shared" si="57"/>
        <v>6</v>
      </c>
      <c r="B774" s="22">
        <f t="shared" si="60"/>
        <v>44965</v>
      </c>
      <c r="C774" s="11" t="s">
        <v>5</v>
      </c>
      <c r="D774" s="12" t="s">
        <v>69</v>
      </c>
      <c r="E774" s="13">
        <f>IF(VLOOKUP(D774,Budget!A:B,2,FALSE)&lt;&gt;0,IF(G774=0,24,24-G774),0)</f>
        <v>24</v>
      </c>
      <c r="G774" s="13"/>
      <c r="H774" s="85">
        <f>IF(E774=0,0,IF(M774="ja",(VLOOKUP(D774,Budget!A:F,6,FALSE)*(E774-(VLOOKUP(D774,Budget!A:F,3,FALSE)))),VLOOKUP($D774,Budget!$A$1:$F$19,6,FALSE)*E774))</f>
        <v>42919.35380616656</v>
      </c>
      <c r="I774" s="85">
        <f>IF(F774=0,0,IF(M774="ja",((VLOOKUP(F774,Budget!A:F,6,FALSE)*(E774-(VLOOKUP(F774,Budget!A:F,3,FALSE))))),VLOOKUP($D774,Budget!A:F,5,FALSE)*E774))</f>
        <v>0</v>
      </c>
      <c r="J774" s="85">
        <f t="shared" si="58"/>
        <v>42919.35380616656</v>
      </c>
      <c r="K774" s="14"/>
      <c r="L774" s="73"/>
      <c r="M774" s="80" t="str">
        <f t="shared" si="59"/>
        <v>nein</v>
      </c>
      <c r="N774">
        <f t="shared" si="61"/>
        <v>2023</v>
      </c>
    </row>
    <row r="775" spans="1:14" hidden="1" x14ac:dyDescent="0.3">
      <c r="A775" s="103">
        <f t="shared" si="57"/>
        <v>6</v>
      </c>
      <c r="B775" s="22">
        <f t="shared" si="60"/>
        <v>44966</v>
      </c>
      <c r="C775" s="11" t="s">
        <v>6</v>
      </c>
      <c r="D775" s="12" t="s">
        <v>69</v>
      </c>
      <c r="E775" s="13">
        <f>IF(VLOOKUP(D775,Budget!A:B,2,FALSE)&lt;&gt;0,IF(G775=0,24,24-G775),0)</f>
        <v>24</v>
      </c>
      <c r="G775" s="13"/>
      <c r="H775" s="85">
        <f>IF(E775=0,0,IF(M775="ja",(VLOOKUP(D775,Budget!A:F,6,FALSE)*(E775-(VLOOKUP(D775,Budget!A:F,3,FALSE)))),VLOOKUP($D775,Budget!$A$1:$F$19,6,FALSE)*E775))</f>
        <v>42919.35380616656</v>
      </c>
      <c r="I775" s="85">
        <f>IF(F775=0,0,IF(M775="ja",((VLOOKUP(F775,Budget!A:F,6,FALSE)*(E775-(VLOOKUP(F775,Budget!A:F,3,FALSE))))),VLOOKUP($D775,Budget!A:F,5,FALSE)*E775))</f>
        <v>0</v>
      </c>
      <c r="J775" s="85">
        <f t="shared" si="58"/>
        <v>42919.35380616656</v>
      </c>
      <c r="K775" s="14"/>
      <c r="L775" s="73"/>
      <c r="M775" s="80" t="str">
        <f t="shared" si="59"/>
        <v>nein</v>
      </c>
      <c r="N775">
        <f t="shared" si="61"/>
        <v>2023</v>
      </c>
    </row>
    <row r="776" spans="1:14" hidden="1" x14ac:dyDescent="0.3">
      <c r="A776" s="105">
        <f t="shared" si="57"/>
        <v>6</v>
      </c>
      <c r="B776" s="22">
        <f t="shared" si="60"/>
        <v>44967</v>
      </c>
      <c r="C776" s="11" t="s">
        <v>7</v>
      </c>
      <c r="D776" s="12" t="s">
        <v>29</v>
      </c>
      <c r="E776" s="13">
        <f>IF(VLOOKUP(D776,Budget!A:B,2,FALSE)&lt;&gt;0,IF(G776=0,24,24-G776),0)</f>
        <v>0</v>
      </c>
      <c r="G776" s="13"/>
      <c r="H776" s="85">
        <f>IF(E776=0,0,IF(M776="ja",(VLOOKUP(D776,Budget!A:F,6,FALSE)*(E776-(VLOOKUP(D776,Budget!A:F,3,FALSE)))),VLOOKUP($D776,Budget!$A$1:$F$19,6,FALSE)*E776))</f>
        <v>0</v>
      </c>
      <c r="I776" s="85">
        <f>IF(F776=0,0,IF(M776="ja",((VLOOKUP(F776,Budget!A:F,6,FALSE)*(E776-(VLOOKUP(F776,Budget!A:F,3,FALSE))))),VLOOKUP($D776,Budget!A:F,5,FALSE)*E776))</f>
        <v>0</v>
      </c>
      <c r="J776" s="85">
        <f t="shared" si="58"/>
        <v>0</v>
      </c>
      <c r="K776" s="14"/>
      <c r="L776" s="98" t="s">
        <v>78</v>
      </c>
      <c r="M776" s="80" t="str">
        <f t="shared" si="59"/>
        <v>nein</v>
      </c>
      <c r="N776">
        <f t="shared" si="61"/>
        <v>2023</v>
      </c>
    </row>
    <row r="777" spans="1:14" hidden="1" x14ac:dyDescent="0.3">
      <c r="A777" s="105">
        <f t="shared" si="57"/>
        <v>6</v>
      </c>
      <c r="B777" s="22">
        <f t="shared" si="60"/>
        <v>44968</v>
      </c>
      <c r="C777" s="16" t="s">
        <v>8</v>
      </c>
      <c r="D777" s="17" t="s">
        <v>69</v>
      </c>
      <c r="E777" s="13">
        <f>IF(VLOOKUP(D777,Budget!A:B,2,FALSE)&lt;&gt;0,IF(G777=0,24,24-G777),0)</f>
        <v>24</v>
      </c>
      <c r="F777" s="17"/>
      <c r="G777" s="17"/>
      <c r="H777" s="86">
        <f>IF(E777=0,0,IF(M777="ja",(VLOOKUP(D777,Budget!A:F,6,FALSE)*(E777-(VLOOKUP(D777,Budget!A:F,3,FALSE)))),VLOOKUP($D777,Budget!$A$1:$F$19,6,FALSE)*E777))</f>
        <v>38269.757143831848</v>
      </c>
      <c r="I777" s="86">
        <f>IF(F777=0,0,IF(M777="ja",((VLOOKUP(F777,Budget!A:F,6,FALSE)*(E777-(VLOOKUP(F777,Budget!A:F,3,FALSE))))),VLOOKUP($D777,Budget!A:F,5,FALSE)*E777))</f>
        <v>0</v>
      </c>
      <c r="J777" s="86">
        <f t="shared" si="58"/>
        <v>38269.757143831848</v>
      </c>
      <c r="K777" s="18"/>
      <c r="L777" s="75"/>
      <c r="M777" s="76" t="str">
        <f t="shared" si="59"/>
        <v>ja</v>
      </c>
      <c r="N777">
        <f t="shared" si="61"/>
        <v>2023</v>
      </c>
    </row>
    <row r="778" spans="1:14" ht="15" hidden="1" thickBot="1" x14ac:dyDescent="0.35">
      <c r="A778" s="105">
        <f t="shared" si="57"/>
        <v>6</v>
      </c>
      <c r="B778" s="27">
        <f t="shared" si="60"/>
        <v>44969</v>
      </c>
      <c r="C778" s="19" t="s">
        <v>9</v>
      </c>
      <c r="D778" s="20" t="s">
        <v>69</v>
      </c>
      <c r="E778" s="13">
        <f>IF(VLOOKUP(D778,Budget!A:B,2,FALSE)&lt;&gt;0,IF(G778=0,24,24-G778),0)</f>
        <v>24</v>
      </c>
      <c r="F778" s="20"/>
      <c r="G778" s="20"/>
      <c r="H778" s="93">
        <f>IF(E778=0,0,IF(M778="ja",(VLOOKUP(D778,Budget!A:F,6,FALSE)*(E778-(VLOOKUP(D778,Budget!A:F,3,FALSE)))),VLOOKUP($D778,Budget!$A$1:$F$19,6,FALSE)*E778))</f>
        <v>42919.35380616656</v>
      </c>
      <c r="I778" s="93">
        <f>IF(F778=0,0,IF(M778="ja",((VLOOKUP(F778,Budget!A:F,6,FALSE)*(E778-(VLOOKUP(F778,Budget!A:F,3,FALSE))))),VLOOKUP($D778,Budget!A:F,5,FALSE)*E778))</f>
        <v>0</v>
      </c>
      <c r="J778" s="87">
        <f t="shared" si="58"/>
        <v>42919.35380616656</v>
      </c>
      <c r="K778" s="21"/>
      <c r="L778" s="74"/>
      <c r="M778" s="77" t="str">
        <f t="shared" si="59"/>
        <v>nein</v>
      </c>
      <c r="N778">
        <f t="shared" si="61"/>
        <v>2023</v>
      </c>
    </row>
    <row r="779" spans="1:14" hidden="1" x14ac:dyDescent="0.3">
      <c r="A779" s="104">
        <f t="shared" si="57"/>
        <v>7</v>
      </c>
      <c r="B779" s="22">
        <f t="shared" si="60"/>
        <v>44970</v>
      </c>
      <c r="C779" s="10" t="s">
        <v>3</v>
      </c>
      <c r="D779" s="12" t="s">
        <v>11</v>
      </c>
      <c r="E779" s="13">
        <f>IF(VLOOKUP(D779,Budget!A:B,2,FALSE)&lt;&gt;0,IF(G779=0,24,24-G779),0)</f>
        <v>24</v>
      </c>
      <c r="F779" s="13"/>
      <c r="G779" s="13"/>
      <c r="H779" s="85">
        <f>IF(E779=0,0,IF(M779="ja",(VLOOKUP(D779,Budget!A:F,6,FALSE)*(E779-(VLOOKUP(D779,Budget!A:F,3,FALSE)))),VLOOKUP($D779,Budget!$A$1:$F$19,6,FALSE)*E779))</f>
        <v>30030</v>
      </c>
      <c r="I779" s="85">
        <f>IF(F779=0,0,IF(M779="ja",((VLOOKUP(F779,Budget!A:F,6,FALSE)*(E779-(VLOOKUP(F779,Budget!A:F,3,FALSE))))),VLOOKUP($D779,Budget!A:F,5,FALSE)*E779))</f>
        <v>0</v>
      </c>
      <c r="J779" s="85">
        <f t="shared" si="58"/>
        <v>30030</v>
      </c>
      <c r="K779" s="15"/>
      <c r="L779" s="72"/>
      <c r="M779" s="80" t="str">
        <f t="shared" si="59"/>
        <v>ja</v>
      </c>
      <c r="N779">
        <f t="shared" si="61"/>
        <v>2023</v>
      </c>
    </row>
    <row r="780" spans="1:14" hidden="1" x14ac:dyDescent="0.3">
      <c r="A780" s="105">
        <f t="shared" si="57"/>
        <v>7</v>
      </c>
      <c r="B780" s="22">
        <f t="shared" si="60"/>
        <v>44971</v>
      </c>
      <c r="C780" s="11" t="s">
        <v>4</v>
      </c>
      <c r="D780" s="12" t="s">
        <v>11</v>
      </c>
      <c r="E780" s="13">
        <f>IF(VLOOKUP(D780,Budget!A:B,2,FALSE)&lt;&gt;0,IF(G780=0,24,24-G780),0)</f>
        <v>24</v>
      </c>
      <c r="G780" s="13"/>
      <c r="H780" s="85">
        <f>IF(E780=0,0,IF(M780="ja",(VLOOKUP(D780,Budget!A:F,6,FALSE)*(E780-(VLOOKUP(D780,Budget!A:F,3,FALSE)))),VLOOKUP($D780,Budget!$A$1:$F$19,6,FALSE)*E780))</f>
        <v>36960</v>
      </c>
      <c r="I780" s="85">
        <f>IF(F780=0,0,IF(M780="ja",((VLOOKUP(F780,Budget!A:F,6,FALSE)*(E780-(VLOOKUP(F780,Budget!A:F,3,FALSE))))),VLOOKUP($D780,Budget!A:F,5,FALSE)*E780))</f>
        <v>0</v>
      </c>
      <c r="J780" s="85">
        <f t="shared" si="58"/>
        <v>36960</v>
      </c>
      <c r="K780" s="14"/>
      <c r="L780" s="73"/>
      <c r="M780" s="80" t="str">
        <f t="shared" si="59"/>
        <v>nein</v>
      </c>
      <c r="N780">
        <f t="shared" si="61"/>
        <v>2023</v>
      </c>
    </row>
    <row r="781" spans="1:14" hidden="1" x14ac:dyDescent="0.3">
      <c r="A781" s="105">
        <f t="shared" si="57"/>
        <v>7</v>
      </c>
      <c r="B781" s="22">
        <f t="shared" si="60"/>
        <v>44972</v>
      </c>
      <c r="C781" s="11" t="s">
        <v>5</v>
      </c>
      <c r="D781" s="12" t="s">
        <v>13</v>
      </c>
      <c r="E781" s="13">
        <v>24</v>
      </c>
      <c r="G781" s="13"/>
      <c r="H781" s="85">
        <f>IF(E781=0,0,IF(M781="ja",(VLOOKUP(D781,Budget!A:F,6,FALSE)*(E781-(VLOOKUP(D781,Budget!A:F,3,FALSE)))),VLOOKUP($D781,Budget!$A$1:$F$19,6,FALSE)*E781))</f>
        <v>0</v>
      </c>
      <c r="I781" s="85">
        <f>IF(F781=0,0,IF(M781="ja",((VLOOKUP(F781,Budget!A:F,6,FALSE)*(E781-(VLOOKUP(F781,Budget!A:F,3,FALSE))))),VLOOKUP($D781,Budget!A:F,5,FALSE)*E781))</f>
        <v>0</v>
      </c>
      <c r="J781" s="85">
        <f t="shared" si="58"/>
        <v>0</v>
      </c>
      <c r="K781" s="14"/>
      <c r="L781" s="73" t="s">
        <v>152</v>
      </c>
      <c r="M781" s="80" t="str">
        <f t="shared" si="59"/>
        <v>ja</v>
      </c>
      <c r="N781">
        <f t="shared" si="61"/>
        <v>2023</v>
      </c>
    </row>
    <row r="782" spans="1:14" hidden="1" x14ac:dyDescent="0.3">
      <c r="A782" s="103">
        <f t="shared" si="57"/>
        <v>7</v>
      </c>
      <c r="B782" s="22">
        <f t="shared" si="60"/>
        <v>44973</v>
      </c>
      <c r="C782" s="11" t="s">
        <v>6</v>
      </c>
      <c r="D782" s="12" t="s">
        <v>11</v>
      </c>
      <c r="E782" s="13">
        <f>IF(VLOOKUP(D782,Budget!A:B,2,FALSE)&lt;&gt;0,IF(G782=0,24,24-G782),0)</f>
        <v>24</v>
      </c>
      <c r="G782" s="13"/>
      <c r="H782" s="85">
        <f>IF(E782=0,0,IF(M782="ja",(VLOOKUP(D782,Budget!A:F,6,FALSE)*(E782-(VLOOKUP(D782,Budget!A:F,3,FALSE)))),VLOOKUP($D782,Budget!$A$1:$F$19,6,FALSE)*E782))</f>
        <v>30030</v>
      </c>
      <c r="I782" s="85">
        <f>IF(F782=0,0,IF(M782="ja",((VLOOKUP(F782,Budget!A:F,6,FALSE)*(E782-(VLOOKUP(F782,Budget!A:F,3,FALSE))))),VLOOKUP($D782,Budget!A:F,5,FALSE)*E782))</f>
        <v>0</v>
      </c>
      <c r="J782" s="85">
        <f t="shared" si="58"/>
        <v>30030</v>
      </c>
      <c r="K782" s="14"/>
      <c r="L782" s="73"/>
      <c r="M782" s="80" t="str">
        <f t="shared" si="59"/>
        <v>ja</v>
      </c>
      <c r="N782">
        <f t="shared" si="61"/>
        <v>2023</v>
      </c>
    </row>
    <row r="783" spans="1:14" hidden="1" x14ac:dyDescent="0.3">
      <c r="A783" s="105">
        <f t="shared" si="57"/>
        <v>7</v>
      </c>
      <c r="B783" s="22">
        <f t="shared" si="60"/>
        <v>44974</v>
      </c>
      <c r="C783" s="11" t="s">
        <v>7</v>
      </c>
      <c r="D783" s="12" t="s">
        <v>12</v>
      </c>
      <c r="E783" s="13">
        <f>IF(VLOOKUP(D783,Budget!A:B,2,FALSE)&lt;&gt;0,IF(G783=0,24,24-G783),0)</f>
        <v>24</v>
      </c>
      <c r="G783" s="13"/>
      <c r="H783" s="85">
        <f>IF(E783=0,0,IF(M783="ja",(VLOOKUP(D783,Budget!A:F,6,FALSE)*(E783-(VLOOKUP(D783,Budget!A:F,3,FALSE)))),VLOOKUP($D783,Budget!$A$1:$F$19,6,FALSE)*E783))</f>
        <v>27720</v>
      </c>
      <c r="I783" s="85">
        <f>IF(F783=0,0,IF(M783="ja",((VLOOKUP(F783,Budget!A:F,6,FALSE)*(E783-(VLOOKUP(F783,Budget!A:F,3,FALSE))))),VLOOKUP($D783,Budget!A:F,5,FALSE)*E783))</f>
        <v>0</v>
      </c>
      <c r="J783" s="85">
        <f t="shared" si="58"/>
        <v>27720</v>
      </c>
      <c r="K783" s="14"/>
      <c r="L783" s="25" t="s">
        <v>144</v>
      </c>
      <c r="M783" s="80" t="str">
        <f t="shared" si="59"/>
        <v>ja</v>
      </c>
      <c r="N783">
        <f t="shared" si="61"/>
        <v>2023</v>
      </c>
    </row>
    <row r="784" spans="1:14" hidden="1" x14ac:dyDescent="0.3">
      <c r="A784" s="105">
        <f t="shared" si="57"/>
        <v>7</v>
      </c>
      <c r="B784" s="22">
        <f t="shared" si="60"/>
        <v>44975</v>
      </c>
      <c r="C784" s="16" t="s">
        <v>8</v>
      </c>
      <c r="D784" s="17" t="s">
        <v>12</v>
      </c>
      <c r="E784" s="13">
        <f>IF(VLOOKUP(D784,Budget!A:B,2,FALSE)&lt;&gt;0,IF(G784=0,24,24-G784),0)</f>
        <v>24</v>
      </c>
      <c r="F784" s="17"/>
      <c r="G784" s="17"/>
      <c r="H784" s="86">
        <f>IF(E784=0,0,IF(M784="ja",(VLOOKUP(D784,Budget!A:F,6,FALSE)*(E784-(VLOOKUP(D784,Budget!A:F,3,FALSE)))),VLOOKUP($D784,Budget!$A$1:$F$19,6,FALSE)*E784))</f>
        <v>36960</v>
      </c>
      <c r="I784" s="86">
        <f>IF(F784=0,0,IF(M784="ja",((VLOOKUP(F784,Budget!A:F,6,FALSE)*(E784-(VLOOKUP(F784,Budget!A:F,3,FALSE))))),VLOOKUP($D784,Budget!A:F,5,FALSE)*E784))</f>
        <v>0</v>
      </c>
      <c r="J784" s="86">
        <f t="shared" si="58"/>
        <v>36960</v>
      </c>
      <c r="K784" s="18"/>
      <c r="L784" s="75"/>
      <c r="M784" s="76" t="str">
        <f t="shared" si="59"/>
        <v>nein</v>
      </c>
      <c r="N784">
        <f t="shared" si="61"/>
        <v>2023</v>
      </c>
    </row>
    <row r="785" spans="1:14" ht="15" hidden="1" thickBot="1" x14ac:dyDescent="0.35">
      <c r="A785" s="105">
        <f t="shared" si="57"/>
        <v>7</v>
      </c>
      <c r="B785" s="27">
        <f t="shared" si="60"/>
        <v>44976</v>
      </c>
      <c r="C785" s="19" t="s">
        <v>9</v>
      </c>
      <c r="D785" s="20" t="s">
        <v>12</v>
      </c>
      <c r="E785" s="13">
        <f>IF(VLOOKUP(D785,Budget!A:B,2,FALSE)&lt;&gt;0,IF(G785=0,24,24-G785),0)</f>
        <v>24</v>
      </c>
      <c r="F785" s="20"/>
      <c r="G785" s="20"/>
      <c r="H785" s="93">
        <f>IF(E785=0,0,IF(M785="ja",(VLOOKUP(D785,Budget!A:F,6,FALSE)*(E785-(VLOOKUP(D785,Budget!A:F,3,FALSE)))),VLOOKUP($D785,Budget!$A$1:$F$19,6,FALSE)*E785))</f>
        <v>36960</v>
      </c>
      <c r="I785" s="93">
        <f>IF(F785=0,0,IF(M785="ja",((VLOOKUP(F785,Budget!A:F,6,FALSE)*(E785-(VLOOKUP(F785,Budget!A:F,3,FALSE))))),VLOOKUP($D785,Budget!A:F,5,FALSE)*E785))</f>
        <v>0</v>
      </c>
      <c r="J785" s="87">
        <f t="shared" si="58"/>
        <v>36960</v>
      </c>
      <c r="K785" s="21"/>
      <c r="L785" s="74"/>
      <c r="M785" s="77" t="str">
        <f t="shared" si="59"/>
        <v>nein</v>
      </c>
      <c r="N785">
        <f t="shared" si="61"/>
        <v>2023</v>
      </c>
    </row>
    <row r="786" spans="1:14" hidden="1" x14ac:dyDescent="0.3">
      <c r="A786" s="104">
        <f t="shared" si="57"/>
        <v>8</v>
      </c>
      <c r="B786" s="22">
        <f t="shared" si="60"/>
        <v>44977</v>
      </c>
      <c r="C786" s="10" t="s">
        <v>3</v>
      </c>
      <c r="D786" s="12" t="s">
        <v>69</v>
      </c>
      <c r="E786" s="13">
        <f>IF(VLOOKUP(D786,Budget!A:B,2,FALSE)&lt;&gt;0,IF(G786=0,24,24-G786),0)</f>
        <v>24</v>
      </c>
      <c r="F786" s="13"/>
      <c r="G786" s="13"/>
      <c r="H786" s="85">
        <f>IF(E786=0,0,IF(M786="ja",(VLOOKUP(D786,Budget!A:F,6,FALSE)*(E786-(VLOOKUP(D786,Budget!A:F,3,FALSE)))),VLOOKUP($D786,Budget!$A$1:$F$19,6,FALSE)*E786))</f>
        <v>38269.757143831848</v>
      </c>
      <c r="I786" s="85">
        <f>IF(F786=0,0,IF(M786="ja",((VLOOKUP(F786,Budget!A:F,6,FALSE)*(E786-(VLOOKUP(F786,Budget!A:F,3,FALSE))))),VLOOKUP($D786,Budget!A:F,5,FALSE)*E786))</f>
        <v>0</v>
      </c>
      <c r="J786" s="85">
        <f t="shared" si="58"/>
        <v>38269.757143831848</v>
      </c>
      <c r="K786" s="15"/>
      <c r="L786" s="72"/>
      <c r="M786" s="80" t="str">
        <f t="shared" si="59"/>
        <v>ja</v>
      </c>
      <c r="N786">
        <f t="shared" si="61"/>
        <v>2023</v>
      </c>
    </row>
    <row r="787" spans="1:14" hidden="1" x14ac:dyDescent="0.3">
      <c r="A787" s="105">
        <f t="shared" si="57"/>
        <v>8</v>
      </c>
      <c r="B787" s="22">
        <f t="shared" si="60"/>
        <v>44978</v>
      </c>
      <c r="C787" s="11" t="s">
        <v>4</v>
      </c>
      <c r="D787" s="12" t="s">
        <v>113</v>
      </c>
      <c r="E787" s="13">
        <f>IF(VLOOKUP(D787,Budget!A:B,2,FALSE)&lt;&gt;0,IF(G787=0,24,24-G787),0)</f>
        <v>0</v>
      </c>
      <c r="G787" s="13"/>
      <c r="H787" s="85">
        <f>IF(E787=0,0,IF(M787="ja",(VLOOKUP(D787,Budget!A:F,6,FALSE)*(E787-(VLOOKUP(D787,Budget!A:F,3,FALSE)))),VLOOKUP($D787,Budget!$A$1:$F$19,6,FALSE)*E787))</f>
        <v>0</v>
      </c>
      <c r="I787" s="85">
        <f>IF(F787=0,0,IF(M787="ja",((VLOOKUP(F787,Budget!A:F,6,FALSE)*(E787-(VLOOKUP(F787,Budget!A:F,3,FALSE))))),VLOOKUP($D787,Budget!A:F,5,FALSE)*E787))</f>
        <v>0</v>
      </c>
      <c r="J787" s="85">
        <f t="shared" si="58"/>
        <v>0</v>
      </c>
      <c r="K787" s="14"/>
      <c r="L787" s="73"/>
      <c r="M787" s="80" t="str">
        <f t="shared" si="59"/>
        <v>nein</v>
      </c>
      <c r="N787">
        <f t="shared" si="61"/>
        <v>2023</v>
      </c>
    </row>
    <row r="788" spans="1:14" hidden="1" x14ac:dyDescent="0.3">
      <c r="A788" s="105">
        <f t="shared" si="57"/>
        <v>8</v>
      </c>
      <c r="B788" s="22">
        <f t="shared" si="60"/>
        <v>44979</v>
      </c>
      <c r="C788" s="11" t="s">
        <v>5</v>
      </c>
      <c r="D788" s="12" t="s">
        <v>113</v>
      </c>
      <c r="E788" s="13">
        <f>IF(VLOOKUP(D788,Budget!A:B,2,FALSE)&lt;&gt;0,IF(G788=0,24,24-G788),0)</f>
        <v>0</v>
      </c>
      <c r="G788" s="13"/>
      <c r="H788" s="85">
        <f>IF(E788=0,0,IF(M788="ja",(VLOOKUP(D788,Budget!A:F,6,FALSE)*(E788-(VLOOKUP(D788,Budget!A:F,3,FALSE)))),VLOOKUP($D788,Budget!$A$1:$F$19,6,FALSE)*E788))</f>
        <v>0</v>
      </c>
      <c r="I788" s="85">
        <f>IF(F788=0,0,IF(M788="ja",((VLOOKUP(F788,Budget!A:F,6,FALSE)*(E788-(VLOOKUP(F788,Budget!A:F,3,FALSE))))),VLOOKUP($D788,Budget!A:F,5,FALSE)*E788))</f>
        <v>0</v>
      </c>
      <c r="J788" s="85">
        <f t="shared" si="58"/>
        <v>0</v>
      </c>
      <c r="K788" s="14"/>
      <c r="L788" s="73"/>
      <c r="M788" s="80" t="str">
        <f t="shared" si="59"/>
        <v>nein</v>
      </c>
      <c r="N788">
        <f t="shared" si="61"/>
        <v>2023</v>
      </c>
    </row>
    <row r="789" spans="1:14" hidden="1" x14ac:dyDescent="0.3">
      <c r="A789" s="103">
        <f t="shared" si="57"/>
        <v>8</v>
      </c>
      <c r="B789" s="22">
        <f t="shared" si="60"/>
        <v>44980</v>
      </c>
      <c r="C789" s="11" t="s">
        <v>6</v>
      </c>
      <c r="D789" s="12" t="s">
        <v>113</v>
      </c>
      <c r="E789" s="13">
        <f>IF(VLOOKUP(D789,Budget!A:B,2,FALSE)&lt;&gt;0,IF(G789=0,24,24-G789),0)</f>
        <v>0</v>
      </c>
      <c r="G789" s="13"/>
      <c r="H789" s="85">
        <f>IF(E789=0,0,IF(M789="ja",(VLOOKUP(D789,Budget!A:F,6,FALSE)*(E789-(VLOOKUP(D789,Budget!A:F,3,FALSE)))),VLOOKUP($D789,Budget!$A$1:$F$19,6,FALSE)*E789))</f>
        <v>0</v>
      </c>
      <c r="I789" s="85">
        <f>IF(F789=0,0,IF(M789="ja",((VLOOKUP(F789,Budget!A:F,6,FALSE)*(E789-(VLOOKUP(F789,Budget!A:F,3,FALSE))))),VLOOKUP($D789,Budget!A:F,5,FALSE)*E789))</f>
        <v>0</v>
      </c>
      <c r="J789" s="85">
        <f t="shared" si="58"/>
        <v>0</v>
      </c>
      <c r="K789" s="14"/>
      <c r="L789" s="73"/>
      <c r="M789" s="80" t="str">
        <f t="shared" si="59"/>
        <v>nein</v>
      </c>
      <c r="N789">
        <f t="shared" si="61"/>
        <v>2023</v>
      </c>
    </row>
    <row r="790" spans="1:14" hidden="1" x14ac:dyDescent="0.3">
      <c r="A790" s="105">
        <f t="shared" si="57"/>
        <v>8</v>
      </c>
      <c r="B790" s="22">
        <f t="shared" si="60"/>
        <v>44981</v>
      </c>
      <c r="C790" s="11" t="s">
        <v>7</v>
      </c>
      <c r="D790" s="12" t="s">
        <v>113</v>
      </c>
      <c r="E790" s="13">
        <f>IF(VLOOKUP(D790,Budget!A:B,2,FALSE)&lt;&gt;0,IF(G790=0,24,24-G790),0)</f>
        <v>0</v>
      </c>
      <c r="G790" s="13"/>
      <c r="H790" s="85">
        <f>IF(E790=0,0,IF(M790="ja",(VLOOKUP(D790,Budget!A:F,6,FALSE)*(E790-(VLOOKUP(D790,Budget!A:F,3,FALSE)))),VLOOKUP($D790,Budget!$A$1:$F$19,6,FALSE)*E790))</f>
        <v>0</v>
      </c>
      <c r="I790" s="85">
        <f>IF(F790=0,0,IF(M790="ja",((VLOOKUP(F790,Budget!A:F,6,FALSE)*(E790-(VLOOKUP(F790,Budget!A:F,3,FALSE))))),VLOOKUP($D790,Budget!A:F,5,FALSE)*E790))</f>
        <v>0</v>
      </c>
      <c r="J790" s="85">
        <f t="shared" si="58"/>
        <v>0</v>
      </c>
      <c r="K790" s="14"/>
      <c r="L790" s="25"/>
      <c r="M790" s="80" t="str">
        <f t="shared" si="59"/>
        <v>nein</v>
      </c>
      <c r="N790">
        <f t="shared" si="61"/>
        <v>2023</v>
      </c>
    </row>
    <row r="791" spans="1:14" hidden="1" x14ac:dyDescent="0.3">
      <c r="A791" s="105">
        <f t="shared" ref="A791:A822" si="62">_xlfn.ISOWEEKNUM(B791)</f>
        <v>8</v>
      </c>
      <c r="B791" s="22">
        <f t="shared" si="60"/>
        <v>44982</v>
      </c>
      <c r="C791" s="16" t="s">
        <v>8</v>
      </c>
      <c r="D791" s="17" t="s">
        <v>113</v>
      </c>
      <c r="E791" s="13">
        <f>IF(VLOOKUP(D791,Budget!A:B,2,FALSE)&lt;&gt;0,IF(G791=0,24,24-G791),0)</f>
        <v>0</v>
      </c>
      <c r="F791" s="17"/>
      <c r="G791" s="17"/>
      <c r="H791" s="86">
        <f>IF(E791=0,0,IF(M791="ja",(VLOOKUP(D791,Budget!A:F,6,FALSE)*(E791-(VLOOKUP(D791,Budget!A:F,3,FALSE)))),VLOOKUP($D791,Budget!$A$1:$F$19,6,FALSE)*E791))</f>
        <v>0</v>
      </c>
      <c r="I791" s="86">
        <f>IF(F791=0,0,IF(M791="ja",((VLOOKUP(F791,Budget!A:F,6,FALSE)*(E791-(VLOOKUP(F791,Budget!A:F,3,FALSE))))),VLOOKUP($D791,Budget!A:F,5,FALSE)*E791))</f>
        <v>0</v>
      </c>
      <c r="J791" s="86">
        <f t="shared" ref="J791:J822" si="63">H791+I791</f>
        <v>0</v>
      </c>
      <c r="K791" s="18"/>
      <c r="L791" s="75"/>
      <c r="M791" s="76" t="str">
        <f t="shared" ref="M791:M825" si="64">IF(E791=0,"nein",IF(OR(E791&lt;&gt;24,F790&lt;&gt;0,D791&lt;&gt;D790),"ja","nein"))</f>
        <v>nein</v>
      </c>
      <c r="N791">
        <f t="shared" si="61"/>
        <v>2023</v>
      </c>
    </row>
    <row r="792" spans="1:14" ht="15" hidden="1" thickBot="1" x14ac:dyDescent="0.35">
      <c r="A792" s="105">
        <f t="shared" si="62"/>
        <v>8</v>
      </c>
      <c r="B792" s="27">
        <f t="shared" si="60"/>
        <v>44983</v>
      </c>
      <c r="C792" s="19" t="s">
        <v>9</v>
      </c>
      <c r="D792" s="20" t="s">
        <v>113</v>
      </c>
      <c r="E792" s="13">
        <f>IF(VLOOKUP(D792,Budget!A:B,2,FALSE)&lt;&gt;0,IF(G792=0,24,24-G792),0)</f>
        <v>0</v>
      </c>
      <c r="F792" s="20"/>
      <c r="G792" s="20"/>
      <c r="H792" s="93">
        <f>IF(E792=0,0,IF(M792="ja",(VLOOKUP(D792,Budget!A:F,6,FALSE)*(E792-(VLOOKUP(D792,Budget!A:F,3,FALSE)))),VLOOKUP($D792,Budget!$A$1:$F$19,6,FALSE)*E792))</f>
        <v>0</v>
      </c>
      <c r="I792" s="93">
        <f>IF(F792=0,0,IF(M792="ja",((VLOOKUP(F792,Budget!A:F,6,FALSE)*(E792-(VLOOKUP(F792,Budget!A:F,3,FALSE))))),VLOOKUP($D792,Budget!A:F,5,FALSE)*E792))</f>
        <v>0</v>
      </c>
      <c r="J792" s="87">
        <f t="shared" si="63"/>
        <v>0</v>
      </c>
      <c r="K792" s="21"/>
      <c r="L792" s="74"/>
      <c r="M792" s="77" t="str">
        <f t="shared" si="64"/>
        <v>nein</v>
      </c>
      <c r="N792">
        <f t="shared" si="61"/>
        <v>2023</v>
      </c>
    </row>
    <row r="793" spans="1:14" hidden="1" x14ac:dyDescent="0.3">
      <c r="A793" s="104">
        <f t="shared" si="62"/>
        <v>9</v>
      </c>
      <c r="B793" s="22">
        <f t="shared" si="60"/>
        <v>44984</v>
      </c>
      <c r="C793" s="10" t="s">
        <v>3</v>
      </c>
      <c r="D793" s="12" t="s">
        <v>29</v>
      </c>
      <c r="E793" s="13">
        <f>IF(VLOOKUP(D793,Budget!A:B,2,FALSE)&lt;&gt;0,IF(G793=0,24,24-G793),0)</f>
        <v>0</v>
      </c>
      <c r="F793" s="13"/>
      <c r="G793" s="13"/>
      <c r="H793" s="85">
        <f>IF(E793=0,0,IF(M793="ja",(VLOOKUP(D793,Budget!A:F,6,FALSE)*(E793-(VLOOKUP(D793,Budget!A:F,3,FALSE)))),VLOOKUP($D793,Budget!$A$1:$F$19,6,FALSE)*E793))</f>
        <v>0</v>
      </c>
      <c r="I793" s="85">
        <f>IF(F793=0,0,IF(M793="ja",((VLOOKUP(F793,Budget!A:F,6,FALSE)*(E793-(VLOOKUP(F793,Budget!A:F,3,FALSE))))),VLOOKUP($D793,Budget!A:F,5,FALSE)*E793))</f>
        <v>0</v>
      </c>
      <c r="J793" s="85">
        <f t="shared" si="63"/>
        <v>0</v>
      </c>
      <c r="K793" s="15"/>
      <c r="L793" s="72"/>
      <c r="M793" s="80" t="str">
        <f t="shared" si="64"/>
        <v>nein</v>
      </c>
      <c r="N793">
        <f t="shared" si="61"/>
        <v>2023</v>
      </c>
    </row>
    <row r="794" spans="1:14" hidden="1" x14ac:dyDescent="0.3">
      <c r="A794" s="105">
        <f t="shared" si="62"/>
        <v>9</v>
      </c>
      <c r="B794" s="22">
        <f t="shared" si="60"/>
        <v>44985</v>
      </c>
      <c r="C794" s="11" t="s">
        <v>4</v>
      </c>
      <c r="D794" s="12" t="s">
        <v>29</v>
      </c>
      <c r="E794" s="13">
        <f>IF(VLOOKUP(D794,Budget!A:B,2,FALSE)&lt;&gt;0,IF(G794=0,24,24-G794),0)</f>
        <v>0</v>
      </c>
      <c r="G794" s="13"/>
      <c r="H794" s="85">
        <f>IF(E794=0,0,IF(M794="ja",(VLOOKUP(D794,Budget!A:F,6,FALSE)*(E794-(VLOOKUP(D794,Budget!A:F,3,FALSE)))),VLOOKUP($D794,Budget!$A$1:$F$19,6,FALSE)*E794))</f>
        <v>0</v>
      </c>
      <c r="I794" s="85">
        <f>IF(F794=0,0,IF(M794="ja",((VLOOKUP(F794,Budget!A:F,6,FALSE)*(E794-(VLOOKUP(F794,Budget!A:F,3,FALSE))))),VLOOKUP($D794,Budget!A:F,5,FALSE)*E794))</f>
        <v>0</v>
      </c>
      <c r="J794" s="85">
        <f t="shared" si="63"/>
        <v>0</v>
      </c>
      <c r="K794" s="14"/>
      <c r="L794" s="73"/>
      <c r="M794" s="80" t="str">
        <f t="shared" si="64"/>
        <v>nein</v>
      </c>
      <c r="N794">
        <f t="shared" si="61"/>
        <v>2023</v>
      </c>
    </row>
    <row r="795" spans="1:14" hidden="1" x14ac:dyDescent="0.3">
      <c r="A795" s="105">
        <f t="shared" si="62"/>
        <v>9</v>
      </c>
      <c r="B795" s="22">
        <f t="shared" si="60"/>
        <v>44986</v>
      </c>
      <c r="C795" s="11" t="s">
        <v>5</v>
      </c>
      <c r="D795" s="12" t="s">
        <v>29</v>
      </c>
      <c r="E795" s="13">
        <f>IF(VLOOKUP(D795,Budget!A:B,2,FALSE)&lt;&gt;0,IF(G795=0,24,24-G795),0)</f>
        <v>0</v>
      </c>
      <c r="G795" s="13"/>
      <c r="H795" s="85">
        <f>IF(E795=0,0,IF(M795="ja",(VLOOKUP(D795,Budget!A:F,6,FALSE)*(E795-(VLOOKUP(D795,Budget!A:F,3,FALSE)))),VLOOKUP($D795,Budget!$A$1:$F$19,6,FALSE)*E795))</f>
        <v>0</v>
      </c>
      <c r="I795" s="85">
        <f>IF(F795=0,0,IF(M795="ja",((VLOOKUP(F795,Budget!A:F,6,FALSE)*(E795-(VLOOKUP(F795,Budget!A:F,3,FALSE))))),VLOOKUP($D795,Budget!A:F,5,FALSE)*E795))</f>
        <v>0</v>
      </c>
      <c r="J795" s="85">
        <f t="shared" si="63"/>
        <v>0</v>
      </c>
      <c r="K795" s="14"/>
      <c r="L795" s="73"/>
      <c r="M795" s="80" t="str">
        <f t="shared" si="64"/>
        <v>nein</v>
      </c>
      <c r="N795">
        <f t="shared" si="61"/>
        <v>2023</v>
      </c>
    </row>
    <row r="796" spans="1:14" hidden="1" x14ac:dyDescent="0.3">
      <c r="A796" s="103">
        <f t="shared" si="62"/>
        <v>9</v>
      </c>
      <c r="B796" s="22">
        <f t="shared" si="60"/>
        <v>44987</v>
      </c>
      <c r="C796" s="11" t="s">
        <v>6</v>
      </c>
      <c r="D796" s="12" t="s">
        <v>29</v>
      </c>
      <c r="E796" s="13">
        <f>IF(VLOOKUP(D796,Budget!A:B,2,FALSE)&lt;&gt;0,IF(G796=0,24,24-G796),0)</f>
        <v>0</v>
      </c>
      <c r="G796" s="13"/>
      <c r="H796" s="85">
        <f>IF(E796=0,0,IF(M796="ja",(VLOOKUP(D796,Budget!A:F,6,FALSE)*(E796-(VLOOKUP(D796,Budget!A:F,3,FALSE)))),VLOOKUP($D796,Budget!$A$1:$F$19,6,FALSE)*E796))</f>
        <v>0</v>
      </c>
      <c r="I796" s="85">
        <f>IF(F796=0,0,IF(M796="ja",((VLOOKUP(F796,Budget!A:F,6,FALSE)*(E796-(VLOOKUP(F796,Budget!A:F,3,FALSE))))),VLOOKUP($D796,Budget!A:F,5,FALSE)*E796))</f>
        <v>0</v>
      </c>
      <c r="J796" s="85">
        <f t="shared" si="63"/>
        <v>0</v>
      </c>
      <c r="K796" s="14"/>
      <c r="L796" s="73"/>
      <c r="M796" s="80" t="str">
        <f t="shared" si="64"/>
        <v>nein</v>
      </c>
      <c r="N796">
        <f t="shared" si="61"/>
        <v>2023</v>
      </c>
    </row>
    <row r="797" spans="1:14" hidden="1" x14ac:dyDescent="0.3">
      <c r="A797" s="105">
        <f t="shared" si="62"/>
        <v>9</v>
      </c>
      <c r="B797" s="22">
        <f t="shared" si="60"/>
        <v>44988</v>
      </c>
      <c r="C797" s="11" t="s">
        <v>7</v>
      </c>
      <c r="D797" s="12" t="s">
        <v>29</v>
      </c>
      <c r="E797" s="13">
        <f>IF(VLOOKUP(D797,Budget!A:B,2,FALSE)&lt;&gt;0,IF(G797=0,24,24-G797),0)</f>
        <v>0</v>
      </c>
      <c r="G797" s="13"/>
      <c r="H797" s="85">
        <f>IF(E797=0,0,IF(M797="ja",(VLOOKUP(D797,Budget!A:F,6,FALSE)*(E797-(VLOOKUP(D797,Budget!A:F,3,FALSE)))),VLOOKUP($D797,Budget!$A$1:$F$19,6,FALSE)*E797))</f>
        <v>0</v>
      </c>
      <c r="I797" s="85">
        <f>IF(F797=0,0,IF(M797="ja",((VLOOKUP(F797,Budget!A:F,6,FALSE)*(E797-(VLOOKUP(F797,Budget!A:F,3,FALSE))))),VLOOKUP($D797,Budget!A:F,5,FALSE)*E797))</f>
        <v>0</v>
      </c>
      <c r="J797" s="85">
        <f t="shared" si="63"/>
        <v>0</v>
      </c>
      <c r="K797" s="14"/>
      <c r="L797" s="25"/>
      <c r="M797" s="80" t="str">
        <f t="shared" si="64"/>
        <v>nein</v>
      </c>
      <c r="N797">
        <f t="shared" si="61"/>
        <v>2023</v>
      </c>
    </row>
    <row r="798" spans="1:14" hidden="1" x14ac:dyDescent="0.3">
      <c r="A798" s="105">
        <f t="shared" si="62"/>
        <v>9</v>
      </c>
      <c r="B798" s="22">
        <f t="shared" si="60"/>
        <v>44989</v>
      </c>
      <c r="C798" s="16" t="s">
        <v>8</v>
      </c>
      <c r="D798" s="17" t="s">
        <v>29</v>
      </c>
      <c r="E798" s="13">
        <f>IF(VLOOKUP(D798,Budget!A:B,2,FALSE)&lt;&gt;0,IF(G798=0,24,24-G798),0)</f>
        <v>0</v>
      </c>
      <c r="F798" s="17"/>
      <c r="G798" s="17"/>
      <c r="H798" s="86">
        <f>IF(E798=0,0,IF(M798="ja",(VLOOKUP(D798,Budget!A:F,6,FALSE)*(E798-(VLOOKUP(D798,Budget!A:F,3,FALSE)))),VLOOKUP($D798,Budget!$A$1:$F$19,6,FALSE)*E798))</f>
        <v>0</v>
      </c>
      <c r="I798" s="86">
        <f>IF(F798=0,0,IF(M798="ja",((VLOOKUP(F798,Budget!A:F,6,FALSE)*(E798-(VLOOKUP(F798,Budget!A:F,3,FALSE))))),VLOOKUP($D798,Budget!A:F,5,FALSE)*E798))</f>
        <v>0</v>
      </c>
      <c r="J798" s="86">
        <f t="shared" si="63"/>
        <v>0</v>
      </c>
      <c r="K798" s="18"/>
      <c r="L798" s="75"/>
      <c r="M798" s="76" t="str">
        <f t="shared" si="64"/>
        <v>nein</v>
      </c>
      <c r="N798">
        <f t="shared" si="61"/>
        <v>2023</v>
      </c>
    </row>
    <row r="799" spans="1:14" ht="15" hidden="1" thickBot="1" x14ac:dyDescent="0.35">
      <c r="A799" s="105">
        <f t="shared" si="62"/>
        <v>9</v>
      </c>
      <c r="B799" s="27">
        <f t="shared" si="60"/>
        <v>44990</v>
      </c>
      <c r="C799" s="19" t="s">
        <v>9</v>
      </c>
      <c r="D799" s="20" t="s">
        <v>113</v>
      </c>
      <c r="E799" s="13">
        <f>IF(VLOOKUP(D799,Budget!A:B,2,FALSE)&lt;&gt;0,IF(G799=0,24,24-G799),0)</f>
        <v>0</v>
      </c>
      <c r="F799" s="20"/>
      <c r="G799" s="20"/>
      <c r="H799" s="93">
        <f>IF(E799=0,0,IF(M799="ja",(VLOOKUP(D799,Budget!A:F,6,FALSE)*(E799-(VLOOKUP(D799,Budget!A:F,3,FALSE)))),VLOOKUP($D799,Budget!$A$1:$F$19,6,FALSE)*E799))</f>
        <v>0</v>
      </c>
      <c r="I799" s="93">
        <f>IF(F799=0,0,IF(M799="ja",((VLOOKUP(F799,Budget!A:F,6,FALSE)*(E799-(VLOOKUP(F799,Budget!A:F,3,FALSE))))),VLOOKUP($D799,Budget!A:F,5,FALSE)*E799))</f>
        <v>0</v>
      </c>
      <c r="J799" s="87">
        <f t="shared" si="63"/>
        <v>0</v>
      </c>
      <c r="K799" s="21"/>
      <c r="L799" s="74"/>
      <c r="M799" s="77" t="str">
        <f t="shared" si="64"/>
        <v>nein</v>
      </c>
      <c r="N799">
        <f t="shared" si="61"/>
        <v>2023</v>
      </c>
    </row>
    <row r="800" spans="1:14" hidden="1" x14ac:dyDescent="0.3">
      <c r="A800" s="104">
        <f t="shared" si="62"/>
        <v>10</v>
      </c>
      <c r="B800" s="22">
        <f t="shared" si="60"/>
        <v>44991</v>
      </c>
      <c r="C800" s="10" t="s">
        <v>3</v>
      </c>
      <c r="D800" s="12" t="s">
        <v>113</v>
      </c>
      <c r="E800" s="13">
        <f>IF(VLOOKUP(D800,Budget!A:B,2,FALSE)&lt;&gt;0,IF(G800=0,24,24-G800),0)</f>
        <v>0</v>
      </c>
      <c r="F800" s="13"/>
      <c r="G800" s="13"/>
      <c r="H800" s="85">
        <f>IF(E800=0,0,IF(M800="ja",(VLOOKUP(D800,Budget!A:F,6,FALSE)*(E800-(VLOOKUP(D800,Budget!A:F,3,FALSE)))),VLOOKUP($D800,Budget!$A$1:$F$19,6,FALSE)*E800))</f>
        <v>0</v>
      </c>
      <c r="I800" s="85">
        <f>IF(F800=0,0,IF(M800="ja",((VLOOKUP(F800,Budget!A:F,6,FALSE)*(E800-(VLOOKUP(F800,Budget!A:F,3,FALSE))))),VLOOKUP($D800,Budget!A:F,5,FALSE)*E800))</f>
        <v>0</v>
      </c>
      <c r="J800" s="85">
        <f t="shared" si="63"/>
        <v>0</v>
      </c>
      <c r="K800" s="15"/>
      <c r="L800" s="72"/>
      <c r="M800" s="80" t="str">
        <f t="shared" si="64"/>
        <v>nein</v>
      </c>
      <c r="N800">
        <f t="shared" si="61"/>
        <v>2023</v>
      </c>
    </row>
    <row r="801" spans="1:14" hidden="1" x14ac:dyDescent="0.3">
      <c r="A801" s="105">
        <f t="shared" si="62"/>
        <v>10</v>
      </c>
      <c r="B801" s="22">
        <f t="shared" ref="B801:B825" si="65">B800+1</f>
        <v>44992</v>
      </c>
      <c r="C801" s="11" t="s">
        <v>4</v>
      </c>
      <c r="D801" s="12" t="s">
        <v>113</v>
      </c>
      <c r="E801" s="13">
        <f>IF(VLOOKUP(D801,Budget!A:B,2,FALSE)&lt;&gt;0,IF(G801=0,24,24-G801),0)</f>
        <v>0</v>
      </c>
      <c r="G801" s="13"/>
      <c r="H801" s="85">
        <f>IF(E801=0,0,IF(M801="ja",(VLOOKUP(D801,Budget!A:F,6,FALSE)*(E801-(VLOOKUP(D801,Budget!A:F,3,FALSE)))),VLOOKUP($D801,Budget!$A$1:$F$19,6,FALSE)*E801))</f>
        <v>0</v>
      </c>
      <c r="I801" s="85">
        <f>IF(F801=0,0,IF(M801="ja",((VLOOKUP(F801,Budget!A:F,6,FALSE)*(E801-(VLOOKUP(F801,Budget!A:F,3,FALSE))))),VLOOKUP($D801,Budget!A:F,5,FALSE)*E801))</f>
        <v>0</v>
      </c>
      <c r="J801" s="85">
        <f t="shared" si="63"/>
        <v>0</v>
      </c>
      <c r="K801" s="14"/>
      <c r="L801" s="73"/>
      <c r="M801" s="80" t="str">
        <f t="shared" si="64"/>
        <v>nein</v>
      </c>
      <c r="N801">
        <f t="shared" si="61"/>
        <v>2023</v>
      </c>
    </row>
    <row r="802" spans="1:14" hidden="1" x14ac:dyDescent="0.3">
      <c r="A802" s="105">
        <f t="shared" si="62"/>
        <v>10</v>
      </c>
      <c r="B802" s="22">
        <f t="shared" si="65"/>
        <v>44993</v>
      </c>
      <c r="C802" s="11" t="s">
        <v>5</v>
      </c>
      <c r="D802" s="12" t="s">
        <v>113</v>
      </c>
      <c r="E802" s="13">
        <f>IF(VLOOKUP(D802,Budget!A:B,2,FALSE)&lt;&gt;0,IF(G802=0,24,24-G802),0)</f>
        <v>0</v>
      </c>
      <c r="G802" s="13"/>
      <c r="H802" s="85">
        <f>IF(E802=0,0,IF(M802="ja",(VLOOKUP(D802,Budget!A:F,6,FALSE)*(E802-(VLOOKUP(D802,Budget!A:F,3,FALSE)))),VLOOKUP($D802,Budget!$A$1:$F$19,6,FALSE)*E802))</f>
        <v>0</v>
      </c>
      <c r="I802" s="85">
        <f>IF(F802=0,0,IF(M802="ja",((VLOOKUP(F802,Budget!A:F,6,FALSE)*(E802-(VLOOKUP(F802,Budget!A:F,3,FALSE))))),VLOOKUP($D802,Budget!A:F,5,FALSE)*E802))</f>
        <v>0</v>
      </c>
      <c r="J802" s="85">
        <f t="shared" si="63"/>
        <v>0</v>
      </c>
      <c r="K802" s="14"/>
      <c r="L802" s="73"/>
      <c r="M802" s="80" t="str">
        <f t="shared" si="64"/>
        <v>nein</v>
      </c>
      <c r="N802">
        <f t="shared" si="61"/>
        <v>2023</v>
      </c>
    </row>
    <row r="803" spans="1:14" hidden="1" x14ac:dyDescent="0.3">
      <c r="A803" s="103">
        <f t="shared" si="62"/>
        <v>10</v>
      </c>
      <c r="B803" s="22">
        <f t="shared" si="65"/>
        <v>44994</v>
      </c>
      <c r="C803" s="11" t="s">
        <v>6</v>
      </c>
      <c r="D803" s="12" t="s">
        <v>113</v>
      </c>
      <c r="E803" s="13">
        <f>IF(VLOOKUP(D803,Budget!A:B,2,FALSE)&lt;&gt;0,IF(G803=0,24,24-G803),0)</f>
        <v>0</v>
      </c>
      <c r="G803" s="13"/>
      <c r="H803" s="85">
        <f>IF(E803=0,0,IF(M803="ja",(VLOOKUP(D803,Budget!A:F,6,FALSE)*(E803-(VLOOKUP(D803,Budget!A:F,3,FALSE)))),VLOOKUP($D803,Budget!$A$1:$F$19,6,FALSE)*E803))</f>
        <v>0</v>
      </c>
      <c r="I803" s="85">
        <f>IF(F803=0,0,IF(M803="ja",((VLOOKUP(F803,Budget!A:F,6,FALSE)*(E803-(VLOOKUP(F803,Budget!A:F,3,FALSE))))),VLOOKUP($D803,Budget!A:F,5,FALSE)*E803))</f>
        <v>0</v>
      </c>
      <c r="J803" s="85">
        <f t="shared" si="63"/>
        <v>0</v>
      </c>
      <c r="K803" s="14"/>
      <c r="L803" s="73"/>
      <c r="M803" s="80" t="str">
        <f t="shared" si="64"/>
        <v>nein</v>
      </c>
      <c r="N803">
        <f t="shared" si="61"/>
        <v>2023</v>
      </c>
    </row>
    <row r="804" spans="1:14" hidden="1" x14ac:dyDescent="0.3">
      <c r="A804" s="105">
        <f t="shared" si="62"/>
        <v>10</v>
      </c>
      <c r="B804" s="22">
        <f t="shared" si="65"/>
        <v>44995</v>
      </c>
      <c r="C804" s="11" t="s">
        <v>7</v>
      </c>
      <c r="D804" s="12" t="s">
        <v>113</v>
      </c>
      <c r="E804" s="13">
        <f>IF(VLOOKUP(D804,Budget!A:B,2,FALSE)&lt;&gt;0,IF(G804=0,24,24-G804),0)</f>
        <v>0</v>
      </c>
      <c r="G804" s="13"/>
      <c r="H804" s="85">
        <f>IF(E804=0,0,IF(M804="ja",(VLOOKUP(D804,Budget!A:F,6,FALSE)*(E804-(VLOOKUP(D804,Budget!A:F,3,FALSE)))),VLOOKUP($D804,Budget!$A$1:$F$19,6,FALSE)*E804))</f>
        <v>0</v>
      </c>
      <c r="I804" s="85">
        <f>IF(F804=0,0,IF(M804="ja",((VLOOKUP(F804,Budget!A:F,6,FALSE)*(E804-(VLOOKUP(F804,Budget!A:F,3,FALSE))))),VLOOKUP($D804,Budget!A:F,5,FALSE)*E804))</f>
        <v>0</v>
      </c>
      <c r="J804" s="85">
        <f t="shared" si="63"/>
        <v>0</v>
      </c>
      <c r="K804" s="14"/>
      <c r="L804" s="25"/>
      <c r="M804" s="80" t="str">
        <f t="shared" si="64"/>
        <v>nein</v>
      </c>
      <c r="N804">
        <f t="shared" si="61"/>
        <v>2023</v>
      </c>
    </row>
    <row r="805" spans="1:14" hidden="1" x14ac:dyDescent="0.3">
      <c r="A805" s="105">
        <f t="shared" si="62"/>
        <v>10</v>
      </c>
      <c r="B805" s="22">
        <f t="shared" si="65"/>
        <v>44996</v>
      </c>
      <c r="C805" s="16" t="s">
        <v>8</v>
      </c>
      <c r="D805" s="17" t="s">
        <v>113</v>
      </c>
      <c r="E805" s="13">
        <f>IF(VLOOKUP(D805,Budget!A:B,2,FALSE)&lt;&gt;0,IF(G805=0,24,24-G805),0)</f>
        <v>0</v>
      </c>
      <c r="F805" s="17"/>
      <c r="G805" s="17"/>
      <c r="H805" s="86">
        <f>IF(E805=0,0,IF(M805="ja",(VLOOKUP(D805,Budget!A:F,6,FALSE)*(E805-(VLOOKUP(D805,Budget!A:F,3,FALSE)))),VLOOKUP($D805,Budget!$A$1:$F$19,6,FALSE)*E805))</f>
        <v>0</v>
      </c>
      <c r="I805" s="86">
        <f>IF(F805=0,0,IF(M805="ja",((VLOOKUP(F805,Budget!A:F,6,FALSE)*(E805-(VLOOKUP(F805,Budget!A:F,3,FALSE))))),VLOOKUP($D805,Budget!A:F,5,FALSE)*E805))</f>
        <v>0</v>
      </c>
      <c r="J805" s="86">
        <f t="shared" si="63"/>
        <v>0</v>
      </c>
      <c r="K805" s="18"/>
      <c r="L805" s="75"/>
      <c r="M805" s="76" t="str">
        <f t="shared" si="64"/>
        <v>nein</v>
      </c>
      <c r="N805">
        <f t="shared" si="61"/>
        <v>2023</v>
      </c>
    </row>
    <row r="806" spans="1:14" ht="15" hidden="1" thickBot="1" x14ac:dyDescent="0.35">
      <c r="A806" s="105">
        <f t="shared" si="62"/>
        <v>10</v>
      </c>
      <c r="B806" s="27">
        <f t="shared" si="65"/>
        <v>44997</v>
      </c>
      <c r="C806" s="19" t="s">
        <v>9</v>
      </c>
      <c r="D806" s="20" t="s">
        <v>113</v>
      </c>
      <c r="E806" s="13">
        <f>IF(VLOOKUP(D806,Budget!A:B,2,FALSE)&lt;&gt;0,IF(G806=0,24,24-G806),0)</f>
        <v>0</v>
      </c>
      <c r="F806" s="20"/>
      <c r="G806" s="20"/>
      <c r="H806" s="93">
        <f>IF(E806=0,0,IF(M806="ja",(VLOOKUP(D806,Budget!A:F,6,FALSE)*(E806-(VLOOKUP(D806,Budget!A:F,3,FALSE)))),VLOOKUP($D806,Budget!$A$1:$F$19,6,FALSE)*E806))</f>
        <v>0</v>
      </c>
      <c r="I806" s="93">
        <f>IF(F806=0,0,IF(M806="ja",((VLOOKUP(F806,Budget!A:F,6,FALSE)*(E806-(VLOOKUP(F806,Budget!A:F,3,FALSE))))),VLOOKUP($D806,Budget!A:F,5,FALSE)*E806))</f>
        <v>0</v>
      </c>
      <c r="J806" s="87">
        <f t="shared" si="63"/>
        <v>0</v>
      </c>
      <c r="K806" s="21"/>
      <c r="L806" s="74"/>
      <c r="M806" s="77" t="str">
        <f t="shared" si="64"/>
        <v>nein</v>
      </c>
      <c r="N806">
        <f t="shared" si="61"/>
        <v>2023</v>
      </c>
    </row>
    <row r="807" spans="1:14" hidden="1" x14ac:dyDescent="0.3">
      <c r="A807" s="104">
        <f t="shared" si="62"/>
        <v>11</v>
      </c>
      <c r="B807" s="22">
        <f t="shared" si="65"/>
        <v>44998</v>
      </c>
      <c r="C807" s="10" t="s">
        <v>3</v>
      </c>
      <c r="D807" s="12" t="s">
        <v>113</v>
      </c>
      <c r="E807" s="13">
        <f>IF(VLOOKUP(D807,Budget!A:B,2,FALSE)&lt;&gt;0,IF(G807=0,24,24-G807),0)</f>
        <v>0</v>
      </c>
      <c r="F807" s="13"/>
      <c r="G807" s="13"/>
      <c r="H807" s="85">
        <f>IF(E807=0,0,IF(M807="ja",(VLOOKUP(D807,Budget!A:F,6,FALSE)*(E807-(VLOOKUP(D807,Budget!A:F,3,FALSE)))),VLOOKUP($D807,Budget!$A$1:$F$19,6,FALSE)*E807))</f>
        <v>0</v>
      </c>
      <c r="I807" s="85">
        <f>IF(F807=0,0,IF(M807="ja",((VLOOKUP(F807,Budget!A:F,6,FALSE)*(E807-(VLOOKUP(F807,Budget!A:F,3,FALSE))))),VLOOKUP($D807,Budget!A:F,5,FALSE)*E807))</f>
        <v>0</v>
      </c>
      <c r="J807" s="85">
        <f t="shared" si="63"/>
        <v>0</v>
      </c>
      <c r="K807" s="15"/>
      <c r="L807" s="72"/>
      <c r="M807" s="80" t="str">
        <f t="shared" si="64"/>
        <v>nein</v>
      </c>
      <c r="N807">
        <f t="shared" si="61"/>
        <v>2023</v>
      </c>
    </row>
    <row r="808" spans="1:14" hidden="1" x14ac:dyDescent="0.3">
      <c r="A808" s="105">
        <f t="shared" si="62"/>
        <v>11</v>
      </c>
      <c r="B808" s="22">
        <f t="shared" si="65"/>
        <v>44999</v>
      </c>
      <c r="C808" s="11" t="s">
        <v>4</v>
      </c>
      <c r="D808" s="12" t="s">
        <v>30</v>
      </c>
      <c r="E808" s="13">
        <f>IF(VLOOKUP(D808,Budget!A:B,2,FALSE)&lt;&gt;0,IF(G808=0,24,24-G808),0)</f>
        <v>0</v>
      </c>
      <c r="G808" s="13"/>
      <c r="H808" s="85">
        <f>IF(E808=0,0,IF(M808="ja",(VLOOKUP(D808,Budget!A:F,6,FALSE)*(E808-(VLOOKUP(D808,Budget!A:F,3,FALSE)))),VLOOKUP($D808,Budget!$A$1:$F$19,6,FALSE)*E808))</f>
        <v>0</v>
      </c>
      <c r="I808" s="85">
        <f>IF(F808=0,0,IF(M808="ja",((VLOOKUP(F808,Budget!A:F,6,FALSE)*(E808-(VLOOKUP(F808,Budget!A:F,3,FALSE))))),VLOOKUP($D808,Budget!A:F,5,FALSE)*E808))</f>
        <v>0</v>
      </c>
      <c r="J808" s="85">
        <f t="shared" si="63"/>
        <v>0</v>
      </c>
      <c r="K808" s="14"/>
      <c r="L808" s="73"/>
      <c r="M808" s="80" t="str">
        <f t="shared" si="64"/>
        <v>nein</v>
      </c>
      <c r="N808">
        <f t="shared" si="61"/>
        <v>2023</v>
      </c>
    </row>
    <row r="809" spans="1:14" hidden="1" x14ac:dyDescent="0.3">
      <c r="A809" s="105">
        <f t="shared" si="62"/>
        <v>11</v>
      </c>
      <c r="B809" s="22">
        <f t="shared" si="65"/>
        <v>45000</v>
      </c>
      <c r="C809" s="11" t="s">
        <v>5</v>
      </c>
      <c r="D809" s="12" t="s">
        <v>30</v>
      </c>
      <c r="E809" s="13">
        <f>IF(VLOOKUP(D809,Budget!A:B,2,FALSE)&lt;&gt;0,IF(G809=0,24,24-G809),0)</f>
        <v>0</v>
      </c>
      <c r="G809" s="13"/>
      <c r="H809" s="85">
        <f>IF(E809=0,0,IF(M809="ja",(VLOOKUP(D809,Budget!A:F,6,FALSE)*(E809-(VLOOKUP(D809,Budget!A:F,3,FALSE)))),VLOOKUP($D809,Budget!$A$1:$F$19,6,FALSE)*E809))</f>
        <v>0</v>
      </c>
      <c r="I809" s="85">
        <f>IF(F809=0,0,IF(M809="ja",((VLOOKUP(F809,Budget!A:F,6,FALSE)*(E809-(VLOOKUP(F809,Budget!A:F,3,FALSE))))),VLOOKUP($D809,Budget!A:F,5,FALSE)*E809))</f>
        <v>0</v>
      </c>
      <c r="J809" s="85">
        <f t="shared" si="63"/>
        <v>0</v>
      </c>
      <c r="K809" s="14"/>
      <c r="L809" s="73"/>
      <c r="M809" s="80" t="str">
        <f t="shared" si="64"/>
        <v>nein</v>
      </c>
      <c r="N809">
        <f t="shared" si="61"/>
        <v>2023</v>
      </c>
    </row>
    <row r="810" spans="1:14" hidden="1" x14ac:dyDescent="0.3">
      <c r="A810" s="103">
        <f t="shared" si="62"/>
        <v>11</v>
      </c>
      <c r="B810" s="22">
        <f t="shared" si="65"/>
        <v>45001</v>
      </c>
      <c r="C810" s="11" t="s">
        <v>6</v>
      </c>
      <c r="D810" s="12" t="s">
        <v>30</v>
      </c>
      <c r="E810" s="13">
        <f>IF(VLOOKUP(D810,Budget!A:B,2,FALSE)&lt;&gt;0,IF(G810=0,24,24-G810),0)</f>
        <v>0</v>
      </c>
      <c r="G810" s="13"/>
      <c r="H810" s="85">
        <f>IF(E810=0,0,IF(M810="ja",(VLOOKUP(D810,Budget!A:F,6,FALSE)*(E810-(VLOOKUP(D810,Budget!A:F,3,FALSE)))),VLOOKUP($D810,Budget!$A$1:$F$19,6,FALSE)*E810))</f>
        <v>0</v>
      </c>
      <c r="I810" s="85">
        <f>IF(F810=0,0,IF(M810="ja",((VLOOKUP(F810,Budget!A:F,6,FALSE)*(E810-(VLOOKUP(F810,Budget!A:F,3,FALSE))))),VLOOKUP($D810,Budget!A:F,5,FALSE)*E810))</f>
        <v>0</v>
      </c>
      <c r="J810" s="85">
        <f t="shared" si="63"/>
        <v>0</v>
      </c>
      <c r="K810" s="14"/>
      <c r="L810" s="73"/>
      <c r="M810" s="80" t="str">
        <f t="shared" si="64"/>
        <v>nein</v>
      </c>
      <c r="N810">
        <f t="shared" si="61"/>
        <v>2023</v>
      </c>
    </row>
    <row r="811" spans="1:14" hidden="1" x14ac:dyDescent="0.3">
      <c r="A811" s="105">
        <f t="shared" si="62"/>
        <v>11</v>
      </c>
      <c r="B811" s="22">
        <f t="shared" si="65"/>
        <v>45002</v>
      </c>
      <c r="C811" s="11" t="s">
        <v>7</v>
      </c>
      <c r="D811" s="12" t="s">
        <v>69</v>
      </c>
      <c r="E811" s="13">
        <f>IF(VLOOKUP(D811,Budget!A:B,2,FALSE)&lt;&gt;0,IF(G811=0,24,24-G811),0)</f>
        <v>24</v>
      </c>
      <c r="G811" s="13"/>
      <c r="H811" s="85">
        <f>IF(E811=0,0,IF(M811="ja",(VLOOKUP(D811,Budget!A:F,6,FALSE)*(E811-(VLOOKUP(D811,Budget!A:F,3,FALSE)))),VLOOKUP($D811,Budget!$A$1:$F$19,6,FALSE)*E811))</f>
        <v>38269.757143831848</v>
      </c>
      <c r="I811" s="85">
        <f>IF(F811=0,0,IF(M811="ja",((VLOOKUP(F811,Budget!A:F,6,FALSE)*(E811-(VLOOKUP(F811,Budget!A:F,3,FALSE))))),VLOOKUP($D811,Budget!A:F,5,FALSE)*E811))</f>
        <v>0</v>
      </c>
      <c r="J811" s="85">
        <f t="shared" si="63"/>
        <v>38269.757143831848</v>
      </c>
      <c r="K811" s="14"/>
      <c r="L811" s="98" t="s">
        <v>154</v>
      </c>
      <c r="M811" s="80" t="str">
        <f t="shared" si="64"/>
        <v>ja</v>
      </c>
      <c r="N811">
        <f t="shared" si="61"/>
        <v>2023</v>
      </c>
    </row>
    <row r="812" spans="1:14" hidden="1" x14ac:dyDescent="0.3">
      <c r="A812" s="105">
        <f t="shared" si="62"/>
        <v>11</v>
      </c>
      <c r="B812" s="22">
        <f t="shared" si="65"/>
        <v>45003</v>
      </c>
      <c r="C812" s="16" t="s">
        <v>8</v>
      </c>
      <c r="D812" s="17" t="s">
        <v>69</v>
      </c>
      <c r="E812" s="13">
        <f>IF(VLOOKUP(D812,Budget!A:B,2,FALSE)&lt;&gt;0,IF(G812=0,24,24-G812),0)</f>
        <v>24</v>
      </c>
      <c r="F812" s="17"/>
      <c r="G812" s="17"/>
      <c r="H812" s="86">
        <f>IF(E812=0,0,IF(M812="ja",(VLOOKUP(D812,Budget!A:F,6,FALSE)*(E812-(VLOOKUP(D812,Budget!A:F,3,FALSE)))),VLOOKUP($D812,Budget!$A$1:$F$19,6,FALSE)*E812))</f>
        <v>42919.35380616656</v>
      </c>
      <c r="I812" s="86">
        <f>IF(F812=0,0,IF(M812="ja",((VLOOKUP(F812,Budget!A:F,6,FALSE)*(E812-(VLOOKUP(F812,Budget!A:F,3,FALSE))))),VLOOKUP($D812,Budget!A:F,5,FALSE)*E812))</f>
        <v>0</v>
      </c>
      <c r="J812" s="86">
        <f t="shared" si="63"/>
        <v>42919.35380616656</v>
      </c>
      <c r="K812" s="18"/>
      <c r="L812" s="75"/>
      <c r="M812" s="76" t="str">
        <f t="shared" si="64"/>
        <v>nein</v>
      </c>
      <c r="N812">
        <f t="shared" si="61"/>
        <v>2023</v>
      </c>
    </row>
    <row r="813" spans="1:14" ht="15" hidden="1" thickBot="1" x14ac:dyDescent="0.35">
      <c r="A813" s="105">
        <f t="shared" si="62"/>
        <v>11</v>
      </c>
      <c r="B813" s="27">
        <f t="shared" si="65"/>
        <v>45004</v>
      </c>
      <c r="C813" s="19" t="s">
        <v>9</v>
      </c>
      <c r="D813" s="20" t="s">
        <v>69</v>
      </c>
      <c r="E813" s="13">
        <f>IF(VLOOKUP(D813,Budget!A:B,2,FALSE)&lt;&gt;0,IF(G813=0,24,24-G813),0)</f>
        <v>24</v>
      </c>
      <c r="F813" s="20"/>
      <c r="G813" s="20"/>
      <c r="H813" s="93">
        <f>IF(E813=0,0,IF(M813="ja",(VLOOKUP(D813,Budget!A:F,6,FALSE)*(E813-(VLOOKUP(D813,Budget!A:F,3,FALSE)))),VLOOKUP($D813,Budget!$A$1:$F$19,6,FALSE)*E813))</f>
        <v>42919.35380616656</v>
      </c>
      <c r="I813" s="93">
        <f>IF(F813=0,0,IF(M813="ja",((VLOOKUP(F813,Budget!A:F,6,FALSE)*(E813-(VLOOKUP(F813,Budget!A:F,3,FALSE))))),VLOOKUP($D813,Budget!A:F,5,FALSE)*E813))</f>
        <v>0</v>
      </c>
      <c r="J813" s="87">
        <f t="shared" si="63"/>
        <v>42919.35380616656</v>
      </c>
      <c r="K813" s="21"/>
      <c r="L813" s="74"/>
      <c r="M813" s="77" t="str">
        <f t="shared" si="64"/>
        <v>nein</v>
      </c>
      <c r="N813">
        <f t="shared" si="61"/>
        <v>2023</v>
      </c>
    </row>
    <row r="814" spans="1:14" hidden="1" x14ac:dyDescent="0.3">
      <c r="A814" s="104">
        <f t="shared" si="62"/>
        <v>12</v>
      </c>
      <c r="B814" s="22">
        <f t="shared" si="65"/>
        <v>45005</v>
      </c>
      <c r="C814" s="10" t="s">
        <v>3</v>
      </c>
      <c r="D814" s="12" t="s">
        <v>18</v>
      </c>
      <c r="E814" s="13">
        <f>IF(VLOOKUP(D814,Budget!A:B,2,FALSE)&lt;&gt;0,IF(G814=0,24,24-G814),0)</f>
        <v>24</v>
      </c>
      <c r="F814" s="13"/>
      <c r="G814" s="13"/>
      <c r="H814" s="85">
        <f>IF(E814=0,0,IF(M814="ja",(VLOOKUP(D814,Budget!A:F,6,FALSE)*(E814-(VLOOKUP(D814,Budget!A:F,3,FALSE)))),VLOOKUP($D814,Budget!$A$1:$F$19,6,FALSE)*E814))</f>
        <v>25200</v>
      </c>
      <c r="I814" s="85">
        <f>IF(F814=0,0,IF(M814="ja",((VLOOKUP(F814,Budget!A:F,6,FALSE)*(E814-(VLOOKUP(F814,Budget!A:F,3,FALSE))))),VLOOKUP($D814,Budget!A:F,5,FALSE)*E814))</f>
        <v>0</v>
      </c>
      <c r="J814" s="85">
        <f t="shared" si="63"/>
        <v>25200</v>
      </c>
      <c r="K814" s="15"/>
      <c r="L814" s="72" t="s">
        <v>153</v>
      </c>
      <c r="M814" s="80" t="str">
        <f t="shared" si="64"/>
        <v>ja</v>
      </c>
      <c r="N814">
        <f t="shared" si="61"/>
        <v>2023</v>
      </c>
    </row>
    <row r="815" spans="1:14" hidden="1" x14ac:dyDescent="0.3">
      <c r="A815" s="105">
        <f t="shared" si="62"/>
        <v>12</v>
      </c>
      <c r="B815" s="22">
        <f t="shared" si="65"/>
        <v>45006</v>
      </c>
      <c r="C815" s="11" t="s">
        <v>4</v>
      </c>
      <c r="D815" s="12" t="s">
        <v>18</v>
      </c>
      <c r="E815" s="13">
        <f>IF(VLOOKUP(D815,Budget!A:B,2,FALSE)&lt;&gt;0,IF(G815=0,24,24-G815),0)</f>
        <v>12</v>
      </c>
      <c r="F815" s="12" t="s">
        <v>51</v>
      </c>
      <c r="G815" s="13">
        <v>12</v>
      </c>
      <c r="H815" s="85">
        <f>IF(E815=0,0,IF(M815="ja",(VLOOKUP(D815,Budget!A:F,6,FALSE)*(E815-(VLOOKUP(D815,Budget!A:F,3,FALSE)))),VLOOKUP($D815,Budget!$A$1:$F$19,6,FALSE)*E815))</f>
        <v>10800</v>
      </c>
      <c r="I815" s="85" t="e">
        <f>IF(F815=0,0,IF(M815="ja",((VLOOKUP(F815,Budget!A:F,6,FALSE)*(E815-(VLOOKUP(F815,Budget!A:F,3,FALSE))))),VLOOKUP($D815,Budget!A:F,5,FALSE)*E815))</f>
        <v>#N/A</v>
      </c>
      <c r="J815" s="85" t="e">
        <f t="shared" si="63"/>
        <v>#N/A</v>
      </c>
      <c r="K815" s="14"/>
      <c r="L815" s="73" t="s">
        <v>155</v>
      </c>
      <c r="M815" s="80" t="str">
        <f t="shared" si="64"/>
        <v>ja</v>
      </c>
      <c r="N815">
        <f t="shared" si="61"/>
        <v>2023</v>
      </c>
    </row>
    <row r="816" spans="1:14" hidden="1" x14ac:dyDescent="0.3">
      <c r="A816" s="105">
        <f t="shared" si="62"/>
        <v>12</v>
      </c>
      <c r="B816" s="22">
        <f t="shared" si="65"/>
        <v>45007</v>
      </c>
      <c r="C816" s="11" t="s">
        <v>5</v>
      </c>
      <c r="D816" s="12" t="s">
        <v>51</v>
      </c>
      <c r="E816" s="13">
        <v>24</v>
      </c>
      <c r="G816" s="13"/>
      <c r="H816" s="85" t="e">
        <f>IF(E816=0,0,IF(M816="ja",(VLOOKUP(D816,Budget!A:F,6,FALSE)*(E816-(VLOOKUP(D816,Budget!A:F,3,FALSE)))),VLOOKUP($D816,Budget!$A$1:$F$19,6,FALSE)*E816))</f>
        <v>#N/A</v>
      </c>
      <c r="I816" s="85">
        <f>IF(F816=0,0,IF(M816="ja",((VLOOKUP(F816,Budget!A:F,6,FALSE)*(E816-(VLOOKUP(F816,Budget!A:F,3,FALSE))))),VLOOKUP($D816,Budget!A:F,5,FALSE)*E816))</f>
        <v>0</v>
      </c>
      <c r="J816" s="85" t="e">
        <f t="shared" si="63"/>
        <v>#N/A</v>
      </c>
      <c r="K816" s="14"/>
      <c r="L816" s="73"/>
      <c r="M816" s="80" t="str">
        <f t="shared" si="64"/>
        <v>ja</v>
      </c>
      <c r="N816">
        <f t="shared" si="61"/>
        <v>2023</v>
      </c>
    </row>
    <row r="817" spans="1:14" hidden="1" x14ac:dyDescent="0.3">
      <c r="A817" s="103">
        <f t="shared" si="62"/>
        <v>12</v>
      </c>
      <c r="B817" s="22">
        <f t="shared" si="65"/>
        <v>45008</v>
      </c>
      <c r="C817" s="11" t="s">
        <v>6</v>
      </c>
      <c r="D817" s="12" t="s">
        <v>12</v>
      </c>
      <c r="E817" s="13">
        <v>24</v>
      </c>
      <c r="G817" s="13"/>
      <c r="H817" s="85">
        <f>IF(E817=0,0,IF(M817="ja",(VLOOKUP(D817,Budget!A:F,6,FALSE)*(E817-(VLOOKUP(D817,Budget!A:F,3,FALSE)))),VLOOKUP($D817,Budget!$A$1:$F$19,6,FALSE)*E817))</f>
        <v>27720</v>
      </c>
      <c r="I817" s="85">
        <f>IF(F817=0,0,IF(M817="ja",((VLOOKUP(F817,Budget!A:F,6,FALSE)*(E817-(VLOOKUP(F817,Budget!A:F,3,FALSE))))),VLOOKUP($D817,Budget!A:F,5,FALSE)*E817))</f>
        <v>0</v>
      </c>
      <c r="J817" s="85">
        <f t="shared" si="63"/>
        <v>27720</v>
      </c>
      <c r="K817" s="14"/>
      <c r="L817" s="97" t="s">
        <v>156</v>
      </c>
      <c r="M817" s="80" t="str">
        <f t="shared" si="64"/>
        <v>ja</v>
      </c>
      <c r="N817">
        <f t="shared" si="61"/>
        <v>2023</v>
      </c>
    </row>
    <row r="818" spans="1:14" hidden="1" x14ac:dyDescent="0.3">
      <c r="A818" s="105">
        <f t="shared" si="62"/>
        <v>12</v>
      </c>
      <c r="B818" s="22">
        <f t="shared" si="65"/>
        <v>45009</v>
      </c>
      <c r="C818" s="11" t="s">
        <v>7</v>
      </c>
      <c r="D818" s="12" t="s">
        <v>12</v>
      </c>
      <c r="E818" s="13">
        <f>IF(VLOOKUP(D818,Budget!A:B,2,FALSE)&lt;&gt;0,IF(G818=0,24,24-G818),0)</f>
        <v>24</v>
      </c>
      <c r="G818" s="13"/>
      <c r="H818" s="85">
        <f>IF(E818=0,0,IF(M818="ja",(VLOOKUP(D818,Budget!A:F,6,FALSE)*(E818-(VLOOKUP(D818,Budget!A:F,3,FALSE)))),VLOOKUP($D818,Budget!$A$1:$F$19,6,FALSE)*E818))</f>
        <v>36960</v>
      </c>
      <c r="I818" s="85">
        <f>IF(F818=0,0,IF(M818="ja",((VLOOKUP(F818,Budget!A:F,6,FALSE)*(E818-(VLOOKUP(F818,Budget!A:F,3,FALSE))))),VLOOKUP($D818,Budget!A:F,5,FALSE)*E818))</f>
        <v>0</v>
      </c>
      <c r="J818" s="85">
        <f t="shared" si="63"/>
        <v>36960</v>
      </c>
      <c r="K818" s="14"/>
      <c r="L818" s="25"/>
      <c r="M818" s="80" t="str">
        <f t="shared" si="64"/>
        <v>nein</v>
      </c>
      <c r="N818">
        <f t="shared" si="61"/>
        <v>2023</v>
      </c>
    </row>
    <row r="819" spans="1:14" hidden="1" x14ac:dyDescent="0.3">
      <c r="A819" s="105">
        <f t="shared" si="62"/>
        <v>12</v>
      </c>
      <c r="B819" s="22">
        <f t="shared" si="65"/>
        <v>45010</v>
      </c>
      <c r="C819" s="16" t="s">
        <v>8</v>
      </c>
      <c r="D819" s="17" t="s">
        <v>12</v>
      </c>
      <c r="E819" s="13">
        <f>IF(VLOOKUP(D819,Budget!A:B,2,FALSE)&lt;&gt;0,IF(G819=0,24,24-G819),0)</f>
        <v>24</v>
      </c>
      <c r="F819" s="17"/>
      <c r="G819" s="17"/>
      <c r="H819" s="86">
        <f>IF(E819=0,0,IF(M819="ja",(VLOOKUP(D819,Budget!A:F,6,FALSE)*(E819-(VLOOKUP(D819,Budget!A:F,3,FALSE)))),VLOOKUP($D819,Budget!$A$1:$F$19,6,FALSE)*E819))</f>
        <v>36960</v>
      </c>
      <c r="I819" s="86">
        <f>IF(F819=0,0,IF(M819="ja",((VLOOKUP(F819,Budget!A:F,6,FALSE)*(E819-(VLOOKUP(F819,Budget!A:F,3,FALSE))))),VLOOKUP($D819,Budget!A:F,5,FALSE)*E819))</f>
        <v>0</v>
      </c>
      <c r="J819" s="86">
        <f t="shared" si="63"/>
        <v>36960</v>
      </c>
      <c r="K819" s="18"/>
      <c r="L819" s="75"/>
      <c r="M819" s="76" t="str">
        <f t="shared" si="64"/>
        <v>nein</v>
      </c>
      <c r="N819">
        <f t="shared" si="61"/>
        <v>2023</v>
      </c>
    </row>
    <row r="820" spans="1:14" ht="15" hidden="1" thickBot="1" x14ac:dyDescent="0.35">
      <c r="A820" s="105">
        <f t="shared" si="62"/>
        <v>12</v>
      </c>
      <c r="B820" s="27">
        <f t="shared" si="65"/>
        <v>45011</v>
      </c>
      <c r="C820" s="19" t="s">
        <v>9</v>
      </c>
      <c r="D820" s="20" t="s">
        <v>12</v>
      </c>
      <c r="E820" s="13">
        <f>IF(VLOOKUP(D820,Budget!A:B,2,FALSE)&lt;&gt;0,IF(G820=0,24,24-G820),0)</f>
        <v>24</v>
      </c>
      <c r="F820" s="20"/>
      <c r="G820" s="20"/>
      <c r="H820" s="93">
        <f>IF(E820=0,0,IF(M820="ja",(VLOOKUP(D820,Budget!A:F,6,FALSE)*(E820-(VLOOKUP(D820,Budget!A:F,3,FALSE)))),VLOOKUP($D820,Budget!$A$1:$F$19,6,FALSE)*E820))</f>
        <v>36960</v>
      </c>
      <c r="I820" s="93">
        <f>IF(F820=0,0,IF(M820="ja",((VLOOKUP(F820,Budget!A:F,6,FALSE)*(E820-(VLOOKUP(F820,Budget!A:F,3,FALSE))))),VLOOKUP($D820,Budget!A:F,5,FALSE)*E820))</f>
        <v>0</v>
      </c>
      <c r="J820" s="87">
        <f t="shared" si="63"/>
        <v>36960</v>
      </c>
      <c r="K820" s="21"/>
      <c r="L820" s="74"/>
      <c r="M820" s="77" t="str">
        <f t="shared" si="64"/>
        <v>nein</v>
      </c>
      <c r="N820">
        <f t="shared" si="61"/>
        <v>2023</v>
      </c>
    </row>
    <row r="821" spans="1:14" hidden="1" x14ac:dyDescent="0.3">
      <c r="A821" s="104">
        <f t="shared" si="62"/>
        <v>13</v>
      </c>
      <c r="B821" s="22">
        <f t="shared" si="65"/>
        <v>45012</v>
      </c>
      <c r="C821" s="10" t="s">
        <v>3</v>
      </c>
      <c r="D821" s="12" t="s">
        <v>12</v>
      </c>
      <c r="E821" s="13">
        <f>IF(VLOOKUP(D821,Budget!A:B,2,FALSE)&lt;&gt;0,IF(G821=0,24,24-G821),0)</f>
        <v>24</v>
      </c>
      <c r="F821" s="13"/>
      <c r="G821" s="13"/>
      <c r="H821" s="85">
        <f>IF(E821=0,0,IF(M821="ja",(VLOOKUP(D821,Budget!A:F,6,FALSE)*(E821-(VLOOKUP(D821,Budget!A:F,3,FALSE)))),VLOOKUP($D821,Budget!$A$1:$F$19,6,FALSE)*E821))</f>
        <v>36960</v>
      </c>
      <c r="I821" s="85">
        <f>IF(F821=0,0,IF(M821="ja",((VLOOKUP(F821,Budget!A:F,6,FALSE)*(E821-(VLOOKUP(F821,Budget!A:F,3,FALSE))))),VLOOKUP($D821,Budget!A:F,5,FALSE)*E821))</f>
        <v>0</v>
      </c>
      <c r="J821" s="85">
        <f t="shared" si="63"/>
        <v>36960</v>
      </c>
      <c r="K821" s="15"/>
      <c r="L821" s="72"/>
      <c r="M821" s="80" t="str">
        <f t="shared" si="64"/>
        <v>nein</v>
      </c>
      <c r="N821">
        <f t="shared" si="61"/>
        <v>2023</v>
      </c>
    </row>
    <row r="822" spans="1:14" hidden="1" x14ac:dyDescent="0.3">
      <c r="A822" s="105">
        <f t="shared" si="62"/>
        <v>13</v>
      </c>
      <c r="B822" s="22">
        <f t="shared" si="65"/>
        <v>45013</v>
      </c>
      <c r="C822" s="11" t="s">
        <v>4</v>
      </c>
      <c r="D822" s="12" t="s">
        <v>11</v>
      </c>
      <c r="E822" s="13">
        <f>IF(VLOOKUP(D822,Budget!A:B,2,FALSE)&lt;&gt;0,IF(G822=0,24,24-G822),0)</f>
        <v>24</v>
      </c>
      <c r="G822" s="13"/>
      <c r="H822" s="85">
        <f>IF(E822=0,0,IF(M822="ja",(VLOOKUP(D822,Budget!A:F,6,FALSE)*(E822-(VLOOKUP(D822,Budget!A:F,3,FALSE)))),VLOOKUP($D822,Budget!$A$1:$F$19,6,FALSE)*E822))</f>
        <v>30030</v>
      </c>
      <c r="I822" s="85">
        <f>IF(F822=0,0,IF(M822="ja",((VLOOKUP(F822,Budget!A:F,6,FALSE)*(E822-(VLOOKUP(F822,Budget!A:F,3,FALSE))))),VLOOKUP($D822,Budget!A:F,5,FALSE)*E822))</f>
        <v>0</v>
      </c>
      <c r="J822" s="85">
        <f t="shared" si="63"/>
        <v>30030</v>
      </c>
      <c r="K822" s="14"/>
      <c r="L822" s="73"/>
      <c r="M822" s="80" t="str">
        <f t="shared" si="64"/>
        <v>ja</v>
      </c>
      <c r="N822">
        <f t="shared" si="61"/>
        <v>2023</v>
      </c>
    </row>
    <row r="823" spans="1:14" hidden="1" x14ac:dyDescent="0.3">
      <c r="A823" s="105">
        <f t="shared" ref="A823:A825" si="66">_xlfn.ISOWEEKNUM(B823)</f>
        <v>13</v>
      </c>
      <c r="B823" s="22">
        <f t="shared" si="65"/>
        <v>45014</v>
      </c>
      <c r="C823" s="11" t="s">
        <v>5</v>
      </c>
      <c r="D823" s="12" t="s">
        <v>11</v>
      </c>
      <c r="E823" s="13">
        <f>IF(VLOOKUP(D823,Budget!A:B,2,FALSE)&lt;&gt;0,IF(G823=0,24,24-G823),0)</f>
        <v>24</v>
      </c>
      <c r="G823" s="13"/>
      <c r="H823" s="85">
        <f>IF(E823=0,0,IF(M823="ja",(VLOOKUP(D823,Budget!A:F,6,FALSE)*(E823-(VLOOKUP(D823,Budget!A:F,3,FALSE)))),VLOOKUP($D823,Budget!$A$1:$F$19,6,FALSE)*E823))</f>
        <v>36960</v>
      </c>
      <c r="I823" s="85">
        <f>IF(F823=0,0,IF(M823="ja",((VLOOKUP(F823,Budget!A:F,6,FALSE)*(E823-(VLOOKUP(F823,Budget!A:F,3,FALSE))))),VLOOKUP($D823,Budget!A:F,5,FALSE)*E823))</f>
        <v>0</v>
      </c>
      <c r="J823" s="85">
        <f t="shared" ref="J823:J825" si="67">H823+I823</f>
        <v>36960</v>
      </c>
      <c r="K823" s="14"/>
      <c r="L823" s="73"/>
      <c r="M823" s="80" t="str">
        <f t="shared" si="64"/>
        <v>nein</v>
      </c>
      <c r="N823">
        <f t="shared" si="61"/>
        <v>2023</v>
      </c>
    </row>
    <row r="824" spans="1:14" hidden="1" x14ac:dyDescent="0.3">
      <c r="A824" s="103">
        <f t="shared" si="66"/>
        <v>13</v>
      </c>
      <c r="B824" s="22">
        <f t="shared" si="65"/>
        <v>45015</v>
      </c>
      <c r="C824" s="11" t="s">
        <v>6</v>
      </c>
      <c r="D824" s="12" t="s">
        <v>11</v>
      </c>
      <c r="E824" s="13">
        <f>IF(VLOOKUP(D824,Budget!A:B,2,FALSE)&lt;&gt;0,IF(G824=0,24,24-G824),0)</f>
        <v>24</v>
      </c>
      <c r="G824" s="13"/>
      <c r="H824" s="85">
        <f>IF(E824=0,0,IF(M824="ja",(VLOOKUP(D824,Budget!A:F,6,FALSE)*(E824-(VLOOKUP(D824,Budget!A:F,3,FALSE)))),VLOOKUP($D824,Budget!$A$1:$F$19,6,FALSE)*E824))</f>
        <v>36960</v>
      </c>
      <c r="I824" s="85">
        <f>IF(F824=0,0,IF(M824="ja",((VLOOKUP(F824,Budget!A:F,6,FALSE)*(E824-(VLOOKUP(F824,Budget!A:F,3,FALSE))))),VLOOKUP($D824,Budget!A:F,5,FALSE)*E824))</f>
        <v>0</v>
      </c>
      <c r="J824" s="85">
        <f t="shared" si="67"/>
        <v>36960</v>
      </c>
      <c r="K824" s="14"/>
      <c r="L824" s="73"/>
      <c r="M824" s="80" t="str">
        <f t="shared" si="64"/>
        <v>nein</v>
      </c>
      <c r="N824">
        <f t="shared" si="61"/>
        <v>2023</v>
      </c>
    </row>
    <row r="825" spans="1:14" hidden="1" x14ac:dyDescent="0.3">
      <c r="A825" s="105">
        <f t="shared" si="66"/>
        <v>13</v>
      </c>
      <c r="B825" s="22">
        <f t="shared" si="65"/>
        <v>45016</v>
      </c>
      <c r="C825" s="11" t="s">
        <v>7</v>
      </c>
      <c r="D825" s="12" t="s">
        <v>11</v>
      </c>
      <c r="E825" s="13">
        <f>IF(VLOOKUP(D825,Budget!A:B,2,FALSE)&lt;&gt;0,IF(G825=0,24,24-G825),0)</f>
        <v>24</v>
      </c>
      <c r="G825" s="13"/>
      <c r="H825" s="85">
        <f>IF(E825=0,0,IF(M825="ja",(VLOOKUP(D825,Budget!A:F,6,FALSE)*(E825-(VLOOKUP(D825,Budget!A:F,3,FALSE)))),VLOOKUP($D825,Budget!$A$1:$F$19,6,FALSE)*E825))</f>
        <v>36960</v>
      </c>
      <c r="I825" s="85">
        <f>IF(F825=0,0,IF(M825="ja",((VLOOKUP(F825,Budget!A:F,6,FALSE)*(E825-(VLOOKUP(F825,Budget!A:F,3,FALSE))))),VLOOKUP($D825,Budget!A:F,5,FALSE)*E825))</f>
        <v>0</v>
      </c>
      <c r="J825" s="85">
        <f t="shared" si="67"/>
        <v>36960</v>
      </c>
      <c r="K825" s="14"/>
      <c r="L825" s="25"/>
      <c r="M825" s="80" t="str">
        <f t="shared" si="64"/>
        <v>nein</v>
      </c>
      <c r="N825">
        <f t="shared" si="61"/>
        <v>2023</v>
      </c>
    </row>
    <row r="826" spans="1:14" x14ac:dyDescent="0.3">
      <c r="A826" s="105">
        <f t="shared" ref="A826:A882" si="68">_xlfn.ISOWEEKNUM(B826)</f>
        <v>13</v>
      </c>
      <c r="B826" s="22">
        <f t="shared" ref="B826:B865" si="69">B825+1</f>
        <v>45017</v>
      </c>
      <c r="C826" s="16" t="s">
        <v>8</v>
      </c>
      <c r="D826" s="17" t="s">
        <v>69</v>
      </c>
      <c r="E826" s="13">
        <f>IF(VLOOKUP(D826,Budget!A:B,2,FALSE)&lt;&gt;0,IF(G826=0,24,24-G826),0)</f>
        <v>24</v>
      </c>
      <c r="F826" s="17"/>
      <c r="G826" s="17"/>
      <c r="H826" s="86">
        <f>IF(E826=0,0,IF(M826="ja",(VLOOKUP(D826,Budget!A:F,6,FALSE)*(E826-(VLOOKUP(D826,Budget!A:F,3,FALSE)))),VLOOKUP($D826,Budget!$A$1:$F$19,6,FALSE)*E826))</f>
        <v>38269.757143831848</v>
      </c>
      <c r="I826" s="86">
        <f>IF(F826=0,0,IF(M826="ja",((VLOOKUP(F826,Budget!A:F,6,FALSE)*(E826-(VLOOKUP(F826,Budget!A:F,3,FALSE))))),VLOOKUP($D826,Budget!A:F,5,FALSE)*E826))</f>
        <v>0</v>
      </c>
      <c r="J826" s="86">
        <f t="shared" ref="J826:J882" si="70">H826+I826</f>
        <v>38269.757143831848</v>
      </c>
      <c r="K826" s="18"/>
      <c r="L826" s="75"/>
      <c r="M826" s="76" t="str">
        <f t="shared" ref="M826:M882" si="71">IF(E826=0,"nein",IF(OR(E826&lt;&gt;24,F825&lt;&gt;0,D826&lt;&gt;D825),"ja","nein"))</f>
        <v>ja</v>
      </c>
      <c r="N826">
        <f t="shared" si="61"/>
        <v>2023</v>
      </c>
    </row>
    <row r="827" spans="1:14" ht="15" thickBot="1" x14ac:dyDescent="0.35">
      <c r="A827" s="105">
        <f t="shared" si="68"/>
        <v>13</v>
      </c>
      <c r="B827" s="27">
        <f t="shared" si="69"/>
        <v>45018</v>
      </c>
      <c r="C827" s="19" t="s">
        <v>9</v>
      </c>
      <c r="D827" s="20" t="s">
        <v>69</v>
      </c>
      <c r="E827" s="13">
        <f>IF(VLOOKUP(D827,Budget!A:B,2,FALSE)&lt;&gt;0,IF(G827=0,24,24-G827),0)</f>
        <v>24</v>
      </c>
      <c r="F827" s="20"/>
      <c r="G827" s="20"/>
      <c r="H827" s="93">
        <f>IF(E827=0,0,IF(M827="ja",(VLOOKUP(D827,Budget!A:F,6,FALSE)*(E827-(VLOOKUP(D827,Budget!A:F,3,FALSE)))),VLOOKUP($D827,Budget!$A$1:$F$19,6,FALSE)*E827))</f>
        <v>42919.35380616656</v>
      </c>
      <c r="I827" s="93">
        <f>IF(F827=0,0,IF(M827="ja",((VLOOKUP(F827,Budget!A:F,6,FALSE)*(E827-(VLOOKUP(F827,Budget!A:F,3,FALSE))))),VLOOKUP($D827,Budget!A:F,5,FALSE)*E827))</f>
        <v>0</v>
      </c>
      <c r="J827" s="87">
        <f t="shared" si="70"/>
        <v>42919.35380616656</v>
      </c>
      <c r="K827" s="21"/>
      <c r="L827" s="74"/>
      <c r="M827" s="77" t="str">
        <f t="shared" si="71"/>
        <v>nein</v>
      </c>
      <c r="N827">
        <f t="shared" si="61"/>
        <v>2023</v>
      </c>
    </row>
    <row r="828" spans="1:14" x14ac:dyDescent="0.3">
      <c r="A828" s="104">
        <f t="shared" si="68"/>
        <v>14</v>
      </c>
      <c r="B828" s="22">
        <f t="shared" si="69"/>
        <v>45019</v>
      </c>
      <c r="C828" s="10" t="s">
        <v>3</v>
      </c>
      <c r="D828" s="12" t="s">
        <v>69</v>
      </c>
      <c r="E828" s="13">
        <f>IF(VLOOKUP(D828,Budget!A:B,2,FALSE)&lt;&gt;0,IF(G828=0,24,24-G828),0)</f>
        <v>24</v>
      </c>
      <c r="F828" s="13"/>
      <c r="G828" s="13"/>
      <c r="H828" s="85">
        <f>IF(E828=0,0,IF(M828="ja",(VLOOKUP(D828,Budget!A:F,6,FALSE)*(E828-(VLOOKUP(D828,Budget!A:F,3,FALSE)))),VLOOKUP($D828,Budget!$A$1:$F$19,6,FALSE)*E828))</f>
        <v>42919.35380616656</v>
      </c>
      <c r="I828" s="85">
        <f>IF(F828=0,0,IF(M828="ja",((VLOOKUP(F828,Budget!A:F,6,FALSE)*(E828-(VLOOKUP(F828,Budget!A:F,3,FALSE))))),VLOOKUP($D828,Budget!A:F,5,FALSE)*E828))</f>
        <v>0</v>
      </c>
      <c r="J828" s="85">
        <f t="shared" si="70"/>
        <v>42919.35380616656</v>
      </c>
      <c r="K828" s="15"/>
      <c r="L828" s="72"/>
      <c r="M828" s="80" t="str">
        <f t="shared" si="71"/>
        <v>nein</v>
      </c>
      <c r="N828">
        <f t="shared" si="61"/>
        <v>2023</v>
      </c>
    </row>
    <row r="829" spans="1:14" x14ac:dyDescent="0.3">
      <c r="A829" s="105">
        <f t="shared" si="68"/>
        <v>14</v>
      </c>
      <c r="B829" s="22">
        <f t="shared" si="69"/>
        <v>45020</v>
      </c>
      <c r="C829" s="11" t="s">
        <v>4</v>
      </c>
      <c r="D829" s="12" t="s">
        <v>69</v>
      </c>
      <c r="E829" s="13">
        <f>IF(VLOOKUP(D829,Budget!A:B,2,FALSE)&lt;&gt;0,IF(G829=0,24,24-G829),0)</f>
        <v>24</v>
      </c>
      <c r="G829" s="13"/>
      <c r="H829" s="85">
        <f>IF(E829=0,0,IF(M829="ja",(VLOOKUP(D829,Budget!A:F,6,FALSE)*(E829-(VLOOKUP(D829,Budget!A:F,3,FALSE)))),VLOOKUP($D829,Budget!$A$1:$F$19,6,FALSE)*E829))</f>
        <v>42919.35380616656</v>
      </c>
      <c r="I829" s="85">
        <f>IF(F829=0,0,IF(M829="ja",((VLOOKUP(F829,Budget!A:F,6,FALSE)*(E829-(VLOOKUP(F829,Budget!A:F,3,FALSE))))),VLOOKUP($D829,Budget!A:F,5,FALSE)*E829))</f>
        <v>0</v>
      </c>
      <c r="J829" s="85">
        <f t="shared" si="70"/>
        <v>42919.35380616656</v>
      </c>
      <c r="K829" s="14"/>
      <c r="L829" s="73"/>
      <c r="M829" s="80" t="str">
        <f t="shared" si="71"/>
        <v>nein</v>
      </c>
      <c r="N829">
        <f t="shared" si="61"/>
        <v>2023</v>
      </c>
    </row>
    <row r="830" spans="1:14" x14ac:dyDescent="0.3">
      <c r="A830" s="105">
        <f t="shared" si="68"/>
        <v>14</v>
      </c>
      <c r="B830" s="22">
        <f t="shared" si="69"/>
        <v>45021</v>
      </c>
      <c r="C830" s="11" t="s">
        <v>5</v>
      </c>
      <c r="D830" s="12" t="s">
        <v>69</v>
      </c>
      <c r="E830" s="13">
        <f>IF(VLOOKUP(D830,Budget!A:B,2,FALSE)&lt;&gt;0,IF(G830=0,24,24-G830),0)</f>
        <v>24</v>
      </c>
      <c r="G830" s="13"/>
      <c r="H830" s="85">
        <f>IF(E830=0,0,IF(M830="ja",(VLOOKUP(D830,Budget!A:F,6,FALSE)*(E830-(VLOOKUP(D830,Budget!A:F,3,FALSE)))),VLOOKUP($D830,Budget!$A$1:$F$19,6,FALSE)*E830))</f>
        <v>42919.35380616656</v>
      </c>
      <c r="I830" s="85">
        <f>IF(F830=0,0,IF(M830="ja",((VLOOKUP(F830,Budget!A:F,6,FALSE)*(E830-(VLOOKUP(F830,Budget!A:F,3,FALSE))))),VLOOKUP($D830,Budget!A:F,5,FALSE)*E830))</f>
        <v>0</v>
      </c>
      <c r="J830" s="85">
        <f t="shared" si="70"/>
        <v>42919.35380616656</v>
      </c>
      <c r="K830" s="14"/>
      <c r="L830" s="73"/>
      <c r="M830" s="80" t="str">
        <f t="shared" si="71"/>
        <v>nein</v>
      </c>
      <c r="N830">
        <f t="shared" si="61"/>
        <v>2023</v>
      </c>
    </row>
    <row r="831" spans="1:14" x14ac:dyDescent="0.3">
      <c r="A831" s="103">
        <f t="shared" si="68"/>
        <v>14</v>
      </c>
      <c r="B831" s="22">
        <f t="shared" si="69"/>
        <v>45022</v>
      </c>
      <c r="C831" s="11" t="s">
        <v>6</v>
      </c>
      <c r="D831" s="12" t="s">
        <v>69</v>
      </c>
      <c r="E831" s="13">
        <f>IF(VLOOKUP(D831,Budget!A:B,2,FALSE)&lt;&gt;0,IF(G831=0,24,24-G831),0)</f>
        <v>24</v>
      </c>
      <c r="G831" s="13"/>
      <c r="H831" s="85">
        <f>IF(E831=0,0,IF(M831="ja",(VLOOKUP(D831,Budget!A:F,6,FALSE)*(E831-(VLOOKUP(D831,Budget!A:F,3,FALSE)))),VLOOKUP($D831,Budget!$A$1:$F$19,6,FALSE)*E831))</f>
        <v>42919.35380616656</v>
      </c>
      <c r="I831" s="85">
        <f>IF(F831=0,0,IF(M831="ja",((VLOOKUP(F831,Budget!A:F,6,FALSE)*(E831-(VLOOKUP(F831,Budget!A:F,3,FALSE))))),VLOOKUP($D831,Budget!A:F,5,FALSE)*E831))</f>
        <v>0</v>
      </c>
      <c r="J831" s="85">
        <f t="shared" si="70"/>
        <v>42919.35380616656</v>
      </c>
      <c r="K831" s="14"/>
      <c r="L831" s="73"/>
      <c r="M831" s="80" t="str">
        <f t="shared" si="71"/>
        <v>nein</v>
      </c>
      <c r="N831">
        <f t="shared" si="61"/>
        <v>2023</v>
      </c>
    </row>
    <row r="832" spans="1:14" x14ac:dyDescent="0.3">
      <c r="A832" s="105">
        <f t="shared" si="68"/>
        <v>14</v>
      </c>
      <c r="B832" s="130">
        <f t="shared" si="69"/>
        <v>45023</v>
      </c>
      <c r="C832" s="131" t="s">
        <v>7</v>
      </c>
      <c r="D832" s="12" t="s">
        <v>69</v>
      </c>
      <c r="E832" s="13">
        <f>IF(VLOOKUP(D832,Budget!A:B,2,FALSE)&lt;&gt;0,IF(G832=0,24,24-G832),0)</f>
        <v>24</v>
      </c>
      <c r="G832" s="13"/>
      <c r="H832" s="85">
        <f>IF(E832=0,0,IF(M832="ja",(VLOOKUP(D832,Budget!A:F,6,FALSE)*(E832-(VLOOKUP(D832,Budget!A:F,3,FALSE)))),VLOOKUP($D832,Budget!$A$1:$F$19,6,FALSE)*E832))</f>
        <v>42919.35380616656</v>
      </c>
      <c r="I832" s="85">
        <f>IF(F832=0,0,IF(M832="ja",((VLOOKUP(F832,Budget!A:F,6,FALSE)*(E832-(VLOOKUP(F832,Budget!A:F,3,FALSE))))),VLOOKUP($D832,Budget!A:F,5,FALSE)*E832))</f>
        <v>0</v>
      </c>
      <c r="J832" s="85">
        <f t="shared" si="70"/>
        <v>42919.35380616656</v>
      </c>
      <c r="K832" s="14"/>
      <c r="L832" s="25"/>
      <c r="M832" s="80" t="str">
        <f t="shared" si="71"/>
        <v>nein</v>
      </c>
      <c r="N832">
        <f t="shared" si="61"/>
        <v>2023</v>
      </c>
    </row>
    <row r="833" spans="1:14" x14ac:dyDescent="0.3">
      <c r="A833" s="105">
        <f t="shared" si="68"/>
        <v>14</v>
      </c>
      <c r="B833" s="22">
        <f t="shared" si="69"/>
        <v>45024</v>
      </c>
      <c r="C833" s="16" t="s">
        <v>8</v>
      </c>
      <c r="D833" s="17" t="s">
        <v>10</v>
      </c>
      <c r="E833" s="13">
        <f>IF(VLOOKUP(D833,Budget!A:B,2,FALSE)&lt;&gt;0,IF(G833=0,24,24-G833),0)</f>
        <v>24</v>
      </c>
      <c r="F833" s="17"/>
      <c r="G833" s="17"/>
      <c r="H833" s="86">
        <f>IF(E833=0,0,IF(M833="ja",(VLOOKUP(D833,Budget!A:F,6,FALSE)*(E833-(VLOOKUP(D833,Budget!A:F,3,FALSE)))),VLOOKUP($D833,Budget!$A$1:$F$19,6,FALSE)*E833))</f>
        <v>9843.7955001031441</v>
      </c>
      <c r="I833" s="86">
        <f>IF(F833=0,0,IF(M833="ja",((VLOOKUP(F833,Budget!A:F,6,FALSE)*(E833-(VLOOKUP(F833,Budget!A:F,3,FALSE))))),VLOOKUP($D833,Budget!A:F,5,FALSE)*E833))</f>
        <v>0</v>
      </c>
      <c r="J833" s="86">
        <f t="shared" si="70"/>
        <v>9843.7955001031441</v>
      </c>
      <c r="K833" s="18"/>
      <c r="L833" s="75"/>
      <c r="M833" s="76" t="str">
        <f t="shared" si="71"/>
        <v>ja</v>
      </c>
      <c r="N833">
        <f t="shared" si="61"/>
        <v>2023</v>
      </c>
    </row>
    <row r="834" spans="1:14" ht="15" thickBot="1" x14ac:dyDescent="0.35">
      <c r="A834" s="105">
        <f t="shared" si="68"/>
        <v>14</v>
      </c>
      <c r="B834" s="27">
        <f t="shared" si="69"/>
        <v>45025</v>
      </c>
      <c r="C834" s="19" t="s">
        <v>9</v>
      </c>
      <c r="D834" s="20" t="s">
        <v>10</v>
      </c>
      <c r="E834" s="13">
        <f>IF(VLOOKUP(D834,Budget!A:B,2,FALSE)&lt;&gt;0,IF(G834=0,24,24-G834),0)</f>
        <v>24</v>
      </c>
      <c r="F834" s="20"/>
      <c r="G834" s="20"/>
      <c r="H834" s="93">
        <f>IF(E834=0,0,IF(M834="ja",(VLOOKUP(D834,Budget!A:F,6,FALSE)*(E834-(VLOOKUP(D834,Budget!A:F,3,FALSE)))),VLOOKUP($D834,Budget!$A$1:$F$19,6,FALSE)*E834))</f>
        <v>11812.554600123773</v>
      </c>
      <c r="I834" s="93">
        <f>IF(F834=0,0,IF(M834="ja",((VLOOKUP(F834,Budget!A:F,6,FALSE)*(E834-(VLOOKUP(F834,Budget!A:F,3,FALSE))))),VLOOKUP($D834,Budget!A:F,5,FALSE)*E834))</f>
        <v>0</v>
      </c>
      <c r="J834" s="87">
        <f t="shared" si="70"/>
        <v>11812.554600123773</v>
      </c>
      <c r="K834" s="21"/>
      <c r="L834" s="74"/>
      <c r="M834" s="77" t="str">
        <f t="shared" si="71"/>
        <v>nein</v>
      </c>
      <c r="N834">
        <f t="shared" si="61"/>
        <v>2023</v>
      </c>
    </row>
    <row r="835" spans="1:14" x14ac:dyDescent="0.3">
      <c r="A835" s="104">
        <f t="shared" si="68"/>
        <v>15</v>
      </c>
      <c r="B835" s="130">
        <f t="shared" si="69"/>
        <v>45026</v>
      </c>
      <c r="C835" s="132" t="s">
        <v>3</v>
      </c>
      <c r="D835" s="12" t="s">
        <v>10</v>
      </c>
      <c r="E835" s="13">
        <f>IF(VLOOKUP(D835,Budget!A:B,2,FALSE)&lt;&gt;0,IF(G835=0,24,24-G835),0)</f>
        <v>24</v>
      </c>
      <c r="F835" s="13"/>
      <c r="G835" s="13"/>
      <c r="H835" s="85">
        <f>IF(E835=0,0,IF(M835="ja",(VLOOKUP(D835,Budget!A:F,6,FALSE)*(E835-(VLOOKUP(D835,Budget!A:F,3,FALSE)))),VLOOKUP($D835,Budget!$A$1:$F$19,6,FALSE)*E835))</f>
        <v>11812.554600123773</v>
      </c>
      <c r="I835" s="85">
        <f>IF(F835=0,0,IF(M835="ja",((VLOOKUP(F835,Budget!A:F,6,FALSE)*(E835-(VLOOKUP(F835,Budget!A:F,3,FALSE))))),VLOOKUP($D835,Budget!A:F,5,FALSE)*E835))</f>
        <v>0</v>
      </c>
      <c r="J835" s="85">
        <f t="shared" si="70"/>
        <v>11812.554600123773</v>
      </c>
      <c r="K835" s="15"/>
      <c r="L835" s="72"/>
      <c r="M835" s="80" t="str">
        <f t="shared" si="71"/>
        <v>nein</v>
      </c>
      <c r="N835">
        <f t="shared" ref="N835:N898" si="72">YEAR(B835)</f>
        <v>2023</v>
      </c>
    </row>
    <row r="836" spans="1:14" x14ac:dyDescent="0.3">
      <c r="A836" s="105">
        <f t="shared" si="68"/>
        <v>15</v>
      </c>
      <c r="B836" s="22">
        <f t="shared" si="69"/>
        <v>45027</v>
      </c>
      <c r="C836" s="11" t="s">
        <v>4</v>
      </c>
      <c r="D836" s="12" t="s">
        <v>11</v>
      </c>
      <c r="E836" s="13">
        <f>IF(VLOOKUP(D836,Budget!A:B,2,FALSE)&lt;&gt;0,IF(G836=0,24,24-G836),0)</f>
        <v>24</v>
      </c>
      <c r="G836" s="13"/>
      <c r="H836" s="85">
        <f>IF(E836=0,0,IF(M836="ja",(VLOOKUP(D836,Budget!A:F,6,FALSE)*(E836-(VLOOKUP(D836,Budget!A:F,3,FALSE)))),VLOOKUP($D836,Budget!$A$1:$F$19,6,FALSE)*E836))</f>
        <v>30030</v>
      </c>
      <c r="I836" s="85">
        <f>IF(F836=0,0,IF(M836="ja",((VLOOKUP(F836,Budget!A:F,6,FALSE)*(E836-(VLOOKUP(F836,Budget!A:F,3,FALSE))))),VLOOKUP($D836,Budget!A:F,5,FALSE)*E836))</f>
        <v>0</v>
      </c>
      <c r="J836" s="85">
        <f t="shared" si="70"/>
        <v>30030</v>
      </c>
      <c r="K836" s="14"/>
      <c r="L836" s="73"/>
      <c r="M836" s="80" t="str">
        <f t="shared" si="71"/>
        <v>ja</v>
      </c>
      <c r="N836">
        <f t="shared" si="72"/>
        <v>2023</v>
      </c>
    </row>
    <row r="837" spans="1:14" x14ac:dyDescent="0.3">
      <c r="A837" s="105">
        <f t="shared" si="68"/>
        <v>15</v>
      </c>
      <c r="B837" s="22">
        <f t="shared" si="69"/>
        <v>45028</v>
      </c>
      <c r="C837" s="11" t="s">
        <v>5</v>
      </c>
      <c r="D837" s="12" t="s">
        <v>11</v>
      </c>
      <c r="E837" s="13">
        <f>IF(VLOOKUP(D837,Budget!A:B,2,FALSE)&lt;&gt;0,IF(G837=0,24,24-G837),0)</f>
        <v>24</v>
      </c>
      <c r="G837" s="13"/>
      <c r="H837" s="85">
        <f>IF(E837=0,0,IF(M837="ja",(VLOOKUP(D837,Budget!A:F,6,FALSE)*(E837-(VLOOKUP(D837,Budget!A:F,3,FALSE)))),VLOOKUP($D837,Budget!$A$1:$F$19,6,FALSE)*E837))</f>
        <v>36960</v>
      </c>
      <c r="I837" s="85">
        <f>IF(F837=0,0,IF(M837="ja",((VLOOKUP(F837,Budget!A:F,6,FALSE)*(E837-(VLOOKUP(F837,Budget!A:F,3,FALSE))))),VLOOKUP($D837,Budget!A:F,5,FALSE)*E837))</f>
        <v>0</v>
      </c>
      <c r="J837" s="85">
        <f t="shared" si="70"/>
        <v>36960</v>
      </c>
      <c r="K837" s="14"/>
      <c r="L837" s="73"/>
      <c r="M837" s="80" t="str">
        <f t="shared" si="71"/>
        <v>nein</v>
      </c>
      <c r="N837">
        <f t="shared" si="72"/>
        <v>2023</v>
      </c>
    </row>
    <row r="838" spans="1:14" x14ac:dyDescent="0.3">
      <c r="A838" s="103">
        <f t="shared" si="68"/>
        <v>15</v>
      </c>
      <c r="B838" s="22">
        <f t="shared" si="69"/>
        <v>45029</v>
      </c>
      <c r="C838" s="11" t="s">
        <v>6</v>
      </c>
      <c r="D838" s="12" t="s">
        <v>11</v>
      </c>
      <c r="E838" s="13">
        <f>IF(VLOOKUP(D838,Budget!A:B,2,FALSE)&lt;&gt;0,IF(G838=0,24,24-G838),0)</f>
        <v>24</v>
      </c>
      <c r="G838" s="13"/>
      <c r="H838" s="85">
        <f>IF(E838=0,0,IF(M838="ja",(VLOOKUP(D838,Budget!A:F,6,FALSE)*(E838-(VLOOKUP(D838,Budget!A:F,3,FALSE)))),VLOOKUP($D838,Budget!$A$1:$F$19,6,FALSE)*E838))</f>
        <v>36960</v>
      </c>
      <c r="I838" s="85">
        <f>IF(F838=0,0,IF(M838="ja",((VLOOKUP(F838,Budget!A:F,6,FALSE)*(E838-(VLOOKUP(F838,Budget!A:F,3,FALSE))))),VLOOKUP($D838,Budget!A:F,5,FALSE)*E838))</f>
        <v>0</v>
      </c>
      <c r="J838" s="85">
        <f t="shared" si="70"/>
        <v>36960</v>
      </c>
      <c r="K838" s="14"/>
      <c r="L838" s="73"/>
      <c r="M838" s="80" t="str">
        <f t="shared" si="71"/>
        <v>nein</v>
      </c>
      <c r="N838">
        <f t="shared" si="72"/>
        <v>2023</v>
      </c>
    </row>
    <row r="839" spans="1:14" x14ac:dyDescent="0.3">
      <c r="A839" s="105">
        <f t="shared" si="68"/>
        <v>15</v>
      </c>
      <c r="B839" s="22">
        <f t="shared" si="69"/>
        <v>45030</v>
      </c>
      <c r="C839" s="11" t="s">
        <v>7</v>
      </c>
      <c r="D839" s="12" t="s">
        <v>11</v>
      </c>
      <c r="E839" s="13">
        <f>IF(VLOOKUP(D839,Budget!A:B,2,FALSE)&lt;&gt;0,IF(G839=0,24,24-G839),0)</f>
        <v>24</v>
      </c>
      <c r="G839" s="13"/>
      <c r="H839" s="85">
        <f>IF(E839=0,0,IF(M839="ja",(VLOOKUP(D839,Budget!A:F,6,FALSE)*(E839-(VLOOKUP(D839,Budget!A:F,3,FALSE)))),VLOOKUP($D839,Budget!$A$1:$F$19,6,FALSE)*E839))</f>
        <v>36960</v>
      </c>
      <c r="I839" s="85">
        <f>IF(F839=0,0,IF(M839="ja",((VLOOKUP(F839,Budget!A:F,6,FALSE)*(E839-(VLOOKUP(F839,Budget!A:F,3,FALSE))))),VLOOKUP($D839,Budget!A:F,5,FALSE)*E839))</f>
        <v>0</v>
      </c>
      <c r="J839" s="85">
        <f t="shared" si="70"/>
        <v>36960</v>
      </c>
      <c r="K839" s="14"/>
      <c r="L839" s="25"/>
      <c r="M839" s="80" t="str">
        <f t="shared" si="71"/>
        <v>nein</v>
      </c>
      <c r="N839">
        <f t="shared" si="72"/>
        <v>2023</v>
      </c>
    </row>
    <row r="840" spans="1:14" x14ac:dyDescent="0.3">
      <c r="A840" s="105">
        <f t="shared" si="68"/>
        <v>15</v>
      </c>
      <c r="B840" s="22">
        <f t="shared" si="69"/>
        <v>45031</v>
      </c>
      <c r="C840" s="16" t="s">
        <v>8</v>
      </c>
      <c r="D840" s="17" t="s">
        <v>11</v>
      </c>
      <c r="E840" s="13">
        <f>IF(VLOOKUP(D840,Budget!A:B,2,FALSE)&lt;&gt;0,IF(G840=0,24,24-G840),0)</f>
        <v>24</v>
      </c>
      <c r="F840" s="17"/>
      <c r="G840" s="17"/>
      <c r="H840" s="86">
        <f>IF(E840=0,0,IF(M840="ja",(VLOOKUP(D840,Budget!A:F,6,FALSE)*(E840-(VLOOKUP(D840,Budget!A:F,3,FALSE)))),VLOOKUP($D840,Budget!$A$1:$F$19,6,FALSE)*E840))</f>
        <v>36960</v>
      </c>
      <c r="I840" s="86">
        <f>IF(F840=0,0,IF(M840="ja",((VLOOKUP(F840,Budget!A:F,6,FALSE)*(E840-(VLOOKUP(F840,Budget!A:F,3,FALSE))))),VLOOKUP($D840,Budget!A:F,5,FALSE)*E840))</f>
        <v>0</v>
      </c>
      <c r="J840" s="86">
        <f t="shared" si="70"/>
        <v>36960</v>
      </c>
      <c r="K840" s="18"/>
      <c r="L840" s="75"/>
      <c r="M840" s="76" t="str">
        <f t="shared" si="71"/>
        <v>nein</v>
      </c>
      <c r="N840">
        <f t="shared" si="72"/>
        <v>2023</v>
      </c>
    </row>
    <row r="841" spans="1:14" ht="15" thickBot="1" x14ac:dyDescent="0.35">
      <c r="A841" s="105">
        <f t="shared" si="68"/>
        <v>15</v>
      </c>
      <c r="B841" s="27">
        <f t="shared" si="69"/>
        <v>45032</v>
      </c>
      <c r="C841" s="19" t="s">
        <v>9</v>
      </c>
      <c r="D841" s="20" t="s">
        <v>11</v>
      </c>
      <c r="E841" s="13">
        <f>IF(VLOOKUP(D841,Budget!A:B,2,FALSE)&lt;&gt;0,IF(G841=0,24,24-G841),0)</f>
        <v>24</v>
      </c>
      <c r="F841" s="20"/>
      <c r="G841" s="20"/>
      <c r="H841" s="93">
        <f>IF(E841=0,0,IF(M841="ja",(VLOOKUP(D841,Budget!A:F,6,FALSE)*(E841-(VLOOKUP(D841,Budget!A:F,3,FALSE)))),VLOOKUP($D841,Budget!$A$1:$F$19,6,FALSE)*E841))</f>
        <v>36960</v>
      </c>
      <c r="I841" s="93">
        <f>IF(F841=0,0,IF(M841="ja",((VLOOKUP(F841,Budget!A:F,6,FALSE)*(E841-(VLOOKUP(F841,Budget!A:F,3,FALSE))))),VLOOKUP($D841,Budget!A:F,5,FALSE)*E841))</f>
        <v>0</v>
      </c>
      <c r="J841" s="87">
        <f t="shared" si="70"/>
        <v>36960</v>
      </c>
      <c r="K841" s="21"/>
      <c r="L841" s="74"/>
      <c r="M841" s="77" t="str">
        <f t="shared" si="71"/>
        <v>nein</v>
      </c>
      <c r="N841">
        <f t="shared" si="72"/>
        <v>2023</v>
      </c>
    </row>
    <row r="842" spans="1:14" x14ac:dyDescent="0.3">
      <c r="A842" s="104">
        <f t="shared" si="68"/>
        <v>16</v>
      </c>
      <c r="B842" s="22">
        <f t="shared" si="69"/>
        <v>45033</v>
      </c>
      <c r="C842" s="10" t="s">
        <v>3</v>
      </c>
      <c r="D842" s="12" t="s">
        <v>13</v>
      </c>
      <c r="E842" s="13">
        <f>IF(VLOOKUP(D842,Budget!A:B,2,FALSE)&lt;&gt;0,IF(G842=0,24,24-G842),0)</f>
        <v>0</v>
      </c>
      <c r="F842" s="13"/>
      <c r="G842" s="13"/>
      <c r="H842" s="85">
        <f>IF(E842=0,0,IF(M842="ja",(VLOOKUP(D842,Budget!A:F,6,FALSE)*(E842-(VLOOKUP(D842,Budget!A:F,3,FALSE)))),VLOOKUP($D842,Budget!$A$1:$F$19,6,FALSE)*E842))</f>
        <v>0</v>
      </c>
      <c r="I842" s="85">
        <f>IF(F842=0,0,IF(M842="ja",((VLOOKUP(F842,Budget!A:F,6,FALSE)*(E842-(VLOOKUP(F842,Budget!A:F,3,FALSE))))),VLOOKUP($D842,Budget!A:F,5,FALSE)*E842))</f>
        <v>0</v>
      </c>
      <c r="J842" s="85">
        <f t="shared" si="70"/>
        <v>0</v>
      </c>
      <c r="K842" s="15"/>
      <c r="L842" s="72"/>
      <c r="M842" s="80" t="str">
        <f t="shared" si="71"/>
        <v>nein</v>
      </c>
      <c r="N842">
        <f t="shared" si="72"/>
        <v>2023</v>
      </c>
    </row>
    <row r="843" spans="1:14" x14ac:dyDescent="0.3">
      <c r="A843" s="105">
        <f t="shared" si="68"/>
        <v>16</v>
      </c>
      <c r="B843" s="22">
        <f t="shared" si="69"/>
        <v>45034</v>
      </c>
      <c r="C843" s="11" t="s">
        <v>4</v>
      </c>
      <c r="D843" s="12" t="s">
        <v>51</v>
      </c>
      <c r="E843" s="13" t="e">
        <f>IF(VLOOKUP(D843,Budget!A:B,2,FALSE)&lt;&gt;0,IF(G843=0,24,24-G843),0)</f>
        <v>#N/A</v>
      </c>
      <c r="G843" s="13"/>
      <c r="H843" s="85" t="e">
        <f>IF(E843=0,0,IF(M843="ja",(VLOOKUP(D843,Budget!A:F,6,FALSE)*(E843-(VLOOKUP(D843,Budget!A:F,3,FALSE)))),VLOOKUP($D843,Budget!$A$1:$F$19,6,FALSE)*E843))</f>
        <v>#N/A</v>
      </c>
      <c r="I843" s="85">
        <f>IF(F843=0,0,IF(M843="ja",((VLOOKUP(F843,Budget!A:F,6,FALSE)*(E843-(VLOOKUP(F843,Budget!A:F,3,FALSE))))),VLOOKUP($D843,Budget!A:F,5,FALSE)*E843))</f>
        <v>0</v>
      </c>
      <c r="J843" s="85" t="e">
        <f t="shared" si="70"/>
        <v>#N/A</v>
      </c>
      <c r="K843" s="14"/>
      <c r="L843" s="73"/>
      <c r="M843" s="80" t="e">
        <f t="shared" si="71"/>
        <v>#N/A</v>
      </c>
      <c r="N843">
        <f t="shared" si="72"/>
        <v>2023</v>
      </c>
    </row>
    <row r="844" spans="1:14" x14ac:dyDescent="0.3">
      <c r="A844" s="105">
        <f t="shared" si="68"/>
        <v>16</v>
      </c>
      <c r="B844" s="22">
        <f t="shared" si="69"/>
        <v>45035</v>
      </c>
      <c r="C844" s="11" t="s">
        <v>5</v>
      </c>
      <c r="D844" s="12" t="s">
        <v>51</v>
      </c>
      <c r="E844" s="13" t="e">
        <f>IF(VLOOKUP(D844,Budget!A:B,2,FALSE)&lt;&gt;0,IF(G844=0,24,24-G844),0)</f>
        <v>#N/A</v>
      </c>
      <c r="G844" s="13"/>
      <c r="H844" s="85" t="e">
        <f>IF(E844=0,0,IF(M844="ja",(VLOOKUP(D844,Budget!A:F,6,FALSE)*(E844-(VLOOKUP(D844,Budget!A:F,3,FALSE)))),VLOOKUP($D844,Budget!$A$1:$F$19,6,FALSE)*E844))</f>
        <v>#N/A</v>
      </c>
      <c r="I844" s="85">
        <f>IF(F844=0,0,IF(M844="ja",((VLOOKUP(F844,Budget!A:F,6,FALSE)*(E844-(VLOOKUP(F844,Budget!A:F,3,FALSE))))),VLOOKUP($D844,Budget!A:F,5,FALSE)*E844))</f>
        <v>0</v>
      </c>
      <c r="J844" s="85" t="e">
        <f t="shared" si="70"/>
        <v>#N/A</v>
      </c>
      <c r="K844" s="14"/>
      <c r="L844" s="73"/>
      <c r="M844" s="80" t="e">
        <f t="shared" si="71"/>
        <v>#N/A</v>
      </c>
      <c r="N844">
        <f t="shared" si="72"/>
        <v>2023</v>
      </c>
    </row>
    <row r="845" spans="1:14" x14ac:dyDescent="0.3">
      <c r="A845" s="103">
        <f t="shared" si="68"/>
        <v>16</v>
      </c>
      <c r="B845" s="22">
        <f t="shared" si="69"/>
        <v>45036</v>
      </c>
      <c r="C845" s="11" t="s">
        <v>6</v>
      </c>
      <c r="D845" s="12" t="s">
        <v>51</v>
      </c>
      <c r="E845" s="13" t="e">
        <f>IF(VLOOKUP(D845,Budget!A:B,2,FALSE)&lt;&gt;0,IF(G845=0,24,24-G845),0)</f>
        <v>#N/A</v>
      </c>
      <c r="G845" s="13"/>
      <c r="H845" s="85" t="e">
        <f>IF(E845=0,0,IF(M845="ja",(VLOOKUP(D845,Budget!A:F,6,FALSE)*(E845-(VLOOKUP(D845,Budget!A:F,3,FALSE)))),VLOOKUP($D845,Budget!$A$1:$F$19,6,FALSE)*E845))</f>
        <v>#N/A</v>
      </c>
      <c r="I845" s="85">
        <f>IF(F845=0,0,IF(M845="ja",((VLOOKUP(F845,Budget!A:F,6,FALSE)*(E845-(VLOOKUP(F845,Budget!A:F,3,FALSE))))),VLOOKUP($D845,Budget!A:F,5,FALSE)*E845))</f>
        <v>0</v>
      </c>
      <c r="J845" s="85" t="e">
        <f t="shared" si="70"/>
        <v>#N/A</v>
      </c>
      <c r="K845" s="14"/>
      <c r="L845" s="73"/>
      <c r="M845" s="80" t="e">
        <f t="shared" si="71"/>
        <v>#N/A</v>
      </c>
      <c r="N845">
        <f t="shared" si="72"/>
        <v>2023</v>
      </c>
    </row>
    <row r="846" spans="1:14" x14ac:dyDescent="0.3">
      <c r="A846" s="105">
        <f t="shared" si="68"/>
        <v>16</v>
      </c>
      <c r="B846" s="22">
        <f t="shared" si="69"/>
        <v>45037</v>
      </c>
      <c r="C846" s="11" t="s">
        <v>7</v>
      </c>
      <c r="D846" s="12" t="s">
        <v>51</v>
      </c>
      <c r="E846" s="13" t="e">
        <f>IF(VLOOKUP(D846,Budget!A:B,2,FALSE)&lt;&gt;0,IF(G846=0,24,24-G846),0)</f>
        <v>#N/A</v>
      </c>
      <c r="G846" s="13"/>
      <c r="H846" s="85" t="e">
        <f>IF(E846=0,0,IF(M846="ja",(VLOOKUP(D846,Budget!A:F,6,FALSE)*(E846-(VLOOKUP(D846,Budget!A:F,3,FALSE)))),VLOOKUP($D846,Budget!$A$1:$F$19,6,FALSE)*E846))</f>
        <v>#N/A</v>
      </c>
      <c r="I846" s="85">
        <f>IF(F846=0,0,IF(M846="ja",((VLOOKUP(F846,Budget!A:F,6,FALSE)*(E846-(VLOOKUP(F846,Budget!A:F,3,FALSE))))),VLOOKUP($D846,Budget!A:F,5,FALSE)*E846))</f>
        <v>0</v>
      </c>
      <c r="J846" s="85" t="e">
        <f t="shared" si="70"/>
        <v>#N/A</v>
      </c>
      <c r="K846" s="14"/>
      <c r="L846" s="25"/>
      <c r="M846" s="80" t="e">
        <f t="shared" si="71"/>
        <v>#N/A</v>
      </c>
      <c r="N846">
        <f t="shared" si="72"/>
        <v>2023</v>
      </c>
    </row>
    <row r="847" spans="1:14" x14ac:dyDescent="0.3">
      <c r="A847" s="105">
        <f t="shared" si="68"/>
        <v>16</v>
      </c>
      <c r="B847" s="22">
        <f t="shared" si="69"/>
        <v>45038</v>
      </c>
      <c r="C847" s="16" t="s">
        <v>8</v>
      </c>
      <c r="D847" s="17" t="s">
        <v>69</v>
      </c>
      <c r="E847" s="13">
        <f>IF(VLOOKUP(D847,Budget!A:B,2,FALSE)&lt;&gt;0,IF(G847=0,24,24-G847),0)</f>
        <v>24</v>
      </c>
      <c r="F847" s="17"/>
      <c r="G847" s="17"/>
      <c r="H847" s="86">
        <f>IF(E847=0,0,IF(M847="ja",(VLOOKUP(D847,Budget!A:F,6,FALSE)*(E847-(VLOOKUP(D847,Budget!A:F,3,FALSE)))),VLOOKUP($D847,Budget!$A$1:$F$19,6,FALSE)*E847))</f>
        <v>38269.757143831848</v>
      </c>
      <c r="I847" s="86">
        <f>IF(F847=0,0,IF(M847="ja",((VLOOKUP(F847,Budget!A:F,6,FALSE)*(E847-(VLOOKUP(F847,Budget!A:F,3,FALSE))))),VLOOKUP($D847,Budget!A:F,5,FALSE)*E847))</f>
        <v>0</v>
      </c>
      <c r="J847" s="86">
        <f t="shared" si="70"/>
        <v>38269.757143831848</v>
      </c>
      <c r="K847" s="18"/>
      <c r="L847" s="75"/>
      <c r="M847" s="76" t="str">
        <f t="shared" si="71"/>
        <v>ja</v>
      </c>
      <c r="N847">
        <f t="shared" si="72"/>
        <v>2023</v>
      </c>
    </row>
    <row r="848" spans="1:14" ht="15" thickBot="1" x14ac:dyDescent="0.35">
      <c r="A848" s="105">
        <f t="shared" si="68"/>
        <v>16</v>
      </c>
      <c r="B848" s="27">
        <f t="shared" si="69"/>
        <v>45039</v>
      </c>
      <c r="C848" s="19" t="s">
        <v>9</v>
      </c>
      <c r="D848" s="20" t="s">
        <v>69</v>
      </c>
      <c r="E848" s="13">
        <f>IF(VLOOKUP(D848,Budget!A:B,2,FALSE)&lt;&gt;0,IF(G848=0,24,24-G848),0)</f>
        <v>24</v>
      </c>
      <c r="F848" s="20"/>
      <c r="G848" s="20"/>
      <c r="H848" s="93">
        <f>IF(E848=0,0,IF(M848="ja",(VLOOKUP(D848,Budget!A:F,6,FALSE)*(E848-(VLOOKUP(D848,Budget!A:F,3,FALSE)))),VLOOKUP($D848,Budget!$A$1:$F$19,6,FALSE)*E848))</f>
        <v>42919.35380616656</v>
      </c>
      <c r="I848" s="93">
        <f>IF(F848=0,0,IF(M848="ja",((VLOOKUP(F848,Budget!A:F,6,FALSE)*(E848-(VLOOKUP(F848,Budget!A:F,3,FALSE))))),VLOOKUP($D848,Budget!A:F,5,FALSE)*E848))</f>
        <v>0</v>
      </c>
      <c r="J848" s="87">
        <f t="shared" si="70"/>
        <v>42919.35380616656</v>
      </c>
      <c r="K848" s="21"/>
      <c r="L848" s="74"/>
      <c r="M848" s="77" t="str">
        <f t="shared" si="71"/>
        <v>nein</v>
      </c>
      <c r="N848">
        <f t="shared" si="72"/>
        <v>2023</v>
      </c>
    </row>
    <row r="849" spans="1:14" x14ac:dyDescent="0.3">
      <c r="A849" s="104">
        <f t="shared" si="68"/>
        <v>17</v>
      </c>
      <c r="B849" s="22">
        <f t="shared" si="69"/>
        <v>45040</v>
      </c>
      <c r="C849" s="10" t="s">
        <v>3</v>
      </c>
      <c r="D849" s="12" t="s">
        <v>69</v>
      </c>
      <c r="E849" s="13">
        <f>IF(VLOOKUP(D849,Budget!A:B,2,FALSE)&lt;&gt;0,IF(G849=0,24,24-G849),0)</f>
        <v>24</v>
      </c>
      <c r="F849" s="13"/>
      <c r="G849" s="13"/>
      <c r="H849" s="85">
        <f>IF(E849=0,0,IF(M849="ja",(VLOOKUP(D849,Budget!A:F,6,FALSE)*(E849-(VLOOKUP(D849,Budget!A:F,3,FALSE)))),VLOOKUP($D849,Budget!$A$1:$F$19,6,FALSE)*E849))</f>
        <v>42919.35380616656</v>
      </c>
      <c r="I849" s="85">
        <f>IF(F849=0,0,IF(M849="ja",((VLOOKUP(F849,Budget!A:F,6,FALSE)*(E849-(VLOOKUP(F849,Budget!A:F,3,FALSE))))),VLOOKUP($D849,Budget!A:F,5,FALSE)*E849))</f>
        <v>0</v>
      </c>
      <c r="J849" s="85">
        <f t="shared" si="70"/>
        <v>42919.35380616656</v>
      </c>
      <c r="K849" s="15"/>
      <c r="L849" s="72"/>
      <c r="M849" s="80" t="str">
        <f t="shared" si="71"/>
        <v>nein</v>
      </c>
      <c r="N849">
        <f t="shared" si="72"/>
        <v>2023</v>
      </c>
    </row>
    <row r="850" spans="1:14" x14ac:dyDescent="0.3">
      <c r="A850" s="105">
        <f t="shared" si="68"/>
        <v>17</v>
      </c>
      <c r="B850" s="22">
        <f t="shared" si="69"/>
        <v>45041</v>
      </c>
      <c r="C850" s="11" t="s">
        <v>4</v>
      </c>
      <c r="D850" s="12" t="s">
        <v>69</v>
      </c>
      <c r="E850" s="13">
        <f>IF(VLOOKUP(D850,Budget!A:B,2,FALSE)&lt;&gt;0,IF(G850=0,24,24-G850),0)</f>
        <v>24</v>
      </c>
      <c r="G850" s="13"/>
      <c r="H850" s="85">
        <f>IF(E850=0,0,IF(M850="ja",(VLOOKUP(D850,Budget!A:F,6,FALSE)*(E850-(VLOOKUP(D850,Budget!A:F,3,FALSE)))),VLOOKUP($D850,Budget!$A$1:$F$19,6,FALSE)*E850))</f>
        <v>42919.35380616656</v>
      </c>
      <c r="I850" s="85">
        <f>IF(F850=0,0,IF(M850="ja",((VLOOKUP(F850,Budget!A:F,6,FALSE)*(E850-(VLOOKUP(F850,Budget!A:F,3,FALSE))))),VLOOKUP($D850,Budget!A:F,5,FALSE)*E850))</f>
        <v>0</v>
      </c>
      <c r="J850" s="85">
        <f t="shared" si="70"/>
        <v>42919.35380616656</v>
      </c>
      <c r="K850" s="14"/>
      <c r="L850" s="73"/>
      <c r="M850" s="80" t="str">
        <f t="shared" si="71"/>
        <v>nein</v>
      </c>
      <c r="N850">
        <f t="shared" si="72"/>
        <v>2023</v>
      </c>
    </row>
    <row r="851" spans="1:14" x14ac:dyDescent="0.3">
      <c r="A851" s="105">
        <f t="shared" si="68"/>
        <v>17</v>
      </c>
      <c r="B851" s="22">
        <f t="shared" si="69"/>
        <v>45042</v>
      </c>
      <c r="C851" s="11" t="s">
        <v>5</v>
      </c>
      <c r="D851" s="12" t="s">
        <v>69</v>
      </c>
      <c r="E851" s="13">
        <f>IF(VLOOKUP(D851,Budget!A:B,2,FALSE)&lt;&gt;0,IF(G851=0,24,24-G851),0)</f>
        <v>24</v>
      </c>
      <c r="G851" s="13"/>
      <c r="H851" s="85">
        <f>IF(E851=0,0,IF(M851="ja",(VLOOKUP(D851,Budget!A:F,6,FALSE)*(E851-(VLOOKUP(D851,Budget!A:F,3,FALSE)))),VLOOKUP($D851,Budget!$A$1:$F$19,6,FALSE)*E851))</f>
        <v>42919.35380616656</v>
      </c>
      <c r="I851" s="85">
        <f>IF(F851=0,0,IF(M851="ja",((VLOOKUP(F851,Budget!A:F,6,FALSE)*(E851-(VLOOKUP(F851,Budget!A:F,3,FALSE))))),VLOOKUP($D851,Budget!A:F,5,FALSE)*E851))</f>
        <v>0</v>
      </c>
      <c r="J851" s="85">
        <f t="shared" si="70"/>
        <v>42919.35380616656</v>
      </c>
      <c r="K851" s="14"/>
      <c r="L851" s="73"/>
      <c r="M851" s="80" t="str">
        <f t="shared" si="71"/>
        <v>nein</v>
      </c>
      <c r="N851">
        <f t="shared" si="72"/>
        <v>2023</v>
      </c>
    </row>
    <row r="852" spans="1:14" x14ac:dyDescent="0.3">
      <c r="A852" s="103">
        <f t="shared" si="68"/>
        <v>17</v>
      </c>
      <c r="B852" s="22">
        <f t="shared" si="69"/>
        <v>45043</v>
      </c>
      <c r="C852" s="11" t="s">
        <v>6</v>
      </c>
      <c r="D852" s="12" t="s">
        <v>69</v>
      </c>
      <c r="E852" s="13">
        <f>IF(VLOOKUP(D852,Budget!A:B,2,FALSE)&lt;&gt;0,IF(G852=0,24,24-G852),0)</f>
        <v>24</v>
      </c>
      <c r="G852" s="13"/>
      <c r="H852" s="85">
        <f>IF(E852=0,0,IF(M852="ja",(VLOOKUP(D852,Budget!A:F,6,FALSE)*(E852-(VLOOKUP(D852,Budget!A:F,3,FALSE)))),VLOOKUP($D852,Budget!$A$1:$F$19,6,FALSE)*E852))</f>
        <v>42919.35380616656</v>
      </c>
      <c r="I852" s="85">
        <f>IF(F852=0,0,IF(M852="ja",((VLOOKUP(F852,Budget!A:F,6,FALSE)*(E852-(VLOOKUP(F852,Budget!A:F,3,FALSE))))),VLOOKUP($D852,Budget!A:F,5,FALSE)*E852))</f>
        <v>0</v>
      </c>
      <c r="J852" s="85">
        <f t="shared" si="70"/>
        <v>42919.35380616656</v>
      </c>
      <c r="K852" s="14"/>
      <c r="L852" s="73"/>
      <c r="M852" s="80" t="str">
        <f t="shared" si="71"/>
        <v>nein</v>
      </c>
      <c r="N852">
        <f t="shared" si="72"/>
        <v>2023</v>
      </c>
    </row>
    <row r="853" spans="1:14" x14ac:dyDescent="0.3">
      <c r="A853" s="105">
        <f t="shared" si="68"/>
        <v>17</v>
      </c>
      <c r="B853" s="22">
        <f t="shared" si="69"/>
        <v>45044</v>
      </c>
      <c r="C853" s="11" t="s">
        <v>7</v>
      </c>
      <c r="D853" s="12" t="s">
        <v>12</v>
      </c>
      <c r="E853" s="13">
        <f>IF(VLOOKUP(D853,Budget!A:B,2,FALSE)&lt;&gt;0,IF(G853=0,24,24-G853),0)</f>
        <v>24</v>
      </c>
      <c r="G853" s="13"/>
      <c r="H853" s="85">
        <f>IF(E853=0,0,IF(M853="ja",(VLOOKUP(D853,Budget!A:F,6,FALSE)*(E853-(VLOOKUP(D853,Budget!A:F,3,FALSE)))),VLOOKUP($D853,Budget!$A$1:$F$19,6,FALSE)*E853))</f>
        <v>27720</v>
      </c>
      <c r="I853" s="85">
        <f>IF(F853=0,0,IF(M853="ja",((VLOOKUP(F853,Budget!A:F,6,FALSE)*(E853-(VLOOKUP(F853,Budget!A:F,3,FALSE))))),VLOOKUP($D853,Budget!A:F,5,FALSE)*E853))</f>
        <v>0</v>
      </c>
      <c r="J853" s="85">
        <f t="shared" si="70"/>
        <v>27720</v>
      </c>
      <c r="K853" s="14"/>
      <c r="L853" s="25"/>
      <c r="M853" s="80" t="str">
        <f t="shared" si="71"/>
        <v>ja</v>
      </c>
      <c r="N853">
        <f t="shared" si="72"/>
        <v>2023</v>
      </c>
    </row>
    <row r="854" spans="1:14" x14ac:dyDescent="0.3">
      <c r="A854" s="105">
        <f t="shared" si="68"/>
        <v>17</v>
      </c>
      <c r="B854" s="22">
        <f t="shared" si="69"/>
        <v>45045</v>
      </c>
      <c r="C854" s="16" t="s">
        <v>8</v>
      </c>
      <c r="D854" s="12" t="s">
        <v>12</v>
      </c>
      <c r="E854" s="13">
        <f>IF(VLOOKUP(D854,Budget!A:B,2,FALSE)&lt;&gt;0,IF(G854=0,24,24-G854),0)</f>
        <v>24</v>
      </c>
      <c r="F854" s="17"/>
      <c r="G854" s="17"/>
      <c r="H854" s="86">
        <f>IF(E854=0,0,IF(M854="ja",(VLOOKUP(D854,Budget!A:F,6,FALSE)*(E854-(VLOOKUP(D854,Budget!A:F,3,FALSE)))),VLOOKUP($D854,Budget!$A$1:$F$19,6,FALSE)*E854))</f>
        <v>36960</v>
      </c>
      <c r="I854" s="86">
        <f>IF(F854=0,0,IF(M854="ja",((VLOOKUP(F854,Budget!A:F,6,FALSE)*(E854-(VLOOKUP(F854,Budget!A:F,3,FALSE))))),VLOOKUP($D854,Budget!A:F,5,FALSE)*E854))</f>
        <v>0</v>
      </c>
      <c r="J854" s="86">
        <f t="shared" si="70"/>
        <v>36960</v>
      </c>
      <c r="K854" s="18"/>
      <c r="L854" s="75"/>
      <c r="M854" s="76" t="str">
        <f t="shared" si="71"/>
        <v>nein</v>
      </c>
      <c r="N854">
        <f t="shared" si="72"/>
        <v>2023</v>
      </c>
    </row>
    <row r="855" spans="1:14" ht="15" thickBot="1" x14ac:dyDescent="0.35">
      <c r="A855" s="105">
        <f t="shared" si="68"/>
        <v>17</v>
      </c>
      <c r="B855" s="27">
        <f t="shared" si="69"/>
        <v>45046</v>
      </c>
      <c r="C855" s="19" t="s">
        <v>9</v>
      </c>
      <c r="D855" s="12" t="s">
        <v>12</v>
      </c>
      <c r="E855" s="13">
        <f>IF(VLOOKUP(D855,Budget!A:B,2,FALSE)&lt;&gt;0,IF(G855=0,24,24-G855),0)</f>
        <v>24</v>
      </c>
      <c r="F855" s="20"/>
      <c r="G855" s="20"/>
      <c r="H855" s="93">
        <f>IF(E855=0,0,IF(M855="ja",(VLOOKUP(D855,Budget!A:F,6,FALSE)*(E855-(VLOOKUP(D855,Budget!A:F,3,FALSE)))),VLOOKUP($D855,Budget!$A$1:$F$19,6,FALSE)*E855))</f>
        <v>36960</v>
      </c>
      <c r="I855" s="93">
        <f>IF(F855=0,0,IF(M855="ja",((VLOOKUP(F855,Budget!A:F,6,FALSE)*(E855-(VLOOKUP(F855,Budget!A:F,3,FALSE))))),VLOOKUP($D855,Budget!A:F,5,FALSE)*E855))</f>
        <v>0</v>
      </c>
      <c r="J855" s="87">
        <f t="shared" si="70"/>
        <v>36960</v>
      </c>
      <c r="K855" s="21"/>
      <c r="L855" s="74"/>
      <c r="M855" s="77" t="str">
        <f t="shared" si="71"/>
        <v>nein</v>
      </c>
      <c r="N855">
        <f t="shared" si="72"/>
        <v>2023</v>
      </c>
    </row>
    <row r="856" spans="1:14" x14ac:dyDescent="0.3">
      <c r="A856" s="104">
        <f t="shared" si="68"/>
        <v>18</v>
      </c>
      <c r="B856" s="130">
        <f t="shared" si="69"/>
        <v>45047</v>
      </c>
      <c r="C856" s="132" t="s">
        <v>3</v>
      </c>
      <c r="D856" s="12" t="s">
        <v>11</v>
      </c>
      <c r="E856" s="13">
        <f>IF(VLOOKUP(D856,Budget!A:B,2,FALSE)&lt;&gt;0,IF(G856=0,24,24-G856),0)</f>
        <v>24</v>
      </c>
      <c r="F856" s="13"/>
      <c r="G856" s="13"/>
      <c r="H856" s="85">
        <f>IF(E856=0,0,IF(M856="ja",(VLOOKUP(D856,Budget!A:F,6,FALSE)*(E856-(VLOOKUP(D856,Budget!A:F,3,FALSE)))),VLOOKUP($D856,Budget!$A$1:$F$19,6,FALSE)*E856))</f>
        <v>30030</v>
      </c>
      <c r="I856" s="85">
        <f>IF(F856=0,0,IF(M856="ja",((VLOOKUP(F856,Budget!A:F,6,FALSE)*(E856-(VLOOKUP(F856,Budget!A:F,3,FALSE))))),VLOOKUP($D856,Budget!A:F,5,FALSE)*E856))</f>
        <v>0</v>
      </c>
      <c r="J856" s="85">
        <f t="shared" si="70"/>
        <v>30030</v>
      </c>
      <c r="K856" s="15"/>
      <c r="L856" s="72"/>
      <c r="M856" s="80" t="str">
        <f t="shared" si="71"/>
        <v>ja</v>
      </c>
      <c r="N856">
        <f t="shared" si="72"/>
        <v>2023</v>
      </c>
    </row>
    <row r="857" spans="1:14" x14ac:dyDescent="0.3">
      <c r="A857" s="105">
        <f t="shared" si="68"/>
        <v>18</v>
      </c>
      <c r="B857" s="22">
        <f t="shared" si="69"/>
        <v>45048</v>
      </c>
      <c r="C857" s="11" t="s">
        <v>4</v>
      </c>
      <c r="D857" s="12" t="s">
        <v>11</v>
      </c>
      <c r="E857" s="13">
        <f>IF(VLOOKUP(D857,Budget!A:B,2,FALSE)&lt;&gt;0,IF(G857=0,24,24-G857),0)</f>
        <v>24</v>
      </c>
      <c r="G857" s="13"/>
      <c r="H857" s="85">
        <f>IF(E857=0,0,IF(M857="ja",(VLOOKUP(D857,Budget!A:F,6,FALSE)*(E857-(VLOOKUP(D857,Budget!A:F,3,FALSE)))),VLOOKUP($D857,Budget!$A$1:$F$19,6,FALSE)*E857))</f>
        <v>36960</v>
      </c>
      <c r="I857" s="85">
        <f>IF(F857=0,0,IF(M857="ja",((VLOOKUP(F857,Budget!A:F,6,FALSE)*(E857-(VLOOKUP(F857,Budget!A:F,3,FALSE))))),VLOOKUP($D857,Budget!A:F,5,FALSE)*E857))</f>
        <v>0</v>
      </c>
      <c r="J857" s="85">
        <f t="shared" si="70"/>
        <v>36960</v>
      </c>
      <c r="K857" s="14"/>
      <c r="L857" s="73"/>
      <c r="M857" s="80" t="str">
        <f t="shared" si="71"/>
        <v>nein</v>
      </c>
      <c r="N857">
        <f t="shared" si="72"/>
        <v>2023</v>
      </c>
    </row>
    <row r="858" spans="1:14" x14ac:dyDescent="0.3">
      <c r="A858" s="105">
        <f t="shared" si="68"/>
        <v>18</v>
      </c>
      <c r="B858" s="22">
        <f t="shared" si="69"/>
        <v>45049</v>
      </c>
      <c r="C858" s="11" t="s">
        <v>5</v>
      </c>
      <c r="D858" s="12" t="s">
        <v>11</v>
      </c>
      <c r="E858" s="13">
        <f>IF(VLOOKUP(D858,Budget!A:B,2,FALSE)&lt;&gt;0,IF(G858=0,24,24-G858),0)</f>
        <v>24</v>
      </c>
      <c r="G858" s="13"/>
      <c r="H858" s="85">
        <f>IF(E858=0,0,IF(M858="ja",(VLOOKUP(D858,Budget!A:F,6,FALSE)*(E858-(VLOOKUP(D858,Budget!A:F,3,FALSE)))),VLOOKUP($D858,Budget!$A$1:$F$19,6,FALSE)*E858))</f>
        <v>36960</v>
      </c>
      <c r="I858" s="85">
        <f>IF(F858=0,0,IF(M858="ja",((VLOOKUP(F858,Budget!A:F,6,FALSE)*(E858-(VLOOKUP(F858,Budget!A:F,3,FALSE))))),VLOOKUP($D858,Budget!A:F,5,FALSE)*E858))</f>
        <v>0</v>
      </c>
      <c r="J858" s="85">
        <f t="shared" si="70"/>
        <v>36960</v>
      </c>
      <c r="K858" s="14"/>
      <c r="L858" s="73"/>
      <c r="M858" s="80" t="str">
        <f t="shared" si="71"/>
        <v>nein</v>
      </c>
      <c r="N858">
        <f t="shared" si="72"/>
        <v>2023</v>
      </c>
    </row>
    <row r="859" spans="1:14" x14ac:dyDescent="0.3">
      <c r="A859" s="103">
        <f t="shared" si="68"/>
        <v>18</v>
      </c>
      <c r="B859" s="22">
        <f t="shared" si="69"/>
        <v>45050</v>
      </c>
      <c r="C859" s="11" t="s">
        <v>6</v>
      </c>
      <c r="D859" s="12" t="s">
        <v>11</v>
      </c>
      <c r="E859" s="13">
        <f>IF(VLOOKUP(D859,Budget!A:B,2,FALSE)&lt;&gt;0,IF(G859=0,24,24-G859),0)</f>
        <v>24</v>
      </c>
      <c r="G859" s="13"/>
      <c r="H859" s="85">
        <f>IF(E859=0,0,IF(M859="ja",(VLOOKUP(D859,Budget!A:F,6,FALSE)*(E859-(VLOOKUP(D859,Budget!A:F,3,FALSE)))),VLOOKUP($D859,Budget!$A$1:$F$19,6,FALSE)*E859))</f>
        <v>36960</v>
      </c>
      <c r="I859" s="85">
        <f>IF(F859=0,0,IF(M859="ja",((VLOOKUP(F859,Budget!A:F,6,FALSE)*(E859-(VLOOKUP(F859,Budget!A:F,3,FALSE))))),VLOOKUP($D859,Budget!A:F,5,FALSE)*E859))</f>
        <v>0</v>
      </c>
      <c r="J859" s="85">
        <f t="shared" si="70"/>
        <v>36960</v>
      </c>
      <c r="K859" s="14"/>
      <c r="L859" s="73"/>
      <c r="M859" s="80" t="str">
        <f t="shared" si="71"/>
        <v>nein</v>
      </c>
      <c r="N859">
        <f t="shared" si="72"/>
        <v>2023</v>
      </c>
    </row>
    <row r="860" spans="1:14" x14ac:dyDescent="0.3">
      <c r="A860" s="105">
        <f t="shared" si="68"/>
        <v>18</v>
      </c>
      <c r="B860" s="22">
        <f t="shared" si="69"/>
        <v>45051</v>
      </c>
      <c r="C860" s="11" t="s">
        <v>7</v>
      </c>
      <c r="D860" s="12" t="s">
        <v>11</v>
      </c>
      <c r="E860" s="13">
        <f>IF(VLOOKUP(D860,Budget!A:B,2,FALSE)&lt;&gt;0,IF(G860=0,24,24-G860),0)</f>
        <v>24</v>
      </c>
      <c r="G860" s="13"/>
      <c r="H860" s="85">
        <f>IF(E860=0,0,IF(M860="ja",(VLOOKUP(D860,Budget!A:F,6,FALSE)*(E860-(VLOOKUP(D860,Budget!A:F,3,FALSE)))),VLOOKUP($D860,Budget!$A$1:$F$19,6,FALSE)*E860))</f>
        <v>36960</v>
      </c>
      <c r="I860" s="85">
        <f>IF(F860=0,0,IF(M860="ja",((VLOOKUP(F860,Budget!A:F,6,FALSE)*(E860-(VLOOKUP(F860,Budget!A:F,3,FALSE))))),VLOOKUP($D860,Budget!A:F,5,FALSE)*E860))</f>
        <v>0</v>
      </c>
      <c r="J860" s="85">
        <f t="shared" si="70"/>
        <v>36960</v>
      </c>
      <c r="K860" s="14"/>
      <c r="L860" s="25"/>
      <c r="M860" s="80" t="str">
        <f t="shared" si="71"/>
        <v>nein</v>
      </c>
      <c r="N860">
        <f t="shared" si="72"/>
        <v>2023</v>
      </c>
    </row>
    <row r="861" spans="1:14" x14ac:dyDescent="0.3">
      <c r="A861" s="105">
        <f t="shared" si="68"/>
        <v>18</v>
      </c>
      <c r="B861" s="22">
        <f t="shared" si="69"/>
        <v>45052</v>
      </c>
      <c r="C861" s="16" t="s">
        <v>8</v>
      </c>
      <c r="D861" s="17" t="s">
        <v>11</v>
      </c>
      <c r="E861" s="13">
        <f>IF(VLOOKUP(D861,Budget!A:B,2,FALSE)&lt;&gt;0,IF(G861=0,24,24-G861),0)</f>
        <v>24</v>
      </c>
      <c r="F861" s="17"/>
      <c r="G861" s="17"/>
      <c r="H861" s="86">
        <f>IF(E861=0,0,IF(M861="ja",(VLOOKUP(D861,Budget!A:F,6,FALSE)*(E861-(VLOOKUP(D861,Budget!A:F,3,FALSE)))),VLOOKUP($D861,Budget!$A$1:$F$19,6,FALSE)*E861))</f>
        <v>36960</v>
      </c>
      <c r="I861" s="86">
        <f>IF(F861=0,0,IF(M861="ja",((VLOOKUP(F861,Budget!A:F,6,FALSE)*(E861-(VLOOKUP(F861,Budget!A:F,3,FALSE))))),VLOOKUP($D861,Budget!A:F,5,FALSE)*E861))</f>
        <v>0</v>
      </c>
      <c r="J861" s="86">
        <f t="shared" si="70"/>
        <v>36960</v>
      </c>
      <c r="K861" s="18"/>
      <c r="L861" s="75"/>
      <c r="M861" s="76" t="str">
        <f t="shared" si="71"/>
        <v>nein</v>
      </c>
      <c r="N861">
        <f t="shared" si="72"/>
        <v>2023</v>
      </c>
    </row>
    <row r="862" spans="1:14" ht="15" thickBot="1" x14ac:dyDescent="0.35">
      <c r="A862" s="105">
        <f t="shared" si="68"/>
        <v>18</v>
      </c>
      <c r="B862" s="27">
        <f t="shared" si="69"/>
        <v>45053</v>
      </c>
      <c r="C862" s="19" t="s">
        <v>9</v>
      </c>
      <c r="D862" s="20" t="s">
        <v>11</v>
      </c>
      <c r="E862" s="13">
        <f>IF(VLOOKUP(D862,Budget!A:B,2,FALSE)&lt;&gt;0,IF(G862=0,24,24-G862),0)</f>
        <v>24</v>
      </c>
      <c r="F862" s="20"/>
      <c r="G862" s="20"/>
      <c r="H862" s="93">
        <f>IF(E862=0,0,IF(M862="ja",(VLOOKUP(D862,Budget!A:F,6,FALSE)*(E862-(VLOOKUP(D862,Budget!A:F,3,FALSE)))),VLOOKUP($D862,Budget!$A$1:$F$19,6,FALSE)*E862))</f>
        <v>36960</v>
      </c>
      <c r="I862" s="93">
        <f>IF(F862=0,0,IF(M862="ja",((VLOOKUP(F862,Budget!A:F,6,FALSE)*(E862-(VLOOKUP(F862,Budget!A:F,3,FALSE))))),VLOOKUP($D862,Budget!A:F,5,FALSE)*E862))</f>
        <v>0</v>
      </c>
      <c r="J862" s="87">
        <f t="shared" si="70"/>
        <v>36960</v>
      </c>
      <c r="K862" s="21"/>
      <c r="L862" s="74"/>
      <c r="M862" s="77" t="str">
        <f t="shared" si="71"/>
        <v>nein</v>
      </c>
      <c r="N862">
        <f t="shared" si="72"/>
        <v>2023</v>
      </c>
    </row>
    <row r="863" spans="1:14" x14ac:dyDescent="0.3">
      <c r="A863" s="104">
        <f t="shared" si="68"/>
        <v>19</v>
      </c>
      <c r="B863" s="22">
        <f t="shared" si="69"/>
        <v>45054</v>
      </c>
      <c r="C863" s="10" t="s">
        <v>3</v>
      </c>
      <c r="D863" s="12" t="s">
        <v>29</v>
      </c>
      <c r="E863" s="13">
        <f>IF(VLOOKUP(D863,Budget!A:B,2,FALSE)&lt;&gt;0,IF(G863=0,24,24-G863),0)</f>
        <v>0</v>
      </c>
      <c r="F863" s="13"/>
      <c r="G863" s="13"/>
      <c r="H863" s="85">
        <f>IF(E863=0,0,IF(M863="ja",(VLOOKUP(D863,Budget!A:F,6,FALSE)*(E863-(VLOOKUP(D863,Budget!A:F,3,FALSE)))),VLOOKUP($D863,Budget!$A$1:$F$19,6,FALSE)*E863))</f>
        <v>0</v>
      </c>
      <c r="I863" s="85">
        <f>IF(F863=0,0,IF(M863="ja",((VLOOKUP(F863,Budget!A:F,6,FALSE)*(E863-(VLOOKUP(F863,Budget!A:F,3,FALSE))))),VLOOKUP($D863,Budget!A:F,5,FALSE)*E863))</f>
        <v>0</v>
      </c>
      <c r="J863" s="85">
        <f t="shared" si="70"/>
        <v>0</v>
      </c>
      <c r="K863" s="15"/>
      <c r="L863" s="72"/>
      <c r="M863" s="80" t="str">
        <f t="shared" si="71"/>
        <v>nein</v>
      </c>
      <c r="N863">
        <f t="shared" si="72"/>
        <v>2023</v>
      </c>
    </row>
    <row r="864" spans="1:14" x14ac:dyDescent="0.3">
      <c r="A864" s="105">
        <f t="shared" si="68"/>
        <v>19</v>
      </c>
      <c r="B864" s="22">
        <f t="shared" si="69"/>
        <v>45055</v>
      </c>
      <c r="C864" s="11" t="s">
        <v>4</v>
      </c>
      <c r="D864" s="12" t="s">
        <v>29</v>
      </c>
      <c r="E864" s="13">
        <f>IF(VLOOKUP(D864,Budget!A:B,2,FALSE)&lt;&gt;0,IF(G864=0,24,24-G864),0)</f>
        <v>0</v>
      </c>
      <c r="G864" s="13"/>
      <c r="H864" s="85">
        <f>IF(E864=0,0,IF(M864="ja",(VLOOKUP(D864,Budget!A:F,6,FALSE)*(E864-(VLOOKUP(D864,Budget!A:F,3,FALSE)))),VLOOKUP($D864,Budget!$A$1:$F$19,6,FALSE)*E864))</f>
        <v>0</v>
      </c>
      <c r="I864" s="85">
        <f>IF(F864=0,0,IF(M864="ja",((VLOOKUP(F864,Budget!A:F,6,FALSE)*(E864-(VLOOKUP(F864,Budget!A:F,3,FALSE))))),VLOOKUP($D864,Budget!A:F,5,FALSE)*E864))</f>
        <v>0</v>
      </c>
      <c r="J864" s="85">
        <f t="shared" si="70"/>
        <v>0</v>
      </c>
      <c r="K864" s="14"/>
      <c r="L864" s="73"/>
      <c r="M864" s="80" t="str">
        <f t="shared" si="71"/>
        <v>nein</v>
      </c>
      <c r="N864">
        <f t="shared" si="72"/>
        <v>2023</v>
      </c>
    </row>
    <row r="865" spans="1:14" x14ac:dyDescent="0.3">
      <c r="A865" s="105">
        <f t="shared" si="68"/>
        <v>19</v>
      </c>
      <c r="B865" s="22">
        <f t="shared" si="69"/>
        <v>45056</v>
      </c>
      <c r="C865" s="11" t="s">
        <v>5</v>
      </c>
      <c r="D865" s="12" t="s">
        <v>29</v>
      </c>
      <c r="E865" s="13">
        <f>IF(VLOOKUP(D865,Budget!A:B,2,FALSE)&lt;&gt;0,IF(G865=0,24,24-G865),0)</f>
        <v>0</v>
      </c>
      <c r="G865" s="13"/>
      <c r="H865" s="85">
        <f>IF(E865=0,0,IF(M865="ja",(VLOOKUP(D865,Budget!A:F,6,FALSE)*(E865-(VLOOKUP(D865,Budget!A:F,3,FALSE)))),VLOOKUP($D865,Budget!$A$1:$F$19,6,FALSE)*E865))</f>
        <v>0</v>
      </c>
      <c r="I865" s="85">
        <f>IF(F865=0,0,IF(M865="ja",((VLOOKUP(F865,Budget!A:F,6,FALSE)*(E865-(VLOOKUP(F865,Budget!A:F,3,FALSE))))),VLOOKUP($D865,Budget!A:F,5,FALSE)*E865))</f>
        <v>0</v>
      </c>
      <c r="J865" s="85">
        <f t="shared" si="70"/>
        <v>0</v>
      </c>
      <c r="K865" s="14"/>
      <c r="L865" s="73"/>
      <c r="M865" s="80" t="str">
        <f t="shared" si="71"/>
        <v>nein</v>
      </c>
      <c r="N865">
        <f t="shared" si="72"/>
        <v>2023</v>
      </c>
    </row>
    <row r="866" spans="1:14" x14ac:dyDescent="0.3">
      <c r="A866" s="103">
        <f t="shared" si="68"/>
        <v>19</v>
      </c>
      <c r="B866" s="22">
        <f t="shared" ref="B866:B929" si="73">B865+1</f>
        <v>45057</v>
      </c>
      <c r="C866" s="11" t="s">
        <v>6</v>
      </c>
      <c r="D866" s="12" t="s">
        <v>29</v>
      </c>
      <c r="E866" s="13">
        <f>IF(VLOOKUP(D866,Budget!A:B,2,FALSE)&lt;&gt;0,IF(G866=0,24,24-G866),0)</f>
        <v>0</v>
      </c>
      <c r="G866" s="13"/>
      <c r="H866" s="85">
        <f>IF(E866=0,0,IF(M866="ja",(VLOOKUP(D866,Budget!A:F,6,FALSE)*(E866-(VLOOKUP(D866,Budget!A:F,3,FALSE)))),VLOOKUP($D866,Budget!$A$1:$F$19,6,FALSE)*E866))</f>
        <v>0</v>
      </c>
      <c r="I866" s="85">
        <f>IF(F866=0,0,IF(M866="ja",((VLOOKUP(F866,Budget!A:F,6,FALSE)*(E866-(VLOOKUP(F866,Budget!A:F,3,FALSE))))),VLOOKUP($D866,Budget!A:F,5,FALSE)*E866))</f>
        <v>0</v>
      </c>
      <c r="J866" s="85">
        <f t="shared" si="70"/>
        <v>0</v>
      </c>
      <c r="K866" s="14"/>
      <c r="L866" s="73"/>
      <c r="M866" s="80" t="str">
        <f t="shared" si="71"/>
        <v>nein</v>
      </c>
      <c r="N866">
        <f t="shared" si="72"/>
        <v>2023</v>
      </c>
    </row>
    <row r="867" spans="1:14" x14ac:dyDescent="0.3">
      <c r="A867" s="105">
        <f t="shared" si="68"/>
        <v>19</v>
      </c>
      <c r="B867" s="22">
        <f t="shared" si="73"/>
        <v>45058</v>
      </c>
      <c r="C867" s="11" t="s">
        <v>7</v>
      </c>
      <c r="D867" s="12" t="s">
        <v>29</v>
      </c>
      <c r="E867" s="13">
        <f>IF(VLOOKUP(D867,Budget!A:B,2,FALSE)&lt;&gt;0,IF(G867=0,24,24-G867),0)</f>
        <v>0</v>
      </c>
      <c r="G867" s="13"/>
      <c r="H867" s="85">
        <f>IF(E867=0,0,IF(M867="ja",(VLOOKUP(D867,Budget!A:F,6,FALSE)*(E867-(VLOOKUP(D867,Budget!A:F,3,FALSE)))),VLOOKUP($D867,Budget!$A$1:$F$19,6,FALSE)*E867))</f>
        <v>0</v>
      </c>
      <c r="I867" s="85">
        <f>IF(F867=0,0,IF(M867="ja",((VLOOKUP(F867,Budget!A:F,6,FALSE)*(E867-(VLOOKUP(F867,Budget!A:F,3,FALSE))))),VLOOKUP($D867,Budget!A:F,5,FALSE)*E867))</f>
        <v>0</v>
      </c>
      <c r="J867" s="85">
        <f t="shared" si="70"/>
        <v>0</v>
      </c>
      <c r="K867" s="14"/>
      <c r="L867" s="25"/>
      <c r="M867" s="80" t="str">
        <f t="shared" si="71"/>
        <v>nein</v>
      </c>
      <c r="N867">
        <f t="shared" si="72"/>
        <v>2023</v>
      </c>
    </row>
    <row r="868" spans="1:14" x14ac:dyDescent="0.3">
      <c r="A868" s="105">
        <f t="shared" si="68"/>
        <v>19</v>
      </c>
      <c r="B868" s="22">
        <f t="shared" si="73"/>
        <v>45059</v>
      </c>
      <c r="C868" s="16" t="s">
        <v>8</v>
      </c>
      <c r="D868" s="17" t="s">
        <v>29</v>
      </c>
      <c r="E868" s="13">
        <f>IF(VLOOKUP(D868,Budget!A:B,2,FALSE)&lt;&gt;0,IF(G868=0,24,24-G868),0)</f>
        <v>0</v>
      </c>
      <c r="F868" s="17"/>
      <c r="G868" s="17"/>
      <c r="H868" s="86">
        <f>IF(E868=0,0,IF(M868="ja",(VLOOKUP(D868,Budget!A:F,6,FALSE)*(E868-(VLOOKUP(D868,Budget!A:F,3,FALSE)))),VLOOKUP($D868,Budget!$A$1:$F$19,6,FALSE)*E868))</f>
        <v>0</v>
      </c>
      <c r="I868" s="86">
        <f>IF(F868=0,0,IF(M868="ja",((VLOOKUP(F868,Budget!A:F,6,FALSE)*(E868-(VLOOKUP(F868,Budget!A:F,3,FALSE))))),VLOOKUP($D868,Budget!A:F,5,FALSE)*E868))</f>
        <v>0</v>
      </c>
      <c r="J868" s="86">
        <f t="shared" si="70"/>
        <v>0</v>
      </c>
      <c r="K868" s="18"/>
      <c r="L868" s="75"/>
      <c r="M868" s="76" t="str">
        <f t="shared" si="71"/>
        <v>nein</v>
      </c>
      <c r="N868">
        <f t="shared" si="72"/>
        <v>2023</v>
      </c>
    </row>
    <row r="869" spans="1:14" ht="15" thickBot="1" x14ac:dyDescent="0.35">
      <c r="A869" s="105">
        <f t="shared" si="68"/>
        <v>19</v>
      </c>
      <c r="B869" s="27">
        <f t="shared" si="73"/>
        <v>45060</v>
      </c>
      <c r="C869" s="19" t="s">
        <v>9</v>
      </c>
      <c r="D869" s="20" t="s">
        <v>29</v>
      </c>
      <c r="E869" s="13">
        <f>IF(VLOOKUP(D869,Budget!A:B,2,FALSE)&lt;&gt;0,IF(G869=0,24,24-G869),0)</f>
        <v>0</v>
      </c>
      <c r="F869" s="20"/>
      <c r="G869" s="20"/>
      <c r="H869" s="93">
        <f>IF(E869=0,0,IF(M869="ja",(VLOOKUP(D869,Budget!A:F,6,FALSE)*(E869-(VLOOKUP(D869,Budget!A:F,3,FALSE)))),VLOOKUP($D869,Budget!$A$1:$F$19,6,FALSE)*E869))</f>
        <v>0</v>
      </c>
      <c r="I869" s="93">
        <f>IF(F869=0,0,IF(M869="ja",((VLOOKUP(F869,Budget!A:F,6,FALSE)*(E869-(VLOOKUP(F869,Budget!A:F,3,FALSE))))),VLOOKUP($D869,Budget!A:F,5,FALSE)*E869))</f>
        <v>0</v>
      </c>
      <c r="J869" s="87">
        <f t="shared" si="70"/>
        <v>0</v>
      </c>
      <c r="K869" s="21"/>
      <c r="L869" s="74"/>
      <c r="M869" s="77" t="str">
        <f t="shared" si="71"/>
        <v>nein</v>
      </c>
      <c r="N869">
        <f t="shared" si="72"/>
        <v>2023</v>
      </c>
    </row>
    <row r="870" spans="1:14" x14ac:dyDescent="0.3">
      <c r="A870" s="104">
        <f t="shared" si="68"/>
        <v>20</v>
      </c>
      <c r="B870" s="22">
        <f t="shared" si="73"/>
        <v>45061</v>
      </c>
      <c r="C870" s="10" t="s">
        <v>3</v>
      </c>
      <c r="D870" s="12" t="s">
        <v>29</v>
      </c>
      <c r="E870" s="13">
        <f>IF(VLOOKUP(D870,Budget!A:B,2,FALSE)&lt;&gt;0,IF(G870=0,24,24-G870),0)</f>
        <v>0</v>
      </c>
      <c r="F870" s="13"/>
      <c r="G870" s="13"/>
      <c r="H870" s="85">
        <f>IF(E870=0,0,IF(M870="ja",(VLOOKUP(D870,Budget!A:F,6,FALSE)*(E870-(VLOOKUP(D870,Budget!A:F,3,FALSE)))),VLOOKUP($D870,Budget!$A$1:$F$19,6,FALSE)*E870))</f>
        <v>0</v>
      </c>
      <c r="I870" s="85">
        <f>IF(F870=0,0,IF(M870="ja",((VLOOKUP(F870,Budget!A:F,6,FALSE)*(E870-(VLOOKUP(F870,Budget!A:F,3,FALSE))))),VLOOKUP($D870,Budget!A:F,5,FALSE)*E870))</f>
        <v>0</v>
      </c>
      <c r="J870" s="85">
        <f t="shared" si="70"/>
        <v>0</v>
      </c>
      <c r="K870" s="15"/>
      <c r="L870" s="72"/>
      <c r="M870" s="80" t="str">
        <f t="shared" si="71"/>
        <v>nein</v>
      </c>
      <c r="N870">
        <f t="shared" si="72"/>
        <v>2023</v>
      </c>
    </row>
    <row r="871" spans="1:14" x14ac:dyDescent="0.3">
      <c r="A871" s="105">
        <f t="shared" si="68"/>
        <v>20</v>
      </c>
      <c r="B871" s="22">
        <f t="shared" si="73"/>
        <v>45062</v>
      </c>
      <c r="C871" s="11" t="s">
        <v>4</v>
      </c>
      <c r="D871" s="12" t="s">
        <v>30</v>
      </c>
      <c r="E871" s="13">
        <f>IF(VLOOKUP(D871,Budget!A:B,2,FALSE)&lt;&gt;0,IF(G871=0,24,24-G871),0)</f>
        <v>0</v>
      </c>
      <c r="G871" s="13"/>
      <c r="H871" s="85">
        <f>IF(E871=0,0,IF(M871="ja",(VLOOKUP(D871,Budget!A:F,6,FALSE)*(E871-(VLOOKUP(D871,Budget!A:F,3,FALSE)))),VLOOKUP($D871,Budget!$A$1:$F$19,6,FALSE)*E871))</f>
        <v>0</v>
      </c>
      <c r="I871" s="85">
        <f>IF(F871=0,0,IF(M871="ja",((VLOOKUP(F871,Budget!A:F,6,FALSE)*(E871-(VLOOKUP(F871,Budget!A:F,3,FALSE))))),VLOOKUP($D871,Budget!A:F,5,FALSE)*E871))</f>
        <v>0</v>
      </c>
      <c r="J871" s="85">
        <f t="shared" si="70"/>
        <v>0</v>
      </c>
      <c r="K871" s="14"/>
      <c r="L871" s="73"/>
      <c r="M871" s="80" t="str">
        <f t="shared" si="71"/>
        <v>nein</v>
      </c>
      <c r="N871">
        <f t="shared" si="72"/>
        <v>2023</v>
      </c>
    </row>
    <row r="872" spans="1:14" x14ac:dyDescent="0.3">
      <c r="A872" s="105">
        <f t="shared" si="68"/>
        <v>20</v>
      </c>
      <c r="B872" s="22">
        <f t="shared" si="73"/>
        <v>45063</v>
      </c>
      <c r="C872" s="11" t="s">
        <v>5</v>
      </c>
      <c r="D872" s="12" t="s">
        <v>30</v>
      </c>
      <c r="E872" s="13">
        <f>IF(VLOOKUP(D872,Budget!A:B,2,FALSE)&lt;&gt;0,IF(G872=0,24,24-G872),0)</f>
        <v>0</v>
      </c>
      <c r="G872" s="13"/>
      <c r="H872" s="85">
        <f>IF(E872=0,0,IF(M872="ja",(VLOOKUP(D872,Budget!A:F,6,FALSE)*(E872-(VLOOKUP(D872,Budget!A:F,3,FALSE)))),VLOOKUP($D872,Budget!$A$1:$F$19,6,FALSE)*E872))</f>
        <v>0</v>
      </c>
      <c r="I872" s="85">
        <f>IF(F872=0,0,IF(M872="ja",((VLOOKUP(F872,Budget!A:F,6,FALSE)*(E872-(VLOOKUP(F872,Budget!A:F,3,FALSE))))),VLOOKUP($D872,Budget!A:F,5,FALSE)*E872))</f>
        <v>0</v>
      </c>
      <c r="J872" s="85">
        <f t="shared" si="70"/>
        <v>0</v>
      </c>
      <c r="K872" s="14"/>
      <c r="L872" s="73"/>
      <c r="M872" s="80" t="str">
        <f t="shared" si="71"/>
        <v>nein</v>
      </c>
      <c r="N872">
        <f t="shared" si="72"/>
        <v>2023</v>
      </c>
    </row>
    <row r="873" spans="1:14" x14ac:dyDescent="0.3">
      <c r="A873" s="103">
        <f t="shared" si="68"/>
        <v>20</v>
      </c>
      <c r="B873" s="130">
        <f t="shared" si="73"/>
        <v>45064</v>
      </c>
      <c r="C873" s="131" t="s">
        <v>6</v>
      </c>
      <c r="D873" s="12" t="s">
        <v>51</v>
      </c>
      <c r="E873" s="13" t="e">
        <f>IF(VLOOKUP(D873,Budget!A:B,2,FALSE)&lt;&gt;0,IF(G873=0,24,24-G873),0)</f>
        <v>#N/A</v>
      </c>
      <c r="G873" s="13"/>
      <c r="H873" s="85" t="e">
        <f>IF(E873=0,0,IF(M873="ja",(VLOOKUP(D873,Budget!A:F,6,FALSE)*(E873-(VLOOKUP(D873,Budget!A:F,3,FALSE)))),VLOOKUP($D873,Budget!$A$1:$F$19,6,FALSE)*E873))</f>
        <v>#N/A</v>
      </c>
      <c r="I873" s="85">
        <f>IF(F873=0,0,IF(M873="ja",((VLOOKUP(F873,Budget!A:F,6,FALSE)*(E873-(VLOOKUP(F873,Budget!A:F,3,FALSE))))),VLOOKUP($D873,Budget!A:F,5,FALSE)*E873))</f>
        <v>0</v>
      </c>
      <c r="J873" s="85" t="e">
        <f t="shared" si="70"/>
        <v>#N/A</v>
      </c>
      <c r="K873" s="14"/>
      <c r="L873" s="73"/>
      <c r="M873" s="80" t="e">
        <f t="shared" si="71"/>
        <v>#N/A</v>
      </c>
      <c r="N873">
        <f t="shared" si="72"/>
        <v>2023</v>
      </c>
    </row>
    <row r="874" spans="1:14" x14ac:dyDescent="0.3">
      <c r="A874" s="105">
        <f t="shared" si="68"/>
        <v>20</v>
      </c>
      <c r="B874" s="22">
        <f t="shared" si="73"/>
        <v>45065</v>
      </c>
      <c r="C874" s="11" t="s">
        <v>7</v>
      </c>
      <c r="D874" s="12" t="s">
        <v>51</v>
      </c>
      <c r="E874" s="13" t="e">
        <f>IF(VLOOKUP(D874,Budget!A:B,2,FALSE)&lt;&gt;0,IF(G874=0,24,24-G874),0)</f>
        <v>#N/A</v>
      </c>
      <c r="G874" s="13"/>
      <c r="H874" s="85" t="e">
        <f>IF(E874=0,0,IF(M874="ja",(VLOOKUP(D874,Budget!A:F,6,FALSE)*(E874-(VLOOKUP(D874,Budget!A:F,3,FALSE)))),VLOOKUP($D874,Budget!$A$1:$F$19,6,FALSE)*E874))</f>
        <v>#N/A</v>
      </c>
      <c r="I874" s="85">
        <f>IF(F874=0,0,IF(M874="ja",((VLOOKUP(F874,Budget!A:F,6,FALSE)*(E874-(VLOOKUP(F874,Budget!A:F,3,FALSE))))),VLOOKUP($D874,Budget!A:F,5,FALSE)*E874))</f>
        <v>0</v>
      </c>
      <c r="J874" s="85" t="e">
        <f t="shared" si="70"/>
        <v>#N/A</v>
      </c>
      <c r="K874" s="14"/>
      <c r="L874" s="25"/>
      <c r="M874" s="80" t="e">
        <f t="shared" si="71"/>
        <v>#N/A</v>
      </c>
      <c r="N874">
        <f t="shared" si="72"/>
        <v>2023</v>
      </c>
    </row>
    <row r="875" spans="1:14" x14ac:dyDescent="0.3">
      <c r="A875" s="105">
        <f t="shared" si="68"/>
        <v>20</v>
      </c>
      <c r="B875" s="22">
        <f t="shared" si="73"/>
        <v>45066</v>
      </c>
      <c r="C875" s="16" t="s">
        <v>8</v>
      </c>
      <c r="D875" s="17" t="s">
        <v>51</v>
      </c>
      <c r="E875" s="13" t="e">
        <f>IF(VLOOKUP(D875,Budget!A:B,2,FALSE)&lt;&gt;0,IF(G875=0,24,24-G875),0)</f>
        <v>#N/A</v>
      </c>
      <c r="F875" s="17"/>
      <c r="G875" s="17"/>
      <c r="H875" s="86" t="e">
        <f>IF(E875=0,0,IF(M875="ja",(VLOOKUP(D875,Budget!A:F,6,FALSE)*(E875-(VLOOKUP(D875,Budget!A:F,3,FALSE)))),VLOOKUP($D875,Budget!$A$1:$F$19,6,FALSE)*E875))</f>
        <v>#N/A</v>
      </c>
      <c r="I875" s="86">
        <f>IF(F875=0,0,IF(M875="ja",((VLOOKUP(F875,Budget!A:F,6,FALSE)*(E875-(VLOOKUP(F875,Budget!A:F,3,FALSE))))),VLOOKUP($D875,Budget!A:F,5,FALSE)*E875))</f>
        <v>0</v>
      </c>
      <c r="J875" s="86" t="e">
        <f t="shared" si="70"/>
        <v>#N/A</v>
      </c>
      <c r="K875" s="18"/>
      <c r="L875" s="75"/>
      <c r="M875" s="76" t="e">
        <f t="shared" si="71"/>
        <v>#N/A</v>
      </c>
      <c r="N875">
        <f t="shared" si="72"/>
        <v>2023</v>
      </c>
    </row>
    <row r="876" spans="1:14" ht="15" thickBot="1" x14ac:dyDescent="0.35">
      <c r="A876" s="105">
        <f t="shared" si="68"/>
        <v>20</v>
      </c>
      <c r="B876" s="27">
        <f t="shared" si="73"/>
        <v>45067</v>
      </c>
      <c r="C876" s="19" t="s">
        <v>9</v>
      </c>
      <c r="D876" s="20" t="s">
        <v>51</v>
      </c>
      <c r="E876" s="13" t="e">
        <f>IF(VLOOKUP(D876,Budget!A:B,2,FALSE)&lt;&gt;0,IF(G876=0,24,24-G876),0)</f>
        <v>#N/A</v>
      </c>
      <c r="F876" s="20"/>
      <c r="G876" s="20"/>
      <c r="H876" s="93" t="e">
        <f>IF(E876=0,0,IF(M876="ja",(VLOOKUP(D876,Budget!A:F,6,FALSE)*(E876-(VLOOKUP(D876,Budget!A:F,3,FALSE)))),VLOOKUP($D876,Budget!$A$1:$F$19,6,FALSE)*E876))</f>
        <v>#N/A</v>
      </c>
      <c r="I876" s="93">
        <f>IF(F876=0,0,IF(M876="ja",((VLOOKUP(F876,Budget!A:F,6,FALSE)*(E876-(VLOOKUP(F876,Budget!A:F,3,FALSE))))),VLOOKUP($D876,Budget!A:F,5,FALSE)*E876))</f>
        <v>0</v>
      </c>
      <c r="J876" s="87" t="e">
        <f t="shared" si="70"/>
        <v>#N/A</v>
      </c>
      <c r="K876" s="21"/>
      <c r="L876" s="74"/>
      <c r="M876" s="77" t="e">
        <f t="shared" si="71"/>
        <v>#N/A</v>
      </c>
      <c r="N876">
        <f t="shared" si="72"/>
        <v>2023</v>
      </c>
    </row>
    <row r="877" spans="1:14" x14ac:dyDescent="0.3">
      <c r="A877" s="104">
        <f t="shared" si="68"/>
        <v>21</v>
      </c>
      <c r="B877" s="22">
        <f t="shared" si="73"/>
        <v>45068</v>
      </c>
      <c r="C877" s="10" t="s">
        <v>3</v>
      </c>
      <c r="D877" s="12" t="s">
        <v>11</v>
      </c>
      <c r="E877" s="13">
        <f>IF(VLOOKUP(D877,Budget!A:B,2,FALSE)&lt;&gt;0,IF(G877=0,24,24-G877),0)</f>
        <v>24</v>
      </c>
      <c r="F877" s="13"/>
      <c r="G877" s="13"/>
      <c r="H877" s="85">
        <f>IF(E877=0,0,IF(M877="ja",(VLOOKUP(D877,Budget!A:F,6,FALSE)*(E877-(VLOOKUP(D877,Budget!A:F,3,FALSE)))),VLOOKUP($D877,Budget!$A$1:$F$19,6,FALSE)*E877))</f>
        <v>30030</v>
      </c>
      <c r="I877" s="85">
        <f>IF(F877=0,0,IF(M877="ja",((VLOOKUP(F877,Budget!A:F,6,FALSE)*(E877-(VLOOKUP(F877,Budget!A:F,3,FALSE))))),VLOOKUP($D877,Budget!A:F,5,FALSE)*E877))</f>
        <v>0</v>
      </c>
      <c r="J877" s="85">
        <f t="shared" si="70"/>
        <v>30030</v>
      </c>
      <c r="K877" s="15"/>
      <c r="L877" s="72"/>
      <c r="M877" s="80" t="str">
        <f t="shared" si="71"/>
        <v>ja</v>
      </c>
      <c r="N877">
        <f t="shared" si="72"/>
        <v>2023</v>
      </c>
    </row>
    <row r="878" spans="1:14" x14ac:dyDescent="0.3">
      <c r="A878" s="105">
        <f t="shared" si="68"/>
        <v>21</v>
      </c>
      <c r="B878" s="22">
        <f t="shared" si="73"/>
        <v>45069</v>
      </c>
      <c r="C878" s="11" t="s">
        <v>4</v>
      </c>
      <c r="D878" s="12" t="s">
        <v>11</v>
      </c>
      <c r="E878" s="13">
        <f>IF(VLOOKUP(D878,Budget!A:B,2,FALSE)&lt;&gt;0,IF(G878=0,24,24-G878),0)</f>
        <v>24</v>
      </c>
      <c r="G878" s="13"/>
      <c r="H878" s="85">
        <f>IF(E878=0,0,IF(M878="ja",(VLOOKUP(D878,Budget!A:F,6,FALSE)*(E878-(VLOOKUP(D878,Budget!A:F,3,FALSE)))),VLOOKUP($D878,Budget!$A$1:$F$19,6,FALSE)*E878))</f>
        <v>36960</v>
      </c>
      <c r="I878" s="85">
        <f>IF(F878=0,0,IF(M878="ja",((VLOOKUP(F878,Budget!A:F,6,FALSE)*(E878-(VLOOKUP(F878,Budget!A:F,3,FALSE))))),VLOOKUP($D878,Budget!A:F,5,FALSE)*E878))</f>
        <v>0</v>
      </c>
      <c r="J878" s="85">
        <f t="shared" si="70"/>
        <v>36960</v>
      </c>
      <c r="K878" s="14"/>
      <c r="L878" s="73"/>
      <c r="M878" s="80" t="str">
        <f t="shared" si="71"/>
        <v>nein</v>
      </c>
      <c r="N878">
        <f t="shared" si="72"/>
        <v>2023</v>
      </c>
    </row>
    <row r="879" spans="1:14" x14ac:dyDescent="0.3">
      <c r="A879" s="105">
        <f t="shared" si="68"/>
        <v>21</v>
      </c>
      <c r="B879" s="22">
        <f t="shared" si="73"/>
        <v>45070</v>
      </c>
      <c r="C879" s="11" t="s">
        <v>5</v>
      </c>
      <c r="D879" s="12" t="s">
        <v>11</v>
      </c>
      <c r="E879" s="13">
        <f>IF(VLOOKUP(D879,Budget!A:B,2,FALSE)&lt;&gt;0,IF(G879=0,24,24-G879),0)</f>
        <v>24</v>
      </c>
      <c r="G879" s="13"/>
      <c r="H879" s="85">
        <f>IF(E879=0,0,IF(M879="ja",(VLOOKUP(D879,Budget!A:F,6,FALSE)*(E879-(VLOOKUP(D879,Budget!A:F,3,FALSE)))),VLOOKUP($D879,Budget!$A$1:$F$19,6,FALSE)*E879))</f>
        <v>36960</v>
      </c>
      <c r="I879" s="85">
        <f>IF(F879=0,0,IF(M879="ja",((VLOOKUP(F879,Budget!A:F,6,FALSE)*(E879-(VLOOKUP(F879,Budget!A:F,3,FALSE))))),VLOOKUP($D879,Budget!A:F,5,FALSE)*E879))</f>
        <v>0</v>
      </c>
      <c r="J879" s="85">
        <f t="shared" si="70"/>
        <v>36960</v>
      </c>
      <c r="K879" s="14"/>
      <c r="L879" s="73"/>
      <c r="M879" s="80" t="str">
        <f t="shared" si="71"/>
        <v>nein</v>
      </c>
      <c r="N879">
        <f t="shared" si="72"/>
        <v>2023</v>
      </c>
    </row>
    <row r="880" spans="1:14" x14ac:dyDescent="0.3">
      <c r="A880" s="103">
        <f t="shared" si="68"/>
        <v>21</v>
      </c>
      <c r="B880" s="22">
        <f t="shared" si="73"/>
        <v>45071</v>
      </c>
      <c r="C880" s="11" t="s">
        <v>6</v>
      </c>
      <c r="D880" s="12" t="s">
        <v>11</v>
      </c>
      <c r="E880" s="13">
        <f>IF(VLOOKUP(D880,Budget!A:B,2,FALSE)&lt;&gt;0,IF(G880=0,24,24-G880),0)</f>
        <v>24</v>
      </c>
      <c r="G880" s="13"/>
      <c r="H880" s="85">
        <f>IF(E880=0,0,IF(M880="ja",(VLOOKUP(D880,Budget!A:F,6,FALSE)*(E880-(VLOOKUP(D880,Budget!A:F,3,FALSE)))),VLOOKUP($D880,Budget!$A$1:$F$19,6,FALSE)*E880))</f>
        <v>36960</v>
      </c>
      <c r="I880" s="85">
        <f>IF(F880=0,0,IF(M880="ja",((VLOOKUP(F880,Budget!A:F,6,FALSE)*(E880-(VLOOKUP(F880,Budget!A:F,3,FALSE))))),VLOOKUP($D880,Budget!A:F,5,FALSE)*E880))</f>
        <v>0</v>
      </c>
      <c r="J880" s="85">
        <f t="shared" si="70"/>
        <v>36960</v>
      </c>
      <c r="K880" s="14"/>
      <c r="L880" s="73"/>
      <c r="M880" s="80" t="str">
        <f t="shared" si="71"/>
        <v>nein</v>
      </c>
      <c r="N880">
        <f t="shared" si="72"/>
        <v>2023</v>
      </c>
    </row>
    <row r="881" spans="1:14" x14ac:dyDescent="0.3">
      <c r="A881" s="105">
        <f t="shared" si="68"/>
        <v>21</v>
      </c>
      <c r="B881" s="22">
        <f t="shared" si="73"/>
        <v>45072</v>
      </c>
      <c r="C881" s="11" t="s">
        <v>7</v>
      </c>
      <c r="D881" s="12" t="s">
        <v>11</v>
      </c>
      <c r="E881" s="13">
        <f>IF(VLOOKUP(D881,Budget!A:B,2,FALSE)&lt;&gt;0,IF(G881=0,24,24-G881),0)</f>
        <v>24</v>
      </c>
      <c r="G881" s="13"/>
      <c r="H881" s="85">
        <f>IF(E881=0,0,IF(M881="ja",(VLOOKUP(D881,Budget!A:F,6,FALSE)*(E881-(VLOOKUP(D881,Budget!A:F,3,FALSE)))),VLOOKUP($D881,Budget!$A$1:$F$19,6,FALSE)*E881))</f>
        <v>36960</v>
      </c>
      <c r="I881" s="85">
        <f>IF(F881=0,0,IF(M881="ja",((VLOOKUP(F881,Budget!A:F,6,FALSE)*(E881-(VLOOKUP(F881,Budget!A:F,3,FALSE))))),VLOOKUP($D881,Budget!A:F,5,FALSE)*E881))</f>
        <v>0</v>
      </c>
      <c r="J881" s="85">
        <f t="shared" si="70"/>
        <v>36960</v>
      </c>
      <c r="K881" s="14"/>
      <c r="L881" s="25"/>
      <c r="M881" s="80" t="str">
        <f t="shared" si="71"/>
        <v>nein</v>
      </c>
      <c r="N881">
        <f t="shared" si="72"/>
        <v>2023</v>
      </c>
    </row>
    <row r="882" spans="1:14" x14ac:dyDescent="0.3">
      <c r="A882" s="105">
        <f t="shared" si="68"/>
        <v>21</v>
      </c>
      <c r="B882" s="22">
        <f t="shared" si="73"/>
        <v>45073</v>
      </c>
      <c r="C882" s="16" t="s">
        <v>8</v>
      </c>
      <c r="D882" s="17" t="s">
        <v>11</v>
      </c>
      <c r="E882" s="13">
        <f>IF(VLOOKUP(D882,Budget!A:B,2,FALSE)&lt;&gt;0,IF(G882=0,24,24-G882),0)</f>
        <v>24</v>
      </c>
      <c r="F882" s="17"/>
      <c r="G882" s="17"/>
      <c r="H882" s="86">
        <f>IF(E882=0,0,IF(M882="ja",(VLOOKUP(D882,Budget!A:F,6,FALSE)*(E882-(VLOOKUP(D882,Budget!A:F,3,FALSE)))),VLOOKUP($D882,Budget!$A$1:$F$19,6,FALSE)*E882))</f>
        <v>36960</v>
      </c>
      <c r="I882" s="86">
        <f>IF(F882=0,0,IF(M882="ja",((VLOOKUP(F882,Budget!A:F,6,FALSE)*(E882-(VLOOKUP(F882,Budget!A:F,3,FALSE))))),VLOOKUP($D882,Budget!A:F,5,FALSE)*E882))</f>
        <v>0</v>
      </c>
      <c r="J882" s="86">
        <f t="shared" si="70"/>
        <v>36960</v>
      </c>
      <c r="K882" s="18"/>
      <c r="L882" s="75"/>
      <c r="M882" s="76" t="str">
        <f t="shared" si="71"/>
        <v>nein</v>
      </c>
      <c r="N882">
        <f t="shared" si="72"/>
        <v>2023</v>
      </c>
    </row>
    <row r="883" spans="1:14" ht="15" thickBot="1" x14ac:dyDescent="0.35">
      <c r="A883" s="105">
        <f t="shared" ref="A883:A946" si="74">_xlfn.ISOWEEKNUM(B883)</f>
        <v>21</v>
      </c>
      <c r="B883" s="27">
        <f t="shared" si="73"/>
        <v>45074</v>
      </c>
      <c r="C883" s="19" t="s">
        <v>9</v>
      </c>
      <c r="D883" s="20" t="s">
        <v>11</v>
      </c>
      <c r="E883" s="13">
        <f>IF(VLOOKUP(D883,Budget!A:B,2,FALSE)&lt;&gt;0,IF(G883=0,24,24-G883),0)</f>
        <v>24</v>
      </c>
      <c r="F883" s="20"/>
      <c r="G883" s="20"/>
      <c r="H883" s="93">
        <f>IF(E883=0,0,IF(M883="ja",(VLOOKUP(D883,Budget!A:F,6,FALSE)*(E883-(VLOOKUP(D883,Budget!A:F,3,FALSE)))),VLOOKUP($D883,Budget!$A$1:$F$19,6,FALSE)*E883))</f>
        <v>36960</v>
      </c>
      <c r="I883" s="93">
        <f>IF(F883=0,0,IF(M883="ja",((VLOOKUP(F883,Budget!A:F,6,FALSE)*(E883-(VLOOKUP(F883,Budget!A:F,3,FALSE))))),VLOOKUP($D883,Budget!A:F,5,FALSE)*E883))</f>
        <v>0</v>
      </c>
      <c r="J883" s="87">
        <f t="shared" ref="J883:J946" si="75">H883+I883</f>
        <v>36960</v>
      </c>
      <c r="K883" s="21"/>
      <c r="L883" s="74"/>
      <c r="M883" s="77" t="str">
        <f t="shared" ref="M883:M946" si="76">IF(E883=0,"nein",IF(OR(E883&lt;&gt;24,F882&lt;&gt;0,D883&lt;&gt;D882),"ja","nein"))</f>
        <v>nein</v>
      </c>
      <c r="N883">
        <f t="shared" si="72"/>
        <v>2023</v>
      </c>
    </row>
    <row r="884" spans="1:14" x14ac:dyDescent="0.3">
      <c r="A884" s="104">
        <f t="shared" si="74"/>
        <v>22</v>
      </c>
      <c r="B884" s="130">
        <f t="shared" si="73"/>
        <v>45075</v>
      </c>
      <c r="C884" s="132" t="s">
        <v>3</v>
      </c>
      <c r="D884" s="12" t="s">
        <v>11</v>
      </c>
      <c r="E884" s="13">
        <f>IF(VLOOKUP(D884,Budget!A:B,2,FALSE)&lt;&gt;0,IF(G884=0,24,24-G884),0)</f>
        <v>24</v>
      </c>
      <c r="F884" s="13"/>
      <c r="G884" s="13"/>
      <c r="H884" s="85">
        <f>IF(E884=0,0,IF(M884="ja",(VLOOKUP(D884,Budget!A:F,6,FALSE)*(E884-(VLOOKUP(D884,Budget!A:F,3,FALSE)))),VLOOKUP($D884,Budget!$A$1:$F$19,6,FALSE)*E884))</f>
        <v>36960</v>
      </c>
      <c r="I884" s="85">
        <f>IF(F884=0,0,IF(M884="ja",((VLOOKUP(F884,Budget!A:F,6,FALSE)*(E884-(VLOOKUP(F884,Budget!A:F,3,FALSE))))),VLOOKUP($D884,Budget!A:F,5,FALSE)*E884))</f>
        <v>0</v>
      </c>
      <c r="J884" s="85">
        <f t="shared" si="75"/>
        <v>36960</v>
      </c>
      <c r="K884" s="15"/>
      <c r="L884" s="72"/>
      <c r="M884" s="80" t="str">
        <f t="shared" si="76"/>
        <v>nein</v>
      </c>
      <c r="N884">
        <f t="shared" si="72"/>
        <v>2023</v>
      </c>
    </row>
    <row r="885" spans="1:14" x14ac:dyDescent="0.3">
      <c r="A885" s="105">
        <f t="shared" si="74"/>
        <v>22</v>
      </c>
      <c r="B885" s="22">
        <f t="shared" si="73"/>
        <v>45076</v>
      </c>
      <c r="C885" s="11" t="s">
        <v>4</v>
      </c>
      <c r="D885" s="12" t="s">
        <v>12</v>
      </c>
      <c r="E885" s="13">
        <f>IF(VLOOKUP(D885,Budget!A:B,2,FALSE)&lt;&gt;0,IF(G885=0,24,24-G885),0)</f>
        <v>24</v>
      </c>
      <c r="G885" s="13"/>
      <c r="H885" s="85">
        <f>IF(E885=0,0,IF(M885="ja",(VLOOKUP(D885,Budget!A:F,6,FALSE)*(E885-(VLOOKUP(D885,Budget!A:F,3,FALSE)))),VLOOKUP($D885,Budget!$A$1:$F$19,6,FALSE)*E885))</f>
        <v>27720</v>
      </c>
      <c r="I885" s="85">
        <f>IF(F885=0,0,IF(M885="ja",((VLOOKUP(F885,Budget!A:F,6,FALSE)*(E885-(VLOOKUP(F885,Budget!A:F,3,FALSE))))),VLOOKUP($D885,Budget!A:F,5,FALSE)*E885))</f>
        <v>0</v>
      </c>
      <c r="J885" s="85">
        <f t="shared" si="75"/>
        <v>27720</v>
      </c>
      <c r="K885" s="14"/>
      <c r="L885" s="73"/>
      <c r="M885" s="80" t="str">
        <f t="shared" si="76"/>
        <v>ja</v>
      </c>
      <c r="N885">
        <f t="shared" si="72"/>
        <v>2023</v>
      </c>
    </row>
    <row r="886" spans="1:14" x14ac:dyDescent="0.3">
      <c r="A886" s="105">
        <f t="shared" si="74"/>
        <v>22</v>
      </c>
      <c r="B886" s="22">
        <f t="shared" si="73"/>
        <v>45077</v>
      </c>
      <c r="C886" s="11" t="s">
        <v>5</v>
      </c>
      <c r="D886" s="12" t="s">
        <v>12</v>
      </c>
      <c r="E886" s="13">
        <f>IF(VLOOKUP(D886,Budget!A:B,2,FALSE)&lt;&gt;0,IF(G886=0,24,24-G886),0)</f>
        <v>24</v>
      </c>
      <c r="G886" s="13"/>
      <c r="H886" s="85">
        <f>IF(E886=0,0,IF(M886="ja",(VLOOKUP(D886,Budget!A:F,6,FALSE)*(E886-(VLOOKUP(D886,Budget!A:F,3,FALSE)))),VLOOKUP($D886,Budget!$A$1:$F$19,6,FALSE)*E886))</f>
        <v>36960</v>
      </c>
      <c r="I886" s="85">
        <f>IF(F886=0,0,IF(M886="ja",((VLOOKUP(F886,Budget!A:F,6,FALSE)*(E886-(VLOOKUP(F886,Budget!A:F,3,FALSE))))),VLOOKUP($D886,Budget!A:F,5,FALSE)*E886))</f>
        <v>0</v>
      </c>
      <c r="J886" s="85">
        <f t="shared" si="75"/>
        <v>36960</v>
      </c>
      <c r="K886" s="14"/>
      <c r="L886" s="73"/>
      <c r="M886" s="80" t="str">
        <f t="shared" si="76"/>
        <v>nein</v>
      </c>
      <c r="N886">
        <f t="shared" si="72"/>
        <v>2023</v>
      </c>
    </row>
    <row r="887" spans="1:14" x14ac:dyDescent="0.3">
      <c r="A887" s="103">
        <f t="shared" si="74"/>
        <v>22</v>
      </c>
      <c r="B887" s="22">
        <f t="shared" si="73"/>
        <v>45078</v>
      </c>
      <c r="C887" s="11" t="s">
        <v>6</v>
      </c>
      <c r="D887" s="12" t="s">
        <v>12</v>
      </c>
      <c r="E887" s="13">
        <f>IF(VLOOKUP(D887,Budget!A:B,2,FALSE)&lt;&gt;0,IF(G887=0,24,24-G887),0)</f>
        <v>24</v>
      </c>
      <c r="G887" s="13"/>
      <c r="H887" s="85">
        <f>IF(E887=0,0,IF(M887="ja",(VLOOKUP(D887,Budget!A:F,6,FALSE)*(E887-(VLOOKUP(D887,Budget!A:F,3,FALSE)))),VLOOKUP($D887,Budget!$A$1:$F$19,6,FALSE)*E887))</f>
        <v>36960</v>
      </c>
      <c r="I887" s="85">
        <f>IF(F887=0,0,IF(M887="ja",((VLOOKUP(F887,Budget!A:F,6,FALSE)*(E887-(VLOOKUP(F887,Budget!A:F,3,FALSE))))),VLOOKUP($D887,Budget!A:F,5,FALSE)*E887))</f>
        <v>0</v>
      </c>
      <c r="J887" s="85">
        <f t="shared" si="75"/>
        <v>36960</v>
      </c>
      <c r="K887" s="14"/>
      <c r="L887" s="73"/>
      <c r="M887" s="80" t="str">
        <f t="shared" si="76"/>
        <v>nein</v>
      </c>
      <c r="N887">
        <f t="shared" si="72"/>
        <v>2023</v>
      </c>
    </row>
    <row r="888" spans="1:14" x14ac:dyDescent="0.3">
      <c r="A888" s="105">
        <f t="shared" si="74"/>
        <v>22</v>
      </c>
      <c r="B888" s="22">
        <f t="shared" si="73"/>
        <v>45079</v>
      </c>
      <c r="C888" s="11" t="s">
        <v>7</v>
      </c>
      <c r="D888" s="12" t="s">
        <v>69</v>
      </c>
      <c r="E888" s="13">
        <f>IF(VLOOKUP(D888,Budget!A:B,2,FALSE)&lt;&gt;0,IF(G888=0,24,24-G888),0)</f>
        <v>24</v>
      </c>
      <c r="G888" s="13"/>
      <c r="H888" s="85">
        <f>IF(E888=0,0,IF(M888="ja",(VLOOKUP(D888,Budget!A:F,6,FALSE)*(E888-(VLOOKUP(D888,Budget!A:F,3,FALSE)))),VLOOKUP($D888,Budget!$A$1:$F$19,6,FALSE)*E888))</f>
        <v>38269.757143831848</v>
      </c>
      <c r="I888" s="85">
        <f>IF(F888=0,0,IF(M888="ja",((VLOOKUP(F888,Budget!A:F,6,FALSE)*(E888-(VLOOKUP(F888,Budget!A:F,3,FALSE))))),VLOOKUP($D888,Budget!A:F,5,FALSE)*E888))</f>
        <v>0</v>
      </c>
      <c r="J888" s="85">
        <f t="shared" si="75"/>
        <v>38269.757143831848</v>
      </c>
      <c r="K888" s="14"/>
      <c r="L888" s="25"/>
      <c r="M888" s="80" t="str">
        <f t="shared" si="76"/>
        <v>ja</v>
      </c>
      <c r="N888">
        <f t="shared" si="72"/>
        <v>2023</v>
      </c>
    </row>
    <row r="889" spans="1:14" x14ac:dyDescent="0.3">
      <c r="A889" s="105">
        <f t="shared" si="74"/>
        <v>22</v>
      </c>
      <c r="B889" s="22">
        <f t="shared" si="73"/>
        <v>45080</v>
      </c>
      <c r="C889" s="16" t="s">
        <v>8</v>
      </c>
      <c r="D889" s="12" t="s">
        <v>69</v>
      </c>
      <c r="E889" s="13">
        <f>IF(VLOOKUP(D889,Budget!A:B,2,FALSE)&lt;&gt;0,IF(G889=0,24,24-G889),0)</f>
        <v>24</v>
      </c>
      <c r="F889" s="17"/>
      <c r="G889" s="17"/>
      <c r="H889" s="86">
        <f>IF(E889=0,0,IF(M889="ja",(VLOOKUP(D889,Budget!A:F,6,FALSE)*(E889-(VLOOKUP(D889,Budget!A:F,3,FALSE)))),VLOOKUP($D889,Budget!$A$1:$F$19,6,FALSE)*E889))</f>
        <v>42919.35380616656</v>
      </c>
      <c r="I889" s="86">
        <f>IF(F889=0,0,IF(M889="ja",((VLOOKUP(F889,Budget!A:F,6,FALSE)*(E889-(VLOOKUP(F889,Budget!A:F,3,FALSE))))),VLOOKUP($D889,Budget!A:F,5,FALSE)*E889))</f>
        <v>0</v>
      </c>
      <c r="J889" s="86">
        <f t="shared" si="75"/>
        <v>42919.35380616656</v>
      </c>
      <c r="K889" s="18"/>
      <c r="L889" s="75"/>
      <c r="M889" s="76" t="str">
        <f t="shared" si="76"/>
        <v>nein</v>
      </c>
      <c r="N889">
        <f t="shared" si="72"/>
        <v>2023</v>
      </c>
    </row>
    <row r="890" spans="1:14" ht="15" thickBot="1" x14ac:dyDescent="0.35">
      <c r="A890" s="105">
        <f t="shared" si="74"/>
        <v>22</v>
      </c>
      <c r="B890" s="27">
        <f t="shared" si="73"/>
        <v>45081</v>
      </c>
      <c r="C890" s="19" t="s">
        <v>9</v>
      </c>
      <c r="D890" s="12" t="s">
        <v>69</v>
      </c>
      <c r="E890" s="13">
        <f>IF(VLOOKUP(D890,Budget!A:B,2,FALSE)&lt;&gt;0,IF(G890=0,24,24-G890),0)</f>
        <v>24</v>
      </c>
      <c r="F890" s="20"/>
      <c r="G890" s="20"/>
      <c r="H890" s="93">
        <f>IF(E890=0,0,IF(M890="ja",(VLOOKUP(D890,Budget!A:F,6,FALSE)*(E890-(VLOOKUP(D890,Budget!A:F,3,FALSE)))),VLOOKUP($D890,Budget!$A$1:$F$19,6,FALSE)*E890))</f>
        <v>42919.35380616656</v>
      </c>
      <c r="I890" s="93">
        <f>IF(F890=0,0,IF(M890="ja",((VLOOKUP(F890,Budget!A:F,6,FALSE)*(E890-(VLOOKUP(F890,Budget!A:F,3,FALSE))))),VLOOKUP($D890,Budget!A:F,5,FALSE)*E890))</f>
        <v>0</v>
      </c>
      <c r="J890" s="87">
        <f t="shared" si="75"/>
        <v>42919.35380616656</v>
      </c>
      <c r="K890" s="21"/>
      <c r="L890" s="74"/>
      <c r="M890" s="77" t="str">
        <f t="shared" si="76"/>
        <v>nein</v>
      </c>
      <c r="N890">
        <f t="shared" si="72"/>
        <v>2023</v>
      </c>
    </row>
    <row r="891" spans="1:14" x14ac:dyDescent="0.3">
      <c r="A891" s="104">
        <f t="shared" si="74"/>
        <v>23</v>
      </c>
      <c r="B891" s="22">
        <f t="shared" si="73"/>
        <v>45082</v>
      </c>
      <c r="C891" s="10" t="s">
        <v>3</v>
      </c>
      <c r="D891" s="12" t="s">
        <v>66</v>
      </c>
      <c r="E891" s="13">
        <f>IF(VLOOKUP(D891,Budget!A:B,2,FALSE)&lt;&gt;0,IF(G891=0,24,24-G891),0)</f>
        <v>24</v>
      </c>
      <c r="F891" s="13"/>
      <c r="G891" s="13"/>
      <c r="H891" s="85">
        <f>IF(E891=0,0,IF(M891="ja",(VLOOKUP(D891,Budget!A:F,6,FALSE)*(E891-(VLOOKUP(D891,Budget!A:F,3,FALSE)))),VLOOKUP($D891,Budget!$A$1:$F$19,6,FALSE)*E891))</f>
        <v>32328.172065231582</v>
      </c>
      <c r="I891" s="85">
        <f>IF(F891=0,0,IF(M891="ja",((VLOOKUP(F891,Budget!A:F,6,FALSE)*(E891-(VLOOKUP(F891,Budget!A:F,3,FALSE))))),VLOOKUP($D891,Budget!A:F,5,FALSE)*E891))</f>
        <v>0</v>
      </c>
      <c r="J891" s="85">
        <f t="shared" si="75"/>
        <v>32328.172065231582</v>
      </c>
      <c r="K891" s="15"/>
      <c r="L891" s="72"/>
      <c r="M891" s="80" t="str">
        <f t="shared" si="76"/>
        <v>ja</v>
      </c>
      <c r="N891">
        <f t="shared" si="72"/>
        <v>2023</v>
      </c>
    </row>
    <row r="892" spans="1:14" x14ac:dyDescent="0.3">
      <c r="A892" s="105">
        <f t="shared" si="74"/>
        <v>23</v>
      </c>
      <c r="B892" s="22">
        <f t="shared" si="73"/>
        <v>45083</v>
      </c>
      <c r="C892" s="11" t="s">
        <v>4</v>
      </c>
      <c r="D892" s="12" t="s">
        <v>66</v>
      </c>
      <c r="E892" s="13">
        <f>IF(VLOOKUP(D892,Budget!A:B,2,FALSE)&lt;&gt;0,IF(G892=0,24,24-G892),0)</f>
        <v>24</v>
      </c>
      <c r="G892" s="13"/>
      <c r="H892" s="85">
        <f>IF(E892=0,0,IF(M892="ja",(VLOOKUP(D892,Budget!A:F,6,FALSE)*(E892-(VLOOKUP(D892,Budget!A:F,3,FALSE)))),VLOOKUP($D892,Budget!$A$1:$F$19,6,FALSE)*E892))</f>
        <v>36946.482360264665</v>
      </c>
      <c r="I892" s="85">
        <f>IF(F892=0,0,IF(M892="ja",((VLOOKUP(F892,Budget!A:F,6,FALSE)*(E892-(VLOOKUP(F892,Budget!A:F,3,FALSE))))),VLOOKUP($D892,Budget!A:F,5,FALSE)*E892))</f>
        <v>0</v>
      </c>
      <c r="J892" s="85">
        <f t="shared" si="75"/>
        <v>36946.482360264665</v>
      </c>
      <c r="K892" s="14"/>
      <c r="L892" s="73"/>
      <c r="M892" s="80" t="str">
        <f t="shared" si="76"/>
        <v>nein</v>
      </c>
      <c r="N892">
        <f t="shared" si="72"/>
        <v>2023</v>
      </c>
    </row>
    <row r="893" spans="1:14" x14ac:dyDescent="0.3">
      <c r="A893" s="105">
        <f t="shared" si="74"/>
        <v>23</v>
      </c>
      <c r="B893" s="22">
        <f t="shared" si="73"/>
        <v>45084</v>
      </c>
      <c r="C893" s="11" t="s">
        <v>5</v>
      </c>
      <c r="D893" s="12" t="s">
        <v>69</v>
      </c>
      <c r="E893" s="13">
        <f>IF(VLOOKUP(D893,Budget!A:B,2,FALSE)&lt;&gt;0,IF(G893=0,24,24-G893),0)</f>
        <v>24</v>
      </c>
      <c r="G893" s="13"/>
      <c r="H893" s="85">
        <f>IF(E893=0,0,IF(M893="ja",(VLOOKUP(D893,Budget!A:F,6,FALSE)*(E893-(VLOOKUP(D893,Budget!A:F,3,FALSE)))),VLOOKUP($D893,Budget!$A$1:$F$19,6,FALSE)*E893))</f>
        <v>38269.757143831848</v>
      </c>
      <c r="I893" s="85">
        <f>IF(F893=0,0,IF(M893="ja",((VLOOKUP(F893,Budget!A:F,6,FALSE)*(E893-(VLOOKUP(F893,Budget!A:F,3,FALSE))))),VLOOKUP($D893,Budget!A:F,5,FALSE)*E893))</f>
        <v>0</v>
      </c>
      <c r="J893" s="85">
        <f t="shared" si="75"/>
        <v>38269.757143831848</v>
      </c>
      <c r="K893" s="14"/>
      <c r="L893" s="73"/>
      <c r="M893" s="80" t="str">
        <f t="shared" si="76"/>
        <v>ja</v>
      </c>
      <c r="N893">
        <f t="shared" si="72"/>
        <v>2023</v>
      </c>
    </row>
    <row r="894" spans="1:14" x14ac:dyDescent="0.3">
      <c r="A894" s="103">
        <f t="shared" si="74"/>
        <v>23</v>
      </c>
      <c r="B894" s="130">
        <f t="shared" si="73"/>
        <v>45085</v>
      </c>
      <c r="C894" s="131" t="s">
        <v>6</v>
      </c>
      <c r="D894" s="12" t="s">
        <v>69</v>
      </c>
      <c r="E894" s="13">
        <f>IF(VLOOKUP(D894,Budget!A:B,2,FALSE)&lt;&gt;0,IF(G894=0,24,24-G894),0)</f>
        <v>24</v>
      </c>
      <c r="G894" s="13"/>
      <c r="H894" s="85">
        <f>IF(E894=0,0,IF(M894="ja",(VLOOKUP(D894,Budget!A:F,6,FALSE)*(E894-(VLOOKUP(D894,Budget!A:F,3,FALSE)))),VLOOKUP($D894,Budget!$A$1:$F$19,6,FALSE)*E894))</f>
        <v>42919.35380616656</v>
      </c>
      <c r="I894" s="85">
        <f>IF(F894=0,0,IF(M894="ja",((VLOOKUP(F894,Budget!A:F,6,FALSE)*(E894-(VLOOKUP(F894,Budget!A:F,3,FALSE))))),VLOOKUP($D894,Budget!A:F,5,FALSE)*E894))</f>
        <v>0</v>
      </c>
      <c r="J894" s="85">
        <f t="shared" si="75"/>
        <v>42919.35380616656</v>
      </c>
      <c r="K894" s="14"/>
      <c r="L894" s="73"/>
      <c r="M894" s="80" t="str">
        <f t="shared" si="76"/>
        <v>nein</v>
      </c>
      <c r="N894">
        <f t="shared" si="72"/>
        <v>2023</v>
      </c>
    </row>
    <row r="895" spans="1:14" x14ac:dyDescent="0.3">
      <c r="A895" s="105">
        <f t="shared" si="74"/>
        <v>23</v>
      </c>
      <c r="B895" s="22">
        <f t="shared" si="73"/>
        <v>45086</v>
      </c>
      <c r="C895" s="11" t="s">
        <v>7</v>
      </c>
      <c r="D895" s="12" t="s">
        <v>69</v>
      </c>
      <c r="E895" s="13">
        <f>IF(VLOOKUP(D895,Budget!A:B,2,FALSE)&lt;&gt;0,IF(G895=0,24,24-G895),0)</f>
        <v>24</v>
      </c>
      <c r="G895" s="13"/>
      <c r="H895" s="85">
        <f>IF(E895=0,0,IF(M895="ja",(VLOOKUP(D895,Budget!A:F,6,FALSE)*(E895-(VLOOKUP(D895,Budget!A:F,3,FALSE)))),VLOOKUP($D895,Budget!$A$1:$F$19,6,FALSE)*E895))</f>
        <v>42919.35380616656</v>
      </c>
      <c r="I895" s="85">
        <f>IF(F895=0,0,IF(M895="ja",((VLOOKUP(F895,Budget!A:F,6,FALSE)*(E895-(VLOOKUP(F895,Budget!A:F,3,FALSE))))),VLOOKUP($D895,Budget!A:F,5,FALSE)*E895))</f>
        <v>0</v>
      </c>
      <c r="J895" s="85">
        <f t="shared" si="75"/>
        <v>42919.35380616656</v>
      </c>
      <c r="K895" s="14"/>
      <c r="L895" s="25"/>
      <c r="M895" s="80" t="str">
        <f t="shared" si="76"/>
        <v>nein</v>
      </c>
      <c r="N895">
        <f t="shared" si="72"/>
        <v>2023</v>
      </c>
    </row>
    <row r="896" spans="1:14" x14ac:dyDescent="0.3">
      <c r="A896" s="105">
        <f t="shared" si="74"/>
        <v>23</v>
      </c>
      <c r="B896" s="22">
        <f t="shared" si="73"/>
        <v>45087</v>
      </c>
      <c r="C896" s="16" t="s">
        <v>8</v>
      </c>
      <c r="D896" s="12" t="s">
        <v>69</v>
      </c>
      <c r="E896" s="13">
        <f>IF(VLOOKUP(D896,Budget!A:B,2,FALSE)&lt;&gt;0,IF(G896=0,24,24-G896),0)</f>
        <v>24</v>
      </c>
      <c r="F896" s="17"/>
      <c r="G896" s="17"/>
      <c r="H896" s="86">
        <f>IF(E896=0,0,IF(M896="ja",(VLOOKUP(D896,Budget!A:F,6,FALSE)*(E896-(VLOOKUP(D896,Budget!A:F,3,FALSE)))),VLOOKUP($D896,Budget!$A$1:$F$19,6,FALSE)*E896))</f>
        <v>42919.35380616656</v>
      </c>
      <c r="I896" s="86">
        <f>IF(F896=0,0,IF(M896="ja",((VLOOKUP(F896,Budget!A:F,6,FALSE)*(E896-(VLOOKUP(F896,Budget!A:F,3,FALSE))))),VLOOKUP($D896,Budget!A:F,5,FALSE)*E896))</f>
        <v>0</v>
      </c>
      <c r="J896" s="86">
        <f t="shared" si="75"/>
        <v>42919.35380616656</v>
      </c>
      <c r="K896" s="18"/>
      <c r="L896" s="75"/>
      <c r="M896" s="76" t="str">
        <f t="shared" si="76"/>
        <v>nein</v>
      </c>
      <c r="N896">
        <f t="shared" si="72"/>
        <v>2023</v>
      </c>
    </row>
    <row r="897" spans="1:14" ht="15" thickBot="1" x14ac:dyDescent="0.35">
      <c r="A897" s="105">
        <f t="shared" si="74"/>
        <v>23</v>
      </c>
      <c r="B897" s="27">
        <f t="shared" si="73"/>
        <v>45088</v>
      </c>
      <c r="C897" s="19" t="s">
        <v>9</v>
      </c>
      <c r="D897" s="12" t="s">
        <v>69</v>
      </c>
      <c r="E897" s="13">
        <f>IF(VLOOKUP(D897,Budget!A:B,2,FALSE)&lt;&gt;0,IF(G897=0,24,24-G897),0)</f>
        <v>24</v>
      </c>
      <c r="F897" s="20"/>
      <c r="G897" s="20"/>
      <c r="H897" s="93">
        <f>IF(E897=0,0,IF(M897="ja",(VLOOKUP(D897,Budget!A:F,6,FALSE)*(E897-(VLOOKUP(D897,Budget!A:F,3,FALSE)))),VLOOKUP($D897,Budget!$A$1:$F$19,6,FALSE)*E897))</f>
        <v>42919.35380616656</v>
      </c>
      <c r="I897" s="93">
        <f>IF(F897=0,0,IF(M897="ja",((VLOOKUP(F897,Budget!A:F,6,FALSE)*(E897-(VLOOKUP(F897,Budget!A:F,3,FALSE))))),VLOOKUP($D897,Budget!A:F,5,FALSE)*E897))</f>
        <v>0</v>
      </c>
      <c r="J897" s="87">
        <f t="shared" si="75"/>
        <v>42919.35380616656</v>
      </c>
      <c r="K897" s="21"/>
      <c r="L897" s="74"/>
      <c r="M897" s="77" t="str">
        <f t="shared" si="76"/>
        <v>nein</v>
      </c>
      <c r="N897">
        <f t="shared" si="72"/>
        <v>2023</v>
      </c>
    </row>
    <row r="898" spans="1:14" x14ac:dyDescent="0.3">
      <c r="A898" s="104">
        <f t="shared" si="74"/>
        <v>24</v>
      </c>
      <c r="B898" s="22">
        <f t="shared" si="73"/>
        <v>45089</v>
      </c>
      <c r="C898" s="10" t="s">
        <v>3</v>
      </c>
      <c r="D898" s="12" t="s">
        <v>11</v>
      </c>
      <c r="E898" s="13">
        <f>IF(VLOOKUP(D898,Budget!A:B,2,FALSE)&lt;&gt;0,IF(G898=0,24,24-G898),0)</f>
        <v>24</v>
      </c>
      <c r="F898" s="13"/>
      <c r="G898" s="13"/>
      <c r="H898" s="85">
        <f>IF(E898=0,0,IF(M898="ja",(VLOOKUP(D898,Budget!A:F,6,FALSE)*(E898-(VLOOKUP(D898,Budget!A:F,3,FALSE)))),VLOOKUP($D898,Budget!$A$1:$F$19,6,FALSE)*E898))</f>
        <v>30030</v>
      </c>
      <c r="I898" s="85">
        <f>IF(F898=0,0,IF(M898="ja",((VLOOKUP(F898,Budget!A:F,6,FALSE)*(E898-(VLOOKUP(F898,Budget!A:F,3,FALSE))))),VLOOKUP($D898,Budget!A:F,5,FALSE)*E898))</f>
        <v>0</v>
      </c>
      <c r="J898" s="85">
        <f t="shared" si="75"/>
        <v>30030</v>
      </c>
      <c r="K898" s="15"/>
      <c r="L898" s="72"/>
      <c r="M898" s="80" t="str">
        <f t="shared" si="76"/>
        <v>ja</v>
      </c>
      <c r="N898">
        <f t="shared" si="72"/>
        <v>2023</v>
      </c>
    </row>
    <row r="899" spans="1:14" x14ac:dyDescent="0.3">
      <c r="A899" s="105">
        <f t="shared" si="74"/>
        <v>24</v>
      </c>
      <c r="B899" s="22">
        <f t="shared" si="73"/>
        <v>45090</v>
      </c>
      <c r="C899" s="11" t="s">
        <v>4</v>
      </c>
      <c r="D899" s="12" t="s">
        <v>11</v>
      </c>
      <c r="E899" s="13">
        <f>IF(VLOOKUP(D899,Budget!A:B,2,FALSE)&lt;&gt;0,IF(G899=0,24,24-G899),0)</f>
        <v>24</v>
      </c>
      <c r="G899" s="13"/>
      <c r="H899" s="85">
        <f>IF(E899=0,0,IF(M899="ja",(VLOOKUP(D899,Budget!A:F,6,FALSE)*(E899-(VLOOKUP(D899,Budget!A:F,3,FALSE)))),VLOOKUP($D899,Budget!$A$1:$F$19,6,FALSE)*E899))</f>
        <v>36960</v>
      </c>
      <c r="I899" s="85">
        <f>IF(F899=0,0,IF(M899="ja",((VLOOKUP(F899,Budget!A:F,6,FALSE)*(E899-(VLOOKUP(F899,Budget!A:F,3,FALSE))))),VLOOKUP($D899,Budget!A:F,5,FALSE)*E899))</f>
        <v>0</v>
      </c>
      <c r="J899" s="85">
        <f t="shared" si="75"/>
        <v>36960</v>
      </c>
      <c r="K899" s="14"/>
      <c r="L899" s="73"/>
      <c r="M899" s="80" t="str">
        <f t="shared" si="76"/>
        <v>nein</v>
      </c>
      <c r="N899">
        <f t="shared" ref="N899:N962" si="77">YEAR(B899)</f>
        <v>2023</v>
      </c>
    </row>
    <row r="900" spans="1:14" x14ac:dyDescent="0.3">
      <c r="A900" s="105">
        <f t="shared" si="74"/>
        <v>24</v>
      </c>
      <c r="B900" s="22">
        <f t="shared" si="73"/>
        <v>45091</v>
      </c>
      <c r="C900" s="11" t="s">
        <v>5</v>
      </c>
      <c r="D900" s="12" t="s">
        <v>11</v>
      </c>
      <c r="E900" s="13">
        <f>IF(VLOOKUP(D900,Budget!A:B,2,FALSE)&lt;&gt;0,IF(G900=0,24,24-G900),0)</f>
        <v>24</v>
      </c>
      <c r="G900" s="13"/>
      <c r="H900" s="85">
        <f>IF(E900=0,0,IF(M900="ja",(VLOOKUP(D900,Budget!A:F,6,FALSE)*(E900-(VLOOKUP(D900,Budget!A:F,3,FALSE)))),VLOOKUP($D900,Budget!$A$1:$F$19,6,FALSE)*E900))</f>
        <v>36960</v>
      </c>
      <c r="I900" s="85">
        <f>IF(F900=0,0,IF(M900="ja",((VLOOKUP(F900,Budget!A:F,6,FALSE)*(E900-(VLOOKUP(F900,Budget!A:F,3,FALSE))))),VLOOKUP($D900,Budget!A:F,5,FALSE)*E900))</f>
        <v>0</v>
      </c>
      <c r="J900" s="85">
        <f t="shared" si="75"/>
        <v>36960</v>
      </c>
      <c r="K900" s="14"/>
      <c r="L900" s="73"/>
      <c r="M900" s="80" t="str">
        <f t="shared" si="76"/>
        <v>nein</v>
      </c>
      <c r="N900">
        <f t="shared" si="77"/>
        <v>2023</v>
      </c>
    </row>
    <row r="901" spans="1:14" x14ac:dyDescent="0.3">
      <c r="A901" s="103">
        <f t="shared" si="74"/>
        <v>24</v>
      </c>
      <c r="B901" s="22">
        <f t="shared" si="73"/>
        <v>45092</v>
      </c>
      <c r="C901" s="11" t="s">
        <v>6</v>
      </c>
      <c r="D901" s="12" t="s">
        <v>11</v>
      </c>
      <c r="E901" s="13">
        <f>IF(VLOOKUP(D901,Budget!A:B,2,FALSE)&lt;&gt;0,IF(G901=0,24,24-G901),0)</f>
        <v>24</v>
      </c>
      <c r="G901" s="13"/>
      <c r="H901" s="85">
        <f>IF(E901=0,0,IF(M901="ja",(VLOOKUP(D901,Budget!A:F,6,FALSE)*(E901-(VLOOKUP(D901,Budget!A:F,3,FALSE)))),VLOOKUP($D901,Budget!$A$1:$F$19,6,FALSE)*E901))</f>
        <v>36960</v>
      </c>
      <c r="I901" s="85">
        <f>IF(F901=0,0,IF(M901="ja",((VLOOKUP(F901,Budget!A:F,6,FALSE)*(E901-(VLOOKUP(F901,Budget!A:F,3,FALSE))))),VLOOKUP($D901,Budget!A:F,5,FALSE)*E901))</f>
        <v>0</v>
      </c>
      <c r="J901" s="85">
        <f t="shared" si="75"/>
        <v>36960</v>
      </c>
      <c r="K901" s="14"/>
      <c r="L901" s="73"/>
      <c r="M901" s="80" t="str">
        <f t="shared" si="76"/>
        <v>nein</v>
      </c>
      <c r="N901">
        <f t="shared" si="77"/>
        <v>2023</v>
      </c>
    </row>
    <row r="902" spans="1:14" x14ac:dyDescent="0.3">
      <c r="A902" s="105">
        <f t="shared" si="74"/>
        <v>24</v>
      </c>
      <c r="B902" s="22">
        <f t="shared" si="73"/>
        <v>45093</v>
      </c>
      <c r="C902" s="11" t="s">
        <v>7</v>
      </c>
      <c r="D902" s="12" t="s">
        <v>11</v>
      </c>
      <c r="E902" s="13">
        <f>IF(VLOOKUP(D902,Budget!A:B,2,FALSE)&lt;&gt;0,IF(G902=0,24,24-G902),0)</f>
        <v>24</v>
      </c>
      <c r="G902" s="13"/>
      <c r="H902" s="85">
        <f>IF(E902=0,0,IF(M902="ja",(VLOOKUP(D902,Budget!A:F,6,FALSE)*(E902-(VLOOKUP(D902,Budget!A:F,3,FALSE)))),VLOOKUP($D902,Budget!$A$1:$F$19,6,FALSE)*E902))</f>
        <v>36960</v>
      </c>
      <c r="I902" s="85">
        <f>IF(F902=0,0,IF(M902="ja",((VLOOKUP(F902,Budget!A:F,6,FALSE)*(E902-(VLOOKUP(F902,Budget!A:F,3,FALSE))))),VLOOKUP($D902,Budget!A:F,5,FALSE)*E902))</f>
        <v>0</v>
      </c>
      <c r="J902" s="85">
        <f t="shared" si="75"/>
        <v>36960</v>
      </c>
      <c r="K902" s="14"/>
      <c r="L902" s="25"/>
      <c r="M902" s="80" t="str">
        <f t="shared" si="76"/>
        <v>nein</v>
      </c>
      <c r="N902">
        <f t="shared" si="77"/>
        <v>2023</v>
      </c>
    </row>
    <row r="903" spans="1:14" x14ac:dyDescent="0.3">
      <c r="A903" s="105">
        <f t="shared" si="74"/>
        <v>24</v>
      </c>
      <c r="B903" s="22">
        <f t="shared" si="73"/>
        <v>45094</v>
      </c>
      <c r="C903" s="16" t="s">
        <v>8</v>
      </c>
      <c r="D903" s="17" t="s">
        <v>51</v>
      </c>
      <c r="E903" s="13" t="e">
        <f>IF(VLOOKUP(D903,Budget!A:B,2,FALSE)&lt;&gt;0,IF(G903=0,24,24-G903),0)</f>
        <v>#N/A</v>
      </c>
      <c r="F903" s="17"/>
      <c r="G903" s="17"/>
      <c r="H903" s="86" t="e">
        <f>IF(E903=0,0,IF(M903="ja",(VLOOKUP(D903,Budget!A:F,6,FALSE)*(E903-(VLOOKUP(D903,Budget!A:F,3,FALSE)))),VLOOKUP($D903,Budget!$A$1:$F$19,6,FALSE)*E903))</f>
        <v>#N/A</v>
      </c>
      <c r="I903" s="86">
        <f>IF(F903=0,0,IF(M903="ja",((VLOOKUP(F903,Budget!A:F,6,FALSE)*(E903-(VLOOKUP(F903,Budget!A:F,3,FALSE))))),VLOOKUP($D903,Budget!A:F,5,FALSE)*E903))</f>
        <v>0</v>
      </c>
      <c r="J903" s="86" t="e">
        <f t="shared" si="75"/>
        <v>#N/A</v>
      </c>
      <c r="K903" s="18"/>
      <c r="L903" s="75"/>
      <c r="M903" s="76" t="e">
        <f t="shared" si="76"/>
        <v>#N/A</v>
      </c>
      <c r="N903">
        <f t="shared" si="77"/>
        <v>2023</v>
      </c>
    </row>
    <row r="904" spans="1:14" ht="15" thickBot="1" x14ac:dyDescent="0.35">
      <c r="A904" s="105">
        <f t="shared" si="74"/>
        <v>24</v>
      </c>
      <c r="B904" s="27">
        <f t="shared" si="73"/>
        <v>45095</v>
      </c>
      <c r="C904" s="19" t="s">
        <v>9</v>
      </c>
      <c r="D904" s="20" t="s">
        <v>51</v>
      </c>
      <c r="E904" s="13" t="e">
        <f>IF(VLOOKUP(D904,Budget!A:B,2,FALSE)&lt;&gt;0,IF(G904=0,24,24-G904),0)</f>
        <v>#N/A</v>
      </c>
      <c r="F904" s="20"/>
      <c r="G904" s="20"/>
      <c r="H904" s="93" t="e">
        <f>IF(E904=0,0,IF(M904="ja",(VLOOKUP(D904,Budget!A:F,6,FALSE)*(E904-(VLOOKUP(D904,Budget!A:F,3,FALSE)))),VLOOKUP($D904,Budget!$A$1:$F$19,6,FALSE)*E904))</f>
        <v>#N/A</v>
      </c>
      <c r="I904" s="93">
        <f>IF(F904=0,0,IF(M904="ja",((VLOOKUP(F904,Budget!A:F,6,FALSE)*(E904-(VLOOKUP(F904,Budget!A:F,3,FALSE))))),VLOOKUP($D904,Budget!A:F,5,FALSE)*E904))</f>
        <v>0</v>
      </c>
      <c r="J904" s="87" t="e">
        <f t="shared" si="75"/>
        <v>#N/A</v>
      </c>
      <c r="K904" s="21"/>
      <c r="L904" s="74"/>
      <c r="M904" s="77" t="e">
        <f t="shared" si="76"/>
        <v>#N/A</v>
      </c>
      <c r="N904">
        <f t="shared" si="77"/>
        <v>2023</v>
      </c>
    </row>
    <row r="905" spans="1:14" x14ac:dyDescent="0.3">
      <c r="A905" s="104">
        <f t="shared" si="74"/>
        <v>25</v>
      </c>
      <c r="B905" s="22">
        <f t="shared" si="73"/>
        <v>45096</v>
      </c>
      <c r="C905" s="10" t="s">
        <v>3</v>
      </c>
      <c r="D905" s="12" t="s">
        <v>51</v>
      </c>
      <c r="E905" s="13" t="e">
        <f>IF(VLOOKUP(D905,Budget!A:B,2,FALSE)&lt;&gt;0,IF(G905=0,24,24-G905),0)</f>
        <v>#N/A</v>
      </c>
      <c r="F905" s="13"/>
      <c r="G905" s="13"/>
      <c r="H905" s="85" t="e">
        <f>IF(E905=0,0,IF(M905="ja",(VLOOKUP(D905,Budget!A:F,6,FALSE)*(E905-(VLOOKUP(D905,Budget!A:F,3,FALSE)))),VLOOKUP($D905,Budget!$A$1:$F$19,6,FALSE)*E905))</f>
        <v>#N/A</v>
      </c>
      <c r="I905" s="85">
        <f>IF(F905=0,0,IF(M905="ja",((VLOOKUP(F905,Budget!A:F,6,FALSE)*(E905-(VLOOKUP(F905,Budget!A:F,3,FALSE))))),VLOOKUP($D905,Budget!A:F,5,FALSE)*E905))</f>
        <v>0</v>
      </c>
      <c r="J905" s="85" t="e">
        <f t="shared" si="75"/>
        <v>#N/A</v>
      </c>
      <c r="K905" s="15"/>
      <c r="L905" s="72"/>
      <c r="M905" s="80" t="e">
        <f t="shared" si="76"/>
        <v>#N/A</v>
      </c>
      <c r="N905">
        <f t="shared" si="77"/>
        <v>2023</v>
      </c>
    </row>
    <row r="906" spans="1:14" x14ac:dyDescent="0.3">
      <c r="A906" s="105">
        <f t="shared" si="74"/>
        <v>25</v>
      </c>
      <c r="B906" s="22">
        <f t="shared" si="73"/>
        <v>45097</v>
      </c>
      <c r="C906" s="11" t="s">
        <v>4</v>
      </c>
      <c r="D906" s="12" t="s">
        <v>51</v>
      </c>
      <c r="E906" s="13" t="e">
        <f>IF(VLOOKUP(D906,Budget!A:B,2,FALSE)&lt;&gt;0,IF(G906=0,24,24-G906),0)</f>
        <v>#N/A</v>
      </c>
      <c r="G906" s="13"/>
      <c r="H906" s="85" t="e">
        <f>IF(E906=0,0,IF(M906="ja",(VLOOKUP(D906,Budget!A:F,6,FALSE)*(E906-(VLOOKUP(D906,Budget!A:F,3,FALSE)))),VLOOKUP($D906,Budget!$A$1:$F$19,6,FALSE)*E906))</f>
        <v>#N/A</v>
      </c>
      <c r="I906" s="85">
        <f>IF(F906=0,0,IF(M906="ja",((VLOOKUP(F906,Budget!A:F,6,FALSE)*(E906-(VLOOKUP(F906,Budget!A:F,3,FALSE))))),VLOOKUP($D906,Budget!A:F,5,FALSE)*E906))</f>
        <v>0</v>
      </c>
      <c r="J906" s="85" t="e">
        <f t="shared" si="75"/>
        <v>#N/A</v>
      </c>
      <c r="K906" s="14"/>
      <c r="L906" s="73"/>
      <c r="M906" s="80" t="e">
        <f t="shared" si="76"/>
        <v>#N/A</v>
      </c>
      <c r="N906">
        <f t="shared" si="77"/>
        <v>2023</v>
      </c>
    </row>
    <row r="907" spans="1:14" x14ac:dyDescent="0.3">
      <c r="A907" s="105">
        <f t="shared" si="74"/>
        <v>25</v>
      </c>
      <c r="B907" s="22">
        <f t="shared" si="73"/>
        <v>45098</v>
      </c>
      <c r="C907" s="11" t="s">
        <v>5</v>
      </c>
      <c r="D907" s="12" t="s">
        <v>29</v>
      </c>
      <c r="E907" s="13">
        <f>IF(VLOOKUP(D907,Budget!A:B,2,FALSE)&lt;&gt;0,IF(G907=0,24,24-G907),0)</f>
        <v>0</v>
      </c>
      <c r="G907" s="13"/>
      <c r="H907" s="85">
        <f>IF(E907=0,0,IF(M907="ja",(VLOOKUP(D907,Budget!A:F,6,FALSE)*(E907-(VLOOKUP(D907,Budget!A:F,3,FALSE)))),VLOOKUP($D907,Budget!$A$1:$F$19,6,FALSE)*E907))</f>
        <v>0</v>
      </c>
      <c r="I907" s="85">
        <f>IF(F907=0,0,IF(M907="ja",((VLOOKUP(F907,Budget!A:F,6,FALSE)*(E907-(VLOOKUP(F907,Budget!A:F,3,FALSE))))),VLOOKUP($D907,Budget!A:F,5,FALSE)*E907))</f>
        <v>0</v>
      </c>
      <c r="J907" s="85">
        <f t="shared" si="75"/>
        <v>0</v>
      </c>
      <c r="K907" s="14"/>
      <c r="L907" s="73"/>
      <c r="M907" s="80" t="str">
        <f t="shared" si="76"/>
        <v>nein</v>
      </c>
      <c r="N907">
        <f t="shared" si="77"/>
        <v>2023</v>
      </c>
    </row>
    <row r="908" spans="1:14" x14ac:dyDescent="0.3">
      <c r="A908" s="103">
        <f t="shared" si="74"/>
        <v>25</v>
      </c>
      <c r="B908" s="22">
        <f t="shared" si="73"/>
        <v>45099</v>
      </c>
      <c r="C908" s="11" t="s">
        <v>6</v>
      </c>
      <c r="D908" s="12" t="s">
        <v>29</v>
      </c>
      <c r="E908" s="13">
        <f>IF(VLOOKUP(D908,Budget!A:B,2,FALSE)&lt;&gt;0,IF(G908=0,24,24-G908),0)</f>
        <v>0</v>
      </c>
      <c r="G908" s="13"/>
      <c r="H908" s="85">
        <f>IF(E908=0,0,IF(M908="ja",(VLOOKUP(D908,Budget!A:F,6,FALSE)*(E908-(VLOOKUP(D908,Budget!A:F,3,FALSE)))),VLOOKUP($D908,Budget!$A$1:$F$19,6,FALSE)*E908))</f>
        <v>0</v>
      </c>
      <c r="I908" s="85">
        <f>IF(F908=0,0,IF(M908="ja",((VLOOKUP(F908,Budget!A:F,6,FALSE)*(E908-(VLOOKUP(F908,Budget!A:F,3,FALSE))))),VLOOKUP($D908,Budget!A:F,5,FALSE)*E908))</f>
        <v>0</v>
      </c>
      <c r="J908" s="85">
        <f t="shared" si="75"/>
        <v>0</v>
      </c>
      <c r="K908" s="14"/>
      <c r="L908" s="73"/>
      <c r="M908" s="80" t="str">
        <f t="shared" si="76"/>
        <v>nein</v>
      </c>
      <c r="N908">
        <f t="shared" si="77"/>
        <v>2023</v>
      </c>
    </row>
    <row r="909" spans="1:14" x14ac:dyDescent="0.3">
      <c r="A909" s="105">
        <f t="shared" si="74"/>
        <v>25</v>
      </c>
      <c r="B909" s="22">
        <f t="shared" si="73"/>
        <v>45100</v>
      </c>
      <c r="C909" s="11" t="s">
        <v>7</v>
      </c>
      <c r="D909" s="12" t="s">
        <v>30</v>
      </c>
      <c r="E909" s="13">
        <f>IF(VLOOKUP(D909,Budget!A:B,2,FALSE)&lt;&gt;0,IF(G909=0,24,24-G909),0)</f>
        <v>0</v>
      </c>
      <c r="G909" s="13"/>
      <c r="H909" s="85">
        <f>IF(E909=0,0,IF(M909="ja",(VLOOKUP(D909,Budget!A:F,6,FALSE)*(E909-(VLOOKUP(D909,Budget!A:F,3,FALSE)))),VLOOKUP($D909,Budget!$A$1:$F$19,6,FALSE)*E909))</f>
        <v>0</v>
      </c>
      <c r="I909" s="85">
        <f>IF(F909=0,0,IF(M909="ja",((VLOOKUP(F909,Budget!A:F,6,FALSE)*(E909-(VLOOKUP(F909,Budget!A:F,3,FALSE))))),VLOOKUP($D909,Budget!A:F,5,FALSE)*E909))</f>
        <v>0</v>
      </c>
      <c r="J909" s="85">
        <f t="shared" si="75"/>
        <v>0</v>
      </c>
      <c r="K909" s="14"/>
      <c r="L909" s="25"/>
      <c r="M909" s="80" t="str">
        <f t="shared" si="76"/>
        <v>nein</v>
      </c>
      <c r="N909">
        <f t="shared" si="77"/>
        <v>2023</v>
      </c>
    </row>
    <row r="910" spans="1:14" x14ac:dyDescent="0.3">
      <c r="A910" s="105">
        <f t="shared" si="74"/>
        <v>25</v>
      </c>
      <c r="B910" s="22">
        <f t="shared" si="73"/>
        <v>45101</v>
      </c>
      <c r="C910" s="16" t="s">
        <v>8</v>
      </c>
      <c r="D910" s="17" t="s">
        <v>30</v>
      </c>
      <c r="E910" s="13">
        <f>IF(VLOOKUP(D910,Budget!A:B,2,FALSE)&lt;&gt;0,IF(G910=0,24,24-G910),0)</f>
        <v>0</v>
      </c>
      <c r="F910" s="17"/>
      <c r="G910" s="17"/>
      <c r="H910" s="86">
        <f>IF(E910=0,0,IF(M910="ja",(VLOOKUP(D910,Budget!A:F,6,FALSE)*(E910-(VLOOKUP(D910,Budget!A:F,3,FALSE)))),VLOOKUP($D910,Budget!$A$1:$F$19,6,FALSE)*E910))</f>
        <v>0</v>
      </c>
      <c r="I910" s="86">
        <f>IF(F910=0,0,IF(M910="ja",((VLOOKUP(F910,Budget!A:F,6,FALSE)*(E910-(VLOOKUP(F910,Budget!A:F,3,FALSE))))),VLOOKUP($D910,Budget!A:F,5,FALSE)*E910))</f>
        <v>0</v>
      </c>
      <c r="J910" s="86">
        <f t="shared" si="75"/>
        <v>0</v>
      </c>
      <c r="K910" s="18"/>
      <c r="L910" s="75"/>
      <c r="M910" s="76" t="str">
        <f t="shared" si="76"/>
        <v>nein</v>
      </c>
      <c r="N910">
        <f t="shared" si="77"/>
        <v>2023</v>
      </c>
    </row>
    <row r="911" spans="1:14" ht="15" thickBot="1" x14ac:dyDescent="0.35">
      <c r="A911" s="105">
        <f t="shared" si="74"/>
        <v>25</v>
      </c>
      <c r="B911" s="27">
        <f t="shared" si="73"/>
        <v>45102</v>
      </c>
      <c r="C911" s="19" t="s">
        <v>9</v>
      </c>
      <c r="D911" s="12" t="s">
        <v>51</v>
      </c>
      <c r="E911" s="13" t="e">
        <f>IF(VLOOKUP(D911,Budget!A:B,2,FALSE)&lt;&gt;0,IF(G911=0,24,24-G911),0)</f>
        <v>#N/A</v>
      </c>
      <c r="F911" s="20"/>
      <c r="G911" s="20"/>
      <c r="H911" s="93" t="e">
        <f>IF(E911=0,0,IF(M911="ja",(VLOOKUP(D911,Budget!A:F,6,FALSE)*(E911-(VLOOKUP(D911,Budget!A:F,3,FALSE)))),VLOOKUP($D911,Budget!$A$1:$F$19,6,FALSE)*E911))</f>
        <v>#N/A</v>
      </c>
      <c r="I911" s="93">
        <f>IF(F911=0,0,IF(M911="ja",((VLOOKUP(F911,Budget!A:F,6,FALSE)*(E911-(VLOOKUP(F911,Budget!A:F,3,FALSE))))),VLOOKUP($D911,Budget!A:F,5,FALSE)*E911))</f>
        <v>0</v>
      </c>
      <c r="J911" s="87" t="e">
        <f t="shared" si="75"/>
        <v>#N/A</v>
      </c>
      <c r="K911" s="21"/>
      <c r="L911" s="74"/>
      <c r="M911" s="77" t="e">
        <f t="shared" si="76"/>
        <v>#N/A</v>
      </c>
      <c r="N911">
        <f t="shared" si="77"/>
        <v>2023</v>
      </c>
    </row>
    <row r="912" spans="1:14" x14ac:dyDescent="0.3">
      <c r="A912" s="104">
        <f t="shared" si="74"/>
        <v>26</v>
      </c>
      <c r="B912" s="22">
        <f t="shared" si="73"/>
        <v>45103</v>
      </c>
      <c r="C912" s="10" t="s">
        <v>3</v>
      </c>
      <c r="D912" s="12" t="s">
        <v>51</v>
      </c>
      <c r="E912" s="13" t="e">
        <f>IF(VLOOKUP(D912,Budget!A:B,2,FALSE)&lt;&gt;0,IF(G912=0,24,24-G912),0)</f>
        <v>#N/A</v>
      </c>
      <c r="F912" s="13"/>
      <c r="G912" s="13"/>
      <c r="H912" s="85" t="e">
        <f>IF(E912=0,0,IF(M912="ja",(VLOOKUP(D912,Budget!A:F,6,FALSE)*(E912-(VLOOKUP(D912,Budget!A:F,3,FALSE)))),VLOOKUP($D912,Budget!$A$1:$F$19,6,FALSE)*E912))</f>
        <v>#N/A</v>
      </c>
      <c r="I912" s="85">
        <f>IF(F912=0,0,IF(M912="ja",((VLOOKUP(F912,Budget!A:F,6,FALSE)*(E912-(VLOOKUP(F912,Budget!A:F,3,FALSE))))),VLOOKUP($D912,Budget!A:F,5,FALSE)*E912))</f>
        <v>0</v>
      </c>
      <c r="J912" s="85" t="e">
        <f t="shared" si="75"/>
        <v>#N/A</v>
      </c>
      <c r="K912" s="15"/>
      <c r="L912" s="72"/>
      <c r="M912" s="80" t="e">
        <f t="shared" si="76"/>
        <v>#N/A</v>
      </c>
      <c r="N912">
        <f t="shared" si="77"/>
        <v>2023</v>
      </c>
    </row>
    <row r="913" spans="1:14" x14ac:dyDescent="0.3">
      <c r="A913" s="105">
        <f t="shared" si="74"/>
        <v>26</v>
      </c>
      <c r="B913" s="22">
        <f t="shared" si="73"/>
        <v>45104</v>
      </c>
      <c r="C913" s="11" t="s">
        <v>4</v>
      </c>
      <c r="D913" s="12" t="s">
        <v>51</v>
      </c>
      <c r="E913" s="13" t="e">
        <f>IF(VLOOKUP(D913,Budget!A:B,2,FALSE)&lt;&gt;0,IF(G913=0,24,24-G913),0)</f>
        <v>#N/A</v>
      </c>
      <c r="G913" s="13"/>
      <c r="H913" s="85" t="e">
        <f>IF(E913=0,0,IF(M913="ja",(VLOOKUP(D913,Budget!A:F,6,FALSE)*(E913-(VLOOKUP(D913,Budget!A:F,3,FALSE)))),VLOOKUP($D913,Budget!$A$1:$F$19,6,FALSE)*E913))</f>
        <v>#N/A</v>
      </c>
      <c r="I913" s="85">
        <f>IF(F913=0,0,IF(M913="ja",((VLOOKUP(F913,Budget!A:F,6,FALSE)*(E913-(VLOOKUP(F913,Budget!A:F,3,FALSE))))),VLOOKUP($D913,Budget!A:F,5,FALSE)*E913))</f>
        <v>0</v>
      </c>
      <c r="J913" s="85" t="e">
        <f t="shared" si="75"/>
        <v>#N/A</v>
      </c>
      <c r="K913" s="14"/>
      <c r="L913" s="73"/>
      <c r="M913" s="80" t="e">
        <f t="shared" si="76"/>
        <v>#N/A</v>
      </c>
      <c r="N913">
        <f t="shared" si="77"/>
        <v>2023</v>
      </c>
    </row>
    <row r="914" spans="1:14" x14ac:dyDescent="0.3">
      <c r="A914" s="105">
        <f t="shared" si="74"/>
        <v>26</v>
      </c>
      <c r="B914" s="22">
        <f t="shared" si="73"/>
        <v>45105</v>
      </c>
      <c r="C914" s="11" t="s">
        <v>5</v>
      </c>
      <c r="D914" s="12" t="s">
        <v>69</v>
      </c>
      <c r="E914" s="13">
        <f>IF(VLOOKUP(D914,Budget!A:B,2,FALSE)&lt;&gt;0,IF(G914=0,24,24-G914),0)</f>
        <v>24</v>
      </c>
      <c r="G914" s="13"/>
      <c r="H914" s="85">
        <f>IF(E914=0,0,IF(M914="ja",(VLOOKUP(D914,Budget!A:F,6,FALSE)*(E914-(VLOOKUP(D914,Budget!A:F,3,FALSE)))),VLOOKUP($D914,Budget!$A$1:$F$19,6,FALSE)*E914))</f>
        <v>38269.757143831848</v>
      </c>
      <c r="I914" s="85">
        <f>IF(F914=0,0,IF(M914="ja",((VLOOKUP(F914,Budget!A:F,6,FALSE)*(E914-(VLOOKUP(F914,Budget!A:F,3,FALSE))))),VLOOKUP($D914,Budget!A:F,5,FALSE)*E914))</f>
        <v>0</v>
      </c>
      <c r="J914" s="85">
        <f t="shared" si="75"/>
        <v>38269.757143831848</v>
      </c>
      <c r="K914" s="14"/>
      <c r="L914" s="73"/>
      <c r="M914" s="80" t="str">
        <f t="shared" si="76"/>
        <v>ja</v>
      </c>
      <c r="N914">
        <f t="shared" si="77"/>
        <v>2023</v>
      </c>
    </row>
    <row r="915" spans="1:14" x14ac:dyDescent="0.3">
      <c r="A915" s="103">
        <f t="shared" si="74"/>
        <v>26</v>
      </c>
      <c r="B915" s="22">
        <f t="shared" si="73"/>
        <v>45106</v>
      </c>
      <c r="C915" s="11" t="s">
        <v>6</v>
      </c>
      <c r="D915" s="12" t="s">
        <v>13</v>
      </c>
      <c r="E915" s="13">
        <f>IF(VLOOKUP(D915,Budget!A:B,2,FALSE)&lt;&gt;0,IF(G915=0,24,24-G915),0)</f>
        <v>0</v>
      </c>
      <c r="G915" s="13"/>
      <c r="H915" s="85">
        <f>IF(E915=0,0,IF(M915="ja",(VLOOKUP(D915,Budget!A:F,6,FALSE)*(E915-(VLOOKUP(D915,Budget!A:F,3,FALSE)))),VLOOKUP($D915,Budget!$A$1:$F$19,6,FALSE)*E915))</f>
        <v>0</v>
      </c>
      <c r="I915" s="85">
        <f>IF(F915=0,0,IF(M915="ja",((VLOOKUP(F915,Budget!A:F,6,FALSE)*(E915-(VLOOKUP(F915,Budget!A:F,3,FALSE))))),VLOOKUP($D915,Budget!A:F,5,FALSE)*E915))</f>
        <v>0</v>
      </c>
      <c r="J915" s="85">
        <f t="shared" si="75"/>
        <v>0</v>
      </c>
      <c r="K915" s="14"/>
      <c r="L915" s="73"/>
      <c r="M915" s="80" t="str">
        <f t="shared" si="76"/>
        <v>nein</v>
      </c>
      <c r="N915">
        <f t="shared" si="77"/>
        <v>2023</v>
      </c>
    </row>
    <row r="916" spans="1:14" x14ac:dyDescent="0.3">
      <c r="A916" s="105">
        <f t="shared" si="74"/>
        <v>26</v>
      </c>
      <c r="B916" s="22">
        <f t="shared" si="73"/>
        <v>45107</v>
      </c>
      <c r="C916" s="11" t="s">
        <v>7</v>
      </c>
      <c r="D916" s="12" t="s">
        <v>12</v>
      </c>
      <c r="E916" s="13">
        <f>IF(VLOOKUP(D916,Budget!A:B,2,FALSE)&lt;&gt;0,IF(G916=0,24,24-G916),0)</f>
        <v>24</v>
      </c>
      <c r="G916" s="13"/>
      <c r="H916" s="85">
        <f>IF(E916=0,0,IF(M916="ja",(VLOOKUP(D916,Budget!A:F,6,FALSE)*(E916-(VLOOKUP(D916,Budget!A:F,3,FALSE)))),VLOOKUP($D916,Budget!$A$1:$F$19,6,FALSE)*E916))</f>
        <v>27720</v>
      </c>
      <c r="I916" s="85">
        <f>IF(F916=0,0,IF(M916="ja",((VLOOKUP(F916,Budget!A:F,6,FALSE)*(E916-(VLOOKUP(F916,Budget!A:F,3,FALSE))))),VLOOKUP($D916,Budget!A:F,5,FALSE)*E916))</f>
        <v>0</v>
      </c>
      <c r="J916" s="85">
        <f t="shared" si="75"/>
        <v>27720</v>
      </c>
      <c r="K916" s="14"/>
      <c r="L916" s="25"/>
      <c r="M916" s="80" t="str">
        <f t="shared" si="76"/>
        <v>ja</v>
      </c>
      <c r="N916">
        <f t="shared" si="77"/>
        <v>2023</v>
      </c>
    </row>
    <row r="917" spans="1:14" hidden="1" x14ac:dyDescent="0.3">
      <c r="A917" s="105">
        <f t="shared" si="74"/>
        <v>26</v>
      </c>
      <c r="B917" s="22">
        <f t="shared" si="73"/>
        <v>45108</v>
      </c>
      <c r="C917" s="16" t="s">
        <v>8</v>
      </c>
      <c r="D917" s="12" t="s">
        <v>12</v>
      </c>
      <c r="E917" s="13">
        <f>IF(VLOOKUP(D917,Budget!A:B,2,FALSE)&lt;&gt;0,IF(G917=0,24,24-G917),0)</f>
        <v>24</v>
      </c>
      <c r="F917" s="17"/>
      <c r="G917" s="17"/>
      <c r="H917" s="86">
        <f>IF(E917=0,0,IF(M917="ja",(VLOOKUP(D917,Budget!A:F,6,FALSE)*(E917-(VLOOKUP(D917,Budget!A:F,3,FALSE)))),VLOOKUP($D917,Budget!$A$1:$F$19,6,FALSE)*E917))</f>
        <v>36960</v>
      </c>
      <c r="I917" s="86">
        <f>IF(F917=0,0,IF(M917="ja",((VLOOKUP(F917,Budget!A:F,6,FALSE)*(E917-(VLOOKUP(F917,Budget!A:F,3,FALSE))))),VLOOKUP($D917,Budget!A:F,5,FALSE)*E917))</f>
        <v>0</v>
      </c>
      <c r="J917" s="86">
        <f t="shared" si="75"/>
        <v>36960</v>
      </c>
      <c r="K917" s="18"/>
      <c r="L917" s="75"/>
      <c r="M917" s="76" t="str">
        <f t="shared" si="76"/>
        <v>nein</v>
      </c>
      <c r="N917">
        <f t="shared" si="77"/>
        <v>2023</v>
      </c>
    </row>
    <row r="918" spans="1:14" ht="15" hidden="1" thickBot="1" x14ac:dyDescent="0.35">
      <c r="A918" s="105">
        <f t="shared" si="74"/>
        <v>26</v>
      </c>
      <c r="B918" s="27">
        <f t="shared" si="73"/>
        <v>45109</v>
      </c>
      <c r="C918" s="19" t="s">
        <v>9</v>
      </c>
      <c r="D918" s="12" t="s">
        <v>12</v>
      </c>
      <c r="E918" s="13">
        <f>IF(VLOOKUP(D918,Budget!A:B,2,FALSE)&lt;&gt;0,IF(G918=0,24,24-G918),0)</f>
        <v>24</v>
      </c>
      <c r="F918" s="20"/>
      <c r="G918" s="20"/>
      <c r="H918" s="93">
        <f>IF(E918=0,0,IF(M918="ja",(VLOOKUP(D918,Budget!A:F,6,FALSE)*(E918-(VLOOKUP(D918,Budget!A:F,3,FALSE)))),VLOOKUP($D918,Budget!$A$1:$F$19,6,FALSE)*E918))</f>
        <v>36960</v>
      </c>
      <c r="I918" s="93">
        <f>IF(F918=0,0,IF(M918="ja",((VLOOKUP(F918,Budget!A:F,6,FALSE)*(E918-(VLOOKUP(F918,Budget!A:F,3,FALSE))))),VLOOKUP($D918,Budget!A:F,5,FALSE)*E918))</f>
        <v>0</v>
      </c>
      <c r="J918" s="87">
        <f t="shared" si="75"/>
        <v>36960</v>
      </c>
      <c r="K918" s="21"/>
      <c r="L918" s="74"/>
      <c r="M918" s="77" t="str">
        <f t="shared" si="76"/>
        <v>nein</v>
      </c>
      <c r="N918">
        <f t="shared" si="77"/>
        <v>2023</v>
      </c>
    </row>
    <row r="919" spans="1:14" hidden="1" x14ac:dyDescent="0.3">
      <c r="A919" s="104">
        <f t="shared" si="74"/>
        <v>27</v>
      </c>
      <c r="B919" s="22">
        <f t="shared" si="73"/>
        <v>45110</v>
      </c>
      <c r="C919" s="10" t="s">
        <v>3</v>
      </c>
      <c r="D919" s="12" t="s">
        <v>11</v>
      </c>
      <c r="E919" s="13">
        <f>IF(VLOOKUP(D919,Budget!A:B,2,FALSE)&lt;&gt;0,IF(G919=0,24,24-G919),0)</f>
        <v>24</v>
      </c>
      <c r="F919" s="13"/>
      <c r="G919" s="13"/>
      <c r="H919" s="85">
        <f>IF(E919=0,0,IF(M919="ja",(VLOOKUP(D919,Budget!A:F,6,FALSE)*(E919-(VLOOKUP(D919,Budget!A:F,3,FALSE)))),VLOOKUP($D919,Budget!$A$1:$F$19,6,FALSE)*E919))</f>
        <v>30030</v>
      </c>
      <c r="I919" s="85">
        <f>IF(F919=0,0,IF(M919="ja",((VLOOKUP(F919,Budget!A:F,6,FALSE)*(E919-(VLOOKUP(F919,Budget!A:F,3,FALSE))))),VLOOKUP($D919,Budget!A:F,5,FALSE)*E919))</f>
        <v>0</v>
      </c>
      <c r="J919" s="85">
        <f t="shared" si="75"/>
        <v>30030</v>
      </c>
      <c r="K919" s="15"/>
      <c r="L919" s="72"/>
      <c r="M919" s="80" t="str">
        <f t="shared" si="76"/>
        <v>ja</v>
      </c>
      <c r="N919">
        <f t="shared" si="77"/>
        <v>2023</v>
      </c>
    </row>
    <row r="920" spans="1:14" hidden="1" x14ac:dyDescent="0.3">
      <c r="A920" s="105">
        <f t="shared" si="74"/>
        <v>27</v>
      </c>
      <c r="B920" s="22">
        <f t="shared" si="73"/>
        <v>45111</v>
      </c>
      <c r="C920" s="11" t="s">
        <v>4</v>
      </c>
      <c r="D920" s="12" t="s">
        <v>11</v>
      </c>
      <c r="E920" s="13">
        <f>IF(VLOOKUP(D920,Budget!A:B,2,FALSE)&lt;&gt;0,IF(G920=0,24,24-G920),0)</f>
        <v>24</v>
      </c>
      <c r="G920" s="13"/>
      <c r="H920" s="85">
        <f>IF(E920=0,0,IF(M920="ja",(VLOOKUP(D920,Budget!A:F,6,FALSE)*(E920-(VLOOKUP(D920,Budget!A:F,3,FALSE)))),VLOOKUP($D920,Budget!$A$1:$F$19,6,FALSE)*E920))</f>
        <v>36960</v>
      </c>
      <c r="I920" s="85">
        <f>IF(F920=0,0,IF(M920="ja",((VLOOKUP(F920,Budget!A:F,6,FALSE)*(E920-(VLOOKUP(F920,Budget!A:F,3,FALSE))))),VLOOKUP($D920,Budget!A:F,5,FALSE)*E920))</f>
        <v>0</v>
      </c>
      <c r="J920" s="85">
        <f t="shared" si="75"/>
        <v>36960</v>
      </c>
      <c r="K920" s="14"/>
      <c r="L920" s="73"/>
      <c r="M920" s="80" t="str">
        <f t="shared" si="76"/>
        <v>nein</v>
      </c>
      <c r="N920">
        <f t="shared" si="77"/>
        <v>2023</v>
      </c>
    </row>
    <row r="921" spans="1:14" hidden="1" x14ac:dyDescent="0.3">
      <c r="A921" s="105">
        <f t="shared" si="74"/>
        <v>27</v>
      </c>
      <c r="B921" s="22">
        <f t="shared" si="73"/>
        <v>45112</v>
      </c>
      <c r="C921" s="11" t="s">
        <v>5</v>
      </c>
      <c r="D921" s="12" t="s">
        <v>11</v>
      </c>
      <c r="E921" s="13">
        <f>IF(VLOOKUP(D921,Budget!A:B,2,FALSE)&lt;&gt;0,IF(G921=0,24,24-G921),0)</f>
        <v>24</v>
      </c>
      <c r="G921" s="13"/>
      <c r="H921" s="85">
        <f>IF(E921=0,0,IF(M921="ja",(VLOOKUP(D921,Budget!A:F,6,FALSE)*(E921-(VLOOKUP(D921,Budget!A:F,3,FALSE)))),VLOOKUP($D921,Budget!$A$1:$F$19,6,FALSE)*E921))</f>
        <v>36960</v>
      </c>
      <c r="I921" s="85">
        <f>IF(F921=0,0,IF(M921="ja",((VLOOKUP(F921,Budget!A:F,6,FALSE)*(E921-(VLOOKUP(F921,Budget!A:F,3,FALSE))))),VLOOKUP($D921,Budget!A:F,5,FALSE)*E921))</f>
        <v>0</v>
      </c>
      <c r="J921" s="85">
        <f t="shared" si="75"/>
        <v>36960</v>
      </c>
      <c r="K921" s="14"/>
      <c r="L921" s="73"/>
      <c r="M921" s="80" t="str">
        <f t="shared" si="76"/>
        <v>nein</v>
      </c>
      <c r="N921">
        <f t="shared" si="77"/>
        <v>2023</v>
      </c>
    </row>
    <row r="922" spans="1:14" hidden="1" x14ac:dyDescent="0.3">
      <c r="A922" s="103">
        <f t="shared" si="74"/>
        <v>27</v>
      </c>
      <c r="B922" s="22">
        <f t="shared" si="73"/>
        <v>45113</v>
      </c>
      <c r="C922" s="11" t="s">
        <v>6</v>
      </c>
      <c r="D922" s="12" t="s">
        <v>11</v>
      </c>
      <c r="E922" s="13">
        <f>IF(VLOOKUP(D922,Budget!A:B,2,FALSE)&lt;&gt;0,IF(G922=0,24,24-G922),0)</f>
        <v>24</v>
      </c>
      <c r="G922" s="13"/>
      <c r="H922" s="85">
        <f>IF(E922=0,0,IF(M922="ja",(VLOOKUP(D922,Budget!A:F,6,FALSE)*(E922-(VLOOKUP(D922,Budget!A:F,3,FALSE)))),VLOOKUP($D922,Budget!$A$1:$F$19,6,FALSE)*E922))</f>
        <v>36960</v>
      </c>
      <c r="I922" s="85">
        <f>IF(F922=0,0,IF(M922="ja",((VLOOKUP(F922,Budget!A:F,6,FALSE)*(E922-(VLOOKUP(F922,Budget!A:F,3,FALSE))))),VLOOKUP($D922,Budget!A:F,5,FALSE)*E922))</f>
        <v>0</v>
      </c>
      <c r="J922" s="85">
        <f t="shared" si="75"/>
        <v>36960</v>
      </c>
      <c r="K922" s="14"/>
      <c r="L922" s="73"/>
      <c r="M922" s="80" t="str">
        <f t="shared" si="76"/>
        <v>nein</v>
      </c>
      <c r="N922">
        <f t="shared" si="77"/>
        <v>2023</v>
      </c>
    </row>
    <row r="923" spans="1:14" hidden="1" x14ac:dyDescent="0.3">
      <c r="A923" s="105">
        <f t="shared" si="74"/>
        <v>27</v>
      </c>
      <c r="B923" s="22">
        <f t="shared" si="73"/>
        <v>45114</v>
      </c>
      <c r="C923" s="11" t="s">
        <v>7</v>
      </c>
      <c r="D923" s="12" t="s">
        <v>11</v>
      </c>
      <c r="E923" s="13">
        <f>IF(VLOOKUP(D923,Budget!A:B,2,FALSE)&lt;&gt;0,IF(G923=0,24,24-G923),0)</f>
        <v>24</v>
      </c>
      <c r="G923" s="13"/>
      <c r="H923" s="85">
        <f>IF(E923=0,0,IF(M923="ja",(VLOOKUP(D923,Budget!A:F,6,FALSE)*(E923-(VLOOKUP(D923,Budget!A:F,3,FALSE)))),VLOOKUP($D923,Budget!$A$1:$F$19,6,FALSE)*E923))</f>
        <v>36960</v>
      </c>
      <c r="I923" s="85">
        <f>IF(F923=0,0,IF(M923="ja",((VLOOKUP(F923,Budget!A:F,6,FALSE)*(E923-(VLOOKUP(F923,Budget!A:F,3,FALSE))))),VLOOKUP($D923,Budget!A:F,5,FALSE)*E923))</f>
        <v>0</v>
      </c>
      <c r="J923" s="85">
        <f t="shared" si="75"/>
        <v>36960</v>
      </c>
      <c r="K923" s="14"/>
      <c r="L923" s="25"/>
      <c r="M923" s="80" t="str">
        <f t="shared" si="76"/>
        <v>nein</v>
      </c>
      <c r="N923">
        <f t="shared" si="77"/>
        <v>2023</v>
      </c>
    </row>
    <row r="924" spans="1:14" hidden="1" x14ac:dyDescent="0.3">
      <c r="A924" s="105">
        <f t="shared" si="74"/>
        <v>27</v>
      </c>
      <c r="B924" s="22">
        <f t="shared" si="73"/>
        <v>45115</v>
      </c>
      <c r="C924" s="16" t="s">
        <v>8</v>
      </c>
      <c r="D924" s="17" t="s">
        <v>11</v>
      </c>
      <c r="E924" s="13">
        <f>IF(VLOOKUP(D924,Budget!A:B,2,FALSE)&lt;&gt;0,IF(G924=0,24,24-G924),0)</f>
        <v>24</v>
      </c>
      <c r="F924" s="17"/>
      <c r="G924" s="17"/>
      <c r="H924" s="86">
        <f>IF(E924=0,0,IF(M924="ja",(VLOOKUP(D924,Budget!A:F,6,FALSE)*(E924-(VLOOKUP(D924,Budget!A:F,3,FALSE)))),VLOOKUP($D924,Budget!$A$1:$F$19,6,FALSE)*E924))</f>
        <v>36960</v>
      </c>
      <c r="I924" s="86">
        <f>IF(F924=0,0,IF(M924="ja",((VLOOKUP(F924,Budget!A:F,6,FALSE)*(E924-(VLOOKUP(F924,Budget!A:F,3,FALSE))))),VLOOKUP($D924,Budget!A:F,5,FALSE)*E924))</f>
        <v>0</v>
      </c>
      <c r="J924" s="86">
        <f t="shared" si="75"/>
        <v>36960</v>
      </c>
      <c r="K924" s="18"/>
      <c r="L924" s="75"/>
      <c r="M924" s="76" t="str">
        <f t="shared" si="76"/>
        <v>nein</v>
      </c>
      <c r="N924">
        <f t="shared" si="77"/>
        <v>2023</v>
      </c>
    </row>
    <row r="925" spans="1:14" ht="15" hidden="1" thickBot="1" x14ac:dyDescent="0.35">
      <c r="A925" s="105">
        <f t="shared" si="74"/>
        <v>27</v>
      </c>
      <c r="B925" s="27">
        <f t="shared" si="73"/>
        <v>45116</v>
      </c>
      <c r="C925" s="19" t="s">
        <v>9</v>
      </c>
      <c r="D925" s="20" t="s">
        <v>11</v>
      </c>
      <c r="E925" s="13">
        <f>IF(VLOOKUP(D925,Budget!A:B,2,FALSE)&lt;&gt;0,IF(G925=0,24,24-G925),0)</f>
        <v>24</v>
      </c>
      <c r="F925" s="20"/>
      <c r="G925" s="20"/>
      <c r="H925" s="93">
        <f>IF(E925=0,0,IF(M925="ja",(VLOOKUP(D925,Budget!A:F,6,FALSE)*(E925-(VLOOKUP(D925,Budget!A:F,3,FALSE)))),VLOOKUP($D925,Budget!$A$1:$F$19,6,FALSE)*E925))</f>
        <v>36960</v>
      </c>
      <c r="I925" s="93">
        <f>IF(F925=0,0,IF(M925="ja",((VLOOKUP(F925,Budget!A:F,6,FALSE)*(E925-(VLOOKUP(F925,Budget!A:F,3,FALSE))))),VLOOKUP($D925,Budget!A:F,5,FALSE)*E925))</f>
        <v>0</v>
      </c>
      <c r="J925" s="87">
        <f t="shared" si="75"/>
        <v>36960</v>
      </c>
      <c r="K925" s="21"/>
      <c r="L925" s="74"/>
      <c r="M925" s="77" t="str">
        <f t="shared" si="76"/>
        <v>nein</v>
      </c>
      <c r="N925">
        <f t="shared" si="77"/>
        <v>2023</v>
      </c>
    </row>
    <row r="926" spans="1:14" hidden="1" x14ac:dyDescent="0.3">
      <c r="A926" s="104">
        <f t="shared" si="74"/>
        <v>28</v>
      </c>
      <c r="B926" s="22">
        <f t="shared" si="73"/>
        <v>45117</v>
      </c>
      <c r="C926" s="10" t="s">
        <v>3</v>
      </c>
      <c r="D926" s="12" t="s">
        <v>11</v>
      </c>
      <c r="E926" s="13">
        <f>IF(VLOOKUP(D926,Budget!A:B,2,FALSE)&lt;&gt;0,IF(G926=0,24,24-G926),0)</f>
        <v>24</v>
      </c>
      <c r="F926" s="13"/>
      <c r="G926" s="13"/>
      <c r="H926" s="85">
        <f>IF(E926=0,0,IF(M926="ja",(VLOOKUP(D926,Budget!A:F,6,FALSE)*(E926-(VLOOKUP(D926,Budget!A:F,3,FALSE)))),VLOOKUP($D926,Budget!$A$1:$F$19,6,FALSE)*E926))</f>
        <v>36960</v>
      </c>
      <c r="I926" s="85">
        <f>IF(F926=0,0,IF(M926="ja",((VLOOKUP(F926,Budget!A:F,6,FALSE)*(E926-(VLOOKUP(F926,Budget!A:F,3,FALSE))))),VLOOKUP($D926,Budget!A:F,5,FALSE)*E926))</f>
        <v>0</v>
      </c>
      <c r="J926" s="85">
        <f t="shared" si="75"/>
        <v>36960</v>
      </c>
      <c r="K926" s="15"/>
      <c r="L926" s="72"/>
      <c r="M926" s="80" t="str">
        <f t="shared" si="76"/>
        <v>nein</v>
      </c>
      <c r="N926">
        <f t="shared" si="77"/>
        <v>2023</v>
      </c>
    </row>
    <row r="927" spans="1:14" hidden="1" x14ac:dyDescent="0.3">
      <c r="A927" s="105">
        <f t="shared" si="74"/>
        <v>28</v>
      </c>
      <c r="B927" s="22">
        <f t="shared" si="73"/>
        <v>45118</v>
      </c>
      <c r="C927" s="11" t="s">
        <v>4</v>
      </c>
      <c r="D927" s="12" t="s">
        <v>13</v>
      </c>
      <c r="E927" s="13">
        <f>IF(VLOOKUP(D927,Budget!A:B,2,FALSE)&lt;&gt;0,IF(G927=0,24,24-G927),0)</f>
        <v>0</v>
      </c>
      <c r="G927" s="13"/>
      <c r="H927" s="85">
        <f>IF(E927=0,0,IF(M927="ja",(VLOOKUP(D927,Budget!A:F,6,FALSE)*(E927-(VLOOKUP(D927,Budget!A:F,3,FALSE)))),VLOOKUP($D927,Budget!$A$1:$F$19,6,FALSE)*E927))</f>
        <v>0</v>
      </c>
      <c r="I927" s="85">
        <f>IF(F927=0,0,IF(M927="ja",((VLOOKUP(F927,Budget!A:F,6,FALSE)*(E927-(VLOOKUP(F927,Budget!A:F,3,FALSE))))),VLOOKUP($D927,Budget!A:F,5,FALSE)*E927))</f>
        <v>0</v>
      </c>
      <c r="J927" s="85">
        <f t="shared" si="75"/>
        <v>0</v>
      </c>
      <c r="K927" s="14"/>
      <c r="L927" s="73"/>
      <c r="M927" s="80" t="str">
        <f t="shared" si="76"/>
        <v>nein</v>
      </c>
      <c r="N927">
        <f t="shared" si="77"/>
        <v>2023</v>
      </c>
    </row>
    <row r="928" spans="1:14" hidden="1" x14ac:dyDescent="0.3">
      <c r="A928" s="105">
        <f t="shared" si="74"/>
        <v>28</v>
      </c>
      <c r="B928" s="22">
        <f t="shared" si="73"/>
        <v>45119</v>
      </c>
      <c r="C928" s="11" t="s">
        <v>5</v>
      </c>
      <c r="D928" s="12" t="s">
        <v>69</v>
      </c>
      <c r="E928" s="13">
        <f>IF(VLOOKUP(D928,Budget!A:B,2,FALSE)&lt;&gt;0,IF(G928=0,24,24-G928),0)</f>
        <v>24</v>
      </c>
      <c r="G928" s="13"/>
      <c r="H928" s="85">
        <f>IF(E928=0,0,IF(M928="ja",(VLOOKUP(D928,Budget!A:F,6,FALSE)*(E928-(VLOOKUP(D928,Budget!A:F,3,FALSE)))),VLOOKUP($D928,Budget!$A$1:$F$19,6,FALSE)*E928))</f>
        <v>38269.757143831848</v>
      </c>
      <c r="I928" s="85">
        <f>IF(F928=0,0,IF(M928="ja",((VLOOKUP(F928,Budget!A:F,6,FALSE)*(E928-(VLOOKUP(F928,Budget!A:F,3,FALSE))))),VLOOKUP($D928,Budget!A:F,5,FALSE)*E928))</f>
        <v>0</v>
      </c>
      <c r="J928" s="85">
        <f t="shared" si="75"/>
        <v>38269.757143831848</v>
      </c>
      <c r="K928" s="14"/>
      <c r="L928" s="73"/>
      <c r="M928" s="80" t="str">
        <f t="shared" si="76"/>
        <v>ja</v>
      </c>
      <c r="N928">
        <f t="shared" si="77"/>
        <v>2023</v>
      </c>
    </row>
    <row r="929" spans="1:14" hidden="1" x14ac:dyDescent="0.3">
      <c r="A929" s="103">
        <f t="shared" si="74"/>
        <v>28</v>
      </c>
      <c r="B929" s="22">
        <f t="shared" si="73"/>
        <v>45120</v>
      </c>
      <c r="C929" s="11" t="s">
        <v>6</v>
      </c>
      <c r="D929" s="12" t="s">
        <v>69</v>
      </c>
      <c r="E929" s="13">
        <f>IF(VLOOKUP(D929,Budget!A:B,2,FALSE)&lt;&gt;0,IF(G929=0,24,24-G929),0)</f>
        <v>24</v>
      </c>
      <c r="G929" s="13"/>
      <c r="H929" s="85">
        <f>IF(E929=0,0,IF(M929="ja",(VLOOKUP(D929,Budget!A:F,6,FALSE)*(E929-(VLOOKUP(D929,Budget!A:F,3,FALSE)))),VLOOKUP($D929,Budget!$A$1:$F$19,6,FALSE)*E929))</f>
        <v>42919.35380616656</v>
      </c>
      <c r="I929" s="85">
        <f>IF(F929=0,0,IF(M929="ja",((VLOOKUP(F929,Budget!A:F,6,FALSE)*(E929-(VLOOKUP(F929,Budget!A:F,3,FALSE))))),VLOOKUP($D929,Budget!A:F,5,FALSE)*E929))</f>
        <v>0</v>
      </c>
      <c r="J929" s="85">
        <f t="shared" si="75"/>
        <v>42919.35380616656</v>
      </c>
      <c r="K929" s="14"/>
      <c r="L929" s="73"/>
      <c r="M929" s="80" t="str">
        <f t="shared" si="76"/>
        <v>nein</v>
      </c>
      <c r="N929">
        <f t="shared" si="77"/>
        <v>2023</v>
      </c>
    </row>
    <row r="930" spans="1:14" hidden="1" x14ac:dyDescent="0.3">
      <c r="A930" s="105">
        <f t="shared" si="74"/>
        <v>28</v>
      </c>
      <c r="B930" s="22">
        <f t="shared" ref="B930:B993" si="78">B929+1</f>
        <v>45121</v>
      </c>
      <c r="C930" s="11" t="s">
        <v>7</v>
      </c>
      <c r="D930" s="12" t="s">
        <v>69</v>
      </c>
      <c r="E930" s="13">
        <f>IF(VLOOKUP(D930,Budget!A:B,2,FALSE)&lt;&gt;0,IF(G930=0,24,24-G930),0)</f>
        <v>24</v>
      </c>
      <c r="G930" s="13"/>
      <c r="H930" s="85">
        <f>IF(E930=0,0,IF(M930="ja",(VLOOKUP(D930,Budget!A:F,6,FALSE)*(E930-(VLOOKUP(D930,Budget!A:F,3,FALSE)))),VLOOKUP($D930,Budget!$A$1:$F$19,6,FALSE)*E930))</f>
        <v>42919.35380616656</v>
      </c>
      <c r="I930" s="85">
        <f>IF(F930=0,0,IF(M930="ja",((VLOOKUP(F930,Budget!A:F,6,FALSE)*(E930-(VLOOKUP(F930,Budget!A:F,3,FALSE))))),VLOOKUP($D930,Budget!A:F,5,FALSE)*E930))</f>
        <v>0</v>
      </c>
      <c r="J930" s="85">
        <f t="shared" si="75"/>
        <v>42919.35380616656</v>
      </c>
      <c r="K930" s="14"/>
      <c r="L930" s="25"/>
      <c r="M930" s="80" t="str">
        <f t="shared" si="76"/>
        <v>nein</v>
      </c>
      <c r="N930">
        <f t="shared" si="77"/>
        <v>2023</v>
      </c>
    </row>
    <row r="931" spans="1:14" hidden="1" x14ac:dyDescent="0.3">
      <c r="A931" s="105">
        <f t="shared" si="74"/>
        <v>28</v>
      </c>
      <c r="B931" s="22">
        <f t="shared" si="78"/>
        <v>45122</v>
      </c>
      <c r="C931" s="16" t="s">
        <v>8</v>
      </c>
      <c r="D931" s="17" t="s">
        <v>69</v>
      </c>
      <c r="E931" s="13">
        <f>IF(VLOOKUP(D931,Budget!A:B,2,FALSE)&lt;&gt;0,IF(G931=0,24,24-G931),0)</f>
        <v>24</v>
      </c>
      <c r="F931" s="17"/>
      <c r="G931" s="17"/>
      <c r="H931" s="86">
        <f>IF(E931=0,0,IF(M931="ja",(VLOOKUP(D931,Budget!A:F,6,FALSE)*(E931-(VLOOKUP(D931,Budget!A:F,3,FALSE)))),VLOOKUP($D931,Budget!$A$1:$F$19,6,FALSE)*E931))</f>
        <v>42919.35380616656</v>
      </c>
      <c r="I931" s="86">
        <f>IF(F931=0,0,IF(M931="ja",((VLOOKUP(F931,Budget!A:F,6,FALSE)*(E931-(VLOOKUP(F931,Budget!A:F,3,FALSE))))),VLOOKUP($D931,Budget!A:F,5,FALSE)*E931))</f>
        <v>0</v>
      </c>
      <c r="J931" s="86">
        <f t="shared" si="75"/>
        <v>42919.35380616656</v>
      </c>
      <c r="K931" s="18"/>
      <c r="L931" s="75"/>
      <c r="M931" s="76" t="str">
        <f t="shared" si="76"/>
        <v>nein</v>
      </c>
      <c r="N931">
        <f t="shared" si="77"/>
        <v>2023</v>
      </c>
    </row>
    <row r="932" spans="1:14" ht="15" hidden="1" thickBot="1" x14ac:dyDescent="0.35">
      <c r="A932" s="105">
        <f t="shared" si="74"/>
        <v>28</v>
      </c>
      <c r="B932" s="27">
        <f t="shared" si="78"/>
        <v>45123</v>
      </c>
      <c r="C932" s="19" t="s">
        <v>9</v>
      </c>
      <c r="D932" s="20" t="s">
        <v>69</v>
      </c>
      <c r="E932" s="13">
        <f>IF(VLOOKUP(D932,Budget!A:B,2,FALSE)&lt;&gt;0,IF(G932=0,24,24-G932),0)</f>
        <v>24</v>
      </c>
      <c r="F932" s="20"/>
      <c r="G932" s="20"/>
      <c r="H932" s="93">
        <f>IF(E932=0,0,IF(M932="ja",(VLOOKUP(D932,Budget!A:F,6,FALSE)*(E932-(VLOOKUP(D932,Budget!A:F,3,FALSE)))),VLOOKUP($D932,Budget!$A$1:$F$19,6,FALSE)*E932))</f>
        <v>42919.35380616656</v>
      </c>
      <c r="I932" s="93">
        <f>IF(F932=0,0,IF(M932="ja",((VLOOKUP(F932,Budget!A:F,6,FALSE)*(E932-(VLOOKUP(F932,Budget!A:F,3,FALSE))))),VLOOKUP($D932,Budget!A:F,5,FALSE)*E932))</f>
        <v>0</v>
      </c>
      <c r="J932" s="87">
        <f t="shared" si="75"/>
        <v>42919.35380616656</v>
      </c>
      <c r="K932" s="21"/>
      <c r="L932" s="74"/>
      <c r="M932" s="77" t="str">
        <f t="shared" si="76"/>
        <v>nein</v>
      </c>
      <c r="N932">
        <f t="shared" si="77"/>
        <v>2023</v>
      </c>
    </row>
    <row r="933" spans="1:14" hidden="1" x14ac:dyDescent="0.3">
      <c r="A933" s="104">
        <f t="shared" si="74"/>
        <v>29</v>
      </c>
      <c r="B933" s="22">
        <f t="shared" si="78"/>
        <v>45124</v>
      </c>
      <c r="C933" s="10" t="s">
        <v>3</v>
      </c>
      <c r="D933" s="12" t="s">
        <v>69</v>
      </c>
      <c r="E933" s="13">
        <f>IF(VLOOKUP(D933,Budget!A:B,2,FALSE)&lt;&gt;0,IF(G933=0,24,24-G933),0)</f>
        <v>24</v>
      </c>
      <c r="F933" s="13"/>
      <c r="G933" s="13"/>
      <c r="H933" s="85">
        <f>IF(E933=0,0,IF(M933="ja",(VLOOKUP(D933,Budget!A:F,6,FALSE)*(E933-(VLOOKUP(D933,Budget!A:F,3,FALSE)))),VLOOKUP($D933,Budget!$A$1:$F$19,6,FALSE)*E933))</f>
        <v>42919.35380616656</v>
      </c>
      <c r="I933" s="85">
        <f>IF(F933=0,0,IF(M933="ja",((VLOOKUP(F933,Budget!A:F,6,FALSE)*(E933-(VLOOKUP(F933,Budget!A:F,3,FALSE))))),VLOOKUP($D933,Budget!A:F,5,FALSE)*E933))</f>
        <v>0</v>
      </c>
      <c r="J933" s="85">
        <f t="shared" si="75"/>
        <v>42919.35380616656</v>
      </c>
      <c r="K933" s="15"/>
      <c r="L933" s="72"/>
      <c r="M933" s="80" t="str">
        <f t="shared" si="76"/>
        <v>nein</v>
      </c>
      <c r="N933">
        <f t="shared" si="77"/>
        <v>2023</v>
      </c>
    </row>
    <row r="934" spans="1:14" hidden="1" x14ac:dyDescent="0.3">
      <c r="A934" s="105">
        <f t="shared" si="74"/>
        <v>29</v>
      </c>
      <c r="B934" s="22">
        <f t="shared" si="78"/>
        <v>45125</v>
      </c>
      <c r="C934" s="11" t="s">
        <v>4</v>
      </c>
      <c r="D934" s="12" t="s">
        <v>69</v>
      </c>
      <c r="E934" s="13">
        <f>IF(VLOOKUP(D934,Budget!A:B,2,FALSE)&lt;&gt;0,IF(G934=0,24,24-G934),0)</f>
        <v>24</v>
      </c>
      <c r="G934" s="13"/>
      <c r="H934" s="85">
        <f>IF(E934=0,0,IF(M934="ja",(VLOOKUP(D934,Budget!A:F,6,FALSE)*(E934-(VLOOKUP(D934,Budget!A:F,3,FALSE)))),VLOOKUP($D934,Budget!$A$1:$F$19,6,FALSE)*E934))</f>
        <v>42919.35380616656</v>
      </c>
      <c r="I934" s="85">
        <f>IF(F934=0,0,IF(M934="ja",((VLOOKUP(F934,Budget!A:F,6,FALSE)*(E934-(VLOOKUP(F934,Budget!A:F,3,FALSE))))),VLOOKUP($D934,Budget!A:F,5,FALSE)*E934))</f>
        <v>0</v>
      </c>
      <c r="J934" s="85">
        <f t="shared" si="75"/>
        <v>42919.35380616656</v>
      </c>
      <c r="K934" s="14"/>
      <c r="L934" s="73"/>
      <c r="M934" s="80" t="str">
        <f t="shared" si="76"/>
        <v>nein</v>
      </c>
      <c r="N934">
        <f t="shared" si="77"/>
        <v>2023</v>
      </c>
    </row>
    <row r="935" spans="1:14" hidden="1" x14ac:dyDescent="0.3">
      <c r="A935" s="105">
        <f t="shared" si="74"/>
        <v>29</v>
      </c>
      <c r="B935" s="22">
        <f t="shared" si="78"/>
        <v>45126</v>
      </c>
      <c r="C935" s="11" t="s">
        <v>5</v>
      </c>
      <c r="D935" s="12" t="s">
        <v>69</v>
      </c>
      <c r="E935" s="13">
        <f>IF(VLOOKUP(D935,Budget!A:B,2,FALSE)&lt;&gt;0,IF(G935=0,24,24-G935),0)</f>
        <v>24</v>
      </c>
      <c r="G935" s="13"/>
      <c r="H935" s="85">
        <f>IF(E935=0,0,IF(M935="ja",(VLOOKUP(D935,Budget!A:F,6,FALSE)*(E935-(VLOOKUP(D935,Budget!A:F,3,FALSE)))),VLOOKUP($D935,Budget!$A$1:$F$19,6,FALSE)*E935))</f>
        <v>42919.35380616656</v>
      </c>
      <c r="I935" s="85">
        <f>IF(F935=0,0,IF(M935="ja",((VLOOKUP(F935,Budget!A:F,6,FALSE)*(E935-(VLOOKUP(F935,Budget!A:F,3,FALSE))))),VLOOKUP($D935,Budget!A:F,5,FALSE)*E935))</f>
        <v>0</v>
      </c>
      <c r="J935" s="85">
        <f t="shared" si="75"/>
        <v>42919.35380616656</v>
      </c>
      <c r="K935" s="14"/>
      <c r="L935" s="73"/>
      <c r="M935" s="80" t="str">
        <f t="shared" si="76"/>
        <v>nein</v>
      </c>
      <c r="N935">
        <f t="shared" si="77"/>
        <v>2023</v>
      </c>
    </row>
    <row r="936" spans="1:14" hidden="1" x14ac:dyDescent="0.3">
      <c r="A936" s="103">
        <f t="shared" si="74"/>
        <v>29</v>
      </c>
      <c r="B936" s="22">
        <f t="shared" si="78"/>
        <v>45127</v>
      </c>
      <c r="C936" s="11" t="s">
        <v>6</v>
      </c>
      <c r="D936" s="12" t="s">
        <v>69</v>
      </c>
      <c r="E936" s="13">
        <f>IF(VLOOKUP(D936,Budget!A:B,2,FALSE)&lt;&gt;0,IF(G936=0,24,24-G936),0)</f>
        <v>24</v>
      </c>
      <c r="G936" s="13"/>
      <c r="H936" s="85">
        <f>IF(E936=0,0,IF(M936="ja",(VLOOKUP(D936,Budget!A:F,6,FALSE)*(E936-(VLOOKUP(D936,Budget!A:F,3,FALSE)))),VLOOKUP($D936,Budget!$A$1:$F$19,6,FALSE)*E936))</f>
        <v>42919.35380616656</v>
      </c>
      <c r="I936" s="85">
        <f>IF(F936=0,0,IF(M936="ja",((VLOOKUP(F936,Budget!A:F,6,FALSE)*(E936-(VLOOKUP(F936,Budget!A:F,3,FALSE))))),VLOOKUP($D936,Budget!A:F,5,FALSE)*E936))</f>
        <v>0</v>
      </c>
      <c r="J936" s="85">
        <f t="shared" si="75"/>
        <v>42919.35380616656</v>
      </c>
      <c r="K936" s="14"/>
      <c r="L936" s="73"/>
      <c r="M936" s="80" t="str">
        <f t="shared" si="76"/>
        <v>nein</v>
      </c>
      <c r="N936">
        <f t="shared" si="77"/>
        <v>2023</v>
      </c>
    </row>
    <row r="937" spans="1:14" hidden="1" x14ac:dyDescent="0.3">
      <c r="A937" s="105">
        <f t="shared" si="74"/>
        <v>29</v>
      </c>
      <c r="B937" s="22">
        <f t="shared" si="78"/>
        <v>45128</v>
      </c>
      <c r="C937" s="11" t="s">
        <v>7</v>
      </c>
      <c r="D937" s="12" t="s">
        <v>69</v>
      </c>
      <c r="E937" s="13">
        <f>IF(VLOOKUP(D937,Budget!A:B,2,FALSE)&lt;&gt;0,IF(G937=0,24,24-G937),0)</f>
        <v>24</v>
      </c>
      <c r="G937" s="13"/>
      <c r="H937" s="85">
        <f>IF(E937=0,0,IF(M937="ja",(VLOOKUP(D937,Budget!A:F,6,FALSE)*(E937-(VLOOKUP(D937,Budget!A:F,3,FALSE)))),VLOOKUP($D937,Budget!$A$1:$F$19,6,FALSE)*E937))</f>
        <v>42919.35380616656</v>
      </c>
      <c r="I937" s="85">
        <f>IF(F937=0,0,IF(M937="ja",((VLOOKUP(F937,Budget!A:F,6,FALSE)*(E937-(VLOOKUP(F937,Budget!A:F,3,FALSE))))),VLOOKUP($D937,Budget!A:F,5,FALSE)*E937))</f>
        <v>0</v>
      </c>
      <c r="J937" s="85">
        <f t="shared" si="75"/>
        <v>42919.35380616656</v>
      </c>
      <c r="K937" s="14"/>
      <c r="L937" s="25"/>
      <c r="M937" s="80" t="str">
        <f t="shared" si="76"/>
        <v>nein</v>
      </c>
      <c r="N937">
        <f t="shared" si="77"/>
        <v>2023</v>
      </c>
    </row>
    <row r="938" spans="1:14" hidden="1" x14ac:dyDescent="0.3">
      <c r="A938" s="105">
        <f t="shared" si="74"/>
        <v>29</v>
      </c>
      <c r="B938" s="22">
        <f t="shared" si="78"/>
        <v>45129</v>
      </c>
      <c r="C938" s="16" t="s">
        <v>8</v>
      </c>
      <c r="D938" s="17" t="s">
        <v>69</v>
      </c>
      <c r="E938" s="13">
        <f>IF(VLOOKUP(D938,Budget!A:B,2,FALSE)&lt;&gt;0,IF(G938=0,24,24-G938),0)</f>
        <v>24</v>
      </c>
      <c r="F938" s="17"/>
      <c r="G938" s="17"/>
      <c r="H938" s="86">
        <f>IF(E938=0,0,IF(M938="ja",(VLOOKUP(D938,Budget!A:F,6,FALSE)*(E938-(VLOOKUP(D938,Budget!A:F,3,FALSE)))),VLOOKUP($D938,Budget!$A$1:$F$19,6,FALSE)*E938))</f>
        <v>42919.35380616656</v>
      </c>
      <c r="I938" s="86">
        <f>IF(F938=0,0,IF(M938="ja",((VLOOKUP(F938,Budget!A:F,6,FALSE)*(E938-(VLOOKUP(F938,Budget!A:F,3,FALSE))))),VLOOKUP($D938,Budget!A:F,5,FALSE)*E938))</f>
        <v>0</v>
      </c>
      <c r="J938" s="86">
        <f t="shared" si="75"/>
        <v>42919.35380616656</v>
      </c>
      <c r="K938" s="18"/>
      <c r="L938" s="75"/>
      <c r="M938" s="76" t="str">
        <f t="shared" si="76"/>
        <v>nein</v>
      </c>
      <c r="N938">
        <f t="shared" si="77"/>
        <v>2023</v>
      </c>
    </row>
    <row r="939" spans="1:14" ht="15" hidden="1" thickBot="1" x14ac:dyDescent="0.35">
      <c r="A939" s="105">
        <f t="shared" si="74"/>
        <v>29</v>
      </c>
      <c r="B939" s="27">
        <f t="shared" si="78"/>
        <v>45130</v>
      </c>
      <c r="C939" s="19" t="s">
        <v>9</v>
      </c>
      <c r="D939" s="20" t="s">
        <v>69</v>
      </c>
      <c r="E939" s="13">
        <f>IF(VLOOKUP(D939,Budget!A:B,2,FALSE)&lt;&gt;0,IF(G939=0,24,24-G939),0)</f>
        <v>24</v>
      </c>
      <c r="F939" s="20"/>
      <c r="G939" s="20"/>
      <c r="H939" s="93">
        <f>IF(E939=0,0,IF(M939="ja",(VLOOKUP(D939,Budget!A:F,6,FALSE)*(E939-(VLOOKUP(D939,Budget!A:F,3,FALSE)))),VLOOKUP($D939,Budget!$A$1:$F$19,6,FALSE)*E939))</f>
        <v>42919.35380616656</v>
      </c>
      <c r="I939" s="93">
        <f>IF(F939=0,0,IF(M939="ja",((VLOOKUP(F939,Budget!A:F,6,FALSE)*(E939-(VLOOKUP(F939,Budget!A:F,3,FALSE))))),VLOOKUP($D939,Budget!A:F,5,FALSE)*E939))</f>
        <v>0</v>
      </c>
      <c r="J939" s="87">
        <f t="shared" si="75"/>
        <v>42919.35380616656</v>
      </c>
      <c r="K939" s="21"/>
      <c r="L939" s="74"/>
      <c r="M939" s="77" t="str">
        <f t="shared" si="76"/>
        <v>nein</v>
      </c>
      <c r="N939">
        <f t="shared" si="77"/>
        <v>2023</v>
      </c>
    </row>
    <row r="940" spans="1:14" hidden="1" x14ac:dyDescent="0.3">
      <c r="A940" s="104">
        <f t="shared" si="74"/>
        <v>30</v>
      </c>
      <c r="B940" s="22">
        <f t="shared" si="78"/>
        <v>45131</v>
      </c>
      <c r="C940" s="10" t="s">
        <v>3</v>
      </c>
      <c r="D940" s="12" t="s">
        <v>11</v>
      </c>
      <c r="E940" s="13">
        <f>IF(VLOOKUP(D940,Budget!A:B,2,FALSE)&lt;&gt;0,IF(G940=0,24,24-G940),0)</f>
        <v>24</v>
      </c>
      <c r="F940" s="13"/>
      <c r="G940" s="13"/>
      <c r="H940" s="85">
        <f>IF(E940=0,0,IF(M940="ja",(VLOOKUP(D940,Budget!A:F,6,FALSE)*(E940-(VLOOKUP(D940,Budget!A:F,3,FALSE)))),VLOOKUP($D940,Budget!$A$1:$F$19,6,FALSE)*E940))</f>
        <v>30030</v>
      </c>
      <c r="I940" s="85">
        <f>IF(F940=0,0,IF(M940="ja",((VLOOKUP(F940,Budget!A:F,6,FALSE)*(E940-(VLOOKUP(F940,Budget!A:F,3,FALSE))))),VLOOKUP($D940,Budget!A:F,5,FALSE)*E940))</f>
        <v>0</v>
      </c>
      <c r="J940" s="85">
        <f t="shared" si="75"/>
        <v>30030</v>
      </c>
      <c r="K940" s="15"/>
      <c r="L940" s="72"/>
      <c r="M940" s="80" t="str">
        <f t="shared" si="76"/>
        <v>ja</v>
      </c>
      <c r="N940">
        <f t="shared" si="77"/>
        <v>2023</v>
      </c>
    </row>
    <row r="941" spans="1:14" hidden="1" x14ac:dyDescent="0.3">
      <c r="A941" s="105">
        <f t="shared" si="74"/>
        <v>30</v>
      </c>
      <c r="B941" s="22">
        <f t="shared" si="78"/>
        <v>45132</v>
      </c>
      <c r="C941" s="11" t="s">
        <v>4</v>
      </c>
      <c r="D941" s="12" t="s">
        <v>11</v>
      </c>
      <c r="E941" s="13">
        <f>IF(VLOOKUP(D941,Budget!A:B,2,FALSE)&lt;&gt;0,IF(G941=0,24,24-G941),0)</f>
        <v>24</v>
      </c>
      <c r="G941" s="13"/>
      <c r="H941" s="85">
        <f>IF(E941=0,0,IF(M941="ja",(VLOOKUP(D941,Budget!A:F,6,FALSE)*(E941-(VLOOKUP(D941,Budget!A:F,3,FALSE)))),VLOOKUP($D941,Budget!$A$1:$F$19,6,FALSE)*E941))</f>
        <v>36960</v>
      </c>
      <c r="I941" s="85">
        <f>IF(F941=0,0,IF(M941="ja",((VLOOKUP(F941,Budget!A:F,6,FALSE)*(E941-(VLOOKUP(F941,Budget!A:F,3,FALSE))))),VLOOKUP($D941,Budget!A:F,5,FALSE)*E941))</f>
        <v>0</v>
      </c>
      <c r="J941" s="85">
        <f t="shared" si="75"/>
        <v>36960</v>
      </c>
      <c r="K941" s="14"/>
      <c r="L941" s="73"/>
      <c r="M941" s="80" t="str">
        <f t="shared" si="76"/>
        <v>nein</v>
      </c>
      <c r="N941">
        <f t="shared" si="77"/>
        <v>2023</v>
      </c>
    </row>
    <row r="942" spans="1:14" hidden="1" x14ac:dyDescent="0.3">
      <c r="A942" s="105">
        <f t="shared" si="74"/>
        <v>30</v>
      </c>
      <c r="B942" s="22">
        <f t="shared" si="78"/>
        <v>45133</v>
      </c>
      <c r="C942" s="11" t="s">
        <v>5</v>
      </c>
      <c r="D942" s="12" t="s">
        <v>11</v>
      </c>
      <c r="E942" s="13">
        <f>IF(VLOOKUP(D942,Budget!A:B,2,FALSE)&lt;&gt;0,IF(G942=0,24,24-G942),0)</f>
        <v>24</v>
      </c>
      <c r="G942" s="13"/>
      <c r="H942" s="85">
        <f>IF(E942=0,0,IF(M942="ja",(VLOOKUP(D942,Budget!A:F,6,FALSE)*(E942-(VLOOKUP(D942,Budget!A:F,3,FALSE)))),VLOOKUP($D942,Budget!$A$1:$F$19,6,FALSE)*E942))</f>
        <v>36960</v>
      </c>
      <c r="I942" s="85">
        <f>IF(F942=0,0,IF(M942="ja",((VLOOKUP(F942,Budget!A:F,6,FALSE)*(E942-(VLOOKUP(F942,Budget!A:F,3,FALSE))))),VLOOKUP($D942,Budget!A:F,5,FALSE)*E942))</f>
        <v>0</v>
      </c>
      <c r="J942" s="85">
        <f t="shared" si="75"/>
        <v>36960</v>
      </c>
      <c r="K942" s="14"/>
      <c r="L942" s="73"/>
      <c r="M942" s="80" t="str">
        <f t="shared" si="76"/>
        <v>nein</v>
      </c>
      <c r="N942">
        <f t="shared" si="77"/>
        <v>2023</v>
      </c>
    </row>
    <row r="943" spans="1:14" hidden="1" x14ac:dyDescent="0.3">
      <c r="A943" s="103">
        <f t="shared" si="74"/>
        <v>30</v>
      </c>
      <c r="B943" s="22">
        <f t="shared" si="78"/>
        <v>45134</v>
      </c>
      <c r="C943" s="11" t="s">
        <v>6</v>
      </c>
      <c r="D943" s="12" t="s">
        <v>11</v>
      </c>
      <c r="E943" s="13">
        <f>IF(VLOOKUP(D943,Budget!A:B,2,FALSE)&lt;&gt;0,IF(G943=0,24,24-G943),0)</f>
        <v>24</v>
      </c>
      <c r="G943" s="13"/>
      <c r="H943" s="85">
        <f>IF(E943=0,0,IF(M943="ja",(VLOOKUP(D943,Budget!A:F,6,FALSE)*(E943-(VLOOKUP(D943,Budget!A:F,3,FALSE)))),VLOOKUP($D943,Budget!$A$1:$F$19,6,FALSE)*E943))</f>
        <v>36960</v>
      </c>
      <c r="I943" s="85">
        <f>IF(F943=0,0,IF(M943="ja",((VLOOKUP(F943,Budget!A:F,6,FALSE)*(E943-(VLOOKUP(F943,Budget!A:F,3,FALSE))))),VLOOKUP($D943,Budget!A:F,5,FALSE)*E943))</f>
        <v>0</v>
      </c>
      <c r="J943" s="85">
        <f t="shared" si="75"/>
        <v>36960</v>
      </c>
      <c r="K943" s="14"/>
      <c r="L943" s="73"/>
      <c r="M943" s="80" t="str">
        <f t="shared" si="76"/>
        <v>nein</v>
      </c>
      <c r="N943">
        <f t="shared" si="77"/>
        <v>2023</v>
      </c>
    </row>
    <row r="944" spans="1:14" hidden="1" x14ac:dyDescent="0.3">
      <c r="A944" s="105">
        <f t="shared" si="74"/>
        <v>30</v>
      </c>
      <c r="B944" s="22">
        <f t="shared" si="78"/>
        <v>45135</v>
      </c>
      <c r="C944" s="11" t="s">
        <v>7</v>
      </c>
      <c r="D944" s="12" t="s">
        <v>11</v>
      </c>
      <c r="E944" s="13">
        <f>IF(VLOOKUP(D944,Budget!A:B,2,FALSE)&lt;&gt;0,IF(G944=0,24,24-G944),0)</f>
        <v>24</v>
      </c>
      <c r="G944" s="13"/>
      <c r="H944" s="85">
        <f>IF(E944=0,0,IF(M944="ja",(VLOOKUP(D944,Budget!A:F,6,FALSE)*(E944-(VLOOKUP(D944,Budget!A:F,3,FALSE)))),VLOOKUP($D944,Budget!$A$1:$F$19,6,FALSE)*E944))</f>
        <v>36960</v>
      </c>
      <c r="I944" s="85">
        <f>IF(F944=0,0,IF(M944="ja",((VLOOKUP(F944,Budget!A:F,6,FALSE)*(E944-(VLOOKUP(F944,Budget!A:F,3,FALSE))))),VLOOKUP($D944,Budget!A:F,5,FALSE)*E944))</f>
        <v>0</v>
      </c>
      <c r="J944" s="85">
        <f t="shared" si="75"/>
        <v>36960</v>
      </c>
      <c r="K944" s="14"/>
      <c r="L944" s="25"/>
      <c r="M944" s="80" t="str">
        <f t="shared" si="76"/>
        <v>nein</v>
      </c>
      <c r="N944">
        <f t="shared" si="77"/>
        <v>2023</v>
      </c>
    </row>
    <row r="945" spans="1:14" hidden="1" x14ac:dyDescent="0.3">
      <c r="A945" s="105">
        <f t="shared" si="74"/>
        <v>30</v>
      </c>
      <c r="B945" s="22">
        <f t="shared" si="78"/>
        <v>45136</v>
      </c>
      <c r="C945" s="16" t="s">
        <v>8</v>
      </c>
      <c r="D945" s="17" t="s">
        <v>11</v>
      </c>
      <c r="E945" s="13">
        <f>IF(VLOOKUP(D945,Budget!A:B,2,FALSE)&lt;&gt;0,IF(G945=0,24,24-G945),0)</f>
        <v>24</v>
      </c>
      <c r="F945" s="17"/>
      <c r="G945" s="17"/>
      <c r="H945" s="86">
        <f>IF(E945=0,0,IF(M945="ja",(VLOOKUP(D945,Budget!A:F,6,FALSE)*(E945-(VLOOKUP(D945,Budget!A:F,3,FALSE)))),VLOOKUP($D945,Budget!$A$1:$F$19,6,FALSE)*E945))</f>
        <v>36960</v>
      </c>
      <c r="I945" s="86">
        <f>IF(F945=0,0,IF(M945="ja",((VLOOKUP(F945,Budget!A:F,6,FALSE)*(E945-(VLOOKUP(F945,Budget!A:F,3,FALSE))))),VLOOKUP($D945,Budget!A:F,5,FALSE)*E945))</f>
        <v>0</v>
      </c>
      <c r="J945" s="86">
        <f t="shared" si="75"/>
        <v>36960</v>
      </c>
      <c r="K945" s="18"/>
      <c r="L945" s="75"/>
      <c r="M945" s="76" t="str">
        <f t="shared" si="76"/>
        <v>nein</v>
      </c>
      <c r="N945">
        <f t="shared" si="77"/>
        <v>2023</v>
      </c>
    </row>
    <row r="946" spans="1:14" ht="15" hidden="1" thickBot="1" x14ac:dyDescent="0.35">
      <c r="A946" s="105">
        <f t="shared" si="74"/>
        <v>30</v>
      </c>
      <c r="B946" s="27">
        <f t="shared" si="78"/>
        <v>45137</v>
      </c>
      <c r="C946" s="19" t="s">
        <v>9</v>
      </c>
      <c r="D946" s="20" t="s">
        <v>11</v>
      </c>
      <c r="E946" s="13">
        <f>IF(VLOOKUP(D946,Budget!A:B,2,FALSE)&lt;&gt;0,IF(G946=0,24,24-G946),0)</f>
        <v>24</v>
      </c>
      <c r="F946" s="20"/>
      <c r="G946" s="20"/>
      <c r="H946" s="93">
        <f>IF(E946=0,0,IF(M946="ja",(VLOOKUP(D946,Budget!A:F,6,FALSE)*(E946-(VLOOKUP(D946,Budget!A:F,3,FALSE)))),VLOOKUP($D946,Budget!$A$1:$F$19,6,FALSE)*E946))</f>
        <v>36960</v>
      </c>
      <c r="I946" s="93">
        <f>IF(F946=0,0,IF(M946="ja",((VLOOKUP(F946,Budget!A:F,6,FALSE)*(E946-(VLOOKUP(F946,Budget!A:F,3,FALSE))))),VLOOKUP($D946,Budget!A:F,5,FALSE)*E946))</f>
        <v>0</v>
      </c>
      <c r="J946" s="87">
        <f t="shared" si="75"/>
        <v>36960</v>
      </c>
      <c r="K946" s="21"/>
      <c r="L946" s="74"/>
      <c r="M946" s="77" t="str">
        <f t="shared" si="76"/>
        <v>nein</v>
      </c>
      <c r="N946">
        <f t="shared" si="77"/>
        <v>2023</v>
      </c>
    </row>
    <row r="947" spans="1:14" hidden="1" x14ac:dyDescent="0.3">
      <c r="A947" s="104">
        <f t="shared" ref="A947:A1010" si="79">_xlfn.ISOWEEKNUM(B947)</f>
        <v>31</v>
      </c>
      <c r="B947" s="22">
        <f t="shared" si="78"/>
        <v>45138</v>
      </c>
      <c r="C947" s="10" t="s">
        <v>3</v>
      </c>
      <c r="D947" s="12" t="s">
        <v>12</v>
      </c>
      <c r="E947" s="13">
        <f>IF(VLOOKUP(D947,Budget!A:B,2,FALSE)&lt;&gt;0,IF(G947=0,24,24-G947),0)</f>
        <v>24</v>
      </c>
      <c r="F947" s="13"/>
      <c r="G947" s="13"/>
      <c r="H947" s="85">
        <f>IF(E947=0,0,IF(M947="ja",(VLOOKUP(D947,Budget!A:F,6,FALSE)*(E947-(VLOOKUP(D947,Budget!A:F,3,FALSE)))),VLOOKUP($D947,Budget!$A$1:$F$19,6,FALSE)*E947))</f>
        <v>27720</v>
      </c>
      <c r="I947" s="85">
        <f>IF(F947=0,0,IF(M947="ja",((VLOOKUP(F947,Budget!A:F,6,FALSE)*(E947-(VLOOKUP(F947,Budget!A:F,3,FALSE))))),VLOOKUP($D947,Budget!A:F,5,FALSE)*E947))</f>
        <v>0</v>
      </c>
      <c r="J947" s="85">
        <f t="shared" ref="J947:J1010" si="80">H947+I947</f>
        <v>27720</v>
      </c>
      <c r="K947" s="15"/>
      <c r="L947" s="72"/>
      <c r="M947" s="80" t="str">
        <f t="shared" ref="M947:M1010" si="81">IF(E947=0,"nein",IF(OR(E947&lt;&gt;24,F946&lt;&gt;0,D947&lt;&gt;D946),"ja","nein"))</f>
        <v>ja</v>
      </c>
      <c r="N947">
        <f t="shared" si="77"/>
        <v>2023</v>
      </c>
    </row>
    <row r="948" spans="1:14" hidden="1" x14ac:dyDescent="0.3">
      <c r="A948" s="105">
        <f t="shared" si="79"/>
        <v>31</v>
      </c>
      <c r="B948" s="22">
        <f t="shared" si="78"/>
        <v>45139</v>
      </c>
      <c r="C948" s="11" t="s">
        <v>4</v>
      </c>
      <c r="D948" s="12" t="s">
        <v>12</v>
      </c>
      <c r="E948" s="13">
        <f>IF(VLOOKUP(D948,Budget!A:B,2,FALSE)&lt;&gt;0,IF(G948=0,24,24-G948),0)</f>
        <v>24</v>
      </c>
      <c r="G948" s="13"/>
      <c r="H948" s="85">
        <f>IF(E948=0,0,IF(M948="ja",(VLOOKUP(D948,Budget!A:F,6,FALSE)*(E948-(VLOOKUP(D948,Budget!A:F,3,FALSE)))),VLOOKUP($D948,Budget!$A$1:$F$19,6,FALSE)*E948))</f>
        <v>36960</v>
      </c>
      <c r="I948" s="85">
        <f>IF(F948=0,0,IF(M948="ja",((VLOOKUP(F948,Budget!A:F,6,FALSE)*(E948-(VLOOKUP(F948,Budget!A:F,3,FALSE))))),VLOOKUP($D948,Budget!A:F,5,FALSE)*E948))</f>
        <v>0</v>
      </c>
      <c r="J948" s="85">
        <f t="shared" si="80"/>
        <v>36960</v>
      </c>
      <c r="K948" s="14"/>
      <c r="L948" s="73"/>
      <c r="M948" s="80" t="str">
        <f t="shared" si="81"/>
        <v>nein</v>
      </c>
      <c r="N948">
        <f t="shared" si="77"/>
        <v>2023</v>
      </c>
    </row>
    <row r="949" spans="1:14" hidden="1" x14ac:dyDescent="0.3">
      <c r="A949" s="105">
        <f t="shared" si="79"/>
        <v>31</v>
      </c>
      <c r="B949" s="22">
        <f t="shared" si="78"/>
        <v>45140</v>
      </c>
      <c r="C949" s="11" t="s">
        <v>5</v>
      </c>
      <c r="D949" s="12" t="s">
        <v>12</v>
      </c>
      <c r="E949" s="13">
        <f>IF(VLOOKUP(D949,Budget!A:B,2,FALSE)&lt;&gt;0,IF(G949=0,24,24-G949),0)</f>
        <v>24</v>
      </c>
      <c r="G949" s="13"/>
      <c r="H949" s="85">
        <f>IF(E949=0,0,IF(M949="ja",(VLOOKUP(D949,Budget!A:F,6,FALSE)*(E949-(VLOOKUP(D949,Budget!A:F,3,FALSE)))),VLOOKUP($D949,Budget!$A$1:$F$19,6,FALSE)*E949))</f>
        <v>36960</v>
      </c>
      <c r="I949" s="85">
        <f>IF(F949=0,0,IF(M949="ja",((VLOOKUP(F949,Budget!A:F,6,FALSE)*(E949-(VLOOKUP(F949,Budget!A:F,3,FALSE))))),VLOOKUP($D949,Budget!A:F,5,FALSE)*E949))</f>
        <v>0</v>
      </c>
      <c r="J949" s="85">
        <f t="shared" si="80"/>
        <v>36960</v>
      </c>
      <c r="K949" s="14"/>
      <c r="L949" s="73"/>
      <c r="M949" s="80" t="str">
        <f t="shared" si="81"/>
        <v>nein</v>
      </c>
      <c r="N949">
        <f t="shared" si="77"/>
        <v>2023</v>
      </c>
    </row>
    <row r="950" spans="1:14" hidden="1" x14ac:dyDescent="0.3">
      <c r="A950" s="103">
        <f t="shared" si="79"/>
        <v>31</v>
      </c>
      <c r="B950" s="22">
        <f t="shared" si="78"/>
        <v>45141</v>
      </c>
      <c r="C950" s="11" t="s">
        <v>6</v>
      </c>
      <c r="D950" s="12" t="s">
        <v>69</v>
      </c>
      <c r="E950" s="13">
        <f>IF(VLOOKUP(D950,Budget!A:B,2,FALSE)&lt;&gt;0,IF(G950=0,24,24-G950),0)</f>
        <v>24</v>
      </c>
      <c r="G950" s="13"/>
      <c r="H950" s="85">
        <f>IF(E950=0,0,IF(M950="ja",(VLOOKUP(D950,Budget!A:F,6,FALSE)*(E950-(VLOOKUP(D950,Budget!A:F,3,FALSE)))),VLOOKUP($D950,Budget!$A$1:$F$19,6,FALSE)*E950))</f>
        <v>38269.757143831848</v>
      </c>
      <c r="I950" s="85">
        <f>IF(F950=0,0,IF(M950="ja",((VLOOKUP(F950,Budget!A:F,6,FALSE)*(E950-(VLOOKUP(F950,Budget!A:F,3,FALSE))))),VLOOKUP($D950,Budget!A:F,5,FALSE)*E950))</f>
        <v>0</v>
      </c>
      <c r="J950" s="85">
        <f t="shared" si="80"/>
        <v>38269.757143831848</v>
      </c>
      <c r="K950" s="14"/>
      <c r="L950" s="73"/>
      <c r="M950" s="80" t="str">
        <f t="shared" si="81"/>
        <v>ja</v>
      </c>
      <c r="N950">
        <f t="shared" si="77"/>
        <v>2023</v>
      </c>
    </row>
    <row r="951" spans="1:14" hidden="1" x14ac:dyDescent="0.3">
      <c r="A951" s="105">
        <f t="shared" si="79"/>
        <v>31</v>
      </c>
      <c r="B951" s="22">
        <f t="shared" si="78"/>
        <v>45142</v>
      </c>
      <c r="C951" s="11" t="s">
        <v>7</v>
      </c>
      <c r="D951" s="12" t="s">
        <v>69</v>
      </c>
      <c r="E951" s="13">
        <f>IF(VLOOKUP(D951,Budget!A:B,2,FALSE)&lt;&gt;0,IF(G951=0,24,24-G951),0)</f>
        <v>24</v>
      </c>
      <c r="G951" s="13"/>
      <c r="H951" s="85">
        <f>IF(E951=0,0,IF(M951="ja",(VLOOKUP(D951,Budget!A:F,6,FALSE)*(E951-(VLOOKUP(D951,Budget!A:F,3,FALSE)))),VLOOKUP($D951,Budget!$A$1:$F$19,6,FALSE)*E951))</f>
        <v>42919.35380616656</v>
      </c>
      <c r="I951" s="85">
        <f>IF(F951=0,0,IF(M951="ja",((VLOOKUP(F951,Budget!A:F,6,FALSE)*(E951-(VLOOKUP(F951,Budget!A:F,3,FALSE))))),VLOOKUP($D951,Budget!A:F,5,FALSE)*E951))</f>
        <v>0</v>
      </c>
      <c r="J951" s="85">
        <f t="shared" si="80"/>
        <v>42919.35380616656</v>
      </c>
      <c r="K951" s="14"/>
      <c r="L951" s="25"/>
      <c r="M951" s="80" t="str">
        <f t="shared" si="81"/>
        <v>nein</v>
      </c>
      <c r="N951">
        <f t="shared" si="77"/>
        <v>2023</v>
      </c>
    </row>
    <row r="952" spans="1:14" hidden="1" x14ac:dyDescent="0.3">
      <c r="A952" s="105">
        <f t="shared" si="79"/>
        <v>31</v>
      </c>
      <c r="B952" s="22">
        <f t="shared" si="78"/>
        <v>45143</v>
      </c>
      <c r="C952" s="16" t="s">
        <v>8</v>
      </c>
      <c r="D952" s="12" t="s">
        <v>69</v>
      </c>
      <c r="E952" s="13">
        <f>IF(VLOOKUP(D952,Budget!A:B,2,FALSE)&lt;&gt;0,IF(G952=0,24,24-G952),0)</f>
        <v>24</v>
      </c>
      <c r="F952" s="17"/>
      <c r="G952" s="17"/>
      <c r="H952" s="86">
        <f>IF(E952=0,0,IF(M952="ja",(VLOOKUP(D952,Budget!A:F,6,FALSE)*(E952-(VLOOKUP(D952,Budget!A:F,3,FALSE)))),VLOOKUP($D952,Budget!$A$1:$F$19,6,FALSE)*E952))</f>
        <v>42919.35380616656</v>
      </c>
      <c r="I952" s="86">
        <f>IF(F952=0,0,IF(M952="ja",((VLOOKUP(F952,Budget!A:F,6,FALSE)*(E952-(VLOOKUP(F952,Budget!A:F,3,FALSE))))),VLOOKUP($D952,Budget!A:F,5,FALSE)*E952))</f>
        <v>0</v>
      </c>
      <c r="J952" s="86">
        <f t="shared" si="80"/>
        <v>42919.35380616656</v>
      </c>
      <c r="K952" s="18"/>
      <c r="L952" s="75"/>
      <c r="M952" s="76" t="str">
        <f t="shared" si="81"/>
        <v>nein</v>
      </c>
      <c r="N952">
        <f t="shared" si="77"/>
        <v>2023</v>
      </c>
    </row>
    <row r="953" spans="1:14" ht="15" hidden="1" thickBot="1" x14ac:dyDescent="0.35">
      <c r="A953" s="105">
        <f t="shared" si="79"/>
        <v>31</v>
      </c>
      <c r="B953" s="27">
        <f t="shared" si="78"/>
        <v>45144</v>
      </c>
      <c r="C953" s="19" t="s">
        <v>9</v>
      </c>
      <c r="D953" s="12" t="s">
        <v>69</v>
      </c>
      <c r="E953" s="13">
        <f>IF(VLOOKUP(D953,Budget!A:B,2,FALSE)&lt;&gt;0,IF(G953=0,24,24-G953),0)</f>
        <v>24</v>
      </c>
      <c r="F953" s="20"/>
      <c r="G953" s="20"/>
      <c r="H953" s="93">
        <f>IF(E953=0,0,IF(M953="ja",(VLOOKUP(D953,Budget!A:F,6,FALSE)*(E953-(VLOOKUP(D953,Budget!A:F,3,FALSE)))),VLOOKUP($D953,Budget!$A$1:$F$19,6,FALSE)*E953))</f>
        <v>42919.35380616656</v>
      </c>
      <c r="I953" s="93">
        <f>IF(F953=0,0,IF(M953="ja",((VLOOKUP(F953,Budget!A:F,6,FALSE)*(E953-(VLOOKUP(F953,Budget!A:F,3,FALSE))))),VLOOKUP($D953,Budget!A:F,5,FALSE)*E953))</f>
        <v>0</v>
      </c>
      <c r="J953" s="87">
        <f t="shared" si="80"/>
        <v>42919.35380616656</v>
      </c>
      <c r="K953" s="21"/>
      <c r="L953" s="74"/>
      <c r="M953" s="77" t="str">
        <f t="shared" si="81"/>
        <v>nein</v>
      </c>
      <c r="N953">
        <f t="shared" si="77"/>
        <v>2023</v>
      </c>
    </row>
    <row r="954" spans="1:14" hidden="1" x14ac:dyDescent="0.3">
      <c r="A954" s="104">
        <f t="shared" si="79"/>
        <v>32</v>
      </c>
      <c r="B954" s="22">
        <f t="shared" si="78"/>
        <v>45145</v>
      </c>
      <c r="C954" s="10" t="s">
        <v>3</v>
      </c>
      <c r="D954" s="12" t="s">
        <v>69</v>
      </c>
      <c r="E954" s="13">
        <f>IF(VLOOKUP(D954,Budget!A:B,2,FALSE)&lt;&gt;0,IF(G954=0,24,24-G954),0)</f>
        <v>24</v>
      </c>
      <c r="F954" s="13"/>
      <c r="G954" s="13"/>
      <c r="H954" s="85">
        <f>IF(E954=0,0,IF(M954="ja",(VLOOKUP(D954,Budget!A:F,6,FALSE)*(E954-(VLOOKUP(D954,Budget!A:F,3,FALSE)))),VLOOKUP($D954,Budget!$A$1:$F$19,6,FALSE)*E954))</f>
        <v>42919.35380616656</v>
      </c>
      <c r="I954" s="85">
        <f>IF(F954=0,0,IF(M954="ja",((VLOOKUP(F954,Budget!A:F,6,FALSE)*(E954-(VLOOKUP(F954,Budget!A:F,3,FALSE))))),VLOOKUP($D954,Budget!A:F,5,FALSE)*E954))</f>
        <v>0</v>
      </c>
      <c r="J954" s="85">
        <f t="shared" si="80"/>
        <v>42919.35380616656</v>
      </c>
      <c r="K954" s="15"/>
      <c r="L954" s="72"/>
      <c r="M954" s="80" t="str">
        <f t="shared" si="81"/>
        <v>nein</v>
      </c>
      <c r="N954">
        <f t="shared" si="77"/>
        <v>2023</v>
      </c>
    </row>
    <row r="955" spans="1:14" hidden="1" x14ac:dyDescent="0.3">
      <c r="A955" s="105">
        <f t="shared" si="79"/>
        <v>32</v>
      </c>
      <c r="B955" s="22">
        <f t="shared" si="78"/>
        <v>45146</v>
      </c>
      <c r="C955" s="11" t="s">
        <v>4</v>
      </c>
      <c r="D955" s="12" t="s">
        <v>18</v>
      </c>
      <c r="E955" s="13">
        <f>IF(VLOOKUP(D955,Budget!A:B,2,FALSE)&lt;&gt;0,IF(G955=0,24,24-G955),0)</f>
        <v>24</v>
      </c>
      <c r="G955" s="13"/>
      <c r="H955" s="85">
        <f>IF(E955=0,0,IF(M955="ja",(VLOOKUP(D955,Budget!A:F,6,FALSE)*(E955-(VLOOKUP(D955,Budget!A:F,3,FALSE)))),VLOOKUP($D955,Budget!$A$1:$F$19,6,FALSE)*E955))</f>
        <v>25200</v>
      </c>
      <c r="I955" s="85">
        <f>IF(F955=0,0,IF(M955="ja",((VLOOKUP(F955,Budget!A:F,6,FALSE)*(E955-(VLOOKUP(F955,Budget!A:F,3,FALSE))))),VLOOKUP($D955,Budget!A:F,5,FALSE)*E955))</f>
        <v>0</v>
      </c>
      <c r="J955" s="85">
        <f t="shared" si="80"/>
        <v>25200</v>
      </c>
      <c r="K955" s="14"/>
      <c r="L955" s="73"/>
      <c r="M955" s="80" t="str">
        <f t="shared" si="81"/>
        <v>ja</v>
      </c>
      <c r="N955">
        <f t="shared" si="77"/>
        <v>2023</v>
      </c>
    </row>
    <row r="956" spans="1:14" hidden="1" x14ac:dyDescent="0.3">
      <c r="A956" s="105">
        <f t="shared" si="79"/>
        <v>32</v>
      </c>
      <c r="B956" s="22">
        <f t="shared" si="78"/>
        <v>45147</v>
      </c>
      <c r="C956" s="11" t="s">
        <v>5</v>
      </c>
      <c r="D956" s="12" t="s">
        <v>18</v>
      </c>
      <c r="E956" s="13">
        <f>IF(VLOOKUP(D956,Budget!A:B,2,FALSE)&lt;&gt;0,IF(G956=0,24,24-G956),0)</f>
        <v>24</v>
      </c>
      <c r="G956" s="13"/>
      <c r="H956" s="85">
        <f>IF(E956=0,0,IF(M956="ja",(VLOOKUP(D956,Budget!A:F,6,FALSE)*(E956-(VLOOKUP(D956,Budget!A:F,3,FALSE)))),VLOOKUP($D956,Budget!$A$1:$F$19,6,FALSE)*E956))</f>
        <v>28800</v>
      </c>
      <c r="I956" s="85">
        <f>IF(F956=0,0,IF(M956="ja",((VLOOKUP(F956,Budget!A:F,6,FALSE)*(E956-(VLOOKUP(F956,Budget!A:F,3,FALSE))))),VLOOKUP($D956,Budget!A:F,5,FALSE)*E956))</f>
        <v>0</v>
      </c>
      <c r="J956" s="85">
        <f t="shared" si="80"/>
        <v>28800</v>
      </c>
      <c r="K956" s="14"/>
      <c r="L956" s="73"/>
      <c r="M956" s="80" t="str">
        <f t="shared" si="81"/>
        <v>nein</v>
      </c>
      <c r="N956">
        <f t="shared" si="77"/>
        <v>2023</v>
      </c>
    </row>
    <row r="957" spans="1:14" hidden="1" x14ac:dyDescent="0.3">
      <c r="A957" s="103">
        <f t="shared" si="79"/>
        <v>32</v>
      </c>
      <c r="B957" s="22">
        <f t="shared" si="78"/>
        <v>45148</v>
      </c>
      <c r="C957" s="11" t="s">
        <v>6</v>
      </c>
      <c r="D957" s="12" t="s">
        <v>29</v>
      </c>
      <c r="E957" s="13">
        <f>IF(VLOOKUP(D957,Budget!A:B,2,FALSE)&lt;&gt;0,IF(G957=0,24,24-G957),0)</f>
        <v>0</v>
      </c>
      <c r="G957" s="13"/>
      <c r="H957" s="85">
        <f>IF(E957=0,0,IF(M957="ja",(VLOOKUP(D957,Budget!A:F,6,FALSE)*(E957-(VLOOKUP(D957,Budget!A:F,3,FALSE)))),VLOOKUP($D957,Budget!$A$1:$F$19,6,FALSE)*E957))</f>
        <v>0</v>
      </c>
      <c r="I957" s="85">
        <f>IF(F957=0,0,IF(M957="ja",((VLOOKUP(F957,Budget!A:F,6,FALSE)*(E957-(VLOOKUP(F957,Budget!A:F,3,FALSE))))),VLOOKUP($D957,Budget!A:F,5,FALSE)*E957))</f>
        <v>0</v>
      </c>
      <c r="J957" s="85">
        <f t="shared" si="80"/>
        <v>0</v>
      </c>
      <c r="K957" s="14"/>
      <c r="L957" s="73"/>
      <c r="M957" s="80" t="str">
        <f t="shared" si="81"/>
        <v>nein</v>
      </c>
      <c r="N957">
        <f t="shared" si="77"/>
        <v>2023</v>
      </c>
    </row>
    <row r="958" spans="1:14" hidden="1" x14ac:dyDescent="0.3">
      <c r="A958" s="105">
        <f t="shared" si="79"/>
        <v>32</v>
      </c>
      <c r="B958" s="22">
        <f t="shared" si="78"/>
        <v>45149</v>
      </c>
      <c r="C958" s="11" t="s">
        <v>7</v>
      </c>
      <c r="D958" s="12" t="s">
        <v>29</v>
      </c>
      <c r="E958" s="13">
        <f>IF(VLOOKUP(D958,Budget!A:B,2,FALSE)&lt;&gt;0,IF(G958=0,24,24-G958),0)</f>
        <v>0</v>
      </c>
      <c r="G958" s="13"/>
      <c r="H958" s="85">
        <f>IF(E958=0,0,IF(M958="ja",(VLOOKUP(D958,Budget!A:F,6,FALSE)*(E958-(VLOOKUP(D958,Budget!A:F,3,FALSE)))),VLOOKUP($D958,Budget!$A$1:$F$19,6,FALSE)*E958))</f>
        <v>0</v>
      </c>
      <c r="I958" s="85">
        <f>IF(F958=0,0,IF(M958="ja",((VLOOKUP(F958,Budget!A:F,6,FALSE)*(E958-(VLOOKUP(F958,Budget!A:F,3,FALSE))))),VLOOKUP($D958,Budget!A:F,5,FALSE)*E958))</f>
        <v>0</v>
      </c>
      <c r="J958" s="85">
        <f t="shared" si="80"/>
        <v>0</v>
      </c>
      <c r="K958" s="14"/>
      <c r="L958" s="25"/>
      <c r="M958" s="80" t="str">
        <f t="shared" si="81"/>
        <v>nein</v>
      </c>
      <c r="N958">
        <f t="shared" si="77"/>
        <v>2023</v>
      </c>
    </row>
    <row r="959" spans="1:14" hidden="1" x14ac:dyDescent="0.3">
      <c r="A959" s="105">
        <f t="shared" si="79"/>
        <v>32</v>
      </c>
      <c r="B959" s="22">
        <f t="shared" si="78"/>
        <v>45150</v>
      </c>
      <c r="C959" s="16" t="s">
        <v>8</v>
      </c>
      <c r="D959" s="17" t="s">
        <v>29</v>
      </c>
      <c r="E959" s="13">
        <f>IF(VLOOKUP(D959,Budget!A:B,2,FALSE)&lt;&gt;0,IF(G959=0,24,24-G959),0)</f>
        <v>0</v>
      </c>
      <c r="F959" s="17"/>
      <c r="G959" s="17"/>
      <c r="H959" s="86">
        <f>IF(E959=0,0,IF(M959="ja",(VLOOKUP(D959,Budget!A:F,6,FALSE)*(E959-(VLOOKUP(D959,Budget!A:F,3,FALSE)))),VLOOKUP($D959,Budget!$A$1:$F$19,6,FALSE)*E959))</f>
        <v>0</v>
      </c>
      <c r="I959" s="86">
        <f>IF(F959=0,0,IF(M959="ja",((VLOOKUP(F959,Budget!A:F,6,FALSE)*(E959-(VLOOKUP(F959,Budget!A:F,3,FALSE))))),VLOOKUP($D959,Budget!A:F,5,FALSE)*E959))</f>
        <v>0</v>
      </c>
      <c r="J959" s="86">
        <f t="shared" si="80"/>
        <v>0</v>
      </c>
      <c r="K959" s="18"/>
      <c r="L959" s="75"/>
      <c r="M959" s="76" t="str">
        <f t="shared" si="81"/>
        <v>nein</v>
      </c>
      <c r="N959">
        <f t="shared" si="77"/>
        <v>2023</v>
      </c>
    </row>
    <row r="960" spans="1:14" ht="15" hidden="1" thickBot="1" x14ac:dyDescent="0.35">
      <c r="A960" s="105">
        <f t="shared" si="79"/>
        <v>32</v>
      </c>
      <c r="B960" s="27">
        <f t="shared" si="78"/>
        <v>45151</v>
      </c>
      <c r="C960" s="19" t="s">
        <v>9</v>
      </c>
      <c r="D960" s="20" t="s">
        <v>29</v>
      </c>
      <c r="E960" s="13">
        <f>IF(VLOOKUP(D960,Budget!A:B,2,FALSE)&lt;&gt;0,IF(G960=0,24,24-G960),0)</f>
        <v>0</v>
      </c>
      <c r="F960" s="20"/>
      <c r="G960" s="20"/>
      <c r="H960" s="93">
        <f>IF(E960=0,0,IF(M960="ja",(VLOOKUP(D960,Budget!A:F,6,FALSE)*(E960-(VLOOKUP(D960,Budget!A:F,3,FALSE)))),VLOOKUP($D960,Budget!$A$1:$F$19,6,FALSE)*E960))</f>
        <v>0</v>
      </c>
      <c r="I960" s="93">
        <f>IF(F960=0,0,IF(M960="ja",((VLOOKUP(F960,Budget!A:F,6,FALSE)*(E960-(VLOOKUP(F960,Budget!A:F,3,FALSE))))),VLOOKUP($D960,Budget!A:F,5,FALSE)*E960))</f>
        <v>0</v>
      </c>
      <c r="J960" s="87">
        <f t="shared" si="80"/>
        <v>0</v>
      </c>
      <c r="K960" s="21"/>
      <c r="L960" s="74"/>
      <c r="M960" s="77" t="str">
        <f t="shared" si="81"/>
        <v>nein</v>
      </c>
      <c r="N960">
        <f t="shared" si="77"/>
        <v>2023</v>
      </c>
    </row>
    <row r="961" spans="1:14" hidden="1" x14ac:dyDescent="0.3">
      <c r="A961" s="104">
        <f t="shared" si="79"/>
        <v>33</v>
      </c>
      <c r="B961" s="22">
        <f t="shared" si="78"/>
        <v>45152</v>
      </c>
      <c r="C961" s="10" t="s">
        <v>3</v>
      </c>
      <c r="D961" s="12" t="s">
        <v>29</v>
      </c>
      <c r="E961" s="13">
        <f>IF(VLOOKUP(D961,Budget!A:B,2,FALSE)&lt;&gt;0,IF(G961=0,24,24-G961),0)</f>
        <v>0</v>
      </c>
      <c r="F961" s="13"/>
      <c r="G961" s="13"/>
      <c r="H961" s="85">
        <f>IF(E961=0,0,IF(M961="ja",(VLOOKUP(D961,Budget!A:F,6,FALSE)*(E961-(VLOOKUP(D961,Budget!A:F,3,FALSE)))),VLOOKUP($D961,Budget!$A$1:$F$19,6,FALSE)*E961))</f>
        <v>0</v>
      </c>
      <c r="I961" s="85">
        <f>IF(F961=0,0,IF(M961="ja",((VLOOKUP(F961,Budget!A:F,6,FALSE)*(E961-(VLOOKUP(F961,Budget!A:F,3,FALSE))))),VLOOKUP($D961,Budget!A:F,5,FALSE)*E961))</f>
        <v>0</v>
      </c>
      <c r="J961" s="85">
        <f t="shared" si="80"/>
        <v>0</v>
      </c>
      <c r="K961" s="15"/>
      <c r="L961" s="72"/>
      <c r="M961" s="80" t="str">
        <f t="shared" si="81"/>
        <v>nein</v>
      </c>
      <c r="N961">
        <f t="shared" si="77"/>
        <v>2023</v>
      </c>
    </row>
    <row r="962" spans="1:14" hidden="1" x14ac:dyDescent="0.3">
      <c r="A962" s="105">
        <f t="shared" si="79"/>
        <v>33</v>
      </c>
      <c r="B962" s="22">
        <f t="shared" si="78"/>
        <v>45153</v>
      </c>
      <c r="C962" s="11" t="s">
        <v>4</v>
      </c>
      <c r="D962" s="12" t="s">
        <v>29</v>
      </c>
      <c r="E962" s="13">
        <f>IF(VLOOKUP(D962,Budget!A:B,2,FALSE)&lt;&gt;0,IF(G962=0,24,24-G962),0)</f>
        <v>0</v>
      </c>
      <c r="G962" s="13"/>
      <c r="H962" s="85">
        <f>IF(E962=0,0,IF(M962="ja",(VLOOKUP(D962,Budget!A:F,6,FALSE)*(E962-(VLOOKUP(D962,Budget!A:F,3,FALSE)))),VLOOKUP($D962,Budget!$A$1:$F$19,6,FALSE)*E962))</f>
        <v>0</v>
      </c>
      <c r="I962" s="85">
        <f>IF(F962=0,0,IF(M962="ja",((VLOOKUP(F962,Budget!A:F,6,FALSE)*(E962-(VLOOKUP(F962,Budget!A:F,3,FALSE))))),VLOOKUP($D962,Budget!A:F,5,FALSE)*E962))</f>
        <v>0</v>
      </c>
      <c r="J962" s="85">
        <f t="shared" si="80"/>
        <v>0</v>
      </c>
      <c r="K962" s="14"/>
      <c r="L962" s="73"/>
      <c r="M962" s="80" t="str">
        <f t="shared" si="81"/>
        <v>nein</v>
      </c>
      <c r="N962">
        <f t="shared" si="77"/>
        <v>2023</v>
      </c>
    </row>
    <row r="963" spans="1:14" hidden="1" x14ac:dyDescent="0.3">
      <c r="A963" s="105">
        <f t="shared" si="79"/>
        <v>33</v>
      </c>
      <c r="B963" s="22">
        <f t="shared" si="78"/>
        <v>45154</v>
      </c>
      <c r="C963" s="11" t="s">
        <v>5</v>
      </c>
      <c r="D963" s="12" t="s">
        <v>30</v>
      </c>
      <c r="E963" s="13">
        <f>IF(VLOOKUP(D963,Budget!A:B,2,FALSE)&lt;&gt;0,IF(G963=0,24,24-G963),0)</f>
        <v>0</v>
      </c>
      <c r="G963" s="13"/>
      <c r="H963" s="85">
        <f>IF(E963=0,0,IF(M963="ja",(VLOOKUP(D963,Budget!A:F,6,FALSE)*(E963-(VLOOKUP(D963,Budget!A:F,3,FALSE)))),VLOOKUP($D963,Budget!$A$1:$F$19,6,FALSE)*E963))</f>
        <v>0</v>
      </c>
      <c r="I963" s="85">
        <f>IF(F963=0,0,IF(M963="ja",((VLOOKUP(F963,Budget!A:F,6,FALSE)*(E963-(VLOOKUP(F963,Budget!A:F,3,FALSE))))),VLOOKUP($D963,Budget!A:F,5,FALSE)*E963))</f>
        <v>0</v>
      </c>
      <c r="J963" s="85">
        <f t="shared" si="80"/>
        <v>0</v>
      </c>
      <c r="K963" s="14"/>
      <c r="L963" s="73"/>
      <c r="M963" s="80" t="str">
        <f t="shared" si="81"/>
        <v>nein</v>
      </c>
      <c r="N963">
        <f t="shared" ref="N963:N1026" si="82">YEAR(B963)</f>
        <v>2023</v>
      </c>
    </row>
    <row r="964" spans="1:14" hidden="1" x14ac:dyDescent="0.3">
      <c r="A964" s="103">
        <f t="shared" si="79"/>
        <v>33</v>
      </c>
      <c r="B964" s="22">
        <f t="shared" si="78"/>
        <v>45155</v>
      </c>
      <c r="C964" s="11" t="s">
        <v>6</v>
      </c>
      <c r="D964" s="12" t="s">
        <v>30</v>
      </c>
      <c r="E964" s="13">
        <f>IF(VLOOKUP(D964,Budget!A:B,2,FALSE)&lt;&gt;0,IF(G964=0,24,24-G964),0)</f>
        <v>0</v>
      </c>
      <c r="G964" s="13"/>
      <c r="H964" s="85">
        <f>IF(E964=0,0,IF(M964="ja",(VLOOKUP(D964,Budget!A:F,6,FALSE)*(E964-(VLOOKUP(D964,Budget!A:F,3,FALSE)))),VLOOKUP($D964,Budget!$A$1:$F$19,6,FALSE)*E964))</f>
        <v>0</v>
      </c>
      <c r="I964" s="85">
        <f>IF(F964=0,0,IF(M964="ja",((VLOOKUP(F964,Budget!A:F,6,FALSE)*(E964-(VLOOKUP(F964,Budget!A:F,3,FALSE))))),VLOOKUP($D964,Budget!A:F,5,FALSE)*E964))</f>
        <v>0</v>
      </c>
      <c r="J964" s="85">
        <f t="shared" si="80"/>
        <v>0</v>
      </c>
      <c r="K964" s="14"/>
      <c r="L964" s="73"/>
      <c r="M964" s="80" t="str">
        <f t="shared" si="81"/>
        <v>nein</v>
      </c>
      <c r="N964">
        <f t="shared" si="82"/>
        <v>2023</v>
      </c>
    </row>
    <row r="965" spans="1:14" hidden="1" x14ac:dyDescent="0.3">
      <c r="A965" s="105">
        <f t="shared" si="79"/>
        <v>33</v>
      </c>
      <c r="B965" s="22">
        <f t="shared" si="78"/>
        <v>45156</v>
      </c>
      <c r="C965" s="11" t="s">
        <v>7</v>
      </c>
      <c r="D965" s="12" t="s">
        <v>69</v>
      </c>
      <c r="E965" s="13">
        <f>IF(VLOOKUP(D965,Budget!A:B,2,FALSE)&lt;&gt;0,IF(G965=0,24,24-G965),0)</f>
        <v>24</v>
      </c>
      <c r="G965" s="13"/>
      <c r="H965" s="85">
        <f>IF(E965=0,0,IF(M965="ja",(VLOOKUP(D965,Budget!A:F,6,FALSE)*(E965-(VLOOKUP(D965,Budget!A:F,3,FALSE)))),VLOOKUP($D965,Budget!$A$1:$F$19,6,FALSE)*E965))</f>
        <v>38269.757143831848</v>
      </c>
      <c r="I965" s="85">
        <f>IF(F965=0,0,IF(M965="ja",((VLOOKUP(F965,Budget!A:F,6,FALSE)*(E965-(VLOOKUP(F965,Budget!A:F,3,FALSE))))),VLOOKUP($D965,Budget!A:F,5,FALSE)*E965))</f>
        <v>0</v>
      </c>
      <c r="J965" s="85">
        <f t="shared" si="80"/>
        <v>38269.757143831848</v>
      </c>
      <c r="K965" s="14"/>
      <c r="L965" s="25"/>
      <c r="M965" s="80" t="str">
        <f t="shared" si="81"/>
        <v>ja</v>
      </c>
      <c r="N965">
        <f t="shared" si="82"/>
        <v>2023</v>
      </c>
    </row>
    <row r="966" spans="1:14" hidden="1" x14ac:dyDescent="0.3">
      <c r="A966" s="105">
        <f t="shared" si="79"/>
        <v>33</v>
      </c>
      <c r="B966" s="22">
        <f t="shared" si="78"/>
        <v>45157</v>
      </c>
      <c r="C966" s="16" t="s">
        <v>8</v>
      </c>
      <c r="D966" s="12" t="s">
        <v>69</v>
      </c>
      <c r="E966" s="13">
        <f>IF(VLOOKUP(D966,Budget!A:B,2,FALSE)&lt;&gt;0,IF(G966=0,24,24-G966),0)</f>
        <v>24</v>
      </c>
      <c r="F966" s="17"/>
      <c r="G966" s="17"/>
      <c r="H966" s="86">
        <f>IF(E966=0,0,IF(M966="ja",(VLOOKUP(D966,Budget!A:F,6,FALSE)*(E966-(VLOOKUP(D966,Budget!A:F,3,FALSE)))),VLOOKUP($D966,Budget!$A$1:$F$19,6,FALSE)*E966))</f>
        <v>42919.35380616656</v>
      </c>
      <c r="I966" s="86">
        <f>IF(F966=0,0,IF(M966="ja",((VLOOKUP(F966,Budget!A:F,6,FALSE)*(E966-(VLOOKUP(F966,Budget!A:F,3,FALSE))))),VLOOKUP($D966,Budget!A:F,5,FALSE)*E966))</f>
        <v>0</v>
      </c>
      <c r="J966" s="86">
        <f t="shared" si="80"/>
        <v>42919.35380616656</v>
      </c>
      <c r="K966" s="18"/>
      <c r="L966" s="75"/>
      <c r="M966" s="76" t="str">
        <f t="shared" si="81"/>
        <v>nein</v>
      </c>
      <c r="N966">
        <f t="shared" si="82"/>
        <v>2023</v>
      </c>
    </row>
    <row r="967" spans="1:14" ht="15" hidden="1" thickBot="1" x14ac:dyDescent="0.35">
      <c r="A967" s="105">
        <f t="shared" si="79"/>
        <v>33</v>
      </c>
      <c r="B967" s="27">
        <f t="shared" si="78"/>
        <v>45158</v>
      </c>
      <c r="C967" s="19" t="s">
        <v>9</v>
      </c>
      <c r="D967" s="12" t="s">
        <v>69</v>
      </c>
      <c r="E967" s="13">
        <f>IF(VLOOKUP(D967,Budget!A:B,2,FALSE)&lt;&gt;0,IF(G967=0,24,24-G967),0)</f>
        <v>24</v>
      </c>
      <c r="F967" s="20"/>
      <c r="G967" s="20"/>
      <c r="H967" s="93">
        <f>IF(E967=0,0,IF(M967="ja",(VLOOKUP(D967,Budget!A:F,6,FALSE)*(E967-(VLOOKUP(D967,Budget!A:F,3,FALSE)))),VLOOKUP($D967,Budget!$A$1:$F$19,6,FALSE)*E967))</f>
        <v>42919.35380616656</v>
      </c>
      <c r="I967" s="93">
        <f>IF(F967=0,0,IF(M967="ja",((VLOOKUP(F967,Budget!A:F,6,FALSE)*(E967-(VLOOKUP(F967,Budget!A:F,3,FALSE))))),VLOOKUP($D967,Budget!A:F,5,FALSE)*E967))</f>
        <v>0</v>
      </c>
      <c r="J967" s="87">
        <f t="shared" si="80"/>
        <v>42919.35380616656</v>
      </c>
      <c r="K967" s="21"/>
      <c r="L967" s="74"/>
      <c r="M967" s="77" t="str">
        <f t="shared" si="81"/>
        <v>nein</v>
      </c>
      <c r="N967">
        <f t="shared" si="82"/>
        <v>2023</v>
      </c>
    </row>
    <row r="968" spans="1:14" hidden="1" x14ac:dyDescent="0.3">
      <c r="A968" s="104">
        <f t="shared" si="79"/>
        <v>34</v>
      </c>
      <c r="B968" s="22">
        <f t="shared" si="78"/>
        <v>45159</v>
      </c>
      <c r="C968" s="10" t="s">
        <v>3</v>
      </c>
      <c r="D968" s="12" t="s">
        <v>11</v>
      </c>
      <c r="E968" s="13">
        <f>IF(VLOOKUP(D968,Budget!A:B,2,FALSE)&lt;&gt;0,IF(G968=0,24,24-G968),0)</f>
        <v>24</v>
      </c>
      <c r="F968" s="13"/>
      <c r="G968" s="13"/>
      <c r="H968" s="85">
        <f>IF(E968=0,0,IF(M968="ja",(VLOOKUP(D968,Budget!A:F,6,FALSE)*(E968-(VLOOKUP(D968,Budget!A:F,3,FALSE)))),VLOOKUP($D968,Budget!$A$1:$F$19,6,FALSE)*E968))</f>
        <v>30030</v>
      </c>
      <c r="I968" s="85">
        <f>IF(F968=0,0,IF(M968="ja",((VLOOKUP(F968,Budget!A:F,6,FALSE)*(E968-(VLOOKUP(F968,Budget!A:F,3,FALSE))))),VLOOKUP($D968,Budget!A:F,5,FALSE)*E968))</f>
        <v>0</v>
      </c>
      <c r="J968" s="85">
        <f t="shared" si="80"/>
        <v>30030</v>
      </c>
      <c r="K968" s="15"/>
      <c r="L968" s="72"/>
      <c r="M968" s="80" t="str">
        <f t="shared" si="81"/>
        <v>ja</v>
      </c>
      <c r="N968">
        <f t="shared" si="82"/>
        <v>2023</v>
      </c>
    </row>
    <row r="969" spans="1:14" hidden="1" x14ac:dyDescent="0.3">
      <c r="A969" s="105">
        <f t="shared" si="79"/>
        <v>34</v>
      </c>
      <c r="B969" s="22">
        <f t="shared" si="78"/>
        <v>45160</v>
      </c>
      <c r="C969" s="11" t="s">
        <v>4</v>
      </c>
      <c r="D969" s="12" t="s">
        <v>11</v>
      </c>
      <c r="E969" s="13">
        <f>IF(VLOOKUP(D969,Budget!A:B,2,FALSE)&lt;&gt;0,IF(G969=0,24,24-G969),0)</f>
        <v>24</v>
      </c>
      <c r="G969" s="13"/>
      <c r="H969" s="85">
        <f>IF(E969=0,0,IF(M969="ja",(VLOOKUP(D969,Budget!A:F,6,FALSE)*(E969-(VLOOKUP(D969,Budget!A:F,3,FALSE)))),VLOOKUP($D969,Budget!$A$1:$F$19,6,FALSE)*E969))</f>
        <v>36960</v>
      </c>
      <c r="I969" s="85">
        <f>IF(F969=0,0,IF(M969="ja",((VLOOKUP(F969,Budget!A:F,6,FALSE)*(E969-(VLOOKUP(F969,Budget!A:F,3,FALSE))))),VLOOKUP($D969,Budget!A:F,5,FALSE)*E969))</f>
        <v>0</v>
      </c>
      <c r="J969" s="85">
        <f t="shared" si="80"/>
        <v>36960</v>
      </c>
      <c r="K969" s="14"/>
      <c r="L969" s="73"/>
      <c r="M969" s="80" t="str">
        <f t="shared" si="81"/>
        <v>nein</v>
      </c>
      <c r="N969">
        <f t="shared" si="82"/>
        <v>2023</v>
      </c>
    </row>
    <row r="970" spans="1:14" hidden="1" x14ac:dyDescent="0.3">
      <c r="A970" s="105">
        <f t="shared" si="79"/>
        <v>34</v>
      </c>
      <c r="B970" s="22">
        <f t="shared" si="78"/>
        <v>45161</v>
      </c>
      <c r="C970" s="11" t="s">
        <v>5</v>
      </c>
      <c r="D970" s="12" t="s">
        <v>11</v>
      </c>
      <c r="E970" s="13">
        <f>IF(VLOOKUP(D970,Budget!A:B,2,FALSE)&lt;&gt;0,IF(G970=0,24,24-G970),0)</f>
        <v>24</v>
      </c>
      <c r="G970" s="13"/>
      <c r="H970" s="85">
        <f>IF(E970=0,0,IF(M970="ja",(VLOOKUP(D970,Budget!A:F,6,FALSE)*(E970-(VLOOKUP(D970,Budget!A:F,3,FALSE)))),VLOOKUP($D970,Budget!$A$1:$F$19,6,FALSE)*E970))</f>
        <v>36960</v>
      </c>
      <c r="I970" s="85">
        <f>IF(F970=0,0,IF(M970="ja",((VLOOKUP(F970,Budget!A:F,6,FALSE)*(E970-(VLOOKUP(F970,Budget!A:F,3,FALSE))))),VLOOKUP($D970,Budget!A:F,5,FALSE)*E970))</f>
        <v>0</v>
      </c>
      <c r="J970" s="85">
        <f t="shared" si="80"/>
        <v>36960</v>
      </c>
      <c r="K970" s="14"/>
      <c r="L970" s="73"/>
      <c r="M970" s="80" t="str">
        <f t="shared" si="81"/>
        <v>nein</v>
      </c>
      <c r="N970">
        <f t="shared" si="82"/>
        <v>2023</v>
      </c>
    </row>
    <row r="971" spans="1:14" hidden="1" x14ac:dyDescent="0.3">
      <c r="A971" s="103">
        <f t="shared" si="79"/>
        <v>34</v>
      </c>
      <c r="B971" s="22">
        <f t="shared" si="78"/>
        <v>45162</v>
      </c>
      <c r="C971" s="11" t="s">
        <v>6</v>
      </c>
      <c r="D971" s="12" t="s">
        <v>11</v>
      </c>
      <c r="E971" s="13">
        <f>IF(VLOOKUP(D971,Budget!A:B,2,FALSE)&lt;&gt;0,IF(G971=0,24,24-G971),0)</f>
        <v>24</v>
      </c>
      <c r="G971" s="13"/>
      <c r="H971" s="85">
        <f>IF(E971=0,0,IF(M971="ja",(VLOOKUP(D971,Budget!A:F,6,FALSE)*(E971-(VLOOKUP(D971,Budget!A:F,3,FALSE)))),VLOOKUP($D971,Budget!$A$1:$F$19,6,FALSE)*E971))</f>
        <v>36960</v>
      </c>
      <c r="I971" s="85">
        <f>IF(F971=0,0,IF(M971="ja",((VLOOKUP(F971,Budget!A:F,6,FALSE)*(E971-(VLOOKUP(F971,Budget!A:F,3,FALSE))))),VLOOKUP($D971,Budget!A:F,5,FALSE)*E971))</f>
        <v>0</v>
      </c>
      <c r="J971" s="85">
        <f t="shared" si="80"/>
        <v>36960</v>
      </c>
      <c r="K971" s="14"/>
      <c r="L971" s="73"/>
      <c r="M971" s="80" t="str">
        <f t="shared" si="81"/>
        <v>nein</v>
      </c>
      <c r="N971">
        <f t="shared" si="82"/>
        <v>2023</v>
      </c>
    </row>
    <row r="972" spans="1:14" hidden="1" x14ac:dyDescent="0.3">
      <c r="A972" s="105">
        <f t="shared" si="79"/>
        <v>34</v>
      </c>
      <c r="B972" s="22">
        <f t="shared" si="78"/>
        <v>45163</v>
      </c>
      <c r="C972" s="11" t="s">
        <v>7</v>
      </c>
      <c r="D972" s="12" t="s">
        <v>11</v>
      </c>
      <c r="E972" s="13">
        <f>IF(VLOOKUP(D972,Budget!A:B,2,FALSE)&lt;&gt;0,IF(G972=0,24,24-G972),0)</f>
        <v>24</v>
      </c>
      <c r="G972" s="13"/>
      <c r="H972" s="85">
        <f>IF(E972=0,0,IF(M972="ja",(VLOOKUP(D972,Budget!A:F,6,FALSE)*(E972-(VLOOKUP(D972,Budget!A:F,3,FALSE)))),VLOOKUP($D972,Budget!$A$1:$F$19,6,FALSE)*E972))</f>
        <v>36960</v>
      </c>
      <c r="I972" s="85">
        <f>IF(F972=0,0,IF(M972="ja",((VLOOKUP(F972,Budget!A:F,6,FALSE)*(E972-(VLOOKUP(F972,Budget!A:F,3,FALSE))))),VLOOKUP($D972,Budget!A:F,5,FALSE)*E972))</f>
        <v>0</v>
      </c>
      <c r="J972" s="85">
        <f t="shared" si="80"/>
        <v>36960</v>
      </c>
      <c r="K972" s="14"/>
      <c r="L972" s="25"/>
      <c r="M972" s="80" t="str">
        <f t="shared" si="81"/>
        <v>nein</v>
      </c>
      <c r="N972">
        <f t="shared" si="82"/>
        <v>2023</v>
      </c>
    </row>
    <row r="973" spans="1:14" hidden="1" x14ac:dyDescent="0.3">
      <c r="A973" s="105">
        <f t="shared" si="79"/>
        <v>34</v>
      </c>
      <c r="B973" s="22">
        <f t="shared" si="78"/>
        <v>45164</v>
      </c>
      <c r="C973" s="16" t="s">
        <v>8</v>
      </c>
      <c r="D973" s="17" t="s">
        <v>11</v>
      </c>
      <c r="E973" s="13">
        <f>IF(VLOOKUP(D973,Budget!A:B,2,FALSE)&lt;&gt;0,IF(G973=0,24,24-G973),0)</f>
        <v>24</v>
      </c>
      <c r="F973" s="17"/>
      <c r="G973" s="17"/>
      <c r="H973" s="86">
        <f>IF(E973=0,0,IF(M973="ja",(VLOOKUP(D973,Budget!A:F,6,FALSE)*(E973-(VLOOKUP(D973,Budget!A:F,3,FALSE)))),VLOOKUP($D973,Budget!$A$1:$F$19,6,FALSE)*E973))</f>
        <v>36960</v>
      </c>
      <c r="I973" s="86">
        <f>IF(F973=0,0,IF(M973="ja",((VLOOKUP(F973,Budget!A:F,6,FALSE)*(E973-(VLOOKUP(F973,Budget!A:F,3,FALSE))))),VLOOKUP($D973,Budget!A:F,5,FALSE)*E973))</f>
        <v>0</v>
      </c>
      <c r="J973" s="86">
        <f t="shared" si="80"/>
        <v>36960</v>
      </c>
      <c r="K973" s="18"/>
      <c r="L973" s="75"/>
      <c r="M973" s="76" t="str">
        <f t="shared" si="81"/>
        <v>nein</v>
      </c>
      <c r="N973">
        <f t="shared" si="82"/>
        <v>2023</v>
      </c>
    </row>
    <row r="974" spans="1:14" ht="15" hidden="1" thickBot="1" x14ac:dyDescent="0.35">
      <c r="A974" s="105">
        <f t="shared" si="79"/>
        <v>34</v>
      </c>
      <c r="B974" s="27">
        <f t="shared" si="78"/>
        <v>45165</v>
      </c>
      <c r="C974" s="19" t="s">
        <v>9</v>
      </c>
      <c r="D974" s="20" t="s">
        <v>11</v>
      </c>
      <c r="E974" s="13">
        <f>IF(VLOOKUP(D974,Budget!A:B,2,FALSE)&lt;&gt;0,IF(G974=0,24,24-G974),0)</f>
        <v>24</v>
      </c>
      <c r="F974" s="20"/>
      <c r="G974" s="20"/>
      <c r="H974" s="93">
        <f>IF(E974=0,0,IF(M974="ja",(VLOOKUP(D974,Budget!A:F,6,FALSE)*(E974-(VLOOKUP(D974,Budget!A:F,3,FALSE)))),VLOOKUP($D974,Budget!$A$1:$F$19,6,FALSE)*E974))</f>
        <v>36960</v>
      </c>
      <c r="I974" s="93">
        <f>IF(F974=0,0,IF(M974="ja",((VLOOKUP(F974,Budget!A:F,6,FALSE)*(E974-(VLOOKUP(F974,Budget!A:F,3,FALSE))))),VLOOKUP($D974,Budget!A:F,5,FALSE)*E974))</f>
        <v>0</v>
      </c>
      <c r="J974" s="87">
        <f t="shared" si="80"/>
        <v>36960</v>
      </c>
      <c r="K974" s="21"/>
      <c r="L974" s="74"/>
      <c r="M974" s="77" t="str">
        <f t="shared" si="81"/>
        <v>nein</v>
      </c>
      <c r="N974">
        <f t="shared" si="82"/>
        <v>2023</v>
      </c>
    </row>
    <row r="975" spans="1:14" hidden="1" x14ac:dyDescent="0.3">
      <c r="A975" s="104">
        <f t="shared" si="79"/>
        <v>35</v>
      </c>
      <c r="B975" s="22">
        <f t="shared" si="78"/>
        <v>45166</v>
      </c>
      <c r="C975" s="10" t="s">
        <v>3</v>
      </c>
      <c r="D975" s="12" t="s">
        <v>12</v>
      </c>
      <c r="E975" s="13">
        <f>IF(VLOOKUP(D975,Budget!A:B,2,FALSE)&lt;&gt;0,IF(G975=0,24,24-G975),0)</f>
        <v>24</v>
      </c>
      <c r="F975" s="13"/>
      <c r="G975" s="13"/>
      <c r="H975" s="85">
        <f>IF(E975=0,0,IF(M975="ja",(VLOOKUP(D975,Budget!A:F,6,FALSE)*(E975-(VLOOKUP(D975,Budget!A:F,3,FALSE)))),VLOOKUP($D975,Budget!$A$1:$F$19,6,FALSE)*E975))</f>
        <v>27720</v>
      </c>
      <c r="I975" s="85">
        <f>IF(F975=0,0,IF(M975="ja",((VLOOKUP(F975,Budget!A:F,6,FALSE)*(E975-(VLOOKUP(F975,Budget!A:F,3,FALSE))))),VLOOKUP($D975,Budget!A:F,5,FALSE)*E975))</f>
        <v>0</v>
      </c>
      <c r="J975" s="85">
        <f t="shared" si="80"/>
        <v>27720</v>
      </c>
      <c r="K975" s="15"/>
      <c r="L975" s="72"/>
      <c r="M975" s="80" t="str">
        <f t="shared" si="81"/>
        <v>ja</v>
      </c>
      <c r="N975">
        <f t="shared" si="82"/>
        <v>2023</v>
      </c>
    </row>
    <row r="976" spans="1:14" hidden="1" x14ac:dyDescent="0.3">
      <c r="A976" s="105">
        <f t="shared" si="79"/>
        <v>35</v>
      </c>
      <c r="B976" s="22">
        <f t="shared" si="78"/>
        <v>45167</v>
      </c>
      <c r="C976" s="11" t="s">
        <v>4</v>
      </c>
      <c r="D976" s="12" t="s">
        <v>12</v>
      </c>
      <c r="E976" s="13">
        <f>IF(VLOOKUP(D976,Budget!A:B,2,FALSE)&lt;&gt;0,IF(G976=0,24,24-G976),0)</f>
        <v>24</v>
      </c>
      <c r="G976" s="13"/>
      <c r="H976" s="85">
        <f>IF(E976=0,0,IF(M976="ja",(VLOOKUP(D976,Budget!A:F,6,FALSE)*(E976-(VLOOKUP(D976,Budget!A:F,3,FALSE)))),VLOOKUP($D976,Budget!$A$1:$F$19,6,FALSE)*E976))</f>
        <v>36960</v>
      </c>
      <c r="I976" s="85">
        <f>IF(F976=0,0,IF(M976="ja",((VLOOKUP(F976,Budget!A:F,6,FALSE)*(E976-(VLOOKUP(F976,Budget!A:F,3,FALSE))))),VLOOKUP($D976,Budget!A:F,5,FALSE)*E976))</f>
        <v>0</v>
      </c>
      <c r="J976" s="85">
        <f t="shared" si="80"/>
        <v>36960</v>
      </c>
      <c r="K976" s="14"/>
      <c r="L976" s="73"/>
      <c r="M976" s="80" t="str">
        <f t="shared" si="81"/>
        <v>nein</v>
      </c>
      <c r="N976">
        <f t="shared" si="82"/>
        <v>2023</v>
      </c>
    </row>
    <row r="977" spans="1:14" hidden="1" x14ac:dyDescent="0.3">
      <c r="A977" s="105">
        <f t="shared" si="79"/>
        <v>35</v>
      </c>
      <c r="B977" s="22">
        <f t="shared" si="78"/>
        <v>45168</v>
      </c>
      <c r="C977" s="11" t="s">
        <v>5</v>
      </c>
      <c r="D977" s="12" t="s">
        <v>13</v>
      </c>
      <c r="E977" s="13">
        <f>IF(VLOOKUP(D977,Budget!A:B,2,FALSE)&lt;&gt;0,IF(G977=0,24,24-G977),0)</f>
        <v>0</v>
      </c>
      <c r="G977" s="13"/>
      <c r="H977" s="85">
        <f>IF(E977=0,0,IF(M977="ja",(VLOOKUP(D977,Budget!A:F,6,FALSE)*(E977-(VLOOKUP(D977,Budget!A:F,3,FALSE)))),VLOOKUP($D977,Budget!$A$1:$F$19,6,FALSE)*E977))</f>
        <v>0</v>
      </c>
      <c r="I977" s="85">
        <f>IF(F977=0,0,IF(M977="ja",((VLOOKUP(F977,Budget!A:F,6,FALSE)*(E977-(VLOOKUP(F977,Budget!A:F,3,FALSE))))),VLOOKUP($D977,Budget!A:F,5,FALSE)*E977))</f>
        <v>0</v>
      </c>
      <c r="J977" s="85">
        <f t="shared" si="80"/>
        <v>0</v>
      </c>
      <c r="K977" s="14"/>
      <c r="L977" s="73"/>
      <c r="M977" s="80" t="str">
        <f t="shared" si="81"/>
        <v>nein</v>
      </c>
      <c r="N977">
        <f t="shared" si="82"/>
        <v>2023</v>
      </c>
    </row>
    <row r="978" spans="1:14" hidden="1" x14ac:dyDescent="0.3">
      <c r="A978" s="103">
        <f t="shared" si="79"/>
        <v>35</v>
      </c>
      <c r="B978" s="22">
        <f t="shared" si="78"/>
        <v>45169</v>
      </c>
      <c r="C978" s="11" t="s">
        <v>6</v>
      </c>
      <c r="D978" s="12" t="s">
        <v>69</v>
      </c>
      <c r="E978" s="13">
        <f>IF(VLOOKUP(D978,Budget!A:B,2,FALSE)&lt;&gt;0,IF(G978=0,24,24-G978),0)</f>
        <v>24</v>
      </c>
      <c r="G978" s="13"/>
      <c r="H978" s="85">
        <f>IF(E978=0,0,IF(M978="ja",(VLOOKUP(D978,Budget!A:F,6,FALSE)*(E978-(VLOOKUP(D978,Budget!A:F,3,FALSE)))),VLOOKUP($D978,Budget!$A$1:$F$19,6,FALSE)*E978))</f>
        <v>38269.757143831848</v>
      </c>
      <c r="I978" s="85">
        <f>IF(F978=0,0,IF(M978="ja",((VLOOKUP(F978,Budget!A:F,6,FALSE)*(E978-(VLOOKUP(F978,Budget!A:F,3,FALSE))))),VLOOKUP($D978,Budget!A:F,5,FALSE)*E978))</f>
        <v>0</v>
      </c>
      <c r="J978" s="85">
        <f t="shared" si="80"/>
        <v>38269.757143831848</v>
      </c>
      <c r="K978" s="14"/>
      <c r="L978" s="73"/>
      <c r="M978" s="80" t="str">
        <f t="shared" si="81"/>
        <v>ja</v>
      </c>
      <c r="N978">
        <f t="shared" si="82"/>
        <v>2023</v>
      </c>
    </row>
    <row r="979" spans="1:14" hidden="1" x14ac:dyDescent="0.3">
      <c r="A979" s="105">
        <f t="shared" si="79"/>
        <v>35</v>
      </c>
      <c r="B979" s="22">
        <f t="shared" si="78"/>
        <v>45170</v>
      </c>
      <c r="C979" s="11" t="s">
        <v>7</v>
      </c>
      <c r="D979" s="12" t="s">
        <v>69</v>
      </c>
      <c r="E979" s="13">
        <f>IF(VLOOKUP(D979,Budget!A:B,2,FALSE)&lt;&gt;0,IF(G979=0,24,24-G979),0)</f>
        <v>24</v>
      </c>
      <c r="G979" s="13"/>
      <c r="H979" s="85">
        <f>IF(E979=0,0,IF(M979="ja",(VLOOKUP(D979,Budget!A:F,6,FALSE)*(E979-(VLOOKUP(D979,Budget!A:F,3,FALSE)))),VLOOKUP($D979,Budget!$A$1:$F$19,6,FALSE)*E979))</f>
        <v>42919.35380616656</v>
      </c>
      <c r="I979" s="85">
        <f>IF(F979=0,0,IF(M979="ja",((VLOOKUP(F979,Budget!A:F,6,FALSE)*(E979-(VLOOKUP(F979,Budget!A:F,3,FALSE))))),VLOOKUP($D979,Budget!A:F,5,FALSE)*E979))</f>
        <v>0</v>
      </c>
      <c r="J979" s="85">
        <f t="shared" si="80"/>
        <v>42919.35380616656</v>
      </c>
      <c r="K979" s="14"/>
      <c r="L979" s="25"/>
      <c r="M979" s="80" t="str">
        <f t="shared" si="81"/>
        <v>nein</v>
      </c>
      <c r="N979">
        <f t="shared" si="82"/>
        <v>2023</v>
      </c>
    </row>
    <row r="980" spans="1:14" hidden="1" x14ac:dyDescent="0.3">
      <c r="A980" s="105">
        <f t="shared" si="79"/>
        <v>35</v>
      </c>
      <c r="B980" s="22">
        <f t="shared" si="78"/>
        <v>45171</v>
      </c>
      <c r="C980" s="16" t="s">
        <v>8</v>
      </c>
      <c r="D980" s="12" t="s">
        <v>69</v>
      </c>
      <c r="E980" s="13">
        <f>IF(VLOOKUP(D980,Budget!A:B,2,FALSE)&lt;&gt;0,IF(G980=0,24,24-G980),0)</f>
        <v>24</v>
      </c>
      <c r="F980" s="17"/>
      <c r="G980" s="17"/>
      <c r="H980" s="86">
        <f>IF(E980=0,0,IF(M980="ja",(VLOOKUP(D980,Budget!A:F,6,FALSE)*(E980-(VLOOKUP(D980,Budget!A:F,3,FALSE)))),VLOOKUP($D980,Budget!$A$1:$F$19,6,FALSE)*E980))</f>
        <v>42919.35380616656</v>
      </c>
      <c r="I980" s="86">
        <f>IF(F980=0,0,IF(M980="ja",((VLOOKUP(F980,Budget!A:F,6,FALSE)*(E980-(VLOOKUP(F980,Budget!A:F,3,FALSE))))),VLOOKUP($D980,Budget!A:F,5,FALSE)*E980))</f>
        <v>0</v>
      </c>
      <c r="J980" s="86">
        <f t="shared" si="80"/>
        <v>42919.35380616656</v>
      </c>
      <c r="K980" s="18"/>
      <c r="L980" s="75"/>
      <c r="M980" s="76" t="str">
        <f t="shared" si="81"/>
        <v>nein</v>
      </c>
      <c r="N980">
        <f t="shared" si="82"/>
        <v>2023</v>
      </c>
    </row>
    <row r="981" spans="1:14" ht="15" hidden="1" thickBot="1" x14ac:dyDescent="0.35">
      <c r="A981" s="105">
        <f t="shared" si="79"/>
        <v>35</v>
      </c>
      <c r="B981" s="27">
        <f t="shared" si="78"/>
        <v>45172</v>
      </c>
      <c r="C981" s="19" t="s">
        <v>9</v>
      </c>
      <c r="D981" s="12" t="s">
        <v>69</v>
      </c>
      <c r="E981" s="13">
        <f>IF(VLOOKUP(D981,Budget!A:B,2,FALSE)&lt;&gt;0,IF(G981=0,24,24-G981),0)</f>
        <v>24</v>
      </c>
      <c r="F981" s="20"/>
      <c r="G981" s="20"/>
      <c r="H981" s="93">
        <f>IF(E981=0,0,IF(M981="ja",(VLOOKUP(D981,Budget!A:F,6,FALSE)*(E981-(VLOOKUP(D981,Budget!A:F,3,FALSE)))),VLOOKUP($D981,Budget!$A$1:$F$19,6,FALSE)*E981))</f>
        <v>42919.35380616656</v>
      </c>
      <c r="I981" s="93">
        <f>IF(F981=0,0,IF(M981="ja",((VLOOKUP(F981,Budget!A:F,6,FALSE)*(E981-(VLOOKUP(F981,Budget!A:F,3,FALSE))))),VLOOKUP($D981,Budget!A:F,5,FALSE)*E981))</f>
        <v>0</v>
      </c>
      <c r="J981" s="87">
        <f t="shared" si="80"/>
        <v>42919.35380616656</v>
      </c>
      <c r="K981" s="21"/>
      <c r="L981" s="74"/>
      <c r="M981" s="77" t="str">
        <f t="shared" si="81"/>
        <v>nein</v>
      </c>
      <c r="N981">
        <f t="shared" si="82"/>
        <v>2023</v>
      </c>
    </row>
    <row r="982" spans="1:14" hidden="1" x14ac:dyDescent="0.3">
      <c r="A982" s="104">
        <f t="shared" si="79"/>
        <v>36</v>
      </c>
      <c r="B982" s="22">
        <f t="shared" si="78"/>
        <v>45173</v>
      </c>
      <c r="C982" s="10" t="s">
        <v>3</v>
      </c>
      <c r="D982" s="12" t="s">
        <v>69</v>
      </c>
      <c r="E982" s="13">
        <f>IF(VLOOKUP(D982,Budget!A:B,2,FALSE)&lt;&gt;0,IF(G982=0,24,24-G982),0)</f>
        <v>24</v>
      </c>
      <c r="F982" s="13"/>
      <c r="G982" s="13"/>
      <c r="H982" s="85">
        <f>IF(E982=0,0,IF(M982="ja",(VLOOKUP(D982,Budget!A:F,6,FALSE)*(E982-(VLOOKUP(D982,Budget!A:F,3,FALSE)))),VLOOKUP($D982,Budget!$A$1:$F$19,6,FALSE)*E982))</f>
        <v>42919.35380616656</v>
      </c>
      <c r="I982" s="85">
        <f>IF(F982=0,0,IF(M982="ja",((VLOOKUP(F982,Budget!A:F,6,FALSE)*(E982-(VLOOKUP(F982,Budget!A:F,3,FALSE))))),VLOOKUP($D982,Budget!A:F,5,FALSE)*E982))</f>
        <v>0</v>
      </c>
      <c r="J982" s="85">
        <f t="shared" si="80"/>
        <v>42919.35380616656</v>
      </c>
      <c r="K982" s="15"/>
      <c r="L982" s="72"/>
      <c r="M982" s="80" t="str">
        <f t="shared" si="81"/>
        <v>nein</v>
      </c>
      <c r="N982">
        <f t="shared" si="82"/>
        <v>2023</v>
      </c>
    </row>
    <row r="983" spans="1:14" hidden="1" x14ac:dyDescent="0.3">
      <c r="A983" s="105">
        <f t="shared" si="79"/>
        <v>36</v>
      </c>
      <c r="B983" s="22">
        <f t="shared" si="78"/>
        <v>45174</v>
      </c>
      <c r="C983" s="11" t="s">
        <v>4</v>
      </c>
      <c r="D983" s="12" t="s">
        <v>69</v>
      </c>
      <c r="E983" s="13">
        <f>IF(VLOOKUP(D983,Budget!A:B,2,FALSE)&lt;&gt;0,IF(G983=0,24,24-G983),0)</f>
        <v>24</v>
      </c>
      <c r="G983" s="13"/>
      <c r="H983" s="85">
        <f>IF(E983=0,0,IF(M983="ja",(VLOOKUP(D983,Budget!A:F,6,FALSE)*(E983-(VLOOKUP(D983,Budget!A:F,3,FALSE)))),VLOOKUP($D983,Budget!$A$1:$F$19,6,FALSE)*E983))</f>
        <v>42919.35380616656</v>
      </c>
      <c r="I983" s="85">
        <f>IF(F983=0,0,IF(M983="ja",((VLOOKUP(F983,Budget!A:F,6,FALSE)*(E983-(VLOOKUP(F983,Budget!A:F,3,FALSE))))),VLOOKUP($D983,Budget!A:F,5,FALSE)*E983))</f>
        <v>0</v>
      </c>
      <c r="J983" s="85">
        <f t="shared" si="80"/>
        <v>42919.35380616656</v>
      </c>
      <c r="K983" s="14"/>
      <c r="L983" s="73"/>
      <c r="M983" s="80" t="str">
        <f t="shared" si="81"/>
        <v>nein</v>
      </c>
      <c r="N983">
        <f t="shared" si="82"/>
        <v>2023</v>
      </c>
    </row>
    <row r="984" spans="1:14" hidden="1" x14ac:dyDescent="0.3">
      <c r="A984" s="105">
        <f t="shared" si="79"/>
        <v>36</v>
      </c>
      <c r="B984" s="22">
        <f t="shared" si="78"/>
        <v>45175</v>
      </c>
      <c r="C984" s="11" t="s">
        <v>5</v>
      </c>
      <c r="D984" s="12" t="s">
        <v>69</v>
      </c>
      <c r="E984" s="13">
        <f>IF(VLOOKUP(D984,Budget!A:B,2,FALSE)&lt;&gt;0,IF(G984=0,24,24-G984),0)</f>
        <v>24</v>
      </c>
      <c r="G984" s="13"/>
      <c r="H984" s="85">
        <f>IF(E984=0,0,IF(M984="ja",(VLOOKUP(D984,Budget!A:F,6,FALSE)*(E984-(VLOOKUP(D984,Budget!A:F,3,FALSE)))),VLOOKUP($D984,Budget!$A$1:$F$19,6,FALSE)*E984))</f>
        <v>42919.35380616656</v>
      </c>
      <c r="I984" s="85">
        <f>IF(F984=0,0,IF(M984="ja",((VLOOKUP(F984,Budget!A:F,6,FALSE)*(E984-(VLOOKUP(F984,Budget!A:F,3,FALSE))))),VLOOKUP($D984,Budget!A:F,5,FALSE)*E984))</f>
        <v>0</v>
      </c>
      <c r="J984" s="85">
        <f t="shared" si="80"/>
        <v>42919.35380616656</v>
      </c>
      <c r="K984" s="14"/>
      <c r="L984" s="73"/>
      <c r="M984" s="80" t="str">
        <f t="shared" si="81"/>
        <v>nein</v>
      </c>
      <c r="N984">
        <f t="shared" si="82"/>
        <v>2023</v>
      </c>
    </row>
    <row r="985" spans="1:14" hidden="1" x14ac:dyDescent="0.3">
      <c r="A985" s="103">
        <f t="shared" si="79"/>
        <v>36</v>
      </c>
      <c r="B985" s="22">
        <f t="shared" si="78"/>
        <v>45176</v>
      </c>
      <c r="C985" s="11" t="s">
        <v>6</v>
      </c>
      <c r="D985" s="12" t="s">
        <v>69</v>
      </c>
      <c r="E985" s="13">
        <f>IF(VLOOKUP(D985,Budget!A:B,2,FALSE)&lt;&gt;0,IF(G985=0,24,24-G985),0)</f>
        <v>24</v>
      </c>
      <c r="G985" s="13"/>
      <c r="H985" s="85">
        <f>IF(E985=0,0,IF(M985="ja",(VLOOKUP(D985,Budget!A:F,6,FALSE)*(E985-(VLOOKUP(D985,Budget!A:F,3,FALSE)))),VLOOKUP($D985,Budget!$A$1:$F$19,6,FALSE)*E985))</f>
        <v>42919.35380616656</v>
      </c>
      <c r="I985" s="85">
        <f>IF(F985=0,0,IF(M985="ja",((VLOOKUP(F985,Budget!A:F,6,FALSE)*(E985-(VLOOKUP(F985,Budget!A:F,3,FALSE))))),VLOOKUP($D985,Budget!A:F,5,FALSE)*E985))</f>
        <v>0</v>
      </c>
      <c r="J985" s="85">
        <f t="shared" si="80"/>
        <v>42919.35380616656</v>
      </c>
      <c r="K985" s="14"/>
      <c r="L985" s="73"/>
      <c r="M985" s="80" t="str">
        <f t="shared" si="81"/>
        <v>nein</v>
      </c>
      <c r="N985">
        <f t="shared" si="82"/>
        <v>2023</v>
      </c>
    </row>
    <row r="986" spans="1:14" hidden="1" x14ac:dyDescent="0.3">
      <c r="A986" s="105">
        <f t="shared" si="79"/>
        <v>36</v>
      </c>
      <c r="B986" s="22">
        <f t="shared" si="78"/>
        <v>45177</v>
      </c>
      <c r="C986" s="11" t="s">
        <v>7</v>
      </c>
      <c r="D986" s="12" t="s">
        <v>69</v>
      </c>
      <c r="E986" s="13">
        <f>IF(VLOOKUP(D986,Budget!A:B,2,FALSE)&lt;&gt;0,IF(G986=0,24,24-G986),0)</f>
        <v>24</v>
      </c>
      <c r="G986" s="13"/>
      <c r="H986" s="85">
        <f>IF(E986=0,0,IF(M986="ja",(VLOOKUP(D986,Budget!A:F,6,FALSE)*(E986-(VLOOKUP(D986,Budget!A:F,3,FALSE)))),VLOOKUP($D986,Budget!$A$1:$F$19,6,FALSE)*E986))</f>
        <v>42919.35380616656</v>
      </c>
      <c r="I986" s="85">
        <f>IF(F986=0,0,IF(M986="ja",((VLOOKUP(F986,Budget!A:F,6,FALSE)*(E986-(VLOOKUP(F986,Budget!A:F,3,FALSE))))),VLOOKUP($D986,Budget!A:F,5,FALSE)*E986))</f>
        <v>0</v>
      </c>
      <c r="J986" s="85">
        <f t="shared" si="80"/>
        <v>42919.35380616656</v>
      </c>
      <c r="K986" s="14"/>
      <c r="L986" s="25"/>
      <c r="M986" s="80" t="str">
        <f t="shared" si="81"/>
        <v>nein</v>
      </c>
      <c r="N986">
        <f t="shared" si="82"/>
        <v>2023</v>
      </c>
    </row>
    <row r="987" spans="1:14" hidden="1" x14ac:dyDescent="0.3">
      <c r="A987" s="105">
        <f t="shared" si="79"/>
        <v>36</v>
      </c>
      <c r="B987" s="22">
        <f t="shared" si="78"/>
        <v>45178</v>
      </c>
      <c r="C987" s="16" t="s">
        <v>8</v>
      </c>
      <c r="D987" s="12" t="s">
        <v>69</v>
      </c>
      <c r="E987" s="13">
        <f>IF(VLOOKUP(D987,Budget!A:B,2,FALSE)&lt;&gt;0,IF(G987=0,24,24-G987),0)</f>
        <v>24</v>
      </c>
      <c r="F987" s="17"/>
      <c r="G987" s="17"/>
      <c r="H987" s="86">
        <f>IF(E987=0,0,IF(M987="ja",(VLOOKUP(D987,Budget!A:F,6,FALSE)*(E987-(VLOOKUP(D987,Budget!A:F,3,FALSE)))),VLOOKUP($D987,Budget!$A$1:$F$19,6,FALSE)*E987))</f>
        <v>42919.35380616656</v>
      </c>
      <c r="I987" s="86">
        <f>IF(F987=0,0,IF(M987="ja",((VLOOKUP(F987,Budget!A:F,6,FALSE)*(E987-(VLOOKUP(F987,Budget!A:F,3,FALSE))))),VLOOKUP($D987,Budget!A:F,5,FALSE)*E987))</f>
        <v>0</v>
      </c>
      <c r="J987" s="86">
        <f t="shared" si="80"/>
        <v>42919.35380616656</v>
      </c>
      <c r="K987" s="18"/>
      <c r="L987" s="75"/>
      <c r="M987" s="76" t="str">
        <f t="shared" si="81"/>
        <v>nein</v>
      </c>
      <c r="N987">
        <f t="shared" si="82"/>
        <v>2023</v>
      </c>
    </row>
    <row r="988" spans="1:14" ht="15" hidden="1" thickBot="1" x14ac:dyDescent="0.35">
      <c r="A988" s="105">
        <f t="shared" si="79"/>
        <v>36</v>
      </c>
      <c r="B988" s="27">
        <f t="shared" si="78"/>
        <v>45179</v>
      </c>
      <c r="C988" s="19" t="s">
        <v>9</v>
      </c>
      <c r="D988" s="12" t="s">
        <v>69</v>
      </c>
      <c r="E988" s="13">
        <f>IF(VLOOKUP(D988,Budget!A:B,2,FALSE)&lt;&gt;0,IF(G988=0,24,24-G988),0)</f>
        <v>24</v>
      </c>
      <c r="F988" s="20"/>
      <c r="G988" s="20"/>
      <c r="H988" s="93">
        <f>IF(E988=0,0,IF(M988="ja",(VLOOKUP(D988,Budget!A:F,6,FALSE)*(E988-(VLOOKUP(D988,Budget!A:F,3,FALSE)))),VLOOKUP($D988,Budget!$A$1:$F$19,6,FALSE)*E988))</f>
        <v>42919.35380616656</v>
      </c>
      <c r="I988" s="93">
        <f>IF(F988=0,0,IF(M988="ja",((VLOOKUP(F988,Budget!A:F,6,FALSE)*(E988-(VLOOKUP(F988,Budget!A:F,3,FALSE))))),VLOOKUP($D988,Budget!A:F,5,FALSE)*E988))</f>
        <v>0</v>
      </c>
      <c r="J988" s="87">
        <f t="shared" si="80"/>
        <v>42919.35380616656</v>
      </c>
      <c r="K988" s="21"/>
      <c r="L988" s="74"/>
      <c r="M988" s="77" t="str">
        <f t="shared" si="81"/>
        <v>nein</v>
      </c>
      <c r="N988">
        <f t="shared" si="82"/>
        <v>2023</v>
      </c>
    </row>
    <row r="989" spans="1:14" hidden="1" x14ac:dyDescent="0.3">
      <c r="A989" s="104">
        <f t="shared" si="79"/>
        <v>37</v>
      </c>
      <c r="B989" s="22">
        <f t="shared" si="78"/>
        <v>45180</v>
      </c>
      <c r="C989" s="10" t="s">
        <v>3</v>
      </c>
      <c r="D989" s="12" t="s">
        <v>11</v>
      </c>
      <c r="E989" s="13">
        <f>IF(VLOOKUP(D989,Budget!A:B,2,FALSE)&lt;&gt;0,IF(G989=0,24,24-G989),0)</f>
        <v>24</v>
      </c>
      <c r="F989" s="13"/>
      <c r="G989" s="13"/>
      <c r="H989" s="85">
        <f>IF(E989=0,0,IF(M989="ja",(VLOOKUP(D989,Budget!A:F,6,FALSE)*(E989-(VLOOKUP(D989,Budget!A:F,3,FALSE)))),VLOOKUP($D989,Budget!$A$1:$F$19,6,FALSE)*E989))</f>
        <v>30030</v>
      </c>
      <c r="I989" s="85">
        <f>IF(F989=0,0,IF(M989="ja",((VLOOKUP(F989,Budget!A:F,6,FALSE)*(E989-(VLOOKUP(F989,Budget!A:F,3,FALSE))))),VLOOKUP($D989,Budget!A:F,5,FALSE)*E989))</f>
        <v>0</v>
      </c>
      <c r="J989" s="85">
        <f t="shared" si="80"/>
        <v>30030</v>
      </c>
      <c r="K989" s="15"/>
      <c r="L989" s="72"/>
      <c r="M989" s="80" t="str">
        <f t="shared" si="81"/>
        <v>ja</v>
      </c>
      <c r="N989">
        <f t="shared" si="82"/>
        <v>2023</v>
      </c>
    </row>
    <row r="990" spans="1:14" hidden="1" x14ac:dyDescent="0.3">
      <c r="A990" s="105">
        <f t="shared" si="79"/>
        <v>37</v>
      </c>
      <c r="B990" s="22">
        <f t="shared" si="78"/>
        <v>45181</v>
      </c>
      <c r="C990" s="11" t="s">
        <v>4</v>
      </c>
      <c r="D990" s="12" t="s">
        <v>11</v>
      </c>
      <c r="E990" s="13">
        <f>IF(VLOOKUP(D990,Budget!A:B,2,FALSE)&lt;&gt;0,IF(G990=0,24,24-G990),0)</f>
        <v>24</v>
      </c>
      <c r="G990" s="13"/>
      <c r="H990" s="85">
        <f>IF(E990=0,0,IF(M990="ja",(VLOOKUP(D990,Budget!A:F,6,FALSE)*(E990-(VLOOKUP(D990,Budget!A:F,3,FALSE)))),VLOOKUP($D990,Budget!$A$1:$F$19,6,FALSE)*E990))</f>
        <v>36960</v>
      </c>
      <c r="I990" s="85">
        <f>IF(F990=0,0,IF(M990="ja",((VLOOKUP(F990,Budget!A:F,6,FALSE)*(E990-(VLOOKUP(F990,Budget!A:F,3,FALSE))))),VLOOKUP($D990,Budget!A:F,5,FALSE)*E990))</f>
        <v>0</v>
      </c>
      <c r="J990" s="85">
        <f t="shared" si="80"/>
        <v>36960</v>
      </c>
      <c r="K990" s="14"/>
      <c r="L990" s="73"/>
      <c r="M990" s="80" t="str">
        <f t="shared" si="81"/>
        <v>nein</v>
      </c>
      <c r="N990">
        <f t="shared" si="82"/>
        <v>2023</v>
      </c>
    </row>
    <row r="991" spans="1:14" hidden="1" x14ac:dyDescent="0.3">
      <c r="A991" s="105">
        <f t="shared" si="79"/>
        <v>37</v>
      </c>
      <c r="B991" s="22">
        <f t="shared" si="78"/>
        <v>45182</v>
      </c>
      <c r="C991" s="11" t="s">
        <v>5</v>
      </c>
      <c r="D991" s="12" t="s">
        <v>11</v>
      </c>
      <c r="E991" s="13">
        <f>IF(VLOOKUP(D991,Budget!A:B,2,FALSE)&lt;&gt;0,IF(G991=0,24,24-G991),0)</f>
        <v>24</v>
      </c>
      <c r="G991" s="13"/>
      <c r="H991" s="85">
        <f>IF(E991=0,0,IF(M991="ja",(VLOOKUP(D991,Budget!A:F,6,FALSE)*(E991-(VLOOKUP(D991,Budget!A:F,3,FALSE)))),VLOOKUP($D991,Budget!$A$1:$F$19,6,FALSE)*E991))</f>
        <v>36960</v>
      </c>
      <c r="I991" s="85">
        <f>IF(F991=0,0,IF(M991="ja",((VLOOKUP(F991,Budget!A:F,6,FALSE)*(E991-(VLOOKUP(F991,Budget!A:F,3,FALSE))))),VLOOKUP($D991,Budget!A:F,5,FALSE)*E991))</f>
        <v>0</v>
      </c>
      <c r="J991" s="85">
        <f t="shared" si="80"/>
        <v>36960</v>
      </c>
      <c r="K991" s="14"/>
      <c r="L991" s="73"/>
      <c r="M991" s="80" t="str">
        <f t="shared" si="81"/>
        <v>nein</v>
      </c>
      <c r="N991">
        <f t="shared" si="82"/>
        <v>2023</v>
      </c>
    </row>
    <row r="992" spans="1:14" hidden="1" x14ac:dyDescent="0.3">
      <c r="A992" s="103">
        <f t="shared" si="79"/>
        <v>37</v>
      </c>
      <c r="B992" s="22">
        <f t="shared" si="78"/>
        <v>45183</v>
      </c>
      <c r="C992" s="11" t="s">
        <v>6</v>
      </c>
      <c r="D992" s="12" t="s">
        <v>11</v>
      </c>
      <c r="E992" s="13">
        <f>IF(VLOOKUP(D992,Budget!A:B,2,FALSE)&lt;&gt;0,IF(G992=0,24,24-G992),0)</f>
        <v>24</v>
      </c>
      <c r="G992" s="13"/>
      <c r="H992" s="85">
        <f>IF(E992=0,0,IF(M992="ja",(VLOOKUP(D992,Budget!A:F,6,FALSE)*(E992-(VLOOKUP(D992,Budget!A:F,3,FALSE)))),VLOOKUP($D992,Budget!$A$1:$F$19,6,FALSE)*E992))</f>
        <v>36960</v>
      </c>
      <c r="I992" s="85">
        <f>IF(F992=0,0,IF(M992="ja",((VLOOKUP(F992,Budget!A:F,6,FALSE)*(E992-(VLOOKUP(F992,Budget!A:F,3,FALSE))))),VLOOKUP($D992,Budget!A:F,5,FALSE)*E992))</f>
        <v>0</v>
      </c>
      <c r="J992" s="85">
        <f t="shared" si="80"/>
        <v>36960</v>
      </c>
      <c r="K992" s="14"/>
      <c r="L992" s="73"/>
      <c r="M992" s="80" t="str">
        <f t="shared" si="81"/>
        <v>nein</v>
      </c>
      <c r="N992">
        <f t="shared" si="82"/>
        <v>2023</v>
      </c>
    </row>
    <row r="993" spans="1:14" hidden="1" x14ac:dyDescent="0.3">
      <c r="A993" s="105">
        <f t="shared" si="79"/>
        <v>37</v>
      </c>
      <c r="B993" s="22">
        <f t="shared" si="78"/>
        <v>45184</v>
      </c>
      <c r="C993" s="11" t="s">
        <v>7</v>
      </c>
      <c r="D993" s="12" t="s">
        <v>11</v>
      </c>
      <c r="E993" s="13">
        <f>IF(VLOOKUP(D993,Budget!A:B,2,FALSE)&lt;&gt;0,IF(G993=0,24,24-G993),0)</f>
        <v>24</v>
      </c>
      <c r="G993" s="13"/>
      <c r="H993" s="85">
        <f>IF(E993=0,0,IF(M993="ja",(VLOOKUP(D993,Budget!A:F,6,FALSE)*(E993-(VLOOKUP(D993,Budget!A:F,3,FALSE)))),VLOOKUP($D993,Budget!$A$1:$F$19,6,FALSE)*E993))</f>
        <v>36960</v>
      </c>
      <c r="I993" s="85">
        <f>IF(F993=0,0,IF(M993="ja",((VLOOKUP(F993,Budget!A:F,6,FALSE)*(E993-(VLOOKUP(F993,Budget!A:F,3,FALSE))))),VLOOKUP($D993,Budget!A:F,5,FALSE)*E993))</f>
        <v>0</v>
      </c>
      <c r="J993" s="85">
        <f t="shared" si="80"/>
        <v>36960</v>
      </c>
      <c r="K993" s="14"/>
      <c r="L993" s="25"/>
      <c r="M993" s="80" t="str">
        <f t="shared" si="81"/>
        <v>nein</v>
      </c>
      <c r="N993">
        <f t="shared" si="82"/>
        <v>2023</v>
      </c>
    </row>
    <row r="994" spans="1:14" hidden="1" x14ac:dyDescent="0.3">
      <c r="A994" s="105">
        <f t="shared" si="79"/>
        <v>37</v>
      </c>
      <c r="B994" s="22">
        <f t="shared" ref="B994:B1057" si="83">B993+1</f>
        <v>45185</v>
      </c>
      <c r="C994" s="16" t="s">
        <v>8</v>
      </c>
      <c r="D994" s="17" t="s">
        <v>11</v>
      </c>
      <c r="E994" s="13">
        <f>IF(VLOOKUP(D994,Budget!A:B,2,FALSE)&lt;&gt;0,IF(G994=0,24,24-G994),0)</f>
        <v>24</v>
      </c>
      <c r="F994" s="17"/>
      <c r="G994" s="17"/>
      <c r="H994" s="86">
        <f>IF(E994=0,0,IF(M994="ja",(VLOOKUP(D994,Budget!A:F,6,FALSE)*(E994-(VLOOKUP(D994,Budget!A:F,3,FALSE)))),VLOOKUP($D994,Budget!$A$1:$F$19,6,FALSE)*E994))</f>
        <v>36960</v>
      </c>
      <c r="I994" s="86">
        <f>IF(F994=0,0,IF(M994="ja",((VLOOKUP(F994,Budget!A:F,6,FALSE)*(E994-(VLOOKUP(F994,Budget!A:F,3,FALSE))))),VLOOKUP($D994,Budget!A:F,5,FALSE)*E994))</f>
        <v>0</v>
      </c>
      <c r="J994" s="86">
        <f t="shared" si="80"/>
        <v>36960</v>
      </c>
      <c r="K994" s="18"/>
      <c r="L994" s="75"/>
      <c r="M994" s="76" t="str">
        <f t="shared" si="81"/>
        <v>nein</v>
      </c>
      <c r="N994">
        <f t="shared" si="82"/>
        <v>2023</v>
      </c>
    </row>
    <row r="995" spans="1:14" ht="15" hidden="1" thickBot="1" x14ac:dyDescent="0.35">
      <c r="A995" s="105">
        <f t="shared" si="79"/>
        <v>37</v>
      </c>
      <c r="B995" s="27">
        <f t="shared" si="83"/>
        <v>45186</v>
      </c>
      <c r="C995" s="19" t="s">
        <v>9</v>
      </c>
      <c r="D995" s="20" t="s">
        <v>11</v>
      </c>
      <c r="E995" s="13">
        <f>IF(VLOOKUP(D995,Budget!A:B,2,FALSE)&lt;&gt;0,IF(G995=0,24,24-G995),0)</f>
        <v>24</v>
      </c>
      <c r="F995" s="20"/>
      <c r="G995" s="20"/>
      <c r="H995" s="93">
        <f>IF(E995=0,0,IF(M995="ja",(VLOOKUP(D995,Budget!A:F,6,FALSE)*(E995-(VLOOKUP(D995,Budget!A:F,3,FALSE)))),VLOOKUP($D995,Budget!$A$1:$F$19,6,FALSE)*E995))</f>
        <v>36960</v>
      </c>
      <c r="I995" s="93">
        <f>IF(F995=0,0,IF(M995="ja",((VLOOKUP(F995,Budget!A:F,6,FALSE)*(E995-(VLOOKUP(F995,Budget!A:F,3,FALSE))))),VLOOKUP($D995,Budget!A:F,5,FALSE)*E995))</f>
        <v>0</v>
      </c>
      <c r="J995" s="87">
        <f t="shared" si="80"/>
        <v>36960</v>
      </c>
      <c r="K995" s="21"/>
      <c r="L995" s="74"/>
      <c r="M995" s="77" t="str">
        <f t="shared" si="81"/>
        <v>nein</v>
      </c>
      <c r="N995">
        <f t="shared" si="82"/>
        <v>2023</v>
      </c>
    </row>
    <row r="996" spans="1:14" hidden="1" x14ac:dyDescent="0.3">
      <c r="A996" s="104">
        <f t="shared" si="79"/>
        <v>38</v>
      </c>
      <c r="B996" s="22">
        <f t="shared" si="83"/>
        <v>45187</v>
      </c>
      <c r="C996" s="10" t="s">
        <v>3</v>
      </c>
      <c r="D996" s="12" t="s">
        <v>12</v>
      </c>
      <c r="E996" s="13">
        <f>IF(VLOOKUP(D996,Budget!A:B,2,FALSE)&lt;&gt;0,IF(G996=0,24,24-G996),0)</f>
        <v>24</v>
      </c>
      <c r="F996" s="13"/>
      <c r="G996" s="13"/>
      <c r="H996" s="85">
        <f>IF(E996=0,0,IF(M996="ja",(VLOOKUP(D996,Budget!A:F,6,FALSE)*(E996-(VLOOKUP(D996,Budget!A:F,3,FALSE)))),VLOOKUP($D996,Budget!$A$1:$F$19,6,FALSE)*E996))</f>
        <v>27720</v>
      </c>
      <c r="I996" s="85">
        <f>IF(F996=0,0,IF(M996="ja",((VLOOKUP(F996,Budget!A:F,6,FALSE)*(E996-(VLOOKUP(F996,Budget!A:F,3,FALSE))))),VLOOKUP($D996,Budget!A:F,5,FALSE)*E996))</f>
        <v>0</v>
      </c>
      <c r="J996" s="85">
        <f t="shared" si="80"/>
        <v>27720</v>
      </c>
      <c r="K996" s="15"/>
      <c r="L996" s="72"/>
      <c r="M996" s="80" t="str">
        <f t="shared" si="81"/>
        <v>ja</v>
      </c>
      <c r="N996">
        <f t="shared" si="82"/>
        <v>2023</v>
      </c>
    </row>
    <row r="997" spans="1:14" hidden="1" x14ac:dyDescent="0.3">
      <c r="A997" s="105">
        <f t="shared" si="79"/>
        <v>38</v>
      </c>
      <c r="B997" s="22">
        <f t="shared" si="83"/>
        <v>45188</v>
      </c>
      <c r="C997" s="11" t="s">
        <v>4</v>
      </c>
      <c r="D997" s="12" t="s">
        <v>12</v>
      </c>
      <c r="E997" s="13">
        <f>IF(VLOOKUP(D997,Budget!A:B,2,FALSE)&lt;&gt;0,IF(G997=0,24,24-G997),0)</f>
        <v>24</v>
      </c>
      <c r="G997" s="13"/>
      <c r="H997" s="85">
        <f>IF(E997=0,0,IF(M997="ja",(VLOOKUP(D997,Budget!A:F,6,FALSE)*(E997-(VLOOKUP(D997,Budget!A:F,3,FALSE)))),VLOOKUP($D997,Budget!$A$1:$F$19,6,FALSE)*E997))</f>
        <v>36960</v>
      </c>
      <c r="I997" s="85">
        <f>IF(F997=0,0,IF(M997="ja",((VLOOKUP(F997,Budget!A:F,6,FALSE)*(E997-(VLOOKUP(F997,Budget!A:F,3,FALSE))))),VLOOKUP($D997,Budget!A:F,5,FALSE)*E997))</f>
        <v>0</v>
      </c>
      <c r="J997" s="85">
        <f t="shared" si="80"/>
        <v>36960</v>
      </c>
      <c r="K997" s="14"/>
      <c r="L997" s="73"/>
      <c r="M997" s="80" t="str">
        <f t="shared" si="81"/>
        <v>nein</v>
      </c>
      <c r="N997">
        <f t="shared" si="82"/>
        <v>2023</v>
      </c>
    </row>
    <row r="998" spans="1:14" hidden="1" x14ac:dyDescent="0.3">
      <c r="A998" s="105">
        <f t="shared" si="79"/>
        <v>38</v>
      </c>
      <c r="B998" s="22">
        <f t="shared" si="83"/>
        <v>45189</v>
      </c>
      <c r="C998" s="11" t="s">
        <v>5</v>
      </c>
      <c r="D998" s="12" t="s">
        <v>69</v>
      </c>
      <c r="E998" s="13">
        <f>IF(VLOOKUP(D998,Budget!A:B,2,FALSE)&lt;&gt;0,IF(G998=0,24,24-G998),0)</f>
        <v>24</v>
      </c>
      <c r="G998" s="13"/>
      <c r="H998" s="85">
        <f>IF(E998=0,0,IF(M998="ja",(VLOOKUP(D998,Budget!A:F,6,FALSE)*(E998-(VLOOKUP(D998,Budget!A:F,3,FALSE)))),VLOOKUP($D998,Budget!$A$1:$F$19,6,FALSE)*E998))</f>
        <v>38269.757143831848</v>
      </c>
      <c r="I998" s="85">
        <f>IF(F998=0,0,IF(M998="ja",((VLOOKUP(F998,Budget!A:F,6,FALSE)*(E998-(VLOOKUP(F998,Budget!A:F,3,FALSE))))),VLOOKUP($D998,Budget!A:F,5,FALSE)*E998))</f>
        <v>0</v>
      </c>
      <c r="J998" s="85">
        <f t="shared" si="80"/>
        <v>38269.757143831848</v>
      </c>
      <c r="K998" s="14"/>
      <c r="L998" s="73"/>
      <c r="M998" s="80" t="str">
        <f t="shared" si="81"/>
        <v>ja</v>
      </c>
      <c r="N998">
        <f t="shared" si="82"/>
        <v>2023</v>
      </c>
    </row>
    <row r="999" spans="1:14" hidden="1" x14ac:dyDescent="0.3">
      <c r="A999" s="103">
        <f t="shared" si="79"/>
        <v>38</v>
      </c>
      <c r="B999" s="22">
        <f t="shared" si="83"/>
        <v>45190</v>
      </c>
      <c r="C999" s="11" t="s">
        <v>6</v>
      </c>
      <c r="D999" s="12" t="s">
        <v>69</v>
      </c>
      <c r="E999" s="13">
        <f>IF(VLOOKUP(D999,Budget!A:B,2,FALSE)&lt;&gt;0,IF(G999=0,24,24-G999),0)</f>
        <v>24</v>
      </c>
      <c r="G999" s="13"/>
      <c r="H999" s="85">
        <f>IF(E999=0,0,IF(M999="ja",(VLOOKUP(D999,Budget!A:F,6,FALSE)*(E999-(VLOOKUP(D999,Budget!A:F,3,FALSE)))),VLOOKUP($D999,Budget!$A$1:$F$19,6,FALSE)*E999))</f>
        <v>42919.35380616656</v>
      </c>
      <c r="I999" s="85">
        <f>IF(F999=0,0,IF(M999="ja",((VLOOKUP(F999,Budget!A:F,6,FALSE)*(E999-(VLOOKUP(F999,Budget!A:F,3,FALSE))))),VLOOKUP($D999,Budget!A:F,5,FALSE)*E999))</f>
        <v>0</v>
      </c>
      <c r="J999" s="85">
        <f t="shared" si="80"/>
        <v>42919.35380616656</v>
      </c>
      <c r="K999" s="14"/>
      <c r="L999" s="73"/>
      <c r="M999" s="80" t="str">
        <f t="shared" si="81"/>
        <v>nein</v>
      </c>
      <c r="N999">
        <f t="shared" si="82"/>
        <v>2023</v>
      </c>
    </row>
    <row r="1000" spans="1:14" hidden="1" x14ac:dyDescent="0.3">
      <c r="A1000" s="105">
        <f t="shared" si="79"/>
        <v>38</v>
      </c>
      <c r="B1000" s="22">
        <f t="shared" si="83"/>
        <v>45191</v>
      </c>
      <c r="C1000" s="11" t="s">
        <v>7</v>
      </c>
      <c r="D1000" s="12" t="s">
        <v>69</v>
      </c>
      <c r="E1000" s="13">
        <f>IF(VLOOKUP(D1000,Budget!A:B,2,FALSE)&lt;&gt;0,IF(G1000=0,24,24-G1000),0)</f>
        <v>24</v>
      </c>
      <c r="G1000" s="13"/>
      <c r="H1000" s="85">
        <f>IF(E1000=0,0,IF(M1000="ja",(VLOOKUP(D1000,Budget!A:F,6,FALSE)*(E1000-(VLOOKUP(D1000,Budget!A:F,3,FALSE)))),VLOOKUP($D1000,Budget!$A$1:$F$19,6,FALSE)*E1000))</f>
        <v>42919.35380616656</v>
      </c>
      <c r="I1000" s="85">
        <f>IF(F1000=0,0,IF(M1000="ja",((VLOOKUP(F1000,Budget!A:F,6,FALSE)*(E1000-(VLOOKUP(F1000,Budget!A:F,3,FALSE))))),VLOOKUP($D1000,Budget!A:F,5,FALSE)*E1000))</f>
        <v>0</v>
      </c>
      <c r="J1000" s="85">
        <f t="shared" si="80"/>
        <v>42919.35380616656</v>
      </c>
      <c r="K1000" s="14"/>
      <c r="L1000" s="25"/>
      <c r="M1000" s="80" t="str">
        <f t="shared" si="81"/>
        <v>nein</v>
      </c>
      <c r="N1000">
        <f t="shared" si="82"/>
        <v>2023</v>
      </c>
    </row>
    <row r="1001" spans="1:14" hidden="1" x14ac:dyDescent="0.3">
      <c r="A1001" s="105">
        <f t="shared" si="79"/>
        <v>38</v>
      </c>
      <c r="B1001" s="22">
        <f t="shared" si="83"/>
        <v>45192</v>
      </c>
      <c r="C1001" s="16" t="s">
        <v>8</v>
      </c>
      <c r="D1001" s="12" t="s">
        <v>69</v>
      </c>
      <c r="E1001" s="13">
        <f>IF(VLOOKUP(D1001,Budget!A:B,2,FALSE)&lt;&gt;0,IF(G1001=0,24,24-G1001),0)</f>
        <v>24</v>
      </c>
      <c r="F1001" s="17"/>
      <c r="G1001" s="17"/>
      <c r="H1001" s="86">
        <f>IF(E1001=0,0,IF(M1001="ja",(VLOOKUP(D1001,Budget!A:F,6,FALSE)*(E1001-(VLOOKUP(D1001,Budget!A:F,3,FALSE)))),VLOOKUP($D1001,Budget!$A$1:$F$19,6,FALSE)*E1001))</f>
        <v>42919.35380616656</v>
      </c>
      <c r="I1001" s="86">
        <f>IF(F1001=0,0,IF(M1001="ja",((VLOOKUP(F1001,Budget!A:F,6,FALSE)*(E1001-(VLOOKUP(F1001,Budget!A:F,3,FALSE))))),VLOOKUP($D1001,Budget!A:F,5,FALSE)*E1001))</f>
        <v>0</v>
      </c>
      <c r="J1001" s="86">
        <f t="shared" si="80"/>
        <v>42919.35380616656</v>
      </c>
      <c r="K1001" s="18"/>
      <c r="L1001" s="75"/>
      <c r="M1001" s="76" t="str">
        <f t="shared" si="81"/>
        <v>nein</v>
      </c>
      <c r="N1001">
        <f t="shared" si="82"/>
        <v>2023</v>
      </c>
    </row>
    <row r="1002" spans="1:14" ht="15" hidden="1" thickBot="1" x14ac:dyDescent="0.35">
      <c r="A1002" s="105">
        <f t="shared" si="79"/>
        <v>38</v>
      </c>
      <c r="B1002" s="27">
        <f t="shared" si="83"/>
        <v>45193</v>
      </c>
      <c r="C1002" s="19" t="s">
        <v>9</v>
      </c>
      <c r="D1002" s="12" t="s">
        <v>69</v>
      </c>
      <c r="E1002" s="13">
        <f>IF(VLOOKUP(D1002,Budget!A:B,2,FALSE)&lt;&gt;0,IF(G1002=0,24,24-G1002),0)</f>
        <v>24</v>
      </c>
      <c r="F1002" s="20"/>
      <c r="G1002" s="20"/>
      <c r="H1002" s="93">
        <f>IF(E1002=0,0,IF(M1002="ja",(VLOOKUP(D1002,Budget!A:F,6,FALSE)*(E1002-(VLOOKUP(D1002,Budget!A:F,3,FALSE)))),VLOOKUP($D1002,Budget!$A$1:$F$19,6,FALSE)*E1002))</f>
        <v>42919.35380616656</v>
      </c>
      <c r="I1002" s="93">
        <f>IF(F1002=0,0,IF(M1002="ja",((VLOOKUP(F1002,Budget!A:F,6,FALSE)*(E1002-(VLOOKUP(F1002,Budget!A:F,3,FALSE))))),VLOOKUP($D1002,Budget!A:F,5,FALSE)*E1002))</f>
        <v>0</v>
      </c>
      <c r="J1002" s="87">
        <f t="shared" si="80"/>
        <v>42919.35380616656</v>
      </c>
      <c r="K1002" s="21"/>
      <c r="L1002" s="74"/>
      <c r="M1002" s="77" t="str">
        <f t="shared" si="81"/>
        <v>nein</v>
      </c>
      <c r="N1002">
        <f t="shared" si="82"/>
        <v>2023</v>
      </c>
    </row>
    <row r="1003" spans="1:14" hidden="1" x14ac:dyDescent="0.3">
      <c r="A1003" s="104">
        <f t="shared" si="79"/>
        <v>39</v>
      </c>
      <c r="B1003" s="22">
        <f t="shared" si="83"/>
        <v>45194</v>
      </c>
      <c r="C1003" s="10" t="s">
        <v>3</v>
      </c>
      <c r="D1003" s="12" t="s">
        <v>29</v>
      </c>
      <c r="E1003" s="13">
        <f>IF(VLOOKUP(D1003,Budget!A:B,2,FALSE)&lt;&gt;0,IF(G1003=0,24,24-G1003),0)</f>
        <v>0</v>
      </c>
      <c r="F1003" s="13"/>
      <c r="G1003" s="13"/>
      <c r="H1003" s="85">
        <f>IF(E1003=0,0,IF(M1003="ja",(VLOOKUP(D1003,Budget!A:F,6,FALSE)*(E1003-(VLOOKUP(D1003,Budget!A:F,3,FALSE)))),VLOOKUP($D1003,Budget!$A$1:$F$19,6,FALSE)*E1003))</f>
        <v>0</v>
      </c>
      <c r="I1003" s="85">
        <f>IF(F1003=0,0,IF(M1003="ja",((VLOOKUP(F1003,Budget!A:F,6,FALSE)*(E1003-(VLOOKUP(F1003,Budget!A:F,3,FALSE))))),VLOOKUP($D1003,Budget!A:F,5,FALSE)*E1003))</f>
        <v>0</v>
      </c>
      <c r="J1003" s="85">
        <f t="shared" si="80"/>
        <v>0</v>
      </c>
      <c r="K1003" s="15"/>
      <c r="L1003" s="72"/>
      <c r="M1003" s="80" t="str">
        <f t="shared" si="81"/>
        <v>nein</v>
      </c>
      <c r="N1003">
        <f t="shared" si="82"/>
        <v>2023</v>
      </c>
    </row>
    <row r="1004" spans="1:14" hidden="1" x14ac:dyDescent="0.3">
      <c r="A1004" s="105">
        <f t="shared" si="79"/>
        <v>39</v>
      </c>
      <c r="B1004" s="22">
        <f t="shared" si="83"/>
        <v>45195</v>
      </c>
      <c r="C1004" s="11" t="s">
        <v>4</v>
      </c>
      <c r="D1004" s="12" t="s">
        <v>29</v>
      </c>
      <c r="E1004" s="13">
        <f>IF(VLOOKUP(D1004,Budget!A:B,2,FALSE)&lt;&gt;0,IF(G1004=0,24,24-G1004),0)</f>
        <v>0</v>
      </c>
      <c r="G1004" s="13"/>
      <c r="H1004" s="85">
        <f>IF(E1004=0,0,IF(M1004="ja",(VLOOKUP(D1004,Budget!A:F,6,FALSE)*(E1004-(VLOOKUP(D1004,Budget!A:F,3,FALSE)))),VLOOKUP($D1004,Budget!$A$1:$F$19,6,FALSE)*E1004))</f>
        <v>0</v>
      </c>
      <c r="I1004" s="85">
        <f>IF(F1004=0,0,IF(M1004="ja",((VLOOKUP(F1004,Budget!A:F,6,FALSE)*(E1004-(VLOOKUP(F1004,Budget!A:F,3,FALSE))))),VLOOKUP($D1004,Budget!A:F,5,FALSE)*E1004))</f>
        <v>0</v>
      </c>
      <c r="J1004" s="85">
        <f t="shared" si="80"/>
        <v>0</v>
      </c>
      <c r="K1004" s="14"/>
      <c r="L1004" s="73"/>
      <c r="M1004" s="80" t="str">
        <f t="shared" si="81"/>
        <v>nein</v>
      </c>
      <c r="N1004">
        <f t="shared" si="82"/>
        <v>2023</v>
      </c>
    </row>
    <row r="1005" spans="1:14" hidden="1" x14ac:dyDescent="0.3">
      <c r="A1005" s="105">
        <f t="shared" si="79"/>
        <v>39</v>
      </c>
      <c r="B1005" s="22">
        <f t="shared" si="83"/>
        <v>45196</v>
      </c>
      <c r="C1005" s="11" t="s">
        <v>5</v>
      </c>
      <c r="D1005" s="12" t="s">
        <v>30</v>
      </c>
      <c r="E1005" s="13">
        <f>IF(VLOOKUP(D1005,Budget!A:B,2,FALSE)&lt;&gt;0,IF(G1005=0,24,24-G1005),0)</f>
        <v>0</v>
      </c>
      <c r="G1005" s="13"/>
      <c r="H1005" s="85">
        <f>IF(E1005=0,0,IF(M1005="ja",(VLOOKUP(D1005,Budget!A:F,6,FALSE)*(E1005-(VLOOKUP(D1005,Budget!A:F,3,FALSE)))),VLOOKUP($D1005,Budget!$A$1:$F$19,6,FALSE)*E1005))</f>
        <v>0</v>
      </c>
      <c r="I1005" s="85">
        <f>IF(F1005=0,0,IF(M1005="ja",((VLOOKUP(F1005,Budget!A:F,6,FALSE)*(E1005-(VLOOKUP(F1005,Budget!A:F,3,FALSE))))),VLOOKUP($D1005,Budget!A:F,5,FALSE)*E1005))</f>
        <v>0</v>
      </c>
      <c r="J1005" s="85">
        <f t="shared" si="80"/>
        <v>0</v>
      </c>
      <c r="K1005" s="14"/>
      <c r="L1005" s="73"/>
      <c r="M1005" s="80" t="str">
        <f t="shared" si="81"/>
        <v>nein</v>
      </c>
      <c r="N1005">
        <f t="shared" si="82"/>
        <v>2023</v>
      </c>
    </row>
    <row r="1006" spans="1:14" hidden="1" x14ac:dyDescent="0.3">
      <c r="A1006" s="103">
        <f t="shared" si="79"/>
        <v>39</v>
      </c>
      <c r="B1006" s="22">
        <f t="shared" si="83"/>
        <v>45197</v>
      </c>
      <c r="C1006" s="11" t="s">
        <v>6</v>
      </c>
      <c r="D1006" s="12" t="s">
        <v>30</v>
      </c>
      <c r="E1006" s="13">
        <f>IF(VLOOKUP(D1006,Budget!A:B,2,FALSE)&lt;&gt;0,IF(G1006=0,24,24-G1006),0)</f>
        <v>0</v>
      </c>
      <c r="G1006" s="13"/>
      <c r="H1006" s="85">
        <f>IF(E1006=0,0,IF(M1006="ja",(VLOOKUP(D1006,Budget!A:F,6,FALSE)*(E1006-(VLOOKUP(D1006,Budget!A:F,3,FALSE)))),VLOOKUP($D1006,Budget!$A$1:$F$19,6,FALSE)*E1006))</f>
        <v>0</v>
      </c>
      <c r="I1006" s="85">
        <f>IF(F1006=0,0,IF(M1006="ja",((VLOOKUP(F1006,Budget!A:F,6,FALSE)*(E1006-(VLOOKUP(F1006,Budget!A:F,3,FALSE))))),VLOOKUP($D1006,Budget!A:F,5,FALSE)*E1006))</f>
        <v>0</v>
      </c>
      <c r="J1006" s="85">
        <f t="shared" si="80"/>
        <v>0</v>
      </c>
      <c r="K1006" s="14"/>
      <c r="L1006" s="73"/>
      <c r="M1006" s="80" t="str">
        <f t="shared" si="81"/>
        <v>nein</v>
      </c>
      <c r="N1006">
        <f t="shared" si="82"/>
        <v>2023</v>
      </c>
    </row>
    <row r="1007" spans="1:14" hidden="1" x14ac:dyDescent="0.3">
      <c r="A1007" s="105">
        <f t="shared" si="79"/>
        <v>39</v>
      </c>
      <c r="B1007" s="22">
        <f t="shared" si="83"/>
        <v>45198</v>
      </c>
      <c r="C1007" s="11" t="s">
        <v>7</v>
      </c>
      <c r="D1007" s="12" t="s">
        <v>69</v>
      </c>
      <c r="E1007" s="13">
        <f>IF(VLOOKUP(D1007,Budget!A:B,2,FALSE)&lt;&gt;0,IF(G1007=0,24,24-G1007),0)</f>
        <v>24</v>
      </c>
      <c r="G1007" s="13"/>
      <c r="H1007" s="85">
        <f>IF(E1007=0,0,IF(M1007="ja",(VLOOKUP(D1007,Budget!A:F,6,FALSE)*(E1007-(VLOOKUP(D1007,Budget!A:F,3,FALSE)))),VLOOKUP($D1007,Budget!$A$1:$F$19,6,FALSE)*E1007))</f>
        <v>38269.757143831848</v>
      </c>
      <c r="I1007" s="85">
        <f>IF(F1007=0,0,IF(M1007="ja",((VLOOKUP(F1007,Budget!A:F,6,FALSE)*(E1007-(VLOOKUP(F1007,Budget!A:F,3,FALSE))))),VLOOKUP($D1007,Budget!A:F,5,FALSE)*E1007))</f>
        <v>0</v>
      </c>
      <c r="J1007" s="85">
        <f t="shared" si="80"/>
        <v>38269.757143831848</v>
      </c>
      <c r="K1007" s="14"/>
      <c r="L1007" s="25"/>
      <c r="M1007" s="80" t="str">
        <f t="shared" si="81"/>
        <v>ja</v>
      </c>
      <c r="N1007">
        <f t="shared" si="82"/>
        <v>2023</v>
      </c>
    </row>
    <row r="1008" spans="1:14" hidden="1" x14ac:dyDescent="0.3">
      <c r="A1008" s="105">
        <f t="shared" si="79"/>
        <v>39</v>
      </c>
      <c r="B1008" s="22">
        <f t="shared" si="83"/>
        <v>45199</v>
      </c>
      <c r="C1008" s="16" t="s">
        <v>8</v>
      </c>
      <c r="D1008" s="12" t="s">
        <v>69</v>
      </c>
      <c r="E1008" s="13">
        <f>IF(VLOOKUP(D1008,Budget!A:B,2,FALSE)&lt;&gt;0,IF(G1008=0,24,24-G1008),0)</f>
        <v>24</v>
      </c>
      <c r="F1008" s="17"/>
      <c r="G1008" s="17"/>
      <c r="H1008" s="86">
        <f>IF(E1008=0,0,IF(M1008="ja",(VLOOKUP(D1008,Budget!A:F,6,FALSE)*(E1008-(VLOOKUP(D1008,Budget!A:F,3,FALSE)))),VLOOKUP($D1008,Budget!$A$1:$F$19,6,FALSE)*E1008))</f>
        <v>42919.35380616656</v>
      </c>
      <c r="I1008" s="86">
        <f>IF(F1008=0,0,IF(M1008="ja",((VLOOKUP(F1008,Budget!A:F,6,FALSE)*(E1008-(VLOOKUP(F1008,Budget!A:F,3,FALSE))))),VLOOKUP($D1008,Budget!A:F,5,FALSE)*E1008))</f>
        <v>0</v>
      </c>
      <c r="J1008" s="86">
        <f t="shared" si="80"/>
        <v>42919.35380616656</v>
      </c>
      <c r="K1008" s="18"/>
      <c r="L1008" s="75"/>
      <c r="M1008" s="76" t="str">
        <f t="shared" si="81"/>
        <v>nein</v>
      </c>
      <c r="N1008">
        <f t="shared" si="82"/>
        <v>2023</v>
      </c>
    </row>
    <row r="1009" spans="1:14" ht="15" hidden="1" thickBot="1" x14ac:dyDescent="0.35">
      <c r="A1009" s="105">
        <f t="shared" si="79"/>
        <v>39</v>
      </c>
      <c r="B1009" s="27">
        <f t="shared" si="83"/>
        <v>45200</v>
      </c>
      <c r="C1009" s="19" t="s">
        <v>9</v>
      </c>
      <c r="D1009" s="12" t="s">
        <v>69</v>
      </c>
      <c r="E1009" s="13">
        <f>IF(VLOOKUP(D1009,Budget!A:B,2,FALSE)&lt;&gt;0,IF(G1009=0,24,24-G1009),0)</f>
        <v>24</v>
      </c>
      <c r="F1009" s="20"/>
      <c r="G1009" s="20"/>
      <c r="H1009" s="93">
        <f>IF(E1009=0,0,IF(M1009="ja",(VLOOKUP(D1009,Budget!A:F,6,FALSE)*(E1009-(VLOOKUP(D1009,Budget!A:F,3,FALSE)))),VLOOKUP($D1009,Budget!$A$1:$F$19,6,FALSE)*E1009))</f>
        <v>42919.35380616656</v>
      </c>
      <c r="I1009" s="93">
        <f>IF(F1009=0,0,IF(M1009="ja",((VLOOKUP(F1009,Budget!A:F,6,FALSE)*(E1009-(VLOOKUP(F1009,Budget!A:F,3,FALSE))))),VLOOKUP($D1009,Budget!A:F,5,FALSE)*E1009))</f>
        <v>0</v>
      </c>
      <c r="J1009" s="87">
        <f t="shared" si="80"/>
        <v>42919.35380616656</v>
      </c>
      <c r="K1009" s="21"/>
      <c r="L1009" s="74"/>
      <c r="M1009" s="77" t="str">
        <f t="shared" si="81"/>
        <v>nein</v>
      </c>
      <c r="N1009">
        <f t="shared" si="82"/>
        <v>2023</v>
      </c>
    </row>
    <row r="1010" spans="1:14" hidden="1" x14ac:dyDescent="0.3">
      <c r="A1010" s="104">
        <f t="shared" si="79"/>
        <v>40</v>
      </c>
      <c r="B1010" s="22">
        <f t="shared" si="83"/>
        <v>45201</v>
      </c>
      <c r="C1010" s="10" t="s">
        <v>3</v>
      </c>
      <c r="D1010" s="12" t="s">
        <v>11</v>
      </c>
      <c r="E1010" s="13">
        <f>IF(VLOOKUP(D1010,Budget!A:B,2,FALSE)&lt;&gt;0,IF(G1010=0,24,24-G1010),0)</f>
        <v>24</v>
      </c>
      <c r="F1010" s="13"/>
      <c r="G1010" s="13"/>
      <c r="H1010" s="85">
        <f>IF(E1010=0,0,IF(M1010="ja",(VLOOKUP(D1010,Budget!A:F,6,FALSE)*(E1010-(VLOOKUP(D1010,Budget!A:F,3,FALSE)))),VLOOKUP($D1010,Budget!$A$1:$F$19,6,FALSE)*E1010))</f>
        <v>30030</v>
      </c>
      <c r="I1010" s="85">
        <f>IF(F1010=0,0,IF(M1010="ja",((VLOOKUP(F1010,Budget!A:F,6,FALSE)*(E1010-(VLOOKUP(F1010,Budget!A:F,3,FALSE))))),VLOOKUP($D1010,Budget!A:F,5,FALSE)*E1010))</f>
        <v>0</v>
      </c>
      <c r="J1010" s="85">
        <f t="shared" si="80"/>
        <v>30030</v>
      </c>
      <c r="K1010" s="15"/>
      <c r="L1010" s="72"/>
      <c r="M1010" s="80" t="str">
        <f t="shared" si="81"/>
        <v>ja</v>
      </c>
      <c r="N1010">
        <f t="shared" si="82"/>
        <v>2023</v>
      </c>
    </row>
    <row r="1011" spans="1:14" hidden="1" x14ac:dyDescent="0.3">
      <c r="A1011" s="105">
        <f t="shared" ref="A1011:A1074" si="84">_xlfn.ISOWEEKNUM(B1011)</f>
        <v>40</v>
      </c>
      <c r="B1011" s="130">
        <f t="shared" si="83"/>
        <v>45202</v>
      </c>
      <c r="C1011" s="131" t="s">
        <v>4</v>
      </c>
      <c r="D1011" s="12" t="s">
        <v>11</v>
      </c>
      <c r="E1011" s="13">
        <f>IF(VLOOKUP(D1011,Budget!A:B,2,FALSE)&lt;&gt;0,IF(G1011=0,24,24-G1011),0)</f>
        <v>24</v>
      </c>
      <c r="G1011" s="13"/>
      <c r="H1011" s="85">
        <f>IF(E1011=0,0,IF(M1011="ja",(VLOOKUP(D1011,Budget!A:F,6,FALSE)*(E1011-(VLOOKUP(D1011,Budget!A:F,3,FALSE)))),VLOOKUP($D1011,Budget!$A$1:$F$19,6,FALSE)*E1011))</f>
        <v>36960</v>
      </c>
      <c r="I1011" s="85">
        <f>IF(F1011=0,0,IF(M1011="ja",((VLOOKUP(F1011,Budget!A:F,6,FALSE)*(E1011-(VLOOKUP(F1011,Budget!A:F,3,FALSE))))),VLOOKUP($D1011,Budget!A:F,5,FALSE)*E1011))</f>
        <v>0</v>
      </c>
      <c r="J1011" s="85">
        <f t="shared" ref="J1011:J1074" si="85">H1011+I1011</f>
        <v>36960</v>
      </c>
      <c r="K1011" s="14"/>
      <c r="L1011" s="73"/>
      <c r="M1011" s="80" t="str">
        <f t="shared" ref="M1011:M1074" si="86">IF(E1011=0,"nein",IF(OR(E1011&lt;&gt;24,F1010&lt;&gt;0,D1011&lt;&gt;D1010),"ja","nein"))</f>
        <v>nein</v>
      </c>
      <c r="N1011">
        <f t="shared" si="82"/>
        <v>2023</v>
      </c>
    </row>
    <row r="1012" spans="1:14" hidden="1" x14ac:dyDescent="0.3">
      <c r="A1012" s="105">
        <f t="shared" si="84"/>
        <v>40</v>
      </c>
      <c r="B1012" s="22">
        <f t="shared" si="83"/>
        <v>45203</v>
      </c>
      <c r="C1012" s="11" t="s">
        <v>5</v>
      </c>
      <c r="D1012" s="12" t="s">
        <v>11</v>
      </c>
      <c r="E1012" s="13">
        <f>IF(VLOOKUP(D1012,Budget!A:B,2,FALSE)&lt;&gt;0,IF(G1012=0,24,24-G1012),0)</f>
        <v>24</v>
      </c>
      <c r="G1012" s="13"/>
      <c r="H1012" s="85">
        <f>IF(E1012=0,0,IF(M1012="ja",(VLOOKUP(D1012,Budget!A:F,6,FALSE)*(E1012-(VLOOKUP(D1012,Budget!A:F,3,FALSE)))),VLOOKUP($D1012,Budget!$A$1:$F$19,6,FALSE)*E1012))</f>
        <v>36960</v>
      </c>
      <c r="I1012" s="85">
        <f>IF(F1012=0,0,IF(M1012="ja",((VLOOKUP(F1012,Budget!A:F,6,FALSE)*(E1012-(VLOOKUP(F1012,Budget!A:F,3,FALSE))))),VLOOKUP($D1012,Budget!A:F,5,FALSE)*E1012))</f>
        <v>0</v>
      </c>
      <c r="J1012" s="85">
        <f t="shared" si="85"/>
        <v>36960</v>
      </c>
      <c r="K1012" s="14"/>
      <c r="L1012" s="73"/>
      <c r="M1012" s="80" t="str">
        <f t="shared" si="86"/>
        <v>nein</v>
      </c>
      <c r="N1012">
        <f t="shared" si="82"/>
        <v>2023</v>
      </c>
    </row>
    <row r="1013" spans="1:14" hidden="1" x14ac:dyDescent="0.3">
      <c r="A1013" s="103">
        <f t="shared" si="84"/>
        <v>40</v>
      </c>
      <c r="B1013" s="22">
        <f t="shared" si="83"/>
        <v>45204</v>
      </c>
      <c r="C1013" s="11" t="s">
        <v>6</v>
      </c>
      <c r="D1013" s="12" t="s">
        <v>11</v>
      </c>
      <c r="E1013" s="13">
        <f>IF(VLOOKUP(D1013,Budget!A:B,2,FALSE)&lt;&gt;0,IF(G1013=0,24,24-G1013),0)</f>
        <v>24</v>
      </c>
      <c r="G1013" s="13"/>
      <c r="H1013" s="85">
        <f>IF(E1013=0,0,IF(M1013="ja",(VLOOKUP(D1013,Budget!A:F,6,FALSE)*(E1013-(VLOOKUP(D1013,Budget!A:F,3,FALSE)))),VLOOKUP($D1013,Budget!$A$1:$F$19,6,FALSE)*E1013))</f>
        <v>36960</v>
      </c>
      <c r="I1013" s="85">
        <f>IF(F1013=0,0,IF(M1013="ja",((VLOOKUP(F1013,Budget!A:F,6,FALSE)*(E1013-(VLOOKUP(F1013,Budget!A:F,3,FALSE))))),VLOOKUP($D1013,Budget!A:F,5,FALSE)*E1013))</f>
        <v>0</v>
      </c>
      <c r="J1013" s="85">
        <f t="shared" si="85"/>
        <v>36960</v>
      </c>
      <c r="K1013" s="14"/>
      <c r="L1013" s="73"/>
      <c r="M1013" s="80" t="str">
        <f t="shared" si="86"/>
        <v>nein</v>
      </c>
      <c r="N1013">
        <f t="shared" si="82"/>
        <v>2023</v>
      </c>
    </row>
    <row r="1014" spans="1:14" hidden="1" x14ac:dyDescent="0.3">
      <c r="A1014" s="105">
        <f t="shared" si="84"/>
        <v>40</v>
      </c>
      <c r="B1014" s="22">
        <f t="shared" si="83"/>
        <v>45205</v>
      </c>
      <c r="C1014" s="11" t="s">
        <v>7</v>
      </c>
      <c r="D1014" s="12" t="s">
        <v>11</v>
      </c>
      <c r="E1014" s="13">
        <f>IF(VLOOKUP(D1014,Budget!A:B,2,FALSE)&lt;&gt;0,IF(G1014=0,24,24-G1014),0)</f>
        <v>24</v>
      </c>
      <c r="G1014" s="13"/>
      <c r="H1014" s="85">
        <f>IF(E1014=0,0,IF(M1014="ja",(VLOOKUP(D1014,Budget!A:F,6,FALSE)*(E1014-(VLOOKUP(D1014,Budget!A:F,3,FALSE)))),VLOOKUP($D1014,Budget!$A$1:$F$19,6,FALSE)*E1014))</f>
        <v>36960</v>
      </c>
      <c r="I1014" s="85">
        <f>IF(F1014=0,0,IF(M1014="ja",((VLOOKUP(F1014,Budget!A:F,6,FALSE)*(E1014-(VLOOKUP(F1014,Budget!A:F,3,FALSE))))),VLOOKUP($D1014,Budget!A:F,5,FALSE)*E1014))</f>
        <v>0</v>
      </c>
      <c r="J1014" s="85">
        <f t="shared" si="85"/>
        <v>36960</v>
      </c>
      <c r="K1014" s="14"/>
      <c r="L1014" s="25"/>
      <c r="M1014" s="80" t="str">
        <f t="shared" si="86"/>
        <v>nein</v>
      </c>
      <c r="N1014">
        <f t="shared" si="82"/>
        <v>2023</v>
      </c>
    </row>
    <row r="1015" spans="1:14" hidden="1" x14ac:dyDescent="0.3">
      <c r="A1015" s="105">
        <f t="shared" si="84"/>
        <v>40</v>
      </c>
      <c r="B1015" s="22">
        <f t="shared" si="83"/>
        <v>45206</v>
      </c>
      <c r="C1015" s="16" t="s">
        <v>8</v>
      </c>
      <c r="D1015" s="17" t="s">
        <v>11</v>
      </c>
      <c r="E1015" s="13">
        <f>IF(VLOOKUP(D1015,Budget!A:B,2,FALSE)&lt;&gt;0,IF(G1015=0,24,24-G1015),0)</f>
        <v>24</v>
      </c>
      <c r="F1015" s="17"/>
      <c r="G1015" s="17"/>
      <c r="H1015" s="86">
        <f>IF(E1015=0,0,IF(M1015="ja",(VLOOKUP(D1015,Budget!A:F,6,FALSE)*(E1015-(VLOOKUP(D1015,Budget!A:F,3,FALSE)))),VLOOKUP($D1015,Budget!$A$1:$F$19,6,FALSE)*E1015))</f>
        <v>36960</v>
      </c>
      <c r="I1015" s="86">
        <f>IF(F1015=0,0,IF(M1015="ja",((VLOOKUP(F1015,Budget!A:F,6,FALSE)*(E1015-(VLOOKUP(F1015,Budget!A:F,3,FALSE))))),VLOOKUP($D1015,Budget!A:F,5,FALSE)*E1015))</f>
        <v>0</v>
      </c>
      <c r="J1015" s="86">
        <f t="shared" si="85"/>
        <v>36960</v>
      </c>
      <c r="K1015" s="18"/>
      <c r="L1015" s="75"/>
      <c r="M1015" s="76" t="str">
        <f t="shared" si="86"/>
        <v>nein</v>
      </c>
      <c r="N1015">
        <f t="shared" si="82"/>
        <v>2023</v>
      </c>
    </row>
    <row r="1016" spans="1:14" ht="15" hidden="1" thickBot="1" x14ac:dyDescent="0.35">
      <c r="A1016" s="105">
        <f t="shared" si="84"/>
        <v>40</v>
      </c>
      <c r="B1016" s="27">
        <f t="shared" si="83"/>
        <v>45207</v>
      </c>
      <c r="C1016" s="19" t="s">
        <v>9</v>
      </c>
      <c r="D1016" s="20" t="s">
        <v>11</v>
      </c>
      <c r="E1016" s="13">
        <f>IF(VLOOKUP(D1016,Budget!A:B,2,FALSE)&lt;&gt;0,IF(G1016=0,24,24-G1016),0)</f>
        <v>24</v>
      </c>
      <c r="F1016" s="20"/>
      <c r="G1016" s="20"/>
      <c r="H1016" s="93">
        <f>IF(E1016=0,0,IF(M1016="ja",(VLOOKUP(D1016,Budget!A:F,6,FALSE)*(E1016-(VLOOKUP(D1016,Budget!A:F,3,FALSE)))),VLOOKUP($D1016,Budget!$A$1:$F$19,6,FALSE)*E1016))</f>
        <v>36960</v>
      </c>
      <c r="I1016" s="93">
        <f>IF(F1016=0,0,IF(M1016="ja",((VLOOKUP(F1016,Budget!A:F,6,FALSE)*(E1016-(VLOOKUP(F1016,Budget!A:F,3,FALSE))))),VLOOKUP($D1016,Budget!A:F,5,FALSE)*E1016))</f>
        <v>0</v>
      </c>
      <c r="J1016" s="87">
        <f t="shared" si="85"/>
        <v>36960</v>
      </c>
      <c r="K1016" s="21"/>
      <c r="L1016" s="74"/>
      <c r="M1016" s="77" t="str">
        <f t="shared" si="86"/>
        <v>nein</v>
      </c>
      <c r="N1016">
        <f t="shared" si="82"/>
        <v>2023</v>
      </c>
    </row>
    <row r="1017" spans="1:14" hidden="1" x14ac:dyDescent="0.3">
      <c r="A1017" s="104">
        <f t="shared" si="84"/>
        <v>41</v>
      </c>
      <c r="B1017" s="22">
        <f t="shared" si="83"/>
        <v>45208</v>
      </c>
      <c r="C1017" s="10" t="s">
        <v>3</v>
      </c>
      <c r="D1017" s="12" t="s">
        <v>13</v>
      </c>
      <c r="E1017" s="13">
        <f>IF(VLOOKUP(D1017,Budget!A:B,2,FALSE)&lt;&gt;0,IF(G1017=0,24,24-G1017),0)</f>
        <v>0</v>
      </c>
      <c r="F1017" s="13"/>
      <c r="G1017" s="13"/>
      <c r="H1017" s="85">
        <f>IF(E1017=0,0,IF(M1017="ja",(VLOOKUP(D1017,Budget!A:F,6,FALSE)*(E1017-(VLOOKUP(D1017,Budget!A:F,3,FALSE)))),VLOOKUP($D1017,Budget!$A$1:$F$19,6,FALSE)*E1017))</f>
        <v>0</v>
      </c>
      <c r="I1017" s="85">
        <f>IF(F1017=0,0,IF(M1017="ja",((VLOOKUP(F1017,Budget!A:F,6,FALSE)*(E1017-(VLOOKUP(F1017,Budget!A:F,3,FALSE))))),VLOOKUP($D1017,Budget!A:F,5,FALSE)*E1017))</f>
        <v>0</v>
      </c>
      <c r="J1017" s="85">
        <f t="shared" si="85"/>
        <v>0</v>
      </c>
      <c r="K1017" s="15"/>
      <c r="L1017" s="72"/>
      <c r="M1017" s="80" t="str">
        <f t="shared" si="86"/>
        <v>nein</v>
      </c>
      <c r="N1017">
        <f t="shared" si="82"/>
        <v>2023</v>
      </c>
    </row>
    <row r="1018" spans="1:14" hidden="1" x14ac:dyDescent="0.3">
      <c r="A1018" s="105">
        <f t="shared" si="84"/>
        <v>41</v>
      </c>
      <c r="B1018" s="22">
        <f t="shared" si="83"/>
        <v>45209</v>
      </c>
      <c r="C1018" s="11" t="s">
        <v>4</v>
      </c>
      <c r="D1018" s="12" t="s">
        <v>69</v>
      </c>
      <c r="E1018" s="13">
        <f>IF(VLOOKUP(D1018,Budget!A:B,2,FALSE)&lt;&gt;0,IF(G1018=0,24,24-G1018),0)</f>
        <v>24</v>
      </c>
      <c r="G1018" s="13"/>
      <c r="H1018" s="85">
        <f>IF(E1018=0,0,IF(M1018="ja",(VLOOKUP(D1018,Budget!A:F,6,FALSE)*(E1018-(VLOOKUP(D1018,Budget!A:F,3,FALSE)))),VLOOKUP($D1018,Budget!$A$1:$F$19,6,FALSE)*E1018))</f>
        <v>38269.757143831848</v>
      </c>
      <c r="I1018" s="85">
        <f>IF(F1018=0,0,IF(M1018="ja",((VLOOKUP(F1018,Budget!A:F,6,FALSE)*(E1018-(VLOOKUP(F1018,Budget!A:F,3,FALSE))))),VLOOKUP($D1018,Budget!A:F,5,FALSE)*E1018))</f>
        <v>0</v>
      </c>
      <c r="J1018" s="85">
        <f t="shared" si="85"/>
        <v>38269.757143831848</v>
      </c>
      <c r="K1018" s="14"/>
      <c r="L1018" s="73"/>
      <c r="M1018" s="80" t="str">
        <f t="shared" si="86"/>
        <v>ja</v>
      </c>
      <c r="N1018">
        <f t="shared" si="82"/>
        <v>2023</v>
      </c>
    </row>
    <row r="1019" spans="1:14" hidden="1" x14ac:dyDescent="0.3">
      <c r="A1019" s="105">
        <f t="shared" si="84"/>
        <v>41</v>
      </c>
      <c r="B1019" s="22">
        <f t="shared" si="83"/>
        <v>45210</v>
      </c>
      <c r="C1019" s="11" t="s">
        <v>5</v>
      </c>
      <c r="D1019" s="12" t="s">
        <v>69</v>
      </c>
      <c r="E1019" s="13">
        <f>IF(VLOOKUP(D1019,Budget!A:B,2,FALSE)&lt;&gt;0,IF(G1019=0,24,24-G1019),0)</f>
        <v>24</v>
      </c>
      <c r="G1019" s="13"/>
      <c r="H1019" s="85">
        <f>IF(E1019=0,0,IF(M1019="ja",(VLOOKUP(D1019,Budget!A:F,6,FALSE)*(E1019-(VLOOKUP(D1019,Budget!A:F,3,FALSE)))),VLOOKUP($D1019,Budget!$A$1:$F$19,6,FALSE)*E1019))</f>
        <v>42919.35380616656</v>
      </c>
      <c r="I1019" s="85">
        <f>IF(F1019=0,0,IF(M1019="ja",((VLOOKUP(F1019,Budget!A:F,6,FALSE)*(E1019-(VLOOKUP(F1019,Budget!A:F,3,FALSE))))),VLOOKUP($D1019,Budget!A:F,5,FALSE)*E1019))</f>
        <v>0</v>
      </c>
      <c r="J1019" s="85">
        <f t="shared" si="85"/>
        <v>42919.35380616656</v>
      </c>
      <c r="K1019" s="14"/>
      <c r="L1019" s="73"/>
      <c r="M1019" s="80" t="str">
        <f t="shared" si="86"/>
        <v>nein</v>
      </c>
      <c r="N1019">
        <f t="shared" si="82"/>
        <v>2023</v>
      </c>
    </row>
    <row r="1020" spans="1:14" hidden="1" x14ac:dyDescent="0.3">
      <c r="A1020" s="103">
        <f t="shared" si="84"/>
        <v>41</v>
      </c>
      <c r="B1020" s="22">
        <f t="shared" si="83"/>
        <v>45211</v>
      </c>
      <c r="C1020" s="11" t="s">
        <v>6</v>
      </c>
      <c r="D1020" s="12" t="s">
        <v>69</v>
      </c>
      <c r="E1020" s="13">
        <f>IF(VLOOKUP(D1020,Budget!A:B,2,FALSE)&lt;&gt;0,IF(G1020=0,24,24-G1020),0)</f>
        <v>24</v>
      </c>
      <c r="G1020" s="13"/>
      <c r="H1020" s="85">
        <f>IF(E1020=0,0,IF(M1020="ja",(VLOOKUP(D1020,Budget!A:F,6,FALSE)*(E1020-(VLOOKUP(D1020,Budget!A:F,3,FALSE)))),VLOOKUP($D1020,Budget!$A$1:$F$19,6,FALSE)*E1020))</f>
        <v>42919.35380616656</v>
      </c>
      <c r="I1020" s="85">
        <f>IF(F1020=0,0,IF(M1020="ja",((VLOOKUP(F1020,Budget!A:F,6,FALSE)*(E1020-(VLOOKUP(F1020,Budget!A:F,3,FALSE))))),VLOOKUP($D1020,Budget!A:F,5,FALSE)*E1020))</f>
        <v>0</v>
      </c>
      <c r="J1020" s="85">
        <f t="shared" si="85"/>
        <v>42919.35380616656</v>
      </c>
      <c r="K1020" s="14"/>
      <c r="L1020" s="73"/>
      <c r="M1020" s="80" t="str">
        <f t="shared" si="86"/>
        <v>nein</v>
      </c>
      <c r="N1020">
        <f t="shared" si="82"/>
        <v>2023</v>
      </c>
    </row>
    <row r="1021" spans="1:14" hidden="1" x14ac:dyDescent="0.3">
      <c r="A1021" s="105">
        <f t="shared" si="84"/>
        <v>41</v>
      </c>
      <c r="B1021" s="22">
        <f t="shared" si="83"/>
        <v>45212</v>
      </c>
      <c r="C1021" s="11" t="s">
        <v>7</v>
      </c>
      <c r="D1021" s="12" t="s">
        <v>69</v>
      </c>
      <c r="E1021" s="13">
        <f>IF(VLOOKUP(D1021,Budget!A:B,2,FALSE)&lt;&gt;0,IF(G1021=0,24,24-G1021),0)</f>
        <v>24</v>
      </c>
      <c r="G1021" s="13"/>
      <c r="H1021" s="85">
        <f>IF(E1021=0,0,IF(M1021="ja",(VLOOKUP(D1021,Budget!A:F,6,FALSE)*(E1021-(VLOOKUP(D1021,Budget!A:F,3,FALSE)))),VLOOKUP($D1021,Budget!$A$1:$F$19,6,FALSE)*E1021))</f>
        <v>42919.35380616656</v>
      </c>
      <c r="I1021" s="85">
        <f>IF(F1021=0,0,IF(M1021="ja",((VLOOKUP(F1021,Budget!A:F,6,FALSE)*(E1021-(VLOOKUP(F1021,Budget!A:F,3,FALSE))))),VLOOKUP($D1021,Budget!A:F,5,FALSE)*E1021))</f>
        <v>0</v>
      </c>
      <c r="J1021" s="85">
        <f t="shared" si="85"/>
        <v>42919.35380616656</v>
      </c>
      <c r="K1021" s="14"/>
      <c r="L1021" s="25"/>
      <c r="M1021" s="80" t="str">
        <f t="shared" si="86"/>
        <v>nein</v>
      </c>
      <c r="N1021">
        <f t="shared" si="82"/>
        <v>2023</v>
      </c>
    </row>
    <row r="1022" spans="1:14" hidden="1" x14ac:dyDescent="0.3">
      <c r="A1022" s="105">
        <f t="shared" si="84"/>
        <v>41</v>
      </c>
      <c r="B1022" s="22">
        <f t="shared" si="83"/>
        <v>45213</v>
      </c>
      <c r="C1022" s="16" t="s">
        <v>8</v>
      </c>
      <c r="D1022" s="12" t="s">
        <v>69</v>
      </c>
      <c r="E1022" s="13">
        <f>IF(VLOOKUP(D1022,Budget!A:B,2,FALSE)&lt;&gt;0,IF(G1022=0,24,24-G1022),0)</f>
        <v>24</v>
      </c>
      <c r="F1022" s="17"/>
      <c r="G1022" s="17"/>
      <c r="H1022" s="86">
        <f>IF(E1022=0,0,IF(M1022="ja",(VLOOKUP(D1022,Budget!A:F,6,FALSE)*(E1022-(VLOOKUP(D1022,Budget!A:F,3,FALSE)))),VLOOKUP($D1022,Budget!$A$1:$F$19,6,FALSE)*E1022))</f>
        <v>42919.35380616656</v>
      </c>
      <c r="I1022" s="86">
        <f>IF(F1022=0,0,IF(M1022="ja",((VLOOKUP(F1022,Budget!A:F,6,FALSE)*(E1022-(VLOOKUP(F1022,Budget!A:F,3,FALSE))))),VLOOKUP($D1022,Budget!A:F,5,FALSE)*E1022))</f>
        <v>0</v>
      </c>
      <c r="J1022" s="86">
        <f t="shared" si="85"/>
        <v>42919.35380616656</v>
      </c>
      <c r="K1022" s="18"/>
      <c r="L1022" s="75"/>
      <c r="M1022" s="76" t="str">
        <f t="shared" si="86"/>
        <v>nein</v>
      </c>
      <c r="N1022">
        <f t="shared" si="82"/>
        <v>2023</v>
      </c>
    </row>
    <row r="1023" spans="1:14" ht="15" hidden="1" thickBot="1" x14ac:dyDescent="0.35">
      <c r="A1023" s="105">
        <f t="shared" si="84"/>
        <v>41</v>
      </c>
      <c r="B1023" s="27">
        <f t="shared" si="83"/>
        <v>45214</v>
      </c>
      <c r="C1023" s="19" t="s">
        <v>9</v>
      </c>
      <c r="D1023" s="12" t="s">
        <v>69</v>
      </c>
      <c r="E1023" s="13">
        <f>IF(VLOOKUP(D1023,Budget!A:B,2,FALSE)&lt;&gt;0,IF(G1023=0,24,24-G1023),0)</f>
        <v>24</v>
      </c>
      <c r="F1023" s="20"/>
      <c r="G1023" s="20"/>
      <c r="H1023" s="93">
        <f>IF(E1023=0,0,IF(M1023="ja",(VLOOKUP(D1023,Budget!A:F,6,FALSE)*(E1023-(VLOOKUP(D1023,Budget!A:F,3,FALSE)))),VLOOKUP($D1023,Budget!$A$1:$F$19,6,FALSE)*E1023))</f>
        <v>42919.35380616656</v>
      </c>
      <c r="I1023" s="93">
        <f>IF(F1023=0,0,IF(M1023="ja",((VLOOKUP(F1023,Budget!A:F,6,FALSE)*(E1023-(VLOOKUP(F1023,Budget!A:F,3,FALSE))))),VLOOKUP($D1023,Budget!A:F,5,FALSE)*E1023))</f>
        <v>0</v>
      </c>
      <c r="J1023" s="87">
        <f t="shared" si="85"/>
        <v>42919.35380616656</v>
      </c>
      <c r="K1023" s="21"/>
      <c r="L1023" s="74"/>
      <c r="M1023" s="77" t="str">
        <f t="shared" si="86"/>
        <v>nein</v>
      </c>
      <c r="N1023">
        <f t="shared" si="82"/>
        <v>2023</v>
      </c>
    </row>
    <row r="1024" spans="1:14" hidden="1" x14ac:dyDescent="0.3">
      <c r="A1024" s="104">
        <f t="shared" si="84"/>
        <v>42</v>
      </c>
      <c r="B1024" s="22">
        <f t="shared" si="83"/>
        <v>45215</v>
      </c>
      <c r="C1024" s="10" t="s">
        <v>3</v>
      </c>
      <c r="D1024" s="12" t="s">
        <v>12</v>
      </c>
      <c r="E1024" s="13">
        <f>IF(VLOOKUP(D1024,Budget!A:B,2,FALSE)&lt;&gt;0,IF(G1024=0,24,24-G1024),0)</f>
        <v>24</v>
      </c>
      <c r="F1024" s="13"/>
      <c r="G1024" s="13"/>
      <c r="H1024" s="85">
        <f>IF(E1024=0,0,IF(M1024="ja",(VLOOKUP(D1024,Budget!A:F,6,FALSE)*(E1024-(VLOOKUP(D1024,Budget!A:F,3,FALSE)))),VLOOKUP($D1024,Budget!$A$1:$F$19,6,FALSE)*E1024))</f>
        <v>27720</v>
      </c>
      <c r="I1024" s="85">
        <f>IF(F1024=0,0,IF(M1024="ja",((VLOOKUP(F1024,Budget!A:F,6,FALSE)*(E1024-(VLOOKUP(F1024,Budget!A:F,3,FALSE))))),VLOOKUP($D1024,Budget!A:F,5,FALSE)*E1024))</f>
        <v>0</v>
      </c>
      <c r="J1024" s="85">
        <f t="shared" si="85"/>
        <v>27720</v>
      </c>
      <c r="K1024" s="15"/>
      <c r="L1024" s="72"/>
      <c r="M1024" s="80" t="str">
        <f t="shared" si="86"/>
        <v>ja</v>
      </c>
      <c r="N1024">
        <f t="shared" si="82"/>
        <v>2023</v>
      </c>
    </row>
    <row r="1025" spans="1:14" hidden="1" x14ac:dyDescent="0.3">
      <c r="A1025" s="105">
        <f t="shared" si="84"/>
        <v>42</v>
      </c>
      <c r="B1025" s="22">
        <f t="shared" si="83"/>
        <v>45216</v>
      </c>
      <c r="C1025" s="11" t="s">
        <v>4</v>
      </c>
      <c r="D1025" s="12" t="s">
        <v>12</v>
      </c>
      <c r="E1025" s="13">
        <f>IF(VLOOKUP(D1025,Budget!A:B,2,FALSE)&lt;&gt;0,IF(G1025=0,24,24-G1025),0)</f>
        <v>24</v>
      </c>
      <c r="G1025" s="13"/>
      <c r="H1025" s="85">
        <f>IF(E1025=0,0,IF(M1025="ja",(VLOOKUP(D1025,Budget!A:F,6,FALSE)*(E1025-(VLOOKUP(D1025,Budget!A:F,3,FALSE)))),VLOOKUP($D1025,Budget!$A$1:$F$19,6,FALSE)*E1025))</f>
        <v>36960</v>
      </c>
      <c r="I1025" s="85">
        <f>IF(F1025=0,0,IF(M1025="ja",((VLOOKUP(F1025,Budget!A:F,6,FALSE)*(E1025-(VLOOKUP(F1025,Budget!A:F,3,FALSE))))),VLOOKUP($D1025,Budget!A:F,5,FALSE)*E1025))</f>
        <v>0</v>
      </c>
      <c r="J1025" s="85">
        <f t="shared" si="85"/>
        <v>36960</v>
      </c>
      <c r="K1025" s="14"/>
      <c r="L1025" s="73"/>
      <c r="M1025" s="80" t="str">
        <f t="shared" si="86"/>
        <v>nein</v>
      </c>
      <c r="N1025">
        <f t="shared" si="82"/>
        <v>2023</v>
      </c>
    </row>
    <row r="1026" spans="1:14" hidden="1" x14ac:dyDescent="0.3">
      <c r="A1026" s="105">
        <f t="shared" si="84"/>
        <v>42</v>
      </c>
      <c r="B1026" s="22">
        <f t="shared" si="83"/>
        <v>45217</v>
      </c>
      <c r="C1026" s="11" t="s">
        <v>5</v>
      </c>
      <c r="D1026" s="12" t="s">
        <v>69</v>
      </c>
      <c r="E1026" s="13">
        <f>IF(VLOOKUP(D1026,Budget!A:B,2,FALSE)&lt;&gt;0,IF(G1026=0,24,24-G1026),0)</f>
        <v>24</v>
      </c>
      <c r="G1026" s="13"/>
      <c r="H1026" s="85">
        <f>IF(E1026=0,0,IF(M1026="ja",(VLOOKUP(D1026,Budget!A:F,6,FALSE)*(E1026-(VLOOKUP(D1026,Budget!A:F,3,FALSE)))),VLOOKUP($D1026,Budget!$A$1:$F$19,6,FALSE)*E1026))</f>
        <v>38269.757143831848</v>
      </c>
      <c r="I1026" s="85">
        <f>IF(F1026=0,0,IF(M1026="ja",((VLOOKUP(F1026,Budget!A:F,6,FALSE)*(E1026-(VLOOKUP(F1026,Budget!A:F,3,FALSE))))),VLOOKUP($D1026,Budget!A:F,5,FALSE)*E1026))</f>
        <v>0</v>
      </c>
      <c r="J1026" s="85">
        <f t="shared" si="85"/>
        <v>38269.757143831848</v>
      </c>
      <c r="K1026" s="14"/>
      <c r="L1026" s="73"/>
      <c r="M1026" s="80" t="str">
        <f t="shared" si="86"/>
        <v>ja</v>
      </c>
      <c r="N1026">
        <f t="shared" si="82"/>
        <v>2023</v>
      </c>
    </row>
    <row r="1027" spans="1:14" hidden="1" x14ac:dyDescent="0.3">
      <c r="A1027" s="103">
        <f t="shared" si="84"/>
        <v>42</v>
      </c>
      <c r="B1027" s="22">
        <f t="shared" si="83"/>
        <v>45218</v>
      </c>
      <c r="C1027" s="11" t="s">
        <v>6</v>
      </c>
      <c r="D1027" s="12" t="s">
        <v>69</v>
      </c>
      <c r="E1027" s="13">
        <f>IF(VLOOKUP(D1027,Budget!A:B,2,FALSE)&lt;&gt;0,IF(G1027=0,24,24-G1027),0)</f>
        <v>24</v>
      </c>
      <c r="G1027" s="13"/>
      <c r="H1027" s="85">
        <f>IF(E1027=0,0,IF(M1027="ja",(VLOOKUP(D1027,Budget!A:F,6,FALSE)*(E1027-(VLOOKUP(D1027,Budget!A:F,3,FALSE)))),VLOOKUP($D1027,Budget!$A$1:$F$19,6,FALSE)*E1027))</f>
        <v>42919.35380616656</v>
      </c>
      <c r="I1027" s="85">
        <f>IF(F1027=0,0,IF(M1027="ja",((VLOOKUP(F1027,Budget!A:F,6,FALSE)*(E1027-(VLOOKUP(F1027,Budget!A:F,3,FALSE))))),VLOOKUP($D1027,Budget!A:F,5,FALSE)*E1027))</f>
        <v>0</v>
      </c>
      <c r="J1027" s="85">
        <f t="shared" si="85"/>
        <v>42919.35380616656</v>
      </c>
      <c r="K1027" s="14"/>
      <c r="L1027" s="73"/>
      <c r="M1027" s="80" t="str">
        <f t="shared" si="86"/>
        <v>nein</v>
      </c>
      <c r="N1027">
        <f t="shared" ref="N1027:N1090" si="87">YEAR(B1027)</f>
        <v>2023</v>
      </c>
    </row>
    <row r="1028" spans="1:14" hidden="1" x14ac:dyDescent="0.3">
      <c r="A1028" s="105">
        <f t="shared" si="84"/>
        <v>42</v>
      </c>
      <c r="B1028" s="22">
        <f t="shared" si="83"/>
        <v>45219</v>
      </c>
      <c r="C1028" s="11" t="s">
        <v>7</v>
      </c>
      <c r="D1028" s="12" t="s">
        <v>69</v>
      </c>
      <c r="E1028" s="13">
        <f>IF(VLOOKUP(D1028,Budget!A:B,2,FALSE)&lt;&gt;0,IF(G1028=0,24,24-G1028),0)</f>
        <v>24</v>
      </c>
      <c r="G1028" s="13"/>
      <c r="H1028" s="85">
        <f>IF(E1028=0,0,IF(M1028="ja",(VLOOKUP(D1028,Budget!A:F,6,FALSE)*(E1028-(VLOOKUP(D1028,Budget!A:F,3,FALSE)))),VLOOKUP($D1028,Budget!$A$1:$F$19,6,FALSE)*E1028))</f>
        <v>42919.35380616656</v>
      </c>
      <c r="I1028" s="85">
        <f>IF(F1028=0,0,IF(M1028="ja",((VLOOKUP(F1028,Budget!A:F,6,FALSE)*(E1028-(VLOOKUP(F1028,Budget!A:F,3,FALSE))))),VLOOKUP($D1028,Budget!A:F,5,FALSE)*E1028))</f>
        <v>0</v>
      </c>
      <c r="J1028" s="85">
        <f t="shared" si="85"/>
        <v>42919.35380616656</v>
      </c>
      <c r="K1028" s="14"/>
      <c r="L1028" s="25"/>
      <c r="M1028" s="80" t="str">
        <f t="shared" si="86"/>
        <v>nein</v>
      </c>
      <c r="N1028">
        <f t="shared" si="87"/>
        <v>2023</v>
      </c>
    </row>
    <row r="1029" spans="1:14" hidden="1" x14ac:dyDescent="0.3">
      <c r="A1029" s="105">
        <f t="shared" si="84"/>
        <v>42</v>
      </c>
      <c r="B1029" s="22">
        <f t="shared" si="83"/>
        <v>45220</v>
      </c>
      <c r="C1029" s="16" t="s">
        <v>8</v>
      </c>
      <c r="D1029" s="12" t="s">
        <v>69</v>
      </c>
      <c r="E1029" s="13">
        <f>IF(VLOOKUP(D1029,Budget!A:B,2,FALSE)&lt;&gt;0,IF(G1029=0,24,24-G1029),0)</f>
        <v>24</v>
      </c>
      <c r="F1029" s="17"/>
      <c r="G1029" s="17"/>
      <c r="H1029" s="86">
        <f>IF(E1029=0,0,IF(M1029="ja",(VLOOKUP(D1029,Budget!A:F,6,FALSE)*(E1029-(VLOOKUP(D1029,Budget!A:F,3,FALSE)))),VLOOKUP($D1029,Budget!$A$1:$F$19,6,FALSE)*E1029))</f>
        <v>42919.35380616656</v>
      </c>
      <c r="I1029" s="86">
        <f>IF(F1029=0,0,IF(M1029="ja",((VLOOKUP(F1029,Budget!A:F,6,FALSE)*(E1029-(VLOOKUP(F1029,Budget!A:F,3,FALSE))))),VLOOKUP($D1029,Budget!A:F,5,FALSE)*E1029))</f>
        <v>0</v>
      </c>
      <c r="J1029" s="86">
        <f t="shared" si="85"/>
        <v>42919.35380616656</v>
      </c>
      <c r="K1029" s="18"/>
      <c r="L1029" s="75"/>
      <c r="M1029" s="76" t="str">
        <f t="shared" si="86"/>
        <v>nein</v>
      </c>
      <c r="N1029">
        <f t="shared" si="87"/>
        <v>2023</v>
      </c>
    </row>
    <row r="1030" spans="1:14" ht="15" hidden="1" thickBot="1" x14ac:dyDescent="0.35">
      <c r="A1030" s="105">
        <f t="shared" si="84"/>
        <v>42</v>
      </c>
      <c r="B1030" s="27">
        <f t="shared" si="83"/>
        <v>45221</v>
      </c>
      <c r="C1030" s="19" t="s">
        <v>9</v>
      </c>
      <c r="D1030" s="12" t="s">
        <v>69</v>
      </c>
      <c r="E1030" s="13">
        <f>IF(VLOOKUP(D1030,Budget!A:B,2,FALSE)&lt;&gt;0,IF(G1030=0,24,24-G1030),0)</f>
        <v>24</v>
      </c>
      <c r="F1030" s="20"/>
      <c r="G1030" s="20"/>
      <c r="H1030" s="93">
        <f>IF(E1030=0,0,IF(M1030="ja",(VLOOKUP(D1030,Budget!A:F,6,FALSE)*(E1030-(VLOOKUP(D1030,Budget!A:F,3,FALSE)))),VLOOKUP($D1030,Budget!$A$1:$F$19,6,FALSE)*E1030))</f>
        <v>42919.35380616656</v>
      </c>
      <c r="I1030" s="93">
        <f>IF(F1030=0,0,IF(M1030="ja",((VLOOKUP(F1030,Budget!A:F,6,FALSE)*(E1030-(VLOOKUP(F1030,Budget!A:F,3,FALSE))))),VLOOKUP($D1030,Budget!A:F,5,FALSE)*E1030))</f>
        <v>0</v>
      </c>
      <c r="J1030" s="87">
        <f t="shared" si="85"/>
        <v>42919.35380616656</v>
      </c>
      <c r="K1030" s="21"/>
      <c r="L1030" s="74"/>
      <c r="M1030" s="77" t="str">
        <f t="shared" si="86"/>
        <v>nein</v>
      </c>
      <c r="N1030">
        <f t="shared" si="87"/>
        <v>2023</v>
      </c>
    </row>
    <row r="1031" spans="1:14" hidden="1" x14ac:dyDescent="0.3">
      <c r="A1031" s="104">
        <f t="shared" si="84"/>
        <v>43</v>
      </c>
      <c r="B1031" s="22">
        <f t="shared" si="83"/>
        <v>45222</v>
      </c>
      <c r="C1031" s="10" t="s">
        <v>3</v>
      </c>
      <c r="D1031" s="12" t="s">
        <v>11</v>
      </c>
      <c r="E1031" s="13">
        <f>IF(VLOOKUP(D1031,Budget!A:B,2,FALSE)&lt;&gt;0,IF(G1031=0,24,24-G1031),0)</f>
        <v>24</v>
      </c>
      <c r="F1031" s="13"/>
      <c r="G1031" s="13"/>
      <c r="H1031" s="85">
        <f>IF(E1031=0,0,IF(M1031="ja",(VLOOKUP(D1031,Budget!A:F,6,FALSE)*(E1031-(VLOOKUP(D1031,Budget!A:F,3,FALSE)))),VLOOKUP($D1031,Budget!$A$1:$F$19,6,FALSE)*E1031))</f>
        <v>30030</v>
      </c>
      <c r="I1031" s="85">
        <f>IF(F1031=0,0,IF(M1031="ja",((VLOOKUP(F1031,Budget!A:F,6,FALSE)*(E1031-(VLOOKUP(F1031,Budget!A:F,3,FALSE))))),VLOOKUP($D1031,Budget!A:F,5,FALSE)*E1031))</f>
        <v>0</v>
      </c>
      <c r="J1031" s="85">
        <f t="shared" si="85"/>
        <v>30030</v>
      </c>
      <c r="K1031" s="15"/>
      <c r="L1031" s="72"/>
      <c r="M1031" s="80" t="str">
        <f t="shared" si="86"/>
        <v>ja</v>
      </c>
      <c r="N1031">
        <f t="shared" si="87"/>
        <v>2023</v>
      </c>
    </row>
    <row r="1032" spans="1:14" hidden="1" x14ac:dyDescent="0.3">
      <c r="A1032" s="105">
        <f t="shared" si="84"/>
        <v>43</v>
      </c>
      <c r="B1032" s="22">
        <f t="shared" si="83"/>
        <v>45223</v>
      </c>
      <c r="C1032" s="11" t="s">
        <v>4</v>
      </c>
      <c r="D1032" s="12" t="s">
        <v>11</v>
      </c>
      <c r="E1032" s="13">
        <f>IF(VLOOKUP(D1032,Budget!A:B,2,FALSE)&lt;&gt;0,IF(G1032=0,24,24-G1032),0)</f>
        <v>24</v>
      </c>
      <c r="G1032" s="13"/>
      <c r="H1032" s="85">
        <f>IF(E1032=0,0,IF(M1032="ja",(VLOOKUP(D1032,Budget!A:F,6,FALSE)*(E1032-(VLOOKUP(D1032,Budget!A:F,3,FALSE)))),VLOOKUP($D1032,Budget!$A$1:$F$19,6,FALSE)*E1032))</f>
        <v>36960</v>
      </c>
      <c r="I1032" s="85">
        <f>IF(F1032=0,0,IF(M1032="ja",((VLOOKUP(F1032,Budget!A:F,6,FALSE)*(E1032-(VLOOKUP(F1032,Budget!A:F,3,FALSE))))),VLOOKUP($D1032,Budget!A:F,5,FALSE)*E1032))</f>
        <v>0</v>
      </c>
      <c r="J1032" s="85">
        <f t="shared" si="85"/>
        <v>36960</v>
      </c>
      <c r="K1032" s="14"/>
      <c r="L1032" s="73"/>
      <c r="M1032" s="80" t="str">
        <f t="shared" si="86"/>
        <v>nein</v>
      </c>
      <c r="N1032">
        <f t="shared" si="87"/>
        <v>2023</v>
      </c>
    </row>
    <row r="1033" spans="1:14" hidden="1" x14ac:dyDescent="0.3">
      <c r="A1033" s="105">
        <f t="shared" si="84"/>
        <v>43</v>
      </c>
      <c r="B1033" s="22">
        <f t="shared" si="83"/>
        <v>45224</v>
      </c>
      <c r="C1033" s="11" t="s">
        <v>5</v>
      </c>
      <c r="D1033" s="12" t="s">
        <v>11</v>
      </c>
      <c r="E1033" s="13">
        <f>IF(VLOOKUP(D1033,Budget!A:B,2,FALSE)&lt;&gt;0,IF(G1033=0,24,24-G1033),0)</f>
        <v>24</v>
      </c>
      <c r="G1033" s="13"/>
      <c r="H1033" s="85">
        <f>IF(E1033=0,0,IF(M1033="ja",(VLOOKUP(D1033,Budget!A:F,6,FALSE)*(E1033-(VLOOKUP(D1033,Budget!A:F,3,FALSE)))),VLOOKUP($D1033,Budget!$A$1:$F$19,6,FALSE)*E1033))</f>
        <v>36960</v>
      </c>
      <c r="I1033" s="85">
        <f>IF(F1033=0,0,IF(M1033="ja",((VLOOKUP(F1033,Budget!A:F,6,FALSE)*(E1033-(VLOOKUP(F1033,Budget!A:F,3,FALSE))))),VLOOKUP($D1033,Budget!A:F,5,FALSE)*E1033))</f>
        <v>0</v>
      </c>
      <c r="J1033" s="85">
        <f t="shared" si="85"/>
        <v>36960</v>
      </c>
      <c r="K1033" s="14"/>
      <c r="L1033" s="73"/>
      <c r="M1033" s="80" t="str">
        <f t="shared" si="86"/>
        <v>nein</v>
      </c>
      <c r="N1033">
        <f t="shared" si="87"/>
        <v>2023</v>
      </c>
    </row>
    <row r="1034" spans="1:14" hidden="1" x14ac:dyDescent="0.3">
      <c r="A1034" s="103">
        <f t="shared" si="84"/>
        <v>43</v>
      </c>
      <c r="B1034" s="22">
        <f t="shared" si="83"/>
        <v>45225</v>
      </c>
      <c r="C1034" s="11" t="s">
        <v>6</v>
      </c>
      <c r="D1034" s="12" t="s">
        <v>11</v>
      </c>
      <c r="E1034" s="13">
        <f>IF(VLOOKUP(D1034,Budget!A:B,2,FALSE)&lt;&gt;0,IF(G1034=0,24,24-G1034),0)</f>
        <v>24</v>
      </c>
      <c r="G1034" s="13"/>
      <c r="H1034" s="85">
        <f>IF(E1034=0,0,IF(M1034="ja",(VLOOKUP(D1034,Budget!A:F,6,FALSE)*(E1034-(VLOOKUP(D1034,Budget!A:F,3,FALSE)))),VLOOKUP($D1034,Budget!$A$1:$F$19,6,FALSE)*E1034))</f>
        <v>36960</v>
      </c>
      <c r="I1034" s="85">
        <f>IF(F1034=0,0,IF(M1034="ja",((VLOOKUP(F1034,Budget!A:F,6,FALSE)*(E1034-(VLOOKUP(F1034,Budget!A:F,3,FALSE))))),VLOOKUP($D1034,Budget!A:F,5,FALSE)*E1034))</f>
        <v>0</v>
      </c>
      <c r="J1034" s="85">
        <f t="shared" si="85"/>
        <v>36960</v>
      </c>
      <c r="K1034" s="14"/>
      <c r="L1034" s="73"/>
      <c r="M1034" s="80" t="str">
        <f t="shared" si="86"/>
        <v>nein</v>
      </c>
      <c r="N1034">
        <f t="shared" si="87"/>
        <v>2023</v>
      </c>
    </row>
    <row r="1035" spans="1:14" hidden="1" x14ac:dyDescent="0.3">
      <c r="A1035" s="105">
        <f t="shared" si="84"/>
        <v>43</v>
      </c>
      <c r="B1035" s="22">
        <f t="shared" si="83"/>
        <v>45226</v>
      </c>
      <c r="C1035" s="11" t="s">
        <v>7</v>
      </c>
      <c r="D1035" s="12" t="s">
        <v>11</v>
      </c>
      <c r="E1035" s="13">
        <f>IF(VLOOKUP(D1035,Budget!A:B,2,FALSE)&lt;&gt;0,IF(G1035=0,24,24-G1035),0)</f>
        <v>24</v>
      </c>
      <c r="G1035" s="13"/>
      <c r="H1035" s="85">
        <f>IF(E1035=0,0,IF(M1035="ja",(VLOOKUP(D1035,Budget!A:F,6,FALSE)*(E1035-(VLOOKUP(D1035,Budget!A:F,3,FALSE)))),VLOOKUP($D1035,Budget!$A$1:$F$19,6,FALSE)*E1035))</f>
        <v>36960</v>
      </c>
      <c r="I1035" s="85">
        <f>IF(F1035=0,0,IF(M1035="ja",((VLOOKUP(F1035,Budget!A:F,6,FALSE)*(E1035-(VLOOKUP(F1035,Budget!A:F,3,FALSE))))),VLOOKUP($D1035,Budget!A:F,5,FALSE)*E1035))</f>
        <v>0</v>
      </c>
      <c r="J1035" s="85">
        <f t="shared" si="85"/>
        <v>36960</v>
      </c>
      <c r="K1035" s="14"/>
      <c r="L1035" s="25"/>
      <c r="M1035" s="80" t="str">
        <f t="shared" si="86"/>
        <v>nein</v>
      </c>
      <c r="N1035">
        <f t="shared" si="87"/>
        <v>2023</v>
      </c>
    </row>
    <row r="1036" spans="1:14" hidden="1" x14ac:dyDescent="0.3">
      <c r="A1036" s="105">
        <f t="shared" si="84"/>
        <v>43</v>
      </c>
      <c r="B1036" s="22">
        <f t="shared" si="83"/>
        <v>45227</v>
      </c>
      <c r="C1036" s="16" t="s">
        <v>8</v>
      </c>
      <c r="D1036" s="17" t="s">
        <v>11</v>
      </c>
      <c r="E1036" s="13">
        <f>IF(VLOOKUP(D1036,Budget!A:B,2,FALSE)&lt;&gt;0,IF(G1036=0,24,24-G1036),0)</f>
        <v>24</v>
      </c>
      <c r="F1036" s="17"/>
      <c r="G1036" s="17"/>
      <c r="H1036" s="86">
        <f>IF(E1036=0,0,IF(M1036="ja",(VLOOKUP(D1036,Budget!A:F,6,FALSE)*(E1036-(VLOOKUP(D1036,Budget!A:F,3,FALSE)))),VLOOKUP($D1036,Budget!$A$1:$F$19,6,FALSE)*E1036))</f>
        <v>36960</v>
      </c>
      <c r="I1036" s="86">
        <f>IF(F1036=0,0,IF(M1036="ja",((VLOOKUP(F1036,Budget!A:F,6,FALSE)*(E1036-(VLOOKUP(F1036,Budget!A:F,3,FALSE))))),VLOOKUP($D1036,Budget!A:F,5,FALSE)*E1036))</f>
        <v>0</v>
      </c>
      <c r="J1036" s="86">
        <f t="shared" si="85"/>
        <v>36960</v>
      </c>
      <c r="K1036" s="18"/>
      <c r="L1036" s="75"/>
      <c r="M1036" s="76" t="str">
        <f t="shared" si="86"/>
        <v>nein</v>
      </c>
      <c r="N1036">
        <f t="shared" si="87"/>
        <v>2023</v>
      </c>
    </row>
    <row r="1037" spans="1:14" ht="15" hidden="1" thickBot="1" x14ac:dyDescent="0.35">
      <c r="A1037" s="105">
        <f t="shared" si="84"/>
        <v>43</v>
      </c>
      <c r="B1037" s="27">
        <f t="shared" si="83"/>
        <v>45228</v>
      </c>
      <c r="C1037" s="19" t="s">
        <v>9</v>
      </c>
      <c r="D1037" s="20" t="s">
        <v>11</v>
      </c>
      <c r="E1037" s="13">
        <f>IF(VLOOKUP(D1037,Budget!A:B,2,FALSE)&lt;&gt;0,IF(G1037=0,24,24-G1037),0)</f>
        <v>24</v>
      </c>
      <c r="F1037" s="20"/>
      <c r="G1037" s="20"/>
      <c r="H1037" s="93">
        <f>IF(E1037=0,0,IF(M1037="ja",(VLOOKUP(D1037,Budget!A:F,6,FALSE)*(E1037-(VLOOKUP(D1037,Budget!A:F,3,FALSE)))),VLOOKUP($D1037,Budget!$A$1:$F$19,6,FALSE)*E1037))</f>
        <v>36960</v>
      </c>
      <c r="I1037" s="93">
        <f>IF(F1037=0,0,IF(M1037="ja",((VLOOKUP(F1037,Budget!A:F,6,FALSE)*(E1037-(VLOOKUP(F1037,Budget!A:F,3,FALSE))))),VLOOKUP($D1037,Budget!A:F,5,FALSE)*E1037))</f>
        <v>0</v>
      </c>
      <c r="J1037" s="87">
        <f t="shared" si="85"/>
        <v>36960</v>
      </c>
      <c r="K1037" s="21"/>
      <c r="L1037" s="74"/>
      <c r="M1037" s="77" t="str">
        <f t="shared" si="86"/>
        <v>nein</v>
      </c>
      <c r="N1037">
        <f t="shared" si="87"/>
        <v>2023</v>
      </c>
    </row>
    <row r="1038" spans="1:14" hidden="1" x14ac:dyDescent="0.3">
      <c r="A1038" s="104">
        <f t="shared" si="84"/>
        <v>44</v>
      </c>
      <c r="B1038" s="22">
        <f t="shared" si="83"/>
        <v>45229</v>
      </c>
      <c r="C1038" s="10" t="s">
        <v>3</v>
      </c>
      <c r="D1038" s="12" t="s">
        <v>11</v>
      </c>
      <c r="E1038" s="13">
        <f>IF(VLOOKUP(D1038,Budget!A:B,2,FALSE)&lt;&gt;0,IF(G1038=0,24,24-G1038),0)</f>
        <v>24</v>
      </c>
      <c r="F1038" s="13"/>
      <c r="G1038" s="13"/>
      <c r="H1038" s="85">
        <f>IF(E1038=0,0,IF(M1038="ja",(VLOOKUP(D1038,Budget!A:F,6,FALSE)*(E1038-(VLOOKUP(D1038,Budget!A:F,3,FALSE)))),VLOOKUP($D1038,Budget!$A$1:$F$19,6,FALSE)*E1038))</f>
        <v>36960</v>
      </c>
      <c r="I1038" s="85">
        <f>IF(F1038=0,0,IF(M1038="ja",((VLOOKUP(F1038,Budget!A:F,6,FALSE)*(E1038-(VLOOKUP(F1038,Budget!A:F,3,FALSE))))),VLOOKUP($D1038,Budget!A:F,5,FALSE)*E1038))</f>
        <v>0</v>
      </c>
      <c r="J1038" s="85">
        <f t="shared" si="85"/>
        <v>36960</v>
      </c>
      <c r="K1038" s="15"/>
      <c r="L1038" s="72"/>
      <c r="M1038" s="80" t="str">
        <f t="shared" si="86"/>
        <v>nein</v>
      </c>
      <c r="N1038">
        <f t="shared" si="87"/>
        <v>2023</v>
      </c>
    </row>
    <row r="1039" spans="1:14" hidden="1" x14ac:dyDescent="0.3">
      <c r="A1039" s="105">
        <f t="shared" si="84"/>
        <v>44</v>
      </c>
      <c r="B1039" s="22">
        <f t="shared" si="83"/>
        <v>45230</v>
      </c>
      <c r="C1039" s="11" t="s">
        <v>4</v>
      </c>
      <c r="D1039" s="12" t="s">
        <v>11</v>
      </c>
      <c r="E1039" s="13">
        <f>IF(VLOOKUP(D1039,Budget!A:B,2,FALSE)&lt;&gt;0,IF(G1039=0,24,24-G1039),0)</f>
        <v>24</v>
      </c>
      <c r="G1039" s="13"/>
      <c r="H1039" s="85">
        <f>IF(E1039=0,0,IF(M1039="ja",(VLOOKUP(D1039,Budget!A:F,6,FALSE)*(E1039-(VLOOKUP(D1039,Budget!A:F,3,FALSE)))),VLOOKUP($D1039,Budget!$A$1:$F$19,6,FALSE)*E1039))</f>
        <v>36960</v>
      </c>
      <c r="I1039" s="85">
        <f>IF(F1039=0,0,IF(M1039="ja",((VLOOKUP(F1039,Budget!A:F,6,FALSE)*(E1039-(VLOOKUP(F1039,Budget!A:F,3,FALSE))))),VLOOKUP($D1039,Budget!A:F,5,FALSE)*E1039))</f>
        <v>0</v>
      </c>
      <c r="J1039" s="85">
        <f t="shared" si="85"/>
        <v>36960</v>
      </c>
      <c r="K1039" s="14"/>
      <c r="L1039" s="73"/>
      <c r="M1039" s="80" t="str">
        <f t="shared" si="86"/>
        <v>nein</v>
      </c>
      <c r="N1039">
        <f t="shared" si="87"/>
        <v>2023</v>
      </c>
    </row>
    <row r="1040" spans="1:14" hidden="1" x14ac:dyDescent="0.3">
      <c r="A1040" s="105">
        <f t="shared" si="84"/>
        <v>44</v>
      </c>
      <c r="B1040" s="130">
        <f t="shared" si="83"/>
        <v>45231</v>
      </c>
      <c r="C1040" s="131" t="s">
        <v>5</v>
      </c>
      <c r="D1040" s="12" t="s">
        <v>69</v>
      </c>
      <c r="E1040" s="13">
        <f>IF(VLOOKUP(D1040,Budget!A:B,2,FALSE)&lt;&gt;0,IF(G1040=0,24,24-G1040),0)</f>
        <v>24</v>
      </c>
      <c r="G1040" s="13"/>
      <c r="H1040" s="85">
        <f>IF(E1040=0,0,IF(M1040="ja",(VLOOKUP(D1040,Budget!A:F,6,FALSE)*(E1040-(VLOOKUP(D1040,Budget!A:F,3,FALSE)))),VLOOKUP($D1040,Budget!$A$1:$F$19,6,FALSE)*E1040))</f>
        <v>38269.757143831848</v>
      </c>
      <c r="I1040" s="85">
        <f>IF(F1040=0,0,IF(M1040="ja",((VLOOKUP(F1040,Budget!A:F,6,FALSE)*(E1040-(VLOOKUP(F1040,Budget!A:F,3,FALSE))))),VLOOKUP($D1040,Budget!A:F,5,FALSE)*E1040))</f>
        <v>0</v>
      </c>
      <c r="J1040" s="85">
        <f t="shared" si="85"/>
        <v>38269.757143831848</v>
      </c>
      <c r="K1040" s="14"/>
      <c r="L1040" s="73"/>
      <c r="M1040" s="80" t="str">
        <f t="shared" si="86"/>
        <v>ja</v>
      </c>
      <c r="N1040">
        <f t="shared" si="87"/>
        <v>2023</v>
      </c>
    </row>
    <row r="1041" spans="1:14" hidden="1" x14ac:dyDescent="0.3">
      <c r="A1041" s="103">
        <f t="shared" si="84"/>
        <v>44</v>
      </c>
      <c r="B1041" s="22">
        <f t="shared" si="83"/>
        <v>45232</v>
      </c>
      <c r="C1041" s="11" t="s">
        <v>6</v>
      </c>
      <c r="D1041" s="12" t="s">
        <v>69</v>
      </c>
      <c r="E1041" s="13">
        <f>IF(VLOOKUP(D1041,Budget!A:B,2,FALSE)&lt;&gt;0,IF(G1041=0,24,24-G1041),0)</f>
        <v>24</v>
      </c>
      <c r="G1041" s="13"/>
      <c r="H1041" s="85">
        <f>IF(E1041=0,0,IF(M1041="ja",(VLOOKUP(D1041,Budget!A:F,6,FALSE)*(E1041-(VLOOKUP(D1041,Budget!A:F,3,FALSE)))),VLOOKUP($D1041,Budget!$A$1:$F$19,6,FALSE)*E1041))</f>
        <v>42919.35380616656</v>
      </c>
      <c r="I1041" s="85">
        <f>IF(F1041=0,0,IF(M1041="ja",((VLOOKUP(F1041,Budget!A:F,6,FALSE)*(E1041-(VLOOKUP(F1041,Budget!A:F,3,FALSE))))),VLOOKUP($D1041,Budget!A:F,5,FALSE)*E1041))</f>
        <v>0</v>
      </c>
      <c r="J1041" s="85">
        <f t="shared" si="85"/>
        <v>42919.35380616656</v>
      </c>
      <c r="K1041" s="14"/>
      <c r="L1041" s="73"/>
      <c r="M1041" s="80" t="str">
        <f t="shared" si="86"/>
        <v>nein</v>
      </c>
      <c r="N1041">
        <f t="shared" si="87"/>
        <v>2023</v>
      </c>
    </row>
    <row r="1042" spans="1:14" hidden="1" x14ac:dyDescent="0.3">
      <c r="A1042" s="105">
        <f t="shared" si="84"/>
        <v>44</v>
      </c>
      <c r="B1042" s="22">
        <f t="shared" si="83"/>
        <v>45233</v>
      </c>
      <c r="C1042" s="11" t="s">
        <v>7</v>
      </c>
      <c r="D1042" s="12" t="s">
        <v>69</v>
      </c>
      <c r="E1042" s="13">
        <f>IF(VLOOKUP(D1042,Budget!A:B,2,FALSE)&lt;&gt;0,IF(G1042=0,24,24-G1042),0)</f>
        <v>24</v>
      </c>
      <c r="G1042" s="13"/>
      <c r="H1042" s="85">
        <f>IF(E1042=0,0,IF(M1042="ja",(VLOOKUP(D1042,Budget!A:F,6,FALSE)*(E1042-(VLOOKUP(D1042,Budget!A:F,3,FALSE)))),VLOOKUP($D1042,Budget!$A$1:$F$19,6,FALSE)*E1042))</f>
        <v>42919.35380616656</v>
      </c>
      <c r="I1042" s="85">
        <f>IF(F1042=0,0,IF(M1042="ja",((VLOOKUP(F1042,Budget!A:F,6,FALSE)*(E1042-(VLOOKUP(F1042,Budget!A:F,3,FALSE))))),VLOOKUP($D1042,Budget!A:F,5,FALSE)*E1042))</f>
        <v>0</v>
      </c>
      <c r="J1042" s="85">
        <f t="shared" si="85"/>
        <v>42919.35380616656</v>
      </c>
      <c r="K1042" s="14"/>
      <c r="L1042" s="25"/>
      <c r="M1042" s="80" t="str">
        <f t="shared" si="86"/>
        <v>nein</v>
      </c>
      <c r="N1042">
        <f t="shared" si="87"/>
        <v>2023</v>
      </c>
    </row>
    <row r="1043" spans="1:14" hidden="1" x14ac:dyDescent="0.3">
      <c r="A1043" s="105">
        <f t="shared" si="84"/>
        <v>44</v>
      </c>
      <c r="B1043" s="22">
        <f t="shared" si="83"/>
        <v>45234</v>
      </c>
      <c r="C1043" s="16" t="s">
        <v>8</v>
      </c>
      <c r="D1043" s="12" t="s">
        <v>69</v>
      </c>
      <c r="E1043" s="13">
        <f>IF(VLOOKUP(D1043,Budget!A:B,2,FALSE)&lt;&gt;0,IF(G1043=0,24,24-G1043),0)</f>
        <v>24</v>
      </c>
      <c r="F1043" s="17"/>
      <c r="G1043" s="17"/>
      <c r="H1043" s="86">
        <f>IF(E1043=0,0,IF(M1043="ja",(VLOOKUP(D1043,Budget!A:F,6,FALSE)*(E1043-(VLOOKUP(D1043,Budget!A:F,3,FALSE)))),VLOOKUP($D1043,Budget!$A$1:$F$19,6,FALSE)*E1043))</f>
        <v>42919.35380616656</v>
      </c>
      <c r="I1043" s="86">
        <f>IF(F1043=0,0,IF(M1043="ja",((VLOOKUP(F1043,Budget!A:F,6,FALSE)*(E1043-(VLOOKUP(F1043,Budget!A:F,3,FALSE))))),VLOOKUP($D1043,Budget!A:F,5,FALSE)*E1043))</f>
        <v>0</v>
      </c>
      <c r="J1043" s="86">
        <f t="shared" si="85"/>
        <v>42919.35380616656</v>
      </c>
      <c r="K1043" s="18"/>
      <c r="L1043" s="75"/>
      <c r="M1043" s="76" t="str">
        <f t="shared" si="86"/>
        <v>nein</v>
      </c>
      <c r="N1043">
        <f t="shared" si="87"/>
        <v>2023</v>
      </c>
    </row>
    <row r="1044" spans="1:14" ht="15" hidden="1" thickBot="1" x14ac:dyDescent="0.35">
      <c r="A1044" s="105">
        <f t="shared" si="84"/>
        <v>44</v>
      </c>
      <c r="B1044" s="27">
        <f t="shared" si="83"/>
        <v>45235</v>
      </c>
      <c r="C1044" s="19" t="s">
        <v>9</v>
      </c>
      <c r="D1044" s="12" t="s">
        <v>69</v>
      </c>
      <c r="E1044" s="13">
        <f>IF(VLOOKUP(D1044,Budget!A:B,2,FALSE)&lt;&gt;0,IF(G1044=0,24,24-G1044),0)</f>
        <v>24</v>
      </c>
      <c r="F1044" s="20"/>
      <c r="G1044" s="20"/>
      <c r="H1044" s="93">
        <f>IF(E1044=0,0,IF(M1044="ja",(VLOOKUP(D1044,Budget!A:F,6,FALSE)*(E1044-(VLOOKUP(D1044,Budget!A:F,3,FALSE)))),VLOOKUP($D1044,Budget!$A$1:$F$19,6,FALSE)*E1044))</f>
        <v>42919.35380616656</v>
      </c>
      <c r="I1044" s="93">
        <f>IF(F1044=0,0,IF(M1044="ja",((VLOOKUP(F1044,Budget!A:F,6,FALSE)*(E1044-(VLOOKUP(F1044,Budget!A:F,3,FALSE))))),VLOOKUP($D1044,Budget!A:F,5,FALSE)*E1044))</f>
        <v>0</v>
      </c>
      <c r="J1044" s="87">
        <f t="shared" si="85"/>
        <v>42919.35380616656</v>
      </c>
      <c r="K1044" s="21"/>
      <c r="L1044" s="74"/>
      <c r="M1044" s="77" t="str">
        <f t="shared" si="86"/>
        <v>nein</v>
      </c>
      <c r="N1044">
        <f t="shared" si="87"/>
        <v>2023</v>
      </c>
    </row>
    <row r="1045" spans="1:14" hidden="1" x14ac:dyDescent="0.3">
      <c r="A1045" s="104">
        <f t="shared" si="84"/>
        <v>45</v>
      </c>
      <c r="B1045" s="22">
        <f t="shared" si="83"/>
        <v>45236</v>
      </c>
      <c r="C1045" s="10" t="s">
        <v>3</v>
      </c>
      <c r="D1045" s="12" t="s">
        <v>12</v>
      </c>
      <c r="E1045" s="13">
        <f>IF(VLOOKUP(D1045,Budget!A:B,2,FALSE)&lt;&gt;0,IF(G1045=0,24,24-G1045),0)</f>
        <v>24</v>
      </c>
      <c r="F1045" s="13"/>
      <c r="G1045" s="13"/>
      <c r="H1045" s="85">
        <f>IF(E1045=0,0,IF(M1045="ja",(VLOOKUP(D1045,Budget!A:F,6,FALSE)*(E1045-(VLOOKUP(D1045,Budget!A:F,3,FALSE)))),VLOOKUP($D1045,Budget!$A$1:$F$19,6,FALSE)*E1045))</f>
        <v>27720</v>
      </c>
      <c r="I1045" s="85">
        <f>IF(F1045=0,0,IF(M1045="ja",((VLOOKUP(F1045,Budget!A:F,6,FALSE)*(E1045-(VLOOKUP(F1045,Budget!A:F,3,FALSE))))),VLOOKUP($D1045,Budget!A:F,5,FALSE)*E1045))</f>
        <v>0</v>
      </c>
      <c r="J1045" s="85">
        <f t="shared" si="85"/>
        <v>27720</v>
      </c>
      <c r="K1045" s="15"/>
      <c r="L1045" s="72"/>
      <c r="M1045" s="80" t="str">
        <f t="shared" si="86"/>
        <v>ja</v>
      </c>
      <c r="N1045">
        <f t="shared" si="87"/>
        <v>2023</v>
      </c>
    </row>
    <row r="1046" spans="1:14" hidden="1" x14ac:dyDescent="0.3">
      <c r="A1046" s="105">
        <f t="shared" si="84"/>
        <v>45</v>
      </c>
      <c r="B1046" s="22">
        <f t="shared" si="83"/>
        <v>45237</v>
      </c>
      <c r="C1046" s="11" t="s">
        <v>4</v>
      </c>
      <c r="D1046" s="12" t="s">
        <v>12</v>
      </c>
      <c r="E1046" s="13">
        <f>IF(VLOOKUP(D1046,Budget!A:B,2,FALSE)&lt;&gt;0,IF(G1046=0,24,24-G1046),0)</f>
        <v>24</v>
      </c>
      <c r="G1046" s="13"/>
      <c r="H1046" s="85">
        <f>IF(E1046=0,0,IF(M1046="ja",(VLOOKUP(D1046,Budget!A:F,6,FALSE)*(E1046-(VLOOKUP(D1046,Budget!A:F,3,FALSE)))),VLOOKUP($D1046,Budget!$A$1:$F$19,6,FALSE)*E1046))</f>
        <v>36960</v>
      </c>
      <c r="I1046" s="85">
        <f>IF(F1046=0,0,IF(M1046="ja",((VLOOKUP(F1046,Budget!A:F,6,FALSE)*(E1046-(VLOOKUP(F1046,Budget!A:F,3,FALSE))))),VLOOKUP($D1046,Budget!A:F,5,FALSE)*E1046))</f>
        <v>0</v>
      </c>
      <c r="J1046" s="85">
        <f t="shared" si="85"/>
        <v>36960</v>
      </c>
      <c r="K1046" s="14"/>
      <c r="L1046" s="73"/>
      <c r="M1046" s="80" t="str">
        <f t="shared" si="86"/>
        <v>nein</v>
      </c>
      <c r="N1046">
        <f t="shared" si="87"/>
        <v>2023</v>
      </c>
    </row>
    <row r="1047" spans="1:14" hidden="1" x14ac:dyDescent="0.3">
      <c r="A1047" s="105">
        <f t="shared" si="84"/>
        <v>45</v>
      </c>
      <c r="B1047" s="22">
        <f t="shared" si="83"/>
        <v>45238</v>
      </c>
      <c r="C1047" s="11" t="s">
        <v>5</v>
      </c>
      <c r="D1047" s="12" t="s">
        <v>69</v>
      </c>
      <c r="E1047" s="13">
        <f>IF(VLOOKUP(D1047,Budget!A:B,2,FALSE)&lt;&gt;0,IF(G1047=0,24,24-G1047),0)</f>
        <v>24</v>
      </c>
      <c r="G1047" s="13"/>
      <c r="H1047" s="85">
        <f>IF(E1047=0,0,IF(M1047="ja",(VLOOKUP(D1047,Budget!A:F,6,FALSE)*(E1047-(VLOOKUP(D1047,Budget!A:F,3,FALSE)))),VLOOKUP($D1047,Budget!$A$1:$F$19,6,FALSE)*E1047))</f>
        <v>38269.757143831848</v>
      </c>
      <c r="I1047" s="85">
        <f>IF(F1047=0,0,IF(M1047="ja",((VLOOKUP(F1047,Budget!A:F,6,FALSE)*(E1047-(VLOOKUP(F1047,Budget!A:F,3,FALSE))))),VLOOKUP($D1047,Budget!A:F,5,FALSE)*E1047))</f>
        <v>0</v>
      </c>
      <c r="J1047" s="85">
        <f t="shared" si="85"/>
        <v>38269.757143831848</v>
      </c>
      <c r="K1047" s="14"/>
      <c r="L1047" s="73"/>
      <c r="M1047" s="80" t="str">
        <f t="shared" si="86"/>
        <v>ja</v>
      </c>
      <c r="N1047">
        <f t="shared" si="87"/>
        <v>2023</v>
      </c>
    </row>
    <row r="1048" spans="1:14" hidden="1" x14ac:dyDescent="0.3">
      <c r="A1048" s="103">
        <f t="shared" si="84"/>
        <v>45</v>
      </c>
      <c r="B1048" s="22">
        <f t="shared" si="83"/>
        <v>45239</v>
      </c>
      <c r="C1048" s="11" t="s">
        <v>6</v>
      </c>
      <c r="D1048" s="12" t="s">
        <v>69</v>
      </c>
      <c r="E1048" s="13">
        <f>IF(VLOOKUP(D1048,Budget!A:B,2,FALSE)&lt;&gt;0,IF(G1048=0,24,24-G1048),0)</f>
        <v>24</v>
      </c>
      <c r="G1048" s="13"/>
      <c r="H1048" s="85">
        <f>IF(E1048=0,0,IF(M1048="ja",(VLOOKUP(D1048,Budget!A:F,6,FALSE)*(E1048-(VLOOKUP(D1048,Budget!A:F,3,FALSE)))),VLOOKUP($D1048,Budget!$A$1:$F$19,6,FALSE)*E1048))</f>
        <v>42919.35380616656</v>
      </c>
      <c r="I1048" s="85">
        <f>IF(F1048=0,0,IF(M1048="ja",((VLOOKUP(F1048,Budget!A:F,6,FALSE)*(E1048-(VLOOKUP(F1048,Budget!A:F,3,FALSE))))),VLOOKUP($D1048,Budget!A:F,5,FALSE)*E1048))</f>
        <v>0</v>
      </c>
      <c r="J1048" s="85">
        <f t="shared" si="85"/>
        <v>42919.35380616656</v>
      </c>
      <c r="K1048" s="14"/>
      <c r="L1048" s="73"/>
      <c r="M1048" s="80" t="str">
        <f t="shared" si="86"/>
        <v>nein</v>
      </c>
      <c r="N1048">
        <f t="shared" si="87"/>
        <v>2023</v>
      </c>
    </row>
    <row r="1049" spans="1:14" hidden="1" x14ac:dyDescent="0.3">
      <c r="A1049" s="105">
        <f t="shared" si="84"/>
        <v>45</v>
      </c>
      <c r="B1049" s="22">
        <f t="shared" si="83"/>
        <v>45240</v>
      </c>
      <c r="C1049" s="11" t="s">
        <v>7</v>
      </c>
      <c r="D1049" s="12" t="s">
        <v>69</v>
      </c>
      <c r="E1049" s="13">
        <f>IF(VLOOKUP(D1049,Budget!A:B,2,FALSE)&lt;&gt;0,IF(G1049=0,24,24-G1049),0)</f>
        <v>24</v>
      </c>
      <c r="G1049" s="13"/>
      <c r="H1049" s="85">
        <f>IF(E1049=0,0,IF(M1049="ja",(VLOOKUP(D1049,Budget!A:F,6,FALSE)*(E1049-(VLOOKUP(D1049,Budget!A:F,3,FALSE)))),VLOOKUP($D1049,Budget!$A$1:$F$19,6,FALSE)*E1049))</f>
        <v>42919.35380616656</v>
      </c>
      <c r="I1049" s="85">
        <f>IF(F1049=0,0,IF(M1049="ja",((VLOOKUP(F1049,Budget!A:F,6,FALSE)*(E1049-(VLOOKUP(F1049,Budget!A:F,3,FALSE))))),VLOOKUP($D1049,Budget!A:F,5,FALSE)*E1049))</f>
        <v>0</v>
      </c>
      <c r="J1049" s="85">
        <f t="shared" si="85"/>
        <v>42919.35380616656</v>
      </c>
      <c r="K1049" s="14"/>
      <c r="L1049" s="25"/>
      <c r="M1049" s="80" t="str">
        <f t="shared" si="86"/>
        <v>nein</v>
      </c>
      <c r="N1049">
        <f t="shared" si="87"/>
        <v>2023</v>
      </c>
    </row>
    <row r="1050" spans="1:14" hidden="1" x14ac:dyDescent="0.3">
      <c r="A1050" s="105">
        <f t="shared" si="84"/>
        <v>45</v>
      </c>
      <c r="B1050" s="22">
        <f t="shared" si="83"/>
        <v>45241</v>
      </c>
      <c r="C1050" s="16" t="s">
        <v>8</v>
      </c>
      <c r="D1050" s="17" t="s">
        <v>69</v>
      </c>
      <c r="E1050" s="13">
        <f>IF(VLOOKUP(D1050,Budget!A:B,2,FALSE)&lt;&gt;0,IF(G1050=0,24,24-G1050),0)</f>
        <v>24</v>
      </c>
      <c r="F1050" s="17"/>
      <c r="G1050" s="17"/>
      <c r="H1050" s="86">
        <f>IF(E1050=0,0,IF(M1050="ja",(VLOOKUP(D1050,Budget!A:F,6,FALSE)*(E1050-(VLOOKUP(D1050,Budget!A:F,3,FALSE)))),VLOOKUP($D1050,Budget!$A$1:$F$19,6,FALSE)*E1050))</f>
        <v>42919.35380616656</v>
      </c>
      <c r="I1050" s="86">
        <f>IF(F1050=0,0,IF(M1050="ja",((VLOOKUP(F1050,Budget!A:F,6,FALSE)*(E1050-(VLOOKUP(F1050,Budget!A:F,3,FALSE))))),VLOOKUP($D1050,Budget!A:F,5,FALSE)*E1050))</f>
        <v>0</v>
      </c>
      <c r="J1050" s="86">
        <f t="shared" si="85"/>
        <v>42919.35380616656</v>
      </c>
      <c r="K1050" s="18"/>
      <c r="L1050" s="75"/>
      <c r="M1050" s="76" t="str">
        <f t="shared" si="86"/>
        <v>nein</v>
      </c>
      <c r="N1050">
        <f t="shared" si="87"/>
        <v>2023</v>
      </c>
    </row>
    <row r="1051" spans="1:14" ht="15" hidden="1" thickBot="1" x14ac:dyDescent="0.35">
      <c r="A1051" s="105">
        <f t="shared" si="84"/>
        <v>45</v>
      </c>
      <c r="B1051" s="27">
        <f t="shared" si="83"/>
        <v>45242</v>
      </c>
      <c r="C1051" s="19" t="s">
        <v>9</v>
      </c>
      <c r="D1051" s="20" t="s">
        <v>69</v>
      </c>
      <c r="E1051" s="13">
        <f>IF(VLOOKUP(D1051,Budget!A:B,2,FALSE)&lt;&gt;0,IF(G1051=0,24,24-G1051),0)</f>
        <v>24</v>
      </c>
      <c r="F1051" s="20"/>
      <c r="G1051" s="20"/>
      <c r="H1051" s="93">
        <f>IF(E1051=0,0,IF(M1051="ja",(VLOOKUP(D1051,Budget!A:F,6,FALSE)*(E1051-(VLOOKUP(D1051,Budget!A:F,3,FALSE)))),VLOOKUP($D1051,Budget!$A$1:$F$19,6,FALSE)*E1051))</f>
        <v>42919.35380616656</v>
      </c>
      <c r="I1051" s="93">
        <f>IF(F1051=0,0,IF(M1051="ja",((VLOOKUP(F1051,Budget!A:F,6,FALSE)*(E1051-(VLOOKUP(F1051,Budget!A:F,3,FALSE))))),VLOOKUP($D1051,Budget!A:F,5,FALSE)*E1051))</f>
        <v>0</v>
      </c>
      <c r="J1051" s="87">
        <f t="shared" si="85"/>
        <v>42919.35380616656</v>
      </c>
      <c r="K1051" s="21"/>
      <c r="L1051" s="74"/>
      <c r="M1051" s="77" t="str">
        <f t="shared" si="86"/>
        <v>nein</v>
      </c>
      <c r="N1051">
        <f t="shared" si="87"/>
        <v>2023</v>
      </c>
    </row>
    <row r="1052" spans="1:14" hidden="1" x14ac:dyDescent="0.3">
      <c r="A1052" s="104">
        <f t="shared" si="84"/>
        <v>46</v>
      </c>
      <c r="B1052" s="22">
        <f t="shared" si="83"/>
        <v>45243</v>
      </c>
      <c r="C1052" s="10" t="s">
        <v>3</v>
      </c>
      <c r="D1052" s="12" t="s">
        <v>29</v>
      </c>
      <c r="E1052" s="13">
        <f>IF(VLOOKUP(D1052,Budget!A:B,2,FALSE)&lt;&gt;0,IF(G1052=0,24,24-G1052),0)</f>
        <v>0</v>
      </c>
      <c r="F1052" s="13"/>
      <c r="G1052" s="13"/>
      <c r="H1052" s="85">
        <f>IF(E1052=0,0,IF(M1052="ja",(VLOOKUP(D1052,Budget!A:F,6,FALSE)*(E1052-(VLOOKUP(D1052,Budget!A:F,3,FALSE)))),VLOOKUP($D1052,Budget!$A$1:$F$19,6,FALSE)*E1052))</f>
        <v>0</v>
      </c>
      <c r="I1052" s="85">
        <f>IF(F1052=0,0,IF(M1052="ja",((VLOOKUP(F1052,Budget!A:F,6,FALSE)*(E1052-(VLOOKUP(F1052,Budget!A:F,3,FALSE))))),VLOOKUP($D1052,Budget!A:F,5,FALSE)*E1052))</f>
        <v>0</v>
      </c>
      <c r="J1052" s="85">
        <f t="shared" si="85"/>
        <v>0</v>
      </c>
      <c r="K1052" s="15"/>
      <c r="L1052" s="72"/>
      <c r="M1052" s="80" t="str">
        <f t="shared" si="86"/>
        <v>nein</v>
      </c>
      <c r="N1052">
        <f t="shared" si="87"/>
        <v>2023</v>
      </c>
    </row>
    <row r="1053" spans="1:14" hidden="1" x14ac:dyDescent="0.3">
      <c r="A1053" s="105">
        <f t="shared" si="84"/>
        <v>46</v>
      </c>
      <c r="B1053" s="22">
        <f t="shared" si="83"/>
        <v>45244</v>
      </c>
      <c r="C1053" s="11" t="s">
        <v>4</v>
      </c>
      <c r="D1053" s="12" t="s">
        <v>29</v>
      </c>
      <c r="E1053" s="13">
        <f>IF(VLOOKUP(D1053,Budget!A:B,2,FALSE)&lt;&gt;0,IF(G1053=0,24,24-G1053),0)</f>
        <v>0</v>
      </c>
      <c r="G1053" s="13"/>
      <c r="H1053" s="85">
        <f>IF(E1053=0,0,IF(M1053="ja",(VLOOKUP(D1053,Budget!A:F,6,FALSE)*(E1053-(VLOOKUP(D1053,Budget!A:F,3,FALSE)))),VLOOKUP($D1053,Budget!$A$1:$F$19,6,FALSE)*E1053))</f>
        <v>0</v>
      </c>
      <c r="I1053" s="85">
        <f>IF(F1053=0,0,IF(M1053="ja",((VLOOKUP(F1053,Budget!A:F,6,FALSE)*(E1053-(VLOOKUP(F1053,Budget!A:F,3,FALSE))))),VLOOKUP($D1053,Budget!A:F,5,FALSE)*E1053))</f>
        <v>0</v>
      </c>
      <c r="J1053" s="85">
        <f t="shared" si="85"/>
        <v>0</v>
      </c>
      <c r="K1053" s="14"/>
      <c r="L1053" s="73"/>
      <c r="M1053" s="80" t="str">
        <f t="shared" si="86"/>
        <v>nein</v>
      </c>
      <c r="N1053">
        <f t="shared" si="87"/>
        <v>2023</v>
      </c>
    </row>
    <row r="1054" spans="1:14" hidden="1" x14ac:dyDescent="0.3">
      <c r="A1054" s="105">
        <f t="shared" si="84"/>
        <v>46</v>
      </c>
      <c r="B1054" s="22">
        <f t="shared" si="83"/>
        <v>45245</v>
      </c>
      <c r="C1054" s="11" t="s">
        <v>5</v>
      </c>
      <c r="D1054" s="12" t="s">
        <v>29</v>
      </c>
      <c r="E1054" s="13">
        <f>IF(VLOOKUP(D1054,Budget!A:B,2,FALSE)&lt;&gt;0,IF(G1054=0,24,24-G1054),0)</f>
        <v>0</v>
      </c>
      <c r="G1054" s="13"/>
      <c r="H1054" s="85">
        <f>IF(E1054=0,0,IF(M1054="ja",(VLOOKUP(D1054,Budget!A:F,6,FALSE)*(E1054-(VLOOKUP(D1054,Budget!A:F,3,FALSE)))),VLOOKUP($D1054,Budget!$A$1:$F$19,6,FALSE)*E1054))</f>
        <v>0</v>
      </c>
      <c r="I1054" s="85">
        <f>IF(F1054=0,0,IF(M1054="ja",((VLOOKUP(F1054,Budget!A:F,6,FALSE)*(E1054-(VLOOKUP(F1054,Budget!A:F,3,FALSE))))),VLOOKUP($D1054,Budget!A:F,5,FALSE)*E1054))</f>
        <v>0</v>
      </c>
      <c r="J1054" s="85">
        <f t="shared" si="85"/>
        <v>0</v>
      </c>
      <c r="K1054" s="14"/>
      <c r="L1054" s="73"/>
      <c r="M1054" s="80" t="str">
        <f t="shared" si="86"/>
        <v>nein</v>
      </c>
      <c r="N1054">
        <f t="shared" si="87"/>
        <v>2023</v>
      </c>
    </row>
    <row r="1055" spans="1:14" hidden="1" x14ac:dyDescent="0.3">
      <c r="A1055" s="103">
        <f t="shared" si="84"/>
        <v>46</v>
      </c>
      <c r="B1055" s="22">
        <f t="shared" si="83"/>
        <v>45246</v>
      </c>
      <c r="C1055" s="11" t="s">
        <v>6</v>
      </c>
      <c r="D1055" s="12" t="s">
        <v>29</v>
      </c>
      <c r="E1055" s="13">
        <f>IF(VLOOKUP(D1055,Budget!A:B,2,FALSE)&lt;&gt;0,IF(G1055=0,24,24-G1055),0)</f>
        <v>0</v>
      </c>
      <c r="G1055" s="13"/>
      <c r="H1055" s="85">
        <f>IF(E1055=0,0,IF(M1055="ja",(VLOOKUP(D1055,Budget!A:F,6,FALSE)*(E1055-(VLOOKUP(D1055,Budget!A:F,3,FALSE)))),VLOOKUP($D1055,Budget!$A$1:$F$19,6,FALSE)*E1055))</f>
        <v>0</v>
      </c>
      <c r="I1055" s="85">
        <f>IF(F1055=0,0,IF(M1055="ja",((VLOOKUP(F1055,Budget!A:F,6,FALSE)*(E1055-(VLOOKUP(F1055,Budget!A:F,3,FALSE))))),VLOOKUP($D1055,Budget!A:F,5,FALSE)*E1055))</f>
        <v>0</v>
      </c>
      <c r="J1055" s="85">
        <f t="shared" si="85"/>
        <v>0</v>
      </c>
      <c r="K1055" s="14"/>
      <c r="L1055" s="73"/>
      <c r="M1055" s="80" t="str">
        <f t="shared" si="86"/>
        <v>nein</v>
      </c>
      <c r="N1055">
        <f t="shared" si="87"/>
        <v>2023</v>
      </c>
    </row>
    <row r="1056" spans="1:14" hidden="1" x14ac:dyDescent="0.3">
      <c r="A1056" s="105">
        <f t="shared" si="84"/>
        <v>46</v>
      </c>
      <c r="B1056" s="22">
        <f t="shared" si="83"/>
        <v>45247</v>
      </c>
      <c r="C1056" s="11" t="s">
        <v>7</v>
      </c>
      <c r="D1056" s="12" t="s">
        <v>29</v>
      </c>
      <c r="E1056" s="13">
        <f>IF(VLOOKUP(D1056,Budget!A:B,2,FALSE)&lt;&gt;0,IF(G1056=0,24,24-G1056),0)</f>
        <v>0</v>
      </c>
      <c r="G1056" s="13"/>
      <c r="H1056" s="85">
        <f>IF(E1056=0,0,IF(M1056="ja",(VLOOKUP(D1056,Budget!A:F,6,FALSE)*(E1056-(VLOOKUP(D1056,Budget!A:F,3,FALSE)))),VLOOKUP($D1056,Budget!$A$1:$F$19,6,FALSE)*E1056))</f>
        <v>0</v>
      </c>
      <c r="I1056" s="85">
        <f>IF(F1056=0,0,IF(M1056="ja",((VLOOKUP(F1056,Budget!A:F,6,FALSE)*(E1056-(VLOOKUP(F1056,Budget!A:F,3,FALSE))))),VLOOKUP($D1056,Budget!A:F,5,FALSE)*E1056))</f>
        <v>0</v>
      </c>
      <c r="J1056" s="85">
        <f t="shared" si="85"/>
        <v>0</v>
      </c>
      <c r="K1056" s="14"/>
      <c r="L1056" s="25"/>
      <c r="M1056" s="80" t="str">
        <f t="shared" si="86"/>
        <v>nein</v>
      </c>
      <c r="N1056">
        <f t="shared" si="87"/>
        <v>2023</v>
      </c>
    </row>
    <row r="1057" spans="1:14" hidden="1" x14ac:dyDescent="0.3">
      <c r="A1057" s="105">
        <f t="shared" si="84"/>
        <v>46</v>
      </c>
      <c r="B1057" s="22">
        <f t="shared" si="83"/>
        <v>45248</v>
      </c>
      <c r="C1057" s="16" t="s">
        <v>8</v>
      </c>
      <c r="D1057" s="17" t="s">
        <v>29</v>
      </c>
      <c r="E1057" s="13">
        <f>IF(VLOOKUP(D1057,Budget!A:B,2,FALSE)&lt;&gt;0,IF(G1057=0,24,24-G1057),0)</f>
        <v>0</v>
      </c>
      <c r="F1057" s="17"/>
      <c r="G1057" s="17"/>
      <c r="H1057" s="86">
        <f>IF(E1057=0,0,IF(M1057="ja",(VLOOKUP(D1057,Budget!A:F,6,FALSE)*(E1057-(VLOOKUP(D1057,Budget!A:F,3,FALSE)))),VLOOKUP($D1057,Budget!$A$1:$F$19,6,FALSE)*E1057))</f>
        <v>0</v>
      </c>
      <c r="I1057" s="86">
        <f>IF(F1057=0,0,IF(M1057="ja",((VLOOKUP(F1057,Budget!A:F,6,FALSE)*(E1057-(VLOOKUP(F1057,Budget!A:F,3,FALSE))))),VLOOKUP($D1057,Budget!A:F,5,FALSE)*E1057))</f>
        <v>0</v>
      </c>
      <c r="J1057" s="86">
        <f t="shared" si="85"/>
        <v>0</v>
      </c>
      <c r="K1057" s="18"/>
      <c r="L1057" s="75"/>
      <c r="M1057" s="76" t="str">
        <f t="shared" si="86"/>
        <v>nein</v>
      </c>
      <c r="N1057">
        <f t="shared" si="87"/>
        <v>2023</v>
      </c>
    </row>
    <row r="1058" spans="1:14" ht="15" hidden="1" thickBot="1" x14ac:dyDescent="0.35">
      <c r="A1058" s="105">
        <f t="shared" si="84"/>
        <v>46</v>
      </c>
      <c r="B1058" s="27">
        <f t="shared" ref="B1058:B1107" si="88">B1057+1</f>
        <v>45249</v>
      </c>
      <c r="C1058" s="19" t="s">
        <v>9</v>
      </c>
      <c r="D1058" s="20" t="s">
        <v>29</v>
      </c>
      <c r="E1058" s="13">
        <f>IF(VLOOKUP(D1058,Budget!A:B,2,FALSE)&lt;&gt;0,IF(G1058=0,24,24-G1058),0)</f>
        <v>0</v>
      </c>
      <c r="F1058" s="20"/>
      <c r="G1058" s="20"/>
      <c r="H1058" s="93">
        <f>IF(E1058=0,0,IF(M1058="ja",(VLOOKUP(D1058,Budget!A:F,6,FALSE)*(E1058-(VLOOKUP(D1058,Budget!A:F,3,FALSE)))),VLOOKUP($D1058,Budget!$A$1:$F$19,6,FALSE)*E1058))</f>
        <v>0</v>
      </c>
      <c r="I1058" s="93">
        <f>IF(F1058=0,0,IF(M1058="ja",((VLOOKUP(F1058,Budget!A:F,6,FALSE)*(E1058-(VLOOKUP(F1058,Budget!A:F,3,FALSE))))),VLOOKUP($D1058,Budget!A:F,5,FALSE)*E1058))</f>
        <v>0</v>
      </c>
      <c r="J1058" s="87">
        <f t="shared" si="85"/>
        <v>0</v>
      </c>
      <c r="K1058" s="21"/>
      <c r="L1058" s="74"/>
      <c r="M1058" s="77" t="str">
        <f t="shared" si="86"/>
        <v>nein</v>
      </c>
      <c r="N1058">
        <f t="shared" si="87"/>
        <v>2023</v>
      </c>
    </row>
    <row r="1059" spans="1:14" hidden="1" x14ac:dyDescent="0.3">
      <c r="A1059" s="104">
        <f t="shared" si="84"/>
        <v>47</v>
      </c>
      <c r="B1059" s="22">
        <f t="shared" si="88"/>
        <v>45250</v>
      </c>
      <c r="C1059" s="10" t="s">
        <v>3</v>
      </c>
      <c r="D1059" s="122" t="s">
        <v>30</v>
      </c>
      <c r="E1059" s="13">
        <f>IF(VLOOKUP(D1059,Budget!A:B,2,FALSE)&lt;&gt;0,IF(G1059=0,24,24-G1059),0)</f>
        <v>0</v>
      </c>
      <c r="F1059" s="13"/>
      <c r="G1059" s="13"/>
      <c r="H1059" s="85">
        <f>IF(E1059=0,0,IF(M1059="ja",(VLOOKUP(D1059,Budget!A:F,6,FALSE)*(E1059-(VLOOKUP(D1059,Budget!A:F,3,FALSE)))),VLOOKUP($D1059,Budget!$A$1:$F$19,6,FALSE)*E1059))</f>
        <v>0</v>
      </c>
      <c r="I1059" s="85">
        <f>IF(F1059=0,0,IF(M1059="ja",((VLOOKUP(F1059,Budget!A:F,6,FALSE)*(E1059-(VLOOKUP(F1059,Budget!A:F,3,FALSE))))),VLOOKUP($D1059,Budget!A:F,5,FALSE)*E1059))</f>
        <v>0</v>
      </c>
      <c r="J1059" s="85">
        <f t="shared" si="85"/>
        <v>0</v>
      </c>
      <c r="K1059" s="15"/>
      <c r="L1059" s="72"/>
      <c r="M1059" s="80" t="str">
        <f t="shared" si="86"/>
        <v>nein</v>
      </c>
      <c r="N1059">
        <f t="shared" si="87"/>
        <v>2023</v>
      </c>
    </row>
    <row r="1060" spans="1:14" hidden="1" x14ac:dyDescent="0.3">
      <c r="A1060" s="105">
        <f t="shared" si="84"/>
        <v>47</v>
      </c>
      <c r="B1060" s="22">
        <f t="shared" si="88"/>
        <v>45251</v>
      </c>
      <c r="C1060" s="11" t="s">
        <v>4</v>
      </c>
      <c r="D1060" s="122" t="s">
        <v>30</v>
      </c>
      <c r="E1060" s="13">
        <f>IF(VLOOKUP(D1060,Budget!A:B,2,FALSE)&lt;&gt;0,IF(G1060=0,24,24-G1060),0)</f>
        <v>0</v>
      </c>
      <c r="G1060" s="13"/>
      <c r="H1060" s="85">
        <f>IF(E1060=0,0,IF(M1060="ja",(VLOOKUP(D1060,Budget!A:F,6,FALSE)*(E1060-(VLOOKUP(D1060,Budget!A:F,3,FALSE)))),VLOOKUP($D1060,Budget!$A$1:$F$19,6,FALSE)*E1060))</f>
        <v>0</v>
      </c>
      <c r="I1060" s="85">
        <f>IF(F1060=0,0,IF(M1060="ja",((VLOOKUP(F1060,Budget!A:F,6,FALSE)*(E1060-(VLOOKUP(F1060,Budget!A:F,3,FALSE))))),VLOOKUP($D1060,Budget!A:F,5,FALSE)*E1060))</f>
        <v>0</v>
      </c>
      <c r="J1060" s="85">
        <f t="shared" si="85"/>
        <v>0</v>
      </c>
      <c r="K1060" s="14"/>
      <c r="L1060" s="73"/>
      <c r="M1060" s="80" t="str">
        <f t="shared" si="86"/>
        <v>nein</v>
      </c>
      <c r="N1060">
        <f t="shared" si="87"/>
        <v>2023</v>
      </c>
    </row>
    <row r="1061" spans="1:14" hidden="1" x14ac:dyDescent="0.3">
      <c r="A1061" s="105">
        <f t="shared" si="84"/>
        <v>47</v>
      </c>
      <c r="B1061" s="22">
        <f t="shared" si="88"/>
        <v>45252</v>
      </c>
      <c r="C1061" s="11" t="s">
        <v>5</v>
      </c>
      <c r="D1061" s="12" t="s">
        <v>18</v>
      </c>
      <c r="E1061" s="13">
        <f>IF(VLOOKUP(D1061,Budget!A:B,2,FALSE)&lt;&gt;0,IF(G1061=0,24,24-G1061),0)</f>
        <v>24</v>
      </c>
      <c r="G1061" s="13"/>
      <c r="H1061" s="85">
        <f>IF(E1061=0,0,IF(M1061="ja",(VLOOKUP(D1061,Budget!A:F,6,FALSE)*(E1061-(VLOOKUP(D1061,Budget!A:F,3,FALSE)))),VLOOKUP($D1061,Budget!$A$1:$F$19,6,FALSE)*E1061))</f>
        <v>25200</v>
      </c>
      <c r="I1061" s="85">
        <f>IF(F1061=0,0,IF(M1061="ja",((VLOOKUP(F1061,Budget!A:F,6,FALSE)*(E1061-(VLOOKUP(F1061,Budget!A:F,3,FALSE))))),VLOOKUP($D1061,Budget!A:F,5,FALSE)*E1061))</f>
        <v>0</v>
      </c>
      <c r="J1061" s="85">
        <f t="shared" si="85"/>
        <v>25200</v>
      </c>
      <c r="K1061" s="14"/>
      <c r="L1061" s="73"/>
      <c r="M1061" s="80" t="str">
        <f t="shared" si="86"/>
        <v>ja</v>
      </c>
      <c r="N1061">
        <f t="shared" si="87"/>
        <v>2023</v>
      </c>
    </row>
    <row r="1062" spans="1:14" hidden="1" x14ac:dyDescent="0.3">
      <c r="A1062" s="103">
        <f t="shared" si="84"/>
        <v>47</v>
      </c>
      <c r="B1062" s="22">
        <f t="shared" si="88"/>
        <v>45253</v>
      </c>
      <c r="C1062" s="11" t="s">
        <v>6</v>
      </c>
      <c r="D1062" s="12" t="s">
        <v>18</v>
      </c>
      <c r="E1062" s="13">
        <f>IF(VLOOKUP(D1062,Budget!A:B,2,FALSE)&lt;&gt;0,IF(G1062=0,24,24-G1062),0)</f>
        <v>24</v>
      </c>
      <c r="G1062" s="13"/>
      <c r="H1062" s="85">
        <f>IF(E1062=0,0,IF(M1062="ja",(VLOOKUP(D1062,Budget!A:F,6,FALSE)*(E1062-(VLOOKUP(D1062,Budget!A:F,3,FALSE)))),VLOOKUP($D1062,Budget!$A$1:$F$19,6,FALSE)*E1062))</f>
        <v>28800</v>
      </c>
      <c r="I1062" s="85">
        <f>IF(F1062=0,0,IF(M1062="ja",((VLOOKUP(F1062,Budget!A:F,6,FALSE)*(E1062-(VLOOKUP(F1062,Budget!A:F,3,FALSE))))),VLOOKUP($D1062,Budget!A:F,5,FALSE)*E1062))</f>
        <v>0</v>
      </c>
      <c r="J1062" s="85">
        <f t="shared" si="85"/>
        <v>28800</v>
      </c>
      <c r="K1062" s="14"/>
      <c r="L1062" s="73"/>
      <c r="M1062" s="80" t="str">
        <f t="shared" si="86"/>
        <v>nein</v>
      </c>
      <c r="N1062">
        <f t="shared" si="87"/>
        <v>2023</v>
      </c>
    </row>
    <row r="1063" spans="1:14" hidden="1" x14ac:dyDescent="0.3">
      <c r="A1063" s="105">
        <f t="shared" si="84"/>
        <v>47</v>
      </c>
      <c r="B1063" s="22">
        <f t="shared" si="88"/>
        <v>45254</v>
      </c>
      <c r="C1063" s="11" t="s">
        <v>7</v>
      </c>
      <c r="D1063" s="12" t="s">
        <v>69</v>
      </c>
      <c r="E1063" s="13">
        <f>IF(VLOOKUP(D1063,Budget!A:B,2,FALSE)&lt;&gt;0,IF(G1063=0,24,24-G1063),0)</f>
        <v>24</v>
      </c>
      <c r="G1063" s="13"/>
      <c r="H1063" s="85">
        <f>IF(E1063=0,0,IF(M1063="ja",(VLOOKUP(D1063,Budget!A:F,6,FALSE)*(E1063-(VLOOKUP(D1063,Budget!A:F,3,FALSE)))),VLOOKUP($D1063,Budget!$A$1:$F$19,6,FALSE)*E1063))</f>
        <v>38269.757143831848</v>
      </c>
      <c r="I1063" s="85">
        <f>IF(F1063=0,0,IF(M1063="ja",((VLOOKUP(F1063,Budget!A:F,6,FALSE)*(E1063-(VLOOKUP(F1063,Budget!A:F,3,FALSE))))),VLOOKUP($D1063,Budget!A:F,5,FALSE)*E1063))</f>
        <v>0</v>
      </c>
      <c r="J1063" s="85">
        <f t="shared" si="85"/>
        <v>38269.757143831848</v>
      </c>
      <c r="K1063" s="14"/>
      <c r="L1063" s="25"/>
      <c r="M1063" s="80" t="str">
        <f t="shared" si="86"/>
        <v>ja</v>
      </c>
      <c r="N1063">
        <f t="shared" si="87"/>
        <v>2023</v>
      </c>
    </row>
    <row r="1064" spans="1:14" hidden="1" x14ac:dyDescent="0.3">
      <c r="A1064" s="105">
        <f t="shared" si="84"/>
        <v>47</v>
      </c>
      <c r="B1064" s="22">
        <f t="shared" si="88"/>
        <v>45255</v>
      </c>
      <c r="C1064" s="16" t="s">
        <v>8</v>
      </c>
      <c r="D1064" s="17" t="s">
        <v>69</v>
      </c>
      <c r="E1064" s="13">
        <f>IF(VLOOKUP(D1064,Budget!A:B,2,FALSE)&lt;&gt;0,IF(G1064=0,24,24-G1064),0)</f>
        <v>24</v>
      </c>
      <c r="F1064" s="17"/>
      <c r="G1064" s="17"/>
      <c r="H1064" s="86">
        <f>IF(E1064=0,0,IF(M1064="ja",(VLOOKUP(D1064,Budget!A:F,6,FALSE)*(E1064-(VLOOKUP(D1064,Budget!A:F,3,FALSE)))),VLOOKUP($D1064,Budget!$A$1:$F$19,6,FALSE)*E1064))</f>
        <v>42919.35380616656</v>
      </c>
      <c r="I1064" s="86">
        <f>IF(F1064=0,0,IF(M1064="ja",((VLOOKUP(F1064,Budget!A:F,6,FALSE)*(E1064-(VLOOKUP(F1064,Budget!A:F,3,FALSE))))),VLOOKUP($D1064,Budget!A:F,5,FALSE)*E1064))</f>
        <v>0</v>
      </c>
      <c r="J1064" s="86">
        <f t="shared" si="85"/>
        <v>42919.35380616656</v>
      </c>
      <c r="K1064" s="18"/>
      <c r="L1064" s="75"/>
      <c r="M1064" s="76" t="str">
        <f t="shared" si="86"/>
        <v>nein</v>
      </c>
      <c r="N1064">
        <f t="shared" si="87"/>
        <v>2023</v>
      </c>
    </row>
    <row r="1065" spans="1:14" ht="15" hidden="1" thickBot="1" x14ac:dyDescent="0.35">
      <c r="A1065" s="105">
        <f t="shared" si="84"/>
        <v>47</v>
      </c>
      <c r="B1065" s="27">
        <f t="shared" si="88"/>
        <v>45256</v>
      </c>
      <c r="C1065" s="19" t="s">
        <v>9</v>
      </c>
      <c r="D1065" s="20" t="s">
        <v>69</v>
      </c>
      <c r="E1065" s="13">
        <f>IF(VLOOKUP(D1065,Budget!A:B,2,FALSE)&lt;&gt;0,IF(G1065=0,24,24-G1065),0)</f>
        <v>24</v>
      </c>
      <c r="F1065" s="20"/>
      <c r="G1065" s="20"/>
      <c r="H1065" s="93">
        <f>IF(E1065=0,0,IF(M1065="ja",(VLOOKUP(D1065,Budget!A:F,6,FALSE)*(E1065-(VLOOKUP(D1065,Budget!A:F,3,FALSE)))),VLOOKUP($D1065,Budget!$A$1:$F$19,6,FALSE)*E1065))</f>
        <v>42919.35380616656</v>
      </c>
      <c r="I1065" s="93">
        <f>IF(F1065=0,0,IF(M1065="ja",((VLOOKUP(F1065,Budget!A:F,6,FALSE)*(E1065-(VLOOKUP(F1065,Budget!A:F,3,FALSE))))),VLOOKUP($D1065,Budget!A:F,5,FALSE)*E1065))</f>
        <v>0</v>
      </c>
      <c r="J1065" s="87">
        <f t="shared" si="85"/>
        <v>42919.35380616656</v>
      </c>
      <c r="K1065" s="21"/>
      <c r="L1065" s="74"/>
      <c r="M1065" s="77" t="str">
        <f t="shared" si="86"/>
        <v>nein</v>
      </c>
      <c r="N1065">
        <f t="shared" si="87"/>
        <v>2023</v>
      </c>
    </row>
    <row r="1066" spans="1:14" hidden="1" x14ac:dyDescent="0.3">
      <c r="A1066" s="104">
        <f t="shared" si="84"/>
        <v>48</v>
      </c>
      <c r="B1066" s="22">
        <f t="shared" si="88"/>
        <v>45257</v>
      </c>
      <c r="C1066" s="10" t="s">
        <v>3</v>
      </c>
      <c r="D1066" s="12" t="s">
        <v>11</v>
      </c>
      <c r="E1066" s="13">
        <f>IF(VLOOKUP(D1066,Budget!A:B,2,FALSE)&lt;&gt;0,IF(G1066=0,24,24-G1066),0)</f>
        <v>24</v>
      </c>
      <c r="F1066" s="13"/>
      <c r="G1066" s="13"/>
      <c r="H1066" s="85">
        <f>IF(E1066=0,0,IF(M1066="ja",(VLOOKUP(D1066,Budget!A:F,6,FALSE)*(E1066-(VLOOKUP(D1066,Budget!A:F,3,FALSE)))),VLOOKUP($D1066,Budget!$A$1:$F$19,6,FALSE)*E1066))</f>
        <v>30030</v>
      </c>
      <c r="I1066" s="85">
        <f>IF(F1066=0,0,IF(M1066="ja",((VLOOKUP(F1066,Budget!A:F,6,FALSE)*(E1066-(VLOOKUP(F1066,Budget!A:F,3,FALSE))))),VLOOKUP($D1066,Budget!A:F,5,FALSE)*E1066))</f>
        <v>0</v>
      </c>
      <c r="J1066" s="85">
        <f t="shared" si="85"/>
        <v>30030</v>
      </c>
      <c r="K1066" s="15"/>
      <c r="L1066" s="72"/>
      <c r="M1066" s="80" t="str">
        <f t="shared" si="86"/>
        <v>ja</v>
      </c>
      <c r="N1066">
        <f t="shared" si="87"/>
        <v>2023</v>
      </c>
    </row>
    <row r="1067" spans="1:14" hidden="1" x14ac:dyDescent="0.3">
      <c r="A1067" s="105">
        <f t="shared" si="84"/>
        <v>48</v>
      </c>
      <c r="B1067" s="22">
        <f t="shared" si="88"/>
        <v>45258</v>
      </c>
      <c r="C1067" s="11" t="s">
        <v>4</v>
      </c>
      <c r="D1067" s="12" t="s">
        <v>11</v>
      </c>
      <c r="E1067" s="13">
        <f>IF(VLOOKUP(D1067,Budget!A:B,2,FALSE)&lt;&gt;0,IF(G1067=0,24,24-G1067),0)</f>
        <v>24</v>
      </c>
      <c r="G1067" s="13"/>
      <c r="H1067" s="85">
        <f>IF(E1067=0,0,IF(M1067="ja",(VLOOKUP(D1067,Budget!A:F,6,FALSE)*(E1067-(VLOOKUP(D1067,Budget!A:F,3,FALSE)))),VLOOKUP($D1067,Budget!$A$1:$F$19,6,FALSE)*E1067))</f>
        <v>36960</v>
      </c>
      <c r="I1067" s="85">
        <f>IF(F1067=0,0,IF(M1067="ja",((VLOOKUP(F1067,Budget!A:F,6,FALSE)*(E1067-(VLOOKUP(F1067,Budget!A:F,3,FALSE))))),VLOOKUP($D1067,Budget!A:F,5,FALSE)*E1067))</f>
        <v>0</v>
      </c>
      <c r="J1067" s="85">
        <f t="shared" si="85"/>
        <v>36960</v>
      </c>
      <c r="K1067" s="14"/>
      <c r="L1067" s="73"/>
      <c r="M1067" s="80" t="str">
        <f t="shared" si="86"/>
        <v>nein</v>
      </c>
      <c r="N1067">
        <f t="shared" si="87"/>
        <v>2023</v>
      </c>
    </row>
    <row r="1068" spans="1:14" hidden="1" x14ac:dyDescent="0.3">
      <c r="A1068" s="105">
        <f t="shared" si="84"/>
        <v>48</v>
      </c>
      <c r="B1068" s="22">
        <f t="shared" si="88"/>
        <v>45259</v>
      </c>
      <c r="C1068" s="11" t="s">
        <v>5</v>
      </c>
      <c r="D1068" s="12" t="s">
        <v>11</v>
      </c>
      <c r="E1068" s="13">
        <f>IF(VLOOKUP(D1068,Budget!A:B,2,FALSE)&lt;&gt;0,IF(G1068=0,24,24-G1068),0)</f>
        <v>24</v>
      </c>
      <c r="G1068" s="13"/>
      <c r="H1068" s="85">
        <f>IF(E1068=0,0,IF(M1068="ja",(VLOOKUP(D1068,Budget!A:F,6,FALSE)*(E1068-(VLOOKUP(D1068,Budget!A:F,3,FALSE)))),VLOOKUP($D1068,Budget!$A$1:$F$19,6,FALSE)*E1068))</f>
        <v>36960</v>
      </c>
      <c r="I1068" s="85">
        <f>IF(F1068=0,0,IF(M1068="ja",((VLOOKUP(F1068,Budget!A:F,6,FALSE)*(E1068-(VLOOKUP(F1068,Budget!A:F,3,FALSE))))),VLOOKUP($D1068,Budget!A:F,5,FALSE)*E1068))</f>
        <v>0</v>
      </c>
      <c r="J1068" s="85">
        <f t="shared" si="85"/>
        <v>36960</v>
      </c>
      <c r="K1068" s="14"/>
      <c r="L1068" s="73"/>
      <c r="M1068" s="80" t="str">
        <f t="shared" si="86"/>
        <v>nein</v>
      </c>
      <c r="N1068">
        <f t="shared" si="87"/>
        <v>2023</v>
      </c>
    </row>
    <row r="1069" spans="1:14" hidden="1" x14ac:dyDescent="0.3">
      <c r="A1069" s="103">
        <f t="shared" si="84"/>
        <v>48</v>
      </c>
      <c r="B1069" s="22">
        <f t="shared" si="88"/>
        <v>45260</v>
      </c>
      <c r="C1069" s="11" t="s">
        <v>6</v>
      </c>
      <c r="D1069" s="12" t="s">
        <v>11</v>
      </c>
      <c r="E1069" s="13">
        <f>IF(VLOOKUP(D1069,Budget!A:B,2,FALSE)&lt;&gt;0,IF(G1069=0,24,24-G1069),0)</f>
        <v>24</v>
      </c>
      <c r="G1069" s="13"/>
      <c r="H1069" s="85">
        <f>IF(E1069=0,0,IF(M1069="ja",(VLOOKUP(D1069,Budget!A:F,6,FALSE)*(E1069-(VLOOKUP(D1069,Budget!A:F,3,FALSE)))),VLOOKUP($D1069,Budget!$A$1:$F$19,6,FALSE)*E1069))</f>
        <v>36960</v>
      </c>
      <c r="I1069" s="85">
        <f>IF(F1069=0,0,IF(M1069="ja",((VLOOKUP(F1069,Budget!A:F,6,FALSE)*(E1069-(VLOOKUP(F1069,Budget!A:F,3,FALSE))))),VLOOKUP($D1069,Budget!A:F,5,FALSE)*E1069))</f>
        <v>0</v>
      </c>
      <c r="J1069" s="85">
        <f t="shared" si="85"/>
        <v>36960</v>
      </c>
      <c r="K1069" s="14"/>
      <c r="L1069" s="73"/>
      <c r="M1069" s="80" t="str">
        <f t="shared" si="86"/>
        <v>nein</v>
      </c>
      <c r="N1069">
        <f t="shared" si="87"/>
        <v>2023</v>
      </c>
    </row>
    <row r="1070" spans="1:14" hidden="1" x14ac:dyDescent="0.3">
      <c r="A1070" s="105">
        <f t="shared" si="84"/>
        <v>48</v>
      </c>
      <c r="B1070" s="22">
        <f t="shared" si="88"/>
        <v>45261</v>
      </c>
      <c r="C1070" s="11" t="s">
        <v>7</v>
      </c>
      <c r="D1070" s="12" t="s">
        <v>11</v>
      </c>
      <c r="E1070" s="13">
        <f>IF(VLOOKUP(D1070,Budget!A:B,2,FALSE)&lt;&gt;0,IF(G1070=0,24,24-G1070),0)</f>
        <v>24</v>
      </c>
      <c r="G1070" s="13"/>
      <c r="H1070" s="85">
        <f>IF(E1070=0,0,IF(M1070="ja",(VLOOKUP(D1070,Budget!A:F,6,FALSE)*(E1070-(VLOOKUP(D1070,Budget!A:F,3,FALSE)))),VLOOKUP($D1070,Budget!$A$1:$F$19,6,FALSE)*E1070))</f>
        <v>36960</v>
      </c>
      <c r="I1070" s="85">
        <f>IF(F1070=0,0,IF(M1070="ja",((VLOOKUP(F1070,Budget!A:F,6,FALSE)*(E1070-(VLOOKUP(F1070,Budget!A:F,3,FALSE))))),VLOOKUP($D1070,Budget!A:F,5,FALSE)*E1070))</f>
        <v>0</v>
      </c>
      <c r="J1070" s="85">
        <f t="shared" si="85"/>
        <v>36960</v>
      </c>
      <c r="K1070" s="14"/>
      <c r="L1070" s="25"/>
      <c r="M1070" s="80" t="str">
        <f t="shared" si="86"/>
        <v>nein</v>
      </c>
      <c r="N1070">
        <f t="shared" si="87"/>
        <v>2023</v>
      </c>
    </row>
    <row r="1071" spans="1:14" hidden="1" x14ac:dyDescent="0.3">
      <c r="A1071" s="105">
        <f t="shared" si="84"/>
        <v>48</v>
      </c>
      <c r="B1071" s="22">
        <f t="shared" si="88"/>
        <v>45262</v>
      </c>
      <c r="C1071" s="16" t="s">
        <v>8</v>
      </c>
      <c r="D1071" s="17" t="s">
        <v>11</v>
      </c>
      <c r="E1071" s="13">
        <f>IF(VLOOKUP(D1071,Budget!A:B,2,FALSE)&lt;&gt;0,IF(G1071=0,24,24-G1071),0)</f>
        <v>24</v>
      </c>
      <c r="F1071" s="17"/>
      <c r="G1071" s="17"/>
      <c r="H1071" s="86">
        <f>IF(E1071=0,0,IF(M1071="ja",(VLOOKUP(D1071,Budget!A:F,6,FALSE)*(E1071-(VLOOKUP(D1071,Budget!A:F,3,FALSE)))),VLOOKUP($D1071,Budget!$A$1:$F$19,6,FALSE)*E1071))</f>
        <v>36960</v>
      </c>
      <c r="I1071" s="86">
        <f>IF(F1071=0,0,IF(M1071="ja",((VLOOKUP(F1071,Budget!A:F,6,FALSE)*(E1071-(VLOOKUP(F1071,Budget!A:F,3,FALSE))))),VLOOKUP($D1071,Budget!A:F,5,FALSE)*E1071))</f>
        <v>0</v>
      </c>
      <c r="J1071" s="86">
        <f t="shared" si="85"/>
        <v>36960</v>
      </c>
      <c r="K1071" s="18"/>
      <c r="L1071" s="75"/>
      <c r="M1071" s="76" t="str">
        <f t="shared" si="86"/>
        <v>nein</v>
      </c>
      <c r="N1071">
        <f t="shared" si="87"/>
        <v>2023</v>
      </c>
    </row>
    <row r="1072" spans="1:14" ht="15" hidden="1" thickBot="1" x14ac:dyDescent="0.35">
      <c r="A1072" s="105">
        <f t="shared" si="84"/>
        <v>48</v>
      </c>
      <c r="B1072" s="27">
        <f t="shared" si="88"/>
        <v>45263</v>
      </c>
      <c r="C1072" s="19" t="s">
        <v>9</v>
      </c>
      <c r="D1072" s="20" t="s">
        <v>11</v>
      </c>
      <c r="E1072" s="13">
        <f>IF(VLOOKUP(D1072,Budget!A:B,2,FALSE)&lt;&gt;0,IF(G1072=0,24,24-G1072),0)</f>
        <v>24</v>
      </c>
      <c r="F1072" s="20"/>
      <c r="G1072" s="20"/>
      <c r="H1072" s="93">
        <f>IF(E1072=0,0,IF(M1072="ja",(VLOOKUP(D1072,Budget!A:F,6,FALSE)*(E1072-(VLOOKUP(D1072,Budget!A:F,3,FALSE)))),VLOOKUP($D1072,Budget!$A$1:$F$19,6,FALSE)*E1072))</f>
        <v>36960</v>
      </c>
      <c r="I1072" s="93">
        <f>IF(F1072=0,0,IF(M1072="ja",((VLOOKUP(F1072,Budget!A:F,6,FALSE)*(E1072-(VLOOKUP(F1072,Budget!A:F,3,FALSE))))),VLOOKUP($D1072,Budget!A:F,5,FALSE)*E1072))</f>
        <v>0</v>
      </c>
      <c r="J1072" s="87">
        <f t="shared" si="85"/>
        <v>36960</v>
      </c>
      <c r="K1072" s="21"/>
      <c r="L1072" s="74"/>
      <c r="M1072" s="77" t="str">
        <f t="shared" si="86"/>
        <v>nein</v>
      </c>
      <c r="N1072">
        <f t="shared" si="87"/>
        <v>2023</v>
      </c>
    </row>
    <row r="1073" spans="1:14" hidden="1" x14ac:dyDescent="0.3">
      <c r="A1073" s="104">
        <f t="shared" si="84"/>
        <v>49</v>
      </c>
      <c r="B1073" s="22">
        <f t="shared" si="88"/>
        <v>45264</v>
      </c>
      <c r="C1073" s="10" t="s">
        <v>3</v>
      </c>
      <c r="D1073" s="12" t="s">
        <v>13</v>
      </c>
      <c r="E1073" s="13">
        <f>IF(VLOOKUP(D1073,Budget!A:B,2,FALSE)&lt;&gt;0,IF(G1073=0,24,24-G1073),0)</f>
        <v>0</v>
      </c>
      <c r="F1073" s="13"/>
      <c r="G1073" s="13"/>
      <c r="H1073" s="85">
        <f>IF(E1073=0,0,IF(M1073="ja",(VLOOKUP(D1073,Budget!A:F,6,FALSE)*(E1073-(VLOOKUP(D1073,Budget!A:F,3,FALSE)))),VLOOKUP($D1073,Budget!$A$1:$F$19,6,FALSE)*E1073))</f>
        <v>0</v>
      </c>
      <c r="I1073" s="85">
        <f>IF(F1073=0,0,IF(M1073="ja",((VLOOKUP(F1073,Budget!A:F,6,FALSE)*(E1073-(VLOOKUP(F1073,Budget!A:F,3,FALSE))))),VLOOKUP($D1073,Budget!A:F,5,FALSE)*E1073))</f>
        <v>0</v>
      </c>
      <c r="J1073" s="85">
        <f t="shared" si="85"/>
        <v>0</v>
      </c>
      <c r="K1073" s="15"/>
      <c r="L1073" s="72"/>
      <c r="M1073" s="80" t="str">
        <f t="shared" si="86"/>
        <v>nein</v>
      </c>
      <c r="N1073">
        <f t="shared" si="87"/>
        <v>2023</v>
      </c>
    </row>
    <row r="1074" spans="1:14" hidden="1" x14ac:dyDescent="0.3">
      <c r="A1074" s="105">
        <f t="shared" si="84"/>
        <v>49</v>
      </c>
      <c r="B1074" s="22">
        <f t="shared" si="88"/>
        <v>45265</v>
      </c>
      <c r="C1074" s="11" t="s">
        <v>4</v>
      </c>
      <c r="D1074" s="12" t="s">
        <v>69</v>
      </c>
      <c r="E1074" s="13">
        <f>IF(VLOOKUP(D1074,Budget!A:B,2,FALSE)&lt;&gt;0,IF(G1074=0,24,24-G1074),0)</f>
        <v>24</v>
      </c>
      <c r="G1074" s="13"/>
      <c r="H1074" s="85">
        <f>IF(E1074=0,0,IF(M1074="ja",(VLOOKUP(D1074,Budget!A:F,6,FALSE)*(E1074-(VLOOKUP(D1074,Budget!A:F,3,FALSE)))),VLOOKUP($D1074,Budget!$A$1:$F$19,6,FALSE)*E1074))</f>
        <v>38269.757143831848</v>
      </c>
      <c r="I1074" s="85">
        <f>IF(F1074=0,0,IF(M1074="ja",((VLOOKUP(F1074,Budget!A:F,6,FALSE)*(E1074-(VLOOKUP(F1074,Budget!A:F,3,FALSE))))),VLOOKUP($D1074,Budget!A:F,5,FALSE)*E1074))</f>
        <v>0</v>
      </c>
      <c r="J1074" s="85">
        <f t="shared" si="85"/>
        <v>38269.757143831848</v>
      </c>
      <c r="K1074" s="14"/>
      <c r="L1074" s="73"/>
      <c r="M1074" s="80" t="str">
        <f t="shared" si="86"/>
        <v>ja</v>
      </c>
      <c r="N1074">
        <f t="shared" si="87"/>
        <v>2023</v>
      </c>
    </row>
    <row r="1075" spans="1:14" hidden="1" x14ac:dyDescent="0.3">
      <c r="A1075" s="105">
        <f t="shared" ref="A1075:A1107" si="89">_xlfn.ISOWEEKNUM(B1075)</f>
        <v>49</v>
      </c>
      <c r="B1075" s="22">
        <f t="shared" si="88"/>
        <v>45266</v>
      </c>
      <c r="C1075" s="11" t="s">
        <v>5</v>
      </c>
      <c r="D1075" s="12" t="s">
        <v>69</v>
      </c>
      <c r="E1075" s="13">
        <f>IF(VLOOKUP(D1075,Budget!A:B,2,FALSE)&lt;&gt;0,IF(G1075=0,24,24-G1075),0)</f>
        <v>24</v>
      </c>
      <c r="G1075" s="13"/>
      <c r="H1075" s="85">
        <f>IF(E1075=0,0,IF(M1075="ja",(VLOOKUP(D1075,Budget!A:F,6,FALSE)*(E1075-(VLOOKUP(D1075,Budget!A:F,3,FALSE)))),VLOOKUP($D1075,Budget!$A$1:$F$19,6,FALSE)*E1075))</f>
        <v>42919.35380616656</v>
      </c>
      <c r="I1075" s="85">
        <f>IF(F1075=0,0,IF(M1075="ja",((VLOOKUP(F1075,Budget!A:F,6,FALSE)*(E1075-(VLOOKUP(F1075,Budget!A:F,3,FALSE))))),VLOOKUP($D1075,Budget!A:F,5,FALSE)*E1075))</f>
        <v>0</v>
      </c>
      <c r="J1075" s="85">
        <f t="shared" ref="J1075:J1107" si="90">H1075+I1075</f>
        <v>42919.35380616656</v>
      </c>
      <c r="K1075" s="14"/>
      <c r="L1075" s="73"/>
      <c r="M1075" s="80" t="str">
        <f t="shared" ref="M1075:M1100" si="91">IF(E1075=0,"nein",IF(OR(E1075&lt;&gt;24,F1074&lt;&gt;0,D1075&lt;&gt;D1074),"ja","nein"))</f>
        <v>nein</v>
      </c>
      <c r="N1075">
        <f t="shared" si="87"/>
        <v>2023</v>
      </c>
    </row>
    <row r="1076" spans="1:14" hidden="1" x14ac:dyDescent="0.3">
      <c r="A1076" s="103">
        <f t="shared" si="89"/>
        <v>49</v>
      </c>
      <c r="B1076" s="22">
        <f t="shared" si="88"/>
        <v>45267</v>
      </c>
      <c r="C1076" s="11" t="s">
        <v>6</v>
      </c>
      <c r="D1076" s="12" t="s">
        <v>69</v>
      </c>
      <c r="E1076" s="13">
        <f>IF(VLOOKUP(D1076,Budget!A:B,2,FALSE)&lt;&gt;0,IF(G1076=0,24,24-G1076),0)</f>
        <v>24</v>
      </c>
      <c r="G1076" s="13"/>
      <c r="H1076" s="85">
        <f>IF(E1076=0,0,IF(M1076="ja",(VLOOKUP(D1076,Budget!A:F,6,FALSE)*(E1076-(VLOOKUP(D1076,Budget!A:F,3,FALSE)))),VLOOKUP($D1076,Budget!$A$1:$F$19,6,FALSE)*E1076))</f>
        <v>42919.35380616656</v>
      </c>
      <c r="I1076" s="85">
        <f>IF(F1076=0,0,IF(M1076="ja",((VLOOKUP(F1076,Budget!A:F,6,FALSE)*(E1076-(VLOOKUP(F1076,Budget!A:F,3,FALSE))))),VLOOKUP($D1076,Budget!A:F,5,FALSE)*E1076))</f>
        <v>0</v>
      </c>
      <c r="J1076" s="85">
        <f t="shared" si="90"/>
        <v>42919.35380616656</v>
      </c>
      <c r="K1076" s="14"/>
      <c r="L1076" s="73"/>
      <c r="M1076" s="80" t="str">
        <f t="shared" si="91"/>
        <v>nein</v>
      </c>
      <c r="N1076">
        <f t="shared" si="87"/>
        <v>2023</v>
      </c>
    </row>
    <row r="1077" spans="1:14" hidden="1" x14ac:dyDescent="0.3">
      <c r="A1077" s="105">
        <f t="shared" si="89"/>
        <v>49</v>
      </c>
      <c r="B1077" s="22">
        <f t="shared" si="88"/>
        <v>45268</v>
      </c>
      <c r="C1077" s="11" t="s">
        <v>7</v>
      </c>
      <c r="D1077" s="12" t="s">
        <v>69</v>
      </c>
      <c r="E1077" s="13">
        <f>IF(VLOOKUP(D1077,Budget!A:B,2,FALSE)&lt;&gt;0,IF(G1077=0,24,24-G1077),0)</f>
        <v>24</v>
      </c>
      <c r="G1077" s="13"/>
      <c r="H1077" s="85">
        <f>IF(E1077=0,0,IF(M1077="ja",(VLOOKUP(D1077,Budget!A:F,6,FALSE)*(E1077-(VLOOKUP(D1077,Budget!A:F,3,FALSE)))),VLOOKUP($D1077,Budget!$A$1:$F$19,6,FALSE)*E1077))</f>
        <v>42919.35380616656</v>
      </c>
      <c r="I1077" s="85">
        <f>IF(F1077=0,0,IF(M1077="ja",((VLOOKUP(F1077,Budget!A:F,6,FALSE)*(E1077-(VLOOKUP(F1077,Budget!A:F,3,FALSE))))),VLOOKUP($D1077,Budget!A:F,5,FALSE)*E1077))</f>
        <v>0</v>
      </c>
      <c r="J1077" s="85">
        <f t="shared" si="90"/>
        <v>42919.35380616656</v>
      </c>
      <c r="K1077" s="14"/>
      <c r="L1077" s="25"/>
      <c r="M1077" s="80" t="str">
        <f t="shared" si="91"/>
        <v>nein</v>
      </c>
      <c r="N1077">
        <f t="shared" si="87"/>
        <v>2023</v>
      </c>
    </row>
    <row r="1078" spans="1:14" hidden="1" x14ac:dyDescent="0.3">
      <c r="A1078" s="105">
        <f t="shared" si="89"/>
        <v>49</v>
      </c>
      <c r="B1078" s="22">
        <f t="shared" si="88"/>
        <v>45269</v>
      </c>
      <c r="C1078" s="16" t="s">
        <v>8</v>
      </c>
      <c r="D1078" s="12" t="s">
        <v>69</v>
      </c>
      <c r="E1078" s="13">
        <f>IF(VLOOKUP(D1078,Budget!A:B,2,FALSE)&lt;&gt;0,IF(G1078=0,24,24-G1078),0)</f>
        <v>24</v>
      </c>
      <c r="F1078" s="17"/>
      <c r="G1078" s="17"/>
      <c r="H1078" s="86">
        <f>IF(E1078=0,0,IF(M1078="ja",(VLOOKUP(D1078,Budget!A:F,6,FALSE)*(E1078-(VLOOKUP(D1078,Budget!A:F,3,FALSE)))),VLOOKUP($D1078,Budget!$A$1:$F$19,6,FALSE)*E1078))</f>
        <v>42919.35380616656</v>
      </c>
      <c r="I1078" s="86">
        <f>IF(F1078=0,0,IF(M1078="ja",((VLOOKUP(F1078,Budget!A:F,6,FALSE)*(E1078-(VLOOKUP(F1078,Budget!A:F,3,FALSE))))),VLOOKUP($D1078,Budget!A:F,5,FALSE)*E1078))</f>
        <v>0</v>
      </c>
      <c r="J1078" s="86">
        <f t="shared" si="90"/>
        <v>42919.35380616656</v>
      </c>
      <c r="K1078" s="18"/>
      <c r="L1078" s="75"/>
      <c r="M1078" s="76" t="str">
        <f t="shared" si="91"/>
        <v>nein</v>
      </c>
      <c r="N1078">
        <f t="shared" si="87"/>
        <v>2023</v>
      </c>
    </row>
    <row r="1079" spans="1:14" ht="15" hidden="1" thickBot="1" x14ac:dyDescent="0.35">
      <c r="A1079" s="105">
        <f t="shared" si="89"/>
        <v>49</v>
      </c>
      <c r="B1079" s="27">
        <f t="shared" si="88"/>
        <v>45270</v>
      </c>
      <c r="C1079" s="19" t="s">
        <v>9</v>
      </c>
      <c r="D1079" s="12" t="s">
        <v>69</v>
      </c>
      <c r="E1079" s="13">
        <f>IF(VLOOKUP(D1079,Budget!A:B,2,FALSE)&lt;&gt;0,IF(G1079=0,24,24-G1079),0)</f>
        <v>24</v>
      </c>
      <c r="F1079" s="20"/>
      <c r="G1079" s="20"/>
      <c r="H1079" s="93">
        <f>IF(E1079=0,0,IF(M1079="ja",(VLOOKUP(D1079,Budget!A:F,6,FALSE)*(E1079-(VLOOKUP(D1079,Budget!A:F,3,FALSE)))),VLOOKUP($D1079,Budget!$A$1:$F$19,6,FALSE)*E1079))</f>
        <v>42919.35380616656</v>
      </c>
      <c r="I1079" s="93">
        <f>IF(F1079=0,0,IF(M1079="ja",((VLOOKUP(F1079,Budget!A:F,6,FALSE)*(E1079-(VLOOKUP(F1079,Budget!A:F,3,FALSE))))),VLOOKUP($D1079,Budget!A:F,5,FALSE)*E1079))</f>
        <v>0</v>
      </c>
      <c r="J1079" s="87">
        <f t="shared" si="90"/>
        <v>42919.35380616656</v>
      </c>
      <c r="K1079" s="21"/>
      <c r="L1079" s="74"/>
      <c r="M1079" s="77" t="str">
        <f t="shared" si="91"/>
        <v>nein</v>
      </c>
      <c r="N1079">
        <f t="shared" si="87"/>
        <v>2023</v>
      </c>
    </row>
    <row r="1080" spans="1:14" hidden="1" x14ac:dyDescent="0.3">
      <c r="A1080" s="104">
        <f t="shared" si="89"/>
        <v>50</v>
      </c>
      <c r="B1080" s="22">
        <f t="shared" si="88"/>
        <v>45271</v>
      </c>
      <c r="C1080" s="10" t="s">
        <v>3</v>
      </c>
      <c r="D1080" s="12" t="s">
        <v>12</v>
      </c>
      <c r="E1080" s="13">
        <f>IF(VLOOKUP(D1080,Budget!A:B,2,FALSE)&lt;&gt;0,IF(G1080=0,24,24-G1080),0)</f>
        <v>24</v>
      </c>
      <c r="F1080" s="13"/>
      <c r="G1080" s="13"/>
      <c r="H1080" s="85">
        <f>IF(E1080=0,0,IF(M1080="ja",(VLOOKUP(D1080,Budget!A:F,6,FALSE)*(E1080-(VLOOKUP(D1080,Budget!A:F,3,FALSE)))),VLOOKUP($D1080,Budget!$A$1:$F$19,6,FALSE)*E1080))</f>
        <v>27720</v>
      </c>
      <c r="I1080" s="85">
        <f>IF(F1080=0,0,IF(M1080="ja",((VLOOKUP(F1080,Budget!A:F,6,FALSE)*(E1080-(VLOOKUP(F1080,Budget!A:F,3,FALSE))))),VLOOKUP($D1080,Budget!A:F,5,FALSE)*E1080))</f>
        <v>0</v>
      </c>
      <c r="J1080" s="85">
        <f t="shared" si="90"/>
        <v>27720</v>
      </c>
      <c r="K1080" s="15"/>
      <c r="L1080" s="72"/>
      <c r="M1080" s="80" t="str">
        <f t="shared" si="91"/>
        <v>ja</v>
      </c>
      <c r="N1080">
        <f t="shared" si="87"/>
        <v>2023</v>
      </c>
    </row>
    <row r="1081" spans="1:14" hidden="1" x14ac:dyDescent="0.3">
      <c r="A1081" s="105">
        <f t="shared" si="89"/>
        <v>50</v>
      </c>
      <c r="B1081" s="22">
        <f t="shared" si="88"/>
        <v>45272</v>
      </c>
      <c r="C1081" s="11" t="s">
        <v>4</v>
      </c>
      <c r="D1081" s="12" t="s">
        <v>12</v>
      </c>
      <c r="E1081" s="13">
        <f>IF(VLOOKUP(D1081,Budget!A:B,2,FALSE)&lt;&gt;0,IF(G1081=0,24,24-G1081),0)</f>
        <v>24</v>
      </c>
      <c r="G1081" s="13"/>
      <c r="H1081" s="85">
        <f>IF(E1081=0,0,IF(M1081="ja",(VLOOKUP(D1081,Budget!A:F,6,FALSE)*(E1081-(VLOOKUP(D1081,Budget!A:F,3,FALSE)))),VLOOKUP($D1081,Budget!$A$1:$F$19,6,FALSE)*E1081))</f>
        <v>36960</v>
      </c>
      <c r="I1081" s="85">
        <f>IF(F1081=0,0,IF(M1081="ja",((VLOOKUP(F1081,Budget!A:F,6,FALSE)*(E1081-(VLOOKUP(F1081,Budget!A:F,3,FALSE))))),VLOOKUP($D1081,Budget!A:F,5,FALSE)*E1081))</f>
        <v>0</v>
      </c>
      <c r="J1081" s="85">
        <f t="shared" si="90"/>
        <v>36960</v>
      </c>
      <c r="K1081" s="14"/>
      <c r="L1081" s="73"/>
      <c r="M1081" s="80" t="str">
        <f t="shared" si="91"/>
        <v>nein</v>
      </c>
      <c r="N1081">
        <f t="shared" si="87"/>
        <v>2023</v>
      </c>
    </row>
    <row r="1082" spans="1:14" hidden="1" x14ac:dyDescent="0.3">
      <c r="A1082" s="105">
        <f t="shared" si="89"/>
        <v>50</v>
      </c>
      <c r="B1082" s="22">
        <f t="shared" si="88"/>
        <v>45273</v>
      </c>
      <c r="C1082" s="11" t="s">
        <v>5</v>
      </c>
      <c r="D1082" s="12" t="s">
        <v>69</v>
      </c>
      <c r="E1082" s="13">
        <f>IF(VLOOKUP(D1082,Budget!A:B,2,FALSE)&lt;&gt;0,IF(G1082=0,24,24-G1082),0)</f>
        <v>24</v>
      </c>
      <c r="G1082" s="13"/>
      <c r="H1082" s="85">
        <f>IF(E1082=0,0,IF(M1082="ja",(VLOOKUP(D1082,Budget!A:F,6,FALSE)*(E1082-(VLOOKUP(D1082,Budget!A:F,3,FALSE)))),VLOOKUP($D1082,Budget!$A$1:$F$19,6,FALSE)*E1082))</f>
        <v>38269.757143831848</v>
      </c>
      <c r="I1082" s="85">
        <f>IF(F1082=0,0,IF(M1082="ja",((VLOOKUP(F1082,Budget!A:F,6,FALSE)*(E1082-(VLOOKUP(F1082,Budget!A:F,3,FALSE))))),VLOOKUP($D1082,Budget!A:F,5,FALSE)*E1082))</f>
        <v>0</v>
      </c>
      <c r="J1082" s="85">
        <f t="shared" si="90"/>
        <v>38269.757143831848</v>
      </c>
      <c r="K1082" s="14"/>
      <c r="L1082" s="73"/>
      <c r="M1082" s="80" t="str">
        <f t="shared" si="91"/>
        <v>ja</v>
      </c>
      <c r="N1082">
        <f t="shared" si="87"/>
        <v>2023</v>
      </c>
    </row>
    <row r="1083" spans="1:14" hidden="1" x14ac:dyDescent="0.3">
      <c r="A1083" s="103">
        <f t="shared" si="89"/>
        <v>50</v>
      </c>
      <c r="B1083" s="22">
        <f t="shared" si="88"/>
        <v>45274</v>
      </c>
      <c r="C1083" s="11" t="s">
        <v>6</v>
      </c>
      <c r="D1083" s="12" t="s">
        <v>69</v>
      </c>
      <c r="E1083" s="13">
        <f>IF(VLOOKUP(D1083,Budget!A:B,2,FALSE)&lt;&gt;0,IF(G1083=0,24,24-G1083),0)</f>
        <v>24</v>
      </c>
      <c r="G1083" s="13"/>
      <c r="H1083" s="85">
        <f>IF(E1083=0,0,IF(M1083="ja",(VLOOKUP(D1083,Budget!A:F,6,FALSE)*(E1083-(VLOOKUP(D1083,Budget!A:F,3,FALSE)))),VLOOKUP($D1083,Budget!$A$1:$F$19,6,FALSE)*E1083))</f>
        <v>42919.35380616656</v>
      </c>
      <c r="I1083" s="85">
        <f>IF(F1083=0,0,IF(M1083="ja",((VLOOKUP(F1083,Budget!A:F,6,FALSE)*(E1083-(VLOOKUP(F1083,Budget!A:F,3,FALSE))))),VLOOKUP($D1083,Budget!A:F,5,FALSE)*E1083))</f>
        <v>0</v>
      </c>
      <c r="J1083" s="85">
        <f t="shared" si="90"/>
        <v>42919.35380616656</v>
      </c>
      <c r="K1083" s="14"/>
      <c r="L1083" s="73"/>
      <c r="M1083" s="80" t="str">
        <f t="shared" si="91"/>
        <v>nein</v>
      </c>
      <c r="N1083">
        <f t="shared" si="87"/>
        <v>2023</v>
      </c>
    </row>
    <row r="1084" spans="1:14" hidden="1" x14ac:dyDescent="0.3">
      <c r="A1084" s="105">
        <f t="shared" si="89"/>
        <v>50</v>
      </c>
      <c r="B1084" s="22">
        <f t="shared" si="88"/>
        <v>45275</v>
      </c>
      <c r="C1084" s="11" t="s">
        <v>7</v>
      </c>
      <c r="D1084" s="12" t="s">
        <v>69</v>
      </c>
      <c r="E1084" s="13">
        <f>IF(VLOOKUP(D1084,Budget!A:B,2,FALSE)&lt;&gt;0,IF(G1084=0,24,24-G1084),0)</f>
        <v>24</v>
      </c>
      <c r="G1084" s="13"/>
      <c r="H1084" s="85">
        <f>IF(E1084=0,0,IF(M1084="ja",(VLOOKUP(D1084,Budget!A:F,6,FALSE)*(E1084-(VLOOKUP(D1084,Budget!A:F,3,FALSE)))),VLOOKUP($D1084,Budget!$A$1:$F$19,6,FALSE)*E1084))</f>
        <v>42919.35380616656</v>
      </c>
      <c r="I1084" s="85">
        <f>IF(F1084=0,0,IF(M1084="ja",((VLOOKUP(F1084,Budget!A:F,6,FALSE)*(E1084-(VLOOKUP(F1084,Budget!A:F,3,FALSE))))),VLOOKUP($D1084,Budget!A:F,5,FALSE)*E1084))</f>
        <v>0</v>
      </c>
      <c r="J1084" s="85">
        <f t="shared" si="90"/>
        <v>42919.35380616656</v>
      </c>
      <c r="K1084" s="14"/>
      <c r="L1084" s="25"/>
      <c r="M1084" s="80" t="str">
        <f t="shared" si="91"/>
        <v>nein</v>
      </c>
      <c r="N1084">
        <f t="shared" si="87"/>
        <v>2023</v>
      </c>
    </row>
    <row r="1085" spans="1:14" hidden="1" x14ac:dyDescent="0.3">
      <c r="A1085" s="105">
        <f t="shared" si="89"/>
        <v>50</v>
      </c>
      <c r="B1085" s="22">
        <f t="shared" si="88"/>
        <v>45276</v>
      </c>
      <c r="C1085" s="16" t="s">
        <v>8</v>
      </c>
      <c r="D1085" s="12" t="s">
        <v>69</v>
      </c>
      <c r="E1085" s="13">
        <f>IF(VLOOKUP(D1085,Budget!A:B,2,FALSE)&lt;&gt;0,IF(G1085=0,24,24-G1085),0)</f>
        <v>24</v>
      </c>
      <c r="F1085" s="17"/>
      <c r="G1085" s="17"/>
      <c r="H1085" s="86">
        <f>IF(E1085=0,0,IF(M1085="ja",(VLOOKUP(D1085,Budget!A:F,6,FALSE)*(E1085-(VLOOKUP(D1085,Budget!A:F,3,FALSE)))),VLOOKUP($D1085,Budget!$A$1:$F$19,6,FALSE)*E1085))</f>
        <v>42919.35380616656</v>
      </c>
      <c r="I1085" s="86">
        <f>IF(F1085=0,0,IF(M1085="ja",((VLOOKUP(F1085,Budget!A:F,6,FALSE)*(E1085-(VLOOKUP(F1085,Budget!A:F,3,FALSE))))),VLOOKUP($D1085,Budget!A:F,5,FALSE)*E1085))</f>
        <v>0</v>
      </c>
      <c r="J1085" s="86">
        <f t="shared" si="90"/>
        <v>42919.35380616656</v>
      </c>
      <c r="K1085" s="18"/>
      <c r="L1085" s="75"/>
      <c r="M1085" s="76" t="str">
        <f t="shared" si="91"/>
        <v>nein</v>
      </c>
      <c r="N1085">
        <f t="shared" si="87"/>
        <v>2023</v>
      </c>
    </row>
    <row r="1086" spans="1:14" ht="15" hidden="1" thickBot="1" x14ac:dyDescent="0.35">
      <c r="A1086" s="105">
        <f t="shared" si="89"/>
        <v>50</v>
      </c>
      <c r="B1086" s="27">
        <f t="shared" si="88"/>
        <v>45277</v>
      </c>
      <c r="C1086" s="19" t="s">
        <v>9</v>
      </c>
      <c r="D1086" s="12" t="s">
        <v>69</v>
      </c>
      <c r="E1086" s="13">
        <f>IF(VLOOKUP(D1086,Budget!A:B,2,FALSE)&lt;&gt;0,IF(G1086=0,24,24-G1086),0)</f>
        <v>24</v>
      </c>
      <c r="F1086" s="20"/>
      <c r="G1086" s="20"/>
      <c r="H1086" s="93">
        <f>IF(E1086=0,0,IF(M1086="ja",(VLOOKUP(D1086,Budget!A:F,6,FALSE)*(E1086-(VLOOKUP(D1086,Budget!A:F,3,FALSE)))),VLOOKUP($D1086,Budget!$A$1:$F$19,6,FALSE)*E1086))</f>
        <v>42919.35380616656</v>
      </c>
      <c r="I1086" s="93">
        <f>IF(F1086=0,0,IF(M1086="ja",((VLOOKUP(F1086,Budget!A:F,6,FALSE)*(E1086-(VLOOKUP(F1086,Budget!A:F,3,FALSE))))),VLOOKUP($D1086,Budget!A:F,5,FALSE)*E1086))</f>
        <v>0</v>
      </c>
      <c r="J1086" s="87">
        <f t="shared" si="90"/>
        <v>42919.35380616656</v>
      </c>
      <c r="K1086" s="21"/>
      <c r="L1086" s="74"/>
      <c r="M1086" s="77" t="str">
        <f t="shared" si="91"/>
        <v>nein</v>
      </c>
      <c r="N1086">
        <f t="shared" si="87"/>
        <v>2023</v>
      </c>
    </row>
    <row r="1087" spans="1:14" hidden="1" x14ac:dyDescent="0.3">
      <c r="A1087" s="104">
        <f t="shared" si="89"/>
        <v>51</v>
      </c>
      <c r="B1087" s="22">
        <f t="shared" si="88"/>
        <v>45278</v>
      </c>
      <c r="C1087" s="10" t="s">
        <v>3</v>
      </c>
      <c r="D1087" s="12" t="s">
        <v>11</v>
      </c>
      <c r="E1087" s="13">
        <f>IF(VLOOKUP(D1087,Budget!A:B,2,FALSE)&lt;&gt;0,IF(G1087=0,24,24-G1087),0)</f>
        <v>24</v>
      </c>
      <c r="F1087" s="13"/>
      <c r="G1087" s="13"/>
      <c r="H1087" s="85">
        <f>IF(E1087=0,0,IF(M1087="ja",(VLOOKUP(D1087,Budget!A:F,6,FALSE)*(E1087-(VLOOKUP(D1087,Budget!A:F,3,FALSE)))),VLOOKUP($D1087,Budget!$A$1:$F$19,6,FALSE)*E1087))</f>
        <v>30030</v>
      </c>
      <c r="I1087" s="85">
        <f>IF(F1087=0,0,IF(M1087="ja",((VLOOKUP(F1087,Budget!A:F,6,FALSE)*(E1087-(VLOOKUP(F1087,Budget!A:F,3,FALSE))))),VLOOKUP($D1087,Budget!A:F,5,FALSE)*E1087))</f>
        <v>0</v>
      </c>
      <c r="J1087" s="85">
        <f t="shared" si="90"/>
        <v>30030</v>
      </c>
      <c r="K1087" s="15"/>
      <c r="L1087" s="72"/>
      <c r="M1087" s="80" t="str">
        <f t="shared" si="91"/>
        <v>ja</v>
      </c>
      <c r="N1087">
        <f t="shared" si="87"/>
        <v>2023</v>
      </c>
    </row>
    <row r="1088" spans="1:14" hidden="1" x14ac:dyDescent="0.3">
      <c r="A1088" s="105">
        <f t="shared" si="89"/>
        <v>51</v>
      </c>
      <c r="B1088" s="22">
        <f t="shared" si="88"/>
        <v>45279</v>
      </c>
      <c r="C1088" s="11" t="s">
        <v>4</v>
      </c>
      <c r="D1088" s="12" t="s">
        <v>11</v>
      </c>
      <c r="E1088" s="13">
        <f>IF(VLOOKUP(D1088,Budget!A:B,2,FALSE)&lt;&gt;0,IF(G1088=0,24,24-G1088),0)</f>
        <v>24</v>
      </c>
      <c r="G1088" s="13"/>
      <c r="H1088" s="85">
        <f>IF(E1088=0,0,IF(M1088="ja",(VLOOKUP(D1088,Budget!A:F,6,FALSE)*(E1088-(VLOOKUP(D1088,Budget!A:F,3,FALSE)))),VLOOKUP($D1088,Budget!$A$1:$F$19,6,FALSE)*E1088))</f>
        <v>36960</v>
      </c>
      <c r="I1088" s="85">
        <f>IF(F1088=0,0,IF(M1088="ja",((VLOOKUP(F1088,Budget!A:F,6,FALSE)*(E1088-(VLOOKUP(F1088,Budget!A:F,3,FALSE))))),VLOOKUP($D1088,Budget!A:F,5,FALSE)*E1088))</f>
        <v>0</v>
      </c>
      <c r="J1088" s="85">
        <f t="shared" si="90"/>
        <v>36960</v>
      </c>
      <c r="K1088" s="14"/>
      <c r="L1088" s="73"/>
      <c r="M1088" s="80" t="str">
        <f t="shared" si="91"/>
        <v>nein</v>
      </c>
      <c r="N1088">
        <f t="shared" si="87"/>
        <v>2023</v>
      </c>
    </row>
    <row r="1089" spans="1:14" hidden="1" x14ac:dyDescent="0.3">
      <c r="A1089" s="105">
        <f t="shared" si="89"/>
        <v>51</v>
      </c>
      <c r="B1089" s="22">
        <f t="shared" si="88"/>
        <v>45280</v>
      </c>
      <c r="C1089" s="11" t="s">
        <v>5</v>
      </c>
      <c r="D1089" s="12" t="s">
        <v>11</v>
      </c>
      <c r="E1089" s="13">
        <f>IF(VLOOKUP(D1089,Budget!A:B,2,FALSE)&lt;&gt;0,IF(G1089=0,24,24-G1089),0)</f>
        <v>24</v>
      </c>
      <c r="G1089" s="13"/>
      <c r="H1089" s="85">
        <f>IF(E1089=0,0,IF(M1089="ja",(VLOOKUP(D1089,Budget!A:F,6,FALSE)*(E1089-(VLOOKUP(D1089,Budget!A:F,3,FALSE)))),VLOOKUP($D1089,Budget!$A$1:$F$19,6,FALSE)*E1089))</f>
        <v>36960</v>
      </c>
      <c r="I1089" s="85">
        <f>IF(F1089=0,0,IF(M1089="ja",((VLOOKUP(F1089,Budget!A:F,6,FALSE)*(E1089-(VLOOKUP(F1089,Budget!A:F,3,FALSE))))),VLOOKUP($D1089,Budget!A:F,5,FALSE)*E1089))</f>
        <v>0</v>
      </c>
      <c r="J1089" s="85">
        <f t="shared" si="90"/>
        <v>36960</v>
      </c>
      <c r="K1089" s="14"/>
      <c r="L1089" s="73"/>
      <c r="M1089" s="80" t="str">
        <f t="shared" si="91"/>
        <v>nein</v>
      </c>
      <c r="N1089">
        <f t="shared" si="87"/>
        <v>2023</v>
      </c>
    </row>
    <row r="1090" spans="1:14" hidden="1" x14ac:dyDescent="0.3">
      <c r="A1090" s="103">
        <f t="shared" si="89"/>
        <v>51</v>
      </c>
      <c r="B1090" s="22">
        <f t="shared" si="88"/>
        <v>45281</v>
      </c>
      <c r="C1090" s="11" t="s">
        <v>6</v>
      </c>
      <c r="D1090" s="12" t="s">
        <v>11</v>
      </c>
      <c r="E1090" s="13">
        <f>IF(VLOOKUP(D1090,Budget!A:B,2,FALSE)&lt;&gt;0,IF(G1090=0,24,24-G1090),0)</f>
        <v>24</v>
      </c>
      <c r="G1090" s="13"/>
      <c r="H1090" s="85">
        <f>IF(E1090=0,0,IF(M1090="ja",(VLOOKUP(D1090,Budget!A:F,6,FALSE)*(E1090-(VLOOKUP(D1090,Budget!A:F,3,FALSE)))),VLOOKUP($D1090,Budget!$A$1:$F$19,6,FALSE)*E1090))</f>
        <v>36960</v>
      </c>
      <c r="I1090" s="85">
        <f>IF(F1090=0,0,IF(M1090="ja",((VLOOKUP(F1090,Budget!A:F,6,FALSE)*(E1090-(VLOOKUP(F1090,Budget!A:F,3,FALSE))))),VLOOKUP($D1090,Budget!A:F,5,FALSE)*E1090))</f>
        <v>0</v>
      </c>
      <c r="J1090" s="85">
        <f t="shared" si="90"/>
        <v>36960</v>
      </c>
      <c r="K1090" s="14"/>
      <c r="L1090" s="73"/>
      <c r="M1090" s="80" t="str">
        <f t="shared" si="91"/>
        <v>nein</v>
      </c>
      <c r="N1090">
        <f t="shared" si="87"/>
        <v>2023</v>
      </c>
    </row>
    <row r="1091" spans="1:14" hidden="1" x14ac:dyDescent="0.3">
      <c r="A1091" s="105">
        <f t="shared" si="89"/>
        <v>51</v>
      </c>
      <c r="B1091" s="22">
        <f t="shared" si="88"/>
        <v>45282</v>
      </c>
      <c r="C1091" s="11" t="s">
        <v>7</v>
      </c>
      <c r="D1091" s="12" t="s">
        <v>11</v>
      </c>
      <c r="E1091" s="13">
        <f>IF(VLOOKUP(D1091,Budget!A:B,2,FALSE)&lt;&gt;0,IF(G1091=0,24,24-G1091),0)</f>
        <v>24</v>
      </c>
      <c r="G1091" s="13"/>
      <c r="H1091" s="85">
        <f>IF(E1091=0,0,IF(M1091="ja",(VLOOKUP(D1091,Budget!A:F,6,FALSE)*(E1091-(VLOOKUP(D1091,Budget!A:F,3,FALSE)))),VLOOKUP($D1091,Budget!$A$1:$F$19,6,FALSE)*E1091))</f>
        <v>36960</v>
      </c>
      <c r="I1091" s="85">
        <f>IF(F1091=0,0,IF(M1091="ja",((VLOOKUP(F1091,Budget!A:F,6,FALSE)*(E1091-(VLOOKUP(F1091,Budget!A:F,3,FALSE))))),VLOOKUP($D1091,Budget!A:F,5,FALSE)*E1091))</f>
        <v>0</v>
      </c>
      <c r="J1091" s="85">
        <f t="shared" si="90"/>
        <v>36960</v>
      </c>
      <c r="K1091" s="14"/>
      <c r="L1091" s="25"/>
      <c r="M1091" s="80" t="str">
        <f t="shared" si="91"/>
        <v>nein</v>
      </c>
      <c r="N1091">
        <f t="shared" ref="N1091:N1154" si="92">YEAR(B1091)</f>
        <v>2023</v>
      </c>
    </row>
    <row r="1092" spans="1:14" hidden="1" x14ac:dyDescent="0.3">
      <c r="A1092" s="105">
        <f t="shared" si="89"/>
        <v>51</v>
      </c>
      <c r="B1092" s="22">
        <f t="shared" si="88"/>
        <v>45283</v>
      </c>
      <c r="C1092" s="16" t="s">
        <v>8</v>
      </c>
      <c r="D1092" s="17" t="s">
        <v>11</v>
      </c>
      <c r="E1092" s="13">
        <f>IF(VLOOKUP(D1092,Budget!A:B,2,FALSE)&lt;&gt;0,IF(G1092=0,24,24-G1092),0)</f>
        <v>24</v>
      </c>
      <c r="F1092" s="17"/>
      <c r="G1092" s="17"/>
      <c r="H1092" s="86">
        <f>IF(E1092=0,0,IF(M1092="ja",(VLOOKUP(D1092,Budget!A:F,6,FALSE)*(E1092-(VLOOKUP(D1092,Budget!A:F,3,FALSE)))),VLOOKUP($D1092,Budget!$A$1:$F$19,6,FALSE)*E1092))</f>
        <v>36960</v>
      </c>
      <c r="I1092" s="86">
        <f>IF(F1092=0,0,IF(M1092="ja",((VLOOKUP(F1092,Budget!A:F,6,FALSE)*(E1092-(VLOOKUP(F1092,Budget!A:F,3,FALSE))))),VLOOKUP($D1092,Budget!A:F,5,FALSE)*E1092))</f>
        <v>0</v>
      </c>
      <c r="J1092" s="86">
        <f t="shared" si="90"/>
        <v>36960</v>
      </c>
      <c r="K1092" s="18"/>
      <c r="L1092" s="75"/>
      <c r="M1092" s="76" t="str">
        <f t="shared" si="91"/>
        <v>nein</v>
      </c>
      <c r="N1092">
        <f t="shared" si="92"/>
        <v>2023</v>
      </c>
    </row>
    <row r="1093" spans="1:14" ht="15" hidden="1" thickBot="1" x14ac:dyDescent="0.35">
      <c r="A1093" s="105">
        <f t="shared" si="89"/>
        <v>51</v>
      </c>
      <c r="B1093" s="27">
        <f t="shared" si="88"/>
        <v>45284</v>
      </c>
      <c r="C1093" s="19" t="s">
        <v>9</v>
      </c>
      <c r="D1093" s="20" t="s">
        <v>11</v>
      </c>
      <c r="E1093" s="13">
        <f>IF(VLOOKUP(D1093,Budget!A:B,2,FALSE)&lt;&gt;0,IF(G1093=0,24,24-G1093),0)</f>
        <v>24</v>
      </c>
      <c r="F1093" s="20"/>
      <c r="G1093" s="20"/>
      <c r="H1093" s="93">
        <f>IF(E1093=0,0,IF(M1093="ja",(VLOOKUP(D1093,Budget!A:F,6,FALSE)*(E1093-(VLOOKUP(D1093,Budget!A:F,3,FALSE)))),VLOOKUP($D1093,Budget!$A$1:$F$19,6,FALSE)*E1093))</f>
        <v>36960</v>
      </c>
      <c r="I1093" s="93">
        <f>IF(F1093=0,0,IF(M1093="ja",((VLOOKUP(F1093,Budget!A:F,6,FALSE)*(E1093-(VLOOKUP(F1093,Budget!A:F,3,FALSE))))),VLOOKUP($D1093,Budget!A:F,5,FALSE)*E1093))</f>
        <v>0</v>
      </c>
      <c r="J1093" s="87">
        <f t="shared" si="90"/>
        <v>36960</v>
      </c>
      <c r="K1093" s="21"/>
      <c r="L1093" s="74"/>
      <c r="M1093" s="77" t="str">
        <f t="shared" si="91"/>
        <v>nein</v>
      </c>
      <c r="N1093">
        <f t="shared" si="92"/>
        <v>2023</v>
      </c>
    </row>
    <row r="1094" spans="1:14" hidden="1" x14ac:dyDescent="0.3">
      <c r="A1094" s="104">
        <f t="shared" si="89"/>
        <v>52</v>
      </c>
      <c r="B1094" s="130">
        <f t="shared" si="88"/>
        <v>45285</v>
      </c>
      <c r="C1094" s="132" t="s">
        <v>3</v>
      </c>
      <c r="D1094" s="12" t="s">
        <v>11</v>
      </c>
      <c r="E1094" s="13">
        <f>IF(VLOOKUP(D1094,Budget!A:B,2,FALSE)&lt;&gt;0,IF(G1094=0,24,24-G1094),0)</f>
        <v>24</v>
      </c>
      <c r="F1094" s="13"/>
      <c r="G1094" s="13"/>
      <c r="H1094" s="85">
        <f>IF(E1094=0,0,IF(M1094="ja",(VLOOKUP(D1094,Budget!A:F,6,FALSE)*(E1094-(VLOOKUP(D1094,Budget!A:F,3,FALSE)))),VLOOKUP($D1094,Budget!$A$1:$F$19,6,FALSE)*E1094))</f>
        <v>36960</v>
      </c>
      <c r="I1094" s="85">
        <f>IF(F1094=0,0,IF(M1094="ja",((VLOOKUP(F1094,Budget!A:F,6,FALSE)*(E1094-(VLOOKUP(F1094,Budget!A:F,3,FALSE))))),VLOOKUP($D1094,Budget!A:F,5,FALSE)*E1094))</f>
        <v>0</v>
      </c>
      <c r="J1094" s="85">
        <f t="shared" si="90"/>
        <v>36960</v>
      </c>
      <c r="K1094" s="15"/>
      <c r="L1094" s="72"/>
      <c r="M1094" s="80" t="str">
        <f t="shared" si="91"/>
        <v>nein</v>
      </c>
      <c r="N1094">
        <f t="shared" si="92"/>
        <v>2023</v>
      </c>
    </row>
    <row r="1095" spans="1:14" hidden="1" x14ac:dyDescent="0.3">
      <c r="A1095" s="105">
        <f t="shared" si="89"/>
        <v>52</v>
      </c>
      <c r="B1095" s="130">
        <f t="shared" si="88"/>
        <v>45286</v>
      </c>
      <c r="C1095" s="131" t="s">
        <v>4</v>
      </c>
      <c r="D1095" s="12" t="s">
        <v>11</v>
      </c>
      <c r="E1095" s="13">
        <f>IF(VLOOKUP(D1095,Budget!A:B,2,FALSE)&lt;&gt;0,IF(G1095=0,24,24-G1095),0)</f>
        <v>24</v>
      </c>
      <c r="G1095" s="13"/>
      <c r="H1095" s="85">
        <f>IF(E1095=0,0,IF(M1095="ja",(VLOOKUP(D1095,Budget!A:F,6,FALSE)*(E1095-(VLOOKUP(D1095,Budget!A:F,3,FALSE)))),VLOOKUP($D1095,Budget!$A$1:$F$19,6,FALSE)*E1095))</f>
        <v>36960</v>
      </c>
      <c r="I1095" s="85">
        <f>IF(F1095=0,0,IF(M1095="ja",((VLOOKUP(F1095,Budget!A:F,6,FALSE)*(E1095-(VLOOKUP(F1095,Budget!A:F,3,FALSE))))),VLOOKUP($D1095,Budget!A:F,5,FALSE)*E1095))</f>
        <v>0</v>
      </c>
      <c r="J1095" s="85">
        <f t="shared" si="90"/>
        <v>36960</v>
      </c>
      <c r="K1095" s="14"/>
      <c r="L1095" s="73"/>
      <c r="M1095" s="80" t="str">
        <f t="shared" si="91"/>
        <v>nein</v>
      </c>
      <c r="N1095">
        <f t="shared" si="92"/>
        <v>2023</v>
      </c>
    </row>
    <row r="1096" spans="1:14" hidden="1" x14ac:dyDescent="0.3">
      <c r="A1096" s="105">
        <f t="shared" si="89"/>
        <v>52</v>
      </c>
      <c r="B1096" s="22">
        <f t="shared" si="88"/>
        <v>45287</v>
      </c>
      <c r="C1096" s="11" t="s">
        <v>5</v>
      </c>
      <c r="D1096" s="12" t="s">
        <v>69</v>
      </c>
      <c r="E1096" s="13">
        <f>IF(VLOOKUP(D1096,Budget!A:B,2,FALSE)&lt;&gt;0,IF(G1096=0,24,24-G1096),0)</f>
        <v>24</v>
      </c>
      <c r="G1096" s="13"/>
      <c r="H1096" s="85">
        <f>IF(E1096=0,0,IF(M1096="ja",(VLOOKUP(D1096,Budget!A:F,6,FALSE)*(E1096-(VLOOKUP(D1096,Budget!A:F,3,FALSE)))),VLOOKUP($D1096,Budget!$A$1:$F$19,6,FALSE)*E1096))</f>
        <v>38269.757143831848</v>
      </c>
      <c r="I1096" s="85">
        <f>IF(F1096=0,0,IF(M1096="ja",((VLOOKUP(F1096,Budget!A:F,6,FALSE)*(E1096-(VLOOKUP(F1096,Budget!A:F,3,FALSE))))),VLOOKUP($D1096,Budget!A:F,5,FALSE)*E1096))</f>
        <v>0</v>
      </c>
      <c r="J1096" s="85">
        <f t="shared" si="90"/>
        <v>38269.757143831848</v>
      </c>
      <c r="K1096" s="14"/>
      <c r="L1096" s="73"/>
      <c r="M1096" s="80" t="str">
        <f t="shared" si="91"/>
        <v>ja</v>
      </c>
      <c r="N1096">
        <f t="shared" si="92"/>
        <v>2023</v>
      </c>
    </row>
    <row r="1097" spans="1:14" hidden="1" x14ac:dyDescent="0.3">
      <c r="A1097" s="103">
        <f t="shared" si="89"/>
        <v>52</v>
      </c>
      <c r="B1097" s="22">
        <f t="shared" si="88"/>
        <v>45288</v>
      </c>
      <c r="C1097" s="11" t="s">
        <v>6</v>
      </c>
      <c r="D1097" s="12" t="s">
        <v>69</v>
      </c>
      <c r="E1097" s="13">
        <f>IF(VLOOKUP(D1097,Budget!A:B,2,FALSE)&lt;&gt;0,IF(G1097=0,24,24-G1097),0)</f>
        <v>24</v>
      </c>
      <c r="G1097" s="13"/>
      <c r="H1097" s="85">
        <f>IF(E1097=0,0,IF(M1097="ja",(VLOOKUP(D1097,Budget!A:F,6,FALSE)*(E1097-(VLOOKUP(D1097,Budget!A:F,3,FALSE)))),VLOOKUP($D1097,Budget!$A$1:$F$19,6,FALSE)*E1097))</f>
        <v>42919.35380616656</v>
      </c>
      <c r="I1097" s="85">
        <f>IF(F1097=0,0,IF(M1097="ja",((VLOOKUP(F1097,Budget!A:F,6,FALSE)*(E1097-(VLOOKUP(F1097,Budget!A:F,3,FALSE))))),VLOOKUP($D1097,Budget!A:F,5,FALSE)*E1097))</f>
        <v>0</v>
      </c>
      <c r="J1097" s="85">
        <f t="shared" si="90"/>
        <v>42919.35380616656</v>
      </c>
      <c r="K1097" s="14"/>
      <c r="L1097" s="73"/>
      <c r="M1097" s="80" t="str">
        <f t="shared" si="91"/>
        <v>nein</v>
      </c>
      <c r="N1097">
        <f t="shared" si="92"/>
        <v>2023</v>
      </c>
    </row>
    <row r="1098" spans="1:14" hidden="1" x14ac:dyDescent="0.3">
      <c r="A1098" s="105">
        <f t="shared" si="89"/>
        <v>52</v>
      </c>
      <c r="B1098" s="22">
        <f t="shared" si="88"/>
        <v>45289</v>
      </c>
      <c r="C1098" s="11" t="s">
        <v>7</v>
      </c>
      <c r="D1098" s="12" t="s">
        <v>69</v>
      </c>
      <c r="E1098" s="13">
        <f>IF(VLOOKUP(D1098,Budget!A:B,2,FALSE)&lt;&gt;0,IF(G1098=0,24,24-G1098),0)</f>
        <v>24</v>
      </c>
      <c r="G1098" s="13"/>
      <c r="H1098" s="85">
        <f>IF(E1098=0,0,IF(M1098="ja",(VLOOKUP(D1098,Budget!A:F,6,FALSE)*(E1098-(VLOOKUP(D1098,Budget!A:F,3,FALSE)))),VLOOKUP($D1098,Budget!$A$1:$F$19,6,FALSE)*E1098))</f>
        <v>42919.35380616656</v>
      </c>
      <c r="I1098" s="85">
        <f>IF(F1098=0,0,IF(M1098="ja",((VLOOKUP(F1098,Budget!A:F,6,FALSE)*(E1098-(VLOOKUP(F1098,Budget!A:F,3,FALSE))))),VLOOKUP($D1098,Budget!A:F,5,FALSE)*E1098))</f>
        <v>0</v>
      </c>
      <c r="J1098" s="85">
        <f t="shared" si="90"/>
        <v>42919.35380616656</v>
      </c>
      <c r="K1098" s="14"/>
      <c r="L1098" s="25"/>
      <c r="M1098" s="80" t="str">
        <f t="shared" si="91"/>
        <v>nein</v>
      </c>
      <c r="N1098">
        <f t="shared" si="92"/>
        <v>2023</v>
      </c>
    </row>
    <row r="1099" spans="1:14" hidden="1" x14ac:dyDescent="0.3">
      <c r="A1099" s="105">
        <f t="shared" si="89"/>
        <v>52</v>
      </c>
      <c r="B1099" s="22">
        <f t="shared" si="88"/>
        <v>45290</v>
      </c>
      <c r="C1099" s="16" t="s">
        <v>8</v>
      </c>
      <c r="D1099" s="12" t="s">
        <v>69</v>
      </c>
      <c r="E1099" s="13">
        <f>IF(VLOOKUP(D1099,Budget!A:B,2,FALSE)&lt;&gt;0,IF(G1099=0,24,24-G1099),0)</f>
        <v>24</v>
      </c>
      <c r="F1099" s="17"/>
      <c r="G1099" s="17"/>
      <c r="H1099" s="86">
        <f>IF(E1099=0,0,IF(M1099="ja",(VLOOKUP(D1099,Budget!A:F,6,FALSE)*(E1099-(VLOOKUP(D1099,Budget!A:F,3,FALSE)))),VLOOKUP($D1099,Budget!$A$1:$F$19,6,FALSE)*E1099))</f>
        <v>42919.35380616656</v>
      </c>
      <c r="I1099" s="86">
        <f>IF(F1099=0,0,IF(M1099="ja",((VLOOKUP(F1099,Budget!A:F,6,FALSE)*(E1099-(VLOOKUP(F1099,Budget!A:F,3,FALSE))))),VLOOKUP($D1099,Budget!A:F,5,FALSE)*E1099))</f>
        <v>0</v>
      </c>
      <c r="J1099" s="86">
        <f t="shared" si="90"/>
        <v>42919.35380616656</v>
      </c>
      <c r="K1099" s="18"/>
      <c r="L1099" s="75"/>
      <c r="M1099" s="76" t="str">
        <f t="shared" si="91"/>
        <v>nein</v>
      </c>
      <c r="N1099">
        <f t="shared" si="92"/>
        <v>2023</v>
      </c>
    </row>
    <row r="1100" spans="1:14" ht="15" hidden="1" thickBot="1" x14ac:dyDescent="0.35">
      <c r="A1100" s="105">
        <f t="shared" si="89"/>
        <v>52</v>
      </c>
      <c r="B1100" s="27">
        <f t="shared" si="88"/>
        <v>45291</v>
      </c>
      <c r="C1100" s="19" t="s">
        <v>9</v>
      </c>
      <c r="D1100" s="12" t="s">
        <v>69</v>
      </c>
      <c r="E1100" s="13">
        <f>IF(VLOOKUP(D1100,Budget!A:B,2,FALSE)&lt;&gt;0,IF(G1100=0,24,24-G1100),0)</f>
        <v>24</v>
      </c>
      <c r="F1100" s="20"/>
      <c r="G1100" s="20"/>
      <c r="H1100" s="93">
        <f>IF(E1100=0,0,IF(M1100="ja",(VLOOKUP(D1100,Budget!A:F,6,FALSE)*(E1100-(VLOOKUP(D1100,Budget!A:F,3,FALSE)))),VLOOKUP($D1100,Budget!$A$1:$F$19,6,FALSE)*E1100))</f>
        <v>42919.35380616656</v>
      </c>
      <c r="I1100" s="93">
        <f>IF(F1100=0,0,IF(M1100="ja",((VLOOKUP(F1100,Budget!A:F,6,FALSE)*(E1100-(VLOOKUP(F1100,Budget!A:F,3,FALSE))))),VLOOKUP($D1100,Budget!A:F,5,FALSE)*E1100))</f>
        <v>0</v>
      </c>
      <c r="J1100" s="87">
        <f t="shared" si="90"/>
        <v>42919.35380616656</v>
      </c>
      <c r="K1100" s="21"/>
      <c r="L1100" s="74"/>
      <c r="M1100" s="77" t="str">
        <f t="shared" si="91"/>
        <v>nein</v>
      </c>
      <c r="N1100">
        <f t="shared" si="92"/>
        <v>2023</v>
      </c>
    </row>
    <row r="1101" spans="1:14" hidden="1" x14ac:dyDescent="0.3">
      <c r="A1101" s="104">
        <f t="shared" si="89"/>
        <v>1</v>
      </c>
      <c r="B1101" s="22">
        <f t="shared" si="88"/>
        <v>45292</v>
      </c>
      <c r="C1101" s="10" t="s">
        <v>3</v>
      </c>
      <c r="D1101" s="12"/>
      <c r="E1101" s="13" t="e">
        <f>IF(VLOOKUP(D1101,Budget!A:B,2,FALSE)&lt;&gt;0,IF(G1101=0,24,24-G1101),0)</f>
        <v>#N/A</v>
      </c>
      <c r="F1101" s="13"/>
      <c r="G1101" s="13"/>
      <c r="H1101" s="85" t="e">
        <f>IF(E1101=0,0,IF(M1101="ja",(VLOOKUP(D1101,Budget!A:F,6,FALSE)*(E1101-(VLOOKUP(D1101,Budget!A:F,3,FALSE)))),VLOOKUP($D1101,Budget!$A$1:$F$19,6,FALSE)*E1101))</f>
        <v>#N/A</v>
      </c>
      <c r="I1101" s="85">
        <f>IF(F1101=0,0,IF(M1101="ja",((VLOOKUP(F1101,Budget!A:F,6,FALSE)*(E1101-(VLOOKUP(F1101,Budget!A:F,3,FALSE))))),VLOOKUP($D1101,Budget!A:F,5,FALSE)*E1101))</f>
        <v>0</v>
      </c>
      <c r="J1101" s="85" t="e">
        <f t="shared" si="90"/>
        <v>#N/A</v>
      </c>
      <c r="K1101" s="15"/>
      <c r="L1101" s="72"/>
      <c r="M1101" s="80"/>
      <c r="N1101">
        <f t="shared" si="92"/>
        <v>2024</v>
      </c>
    </row>
    <row r="1102" spans="1:14" hidden="1" x14ac:dyDescent="0.3">
      <c r="A1102" s="105">
        <f t="shared" si="89"/>
        <v>1</v>
      </c>
      <c r="B1102" s="22">
        <f t="shared" si="88"/>
        <v>45293</v>
      </c>
      <c r="C1102" s="11" t="s">
        <v>4</v>
      </c>
      <c r="D1102" s="12" t="s">
        <v>29</v>
      </c>
      <c r="E1102" s="13">
        <f>IF(VLOOKUP(D1102,Budget!A:B,2,FALSE)&lt;&gt;0,IF(G1102=0,24,24-G1102),0)</f>
        <v>0</v>
      </c>
      <c r="G1102" s="13"/>
      <c r="H1102" s="85">
        <f>IF(E1102=0,0,IF(M1102="ja",(VLOOKUP(D1102,Budget!A:F,6,FALSE)*(E1102-(VLOOKUP(D1102,Budget!A:F,3,FALSE)))),VLOOKUP($D1102,Budget!$A$1:$F$19,6,FALSE)*E1102))</f>
        <v>0</v>
      </c>
      <c r="I1102" s="85">
        <f>IF(F1102=0,0,IF(M1102="ja",((VLOOKUP(F1102,Budget!A:F,6,FALSE)*(E1102-(VLOOKUP(F1102,Budget!A:F,3,FALSE))))),VLOOKUP($D1102,Budget!A:F,5,FALSE)*E1102))</f>
        <v>0</v>
      </c>
      <c r="J1102" s="85">
        <f t="shared" si="90"/>
        <v>0</v>
      </c>
      <c r="K1102" s="14"/>
      <c r="L1102" s="73"/>
      <c r="M1102" s="80"/>
      <c r="N1102">
        <f t="shared" si="92"/>
        <v>2024</v>
      </c>
    </row>
    <row r="1103" spans="1:14" hidden="1" x14ac:dyDescent="0.3">
      <c r="A1103" s="105">
        <f t="shared" si="89"/>
        <v>1</v>
      </c>
      <c r="B1103" s="22">
        <f t="shared" si="88"/>
        <v>45294</v>
      </c>
      <c r="C1103" s="11" t="s">
        <v>5</v>
      </c>
      <c r="D1103" s="12" t="s">
        <v>29</v>
      </c>
      <c r="E1103" s="13">
        <f>IF(VLOOKUP(D1103,Budget!A:B,2,FALSE)&lt;&gt;0,IF(G1103=0,24,24-G1103),0)</f>
        <v>0</v>
      </c>
      <c r="G1103" s="13"/>
      <c r="H1103" s="85">
        <f>IF(E1103=0,0,IF(M1103="ja",(VLOOKUP(D1103,Budget!A:F,6,FALSE)*(E1103-(VLOOKUP(D1103,Budget!A:F,3,FALSE)))),VLOOKUP($D1103,Budget!$A$1:$F$19,6,FALSE)*E1103))</f>
        <v>0</v>
      </c>
      <c r="I1103" s="85">
        <f>IF(F1103=0,0,IF(M1103="ja",((VLOOKUP(F1103,Budget!A:F,6,FALSE)*(E1103-(VLOOKUP(F1103,Budget!A:F,3,FALSE))))),VLOOKUP($D1103,Budget!A:F,5,FALSE)*E1103))</f>
        <v>0</v>
      </c>
      <c r="J1103" s="85">
        <f t="shared" si="90"/>
        <v>0</v>
      </c>
      <c r="K1103" s="14"/>
      <c r="L1103" s="73"/>
      <c r="M1103" s="80"/>
      <c r="N1103">
        <f t="shared" si="92"/>
        <v>2024</v>
      </c>
    </row>
    <row r="1104" spans="1:14" hidden="1" x14ac:dyDescent="0.3">
      <c r="A1104" s="103">
        <f t="shared" si="89"/>
        <v>1</v>
      </c>
      <c r="B1104" s="22">
        <f t="shared" si="88"/>
        <v>45295</v>
      </c>
      <c r="C1104" s="11" t="s">
        <v>6</v>
      </c>
      <c r="D1104" s="12" t="s">
        <v>30</v>
      </c>
      <c r="E1104" s="13">
        <f>IF(VLOOKUP(D1104,Budget!A:B,2,FALSE)&lt;&gt;0,IF(G1104=0,24,24-G1104),0)</f>
        <v>0</v>
      </c>
      <c r="G1104" s="13"/>
      <c r="H1104" s="85">
        <f>IF(E1104=0,0,IF(M1104="ja",(VLOOKUP(D1104,Budget!A:F,6,FALSE)*(E1104-(VLOOKUP(D1104,Budget!A:F,3,FALSE)))),VLOOKUP($D1104,Budget!$A$1:$F$19,6,FALSE)*E1104))</f>
        <v>0</v>
      </c>
      <c r="I1104" s="85">
        <f>IF(F1104=0,0,IF(M1104="ja",((VLOOKUP(F1104,Budget!A:F,6,FALSE)*(E1104-(VLOOKUP(F1104,Budget!A:F,3,FALSE))))),VLOOKUP($D1104,Budget!A:F,5,FALSE)*E1104))</f>
        <v>0</v>
      </c>
      <c r="J1104" s="85">
        <f t="shared" si="90"/>
        <v>0</v>
      </c>
      <c r="K1104" s="14"/>
      <c r="L1104" s="73"/>
      <c r="M1104" s="80"/>
      <c r="N1104">
        <f t="shared" si="92"/>
        <v>2024</v>
      </c>
    </row>
    <row r="1105" spans="1:14" hidden="1" x14ac:dyDescent="0.3">
      <c r="A1105" s="105">
        <f t="shared" si="89"/>
        <v>1</v>
      </c>
      <c r="B1105" s="22">
        <f t="shared" si="88"/>
        <v>45296</v>
      </c>
      <c r="C1105" s="11" t="s">
        <v>7</v>
      </c>
      <c r="D1105" s="12" t="s">
        <v>30</v>
      </c>
      <c r="E1105" s="13">
        <f>IF(VLOOKUP(D1105,Budget!A:B,2,FALSE)&lt;&gt;0,IF(G1105=0,24,24-G1105),0)</f>
        <v>0</v>
      </c>
      <c r="G1105" s="13"/>
      <c r="H1105" s="85">
        <f>IF(E1105=0,0,IF(M1105="ja",(VLOOKUP(D1105,Budget!A:F,6,FALSE)*(E1105-(VLOOKUP(D1105,Budget!A:F,3,FALSE)))),VLOOKUP($D1105,Budget!$A$1:$F$19,6,FALSE)*E1105))</f>
        <v>0</v>
      </c>
      <c r="I1105" s="85">
        <f>IF(F1105=0,0,IF(M1105="ja",((VLOOKUP(F1105,Budget!A:F,6,FALSE)*(E1105-(VLOOKUP(F1105,Budget!A:F,3,FALSE))))),VLOOKUP($D1105,Budget!A:F,5,FALSE)*E1105))</f>
        <v>0</v>
      </c>
      <c r="J1105" s="85">
        <f t="shared" si="90"/>
        <v>0</v>
      </c>
      <c r="K1105" s="14"/>
      <c r="L1105" s="25"/>
      <c r="M1105" s="80"/>
      <c r="N1105">
        <f t="shared" si="92"/>
        <v>2024</v>
      </c>
    </row>
    <row r="1106" spans="1:14" hidden="1" x14ac:dyDescent="0.3">
      <c r="A1106" s="105">
        <f t="shared" si="89"/>
        <v>1</v>
      </c>
      <c r="B1106" s="22">
        <f t="shared" si="88"/>
        <v>45297</v>
      </c>
      <c r="C1106" s="16" t="s">
        <v>8</v>
      </c>
      <c r="D1106" s="17"/>
      <c r="E1106" s="13" t="e">
        <f>IF(VLOOKUP(D1106,Budget!A:B,2,FALSE)&lt;&gt;0,IF(G1106=0,24,24-G1106),0)</f>
        <v>#N/A</v>
      </c>
      <c r="F1106" s="17"/>
      <c r="G1106" s="17"/>
      <c r="H1106" s="86" t="e">
        <f>IF(E1106=0,0,IF(M1106="ja",(VLOOKUP(D1106,Budget!A:F,6,FALSE)*(E1106-(VLOOKUP(D1106,Budget!A:F,3,FALSE)))),VLOOKUP($D1106,Budget!$A$1:$F$19,6,FALSE)*E1106))</f>
        <v>#N/A</v>
      </c>
      <c r="I1106" s="86">
        <f>IF(F1106=0,0,IF(M1106="ja",((VLOOKUP(F1106,Budget!A:F,6,FALSE)*(E1106-(VLOOKUP(F1106,Budget!A:F,3,FALSE))))),VLOOKUP($D1106,Budget!A:F,5,FALSE)*E1106))</f>
        <v>0</v>
      </c>
      <c r="J1106" s="86" t="e">
        <f t="shared" si="90"/>
        <v>#N/A</v>
      </c>
      <c r="K1106" s="18"/>
      <c r="L1106" s="75"/>
      <c r="M1106" s="76"/>
      <c r="N1106">
        <f t="shared" si="92"/>
        <v>2024</v>
      </c>
    </row>
    <row r="1107" spans="1:14" ht="15" hidden="1" thickBot="1" x14ac:dyDescent="0.35">
      <c r="A1107" s="105">
        <f t="shared" si="89"/>
        <v>1</v>
      </c>
      <c r="B1107" s="27">
        <f t="shared" si="88"/>
        <v>45298</v>
      </c>
      <c r="C1107" s="19" t="s">
        <v>9</v>
      </c>
      <c r="D1107" s="20"/>
      <c r="E1107" s="13" t="e">
        <f>IF(VLOOKUP(D1107,Budget!A:B,2,FALSE)&lt;&gt;0,IF(G1107=0,24,24-G1107),0)</f>
        <v>#N/A</v>
      </c>
      <c r="F1107" s="20"/>
      <c r="G1107" s="20"/>
      <c r="H1107" s="93" t="e">
        <f>IF(E1107=0,0,IF(M1107="ja",(VLOOKUP(D1107,Budget!A:F,6,FALSE)*(E1107-(VLOOKUP(D1107,Budget!A:F,3,FALSE)))),VLOOKUP($D1107,Budget!$A$1:$F$19,6,FALSE)*E1107))</f>
        <v>#N/A</v>
      </c>
      <c r="I1107" s="93">
        <f>IF(F1107=0,0,IF(M1107="ja",((VLOOKUP(F1107,Budget!A:F,6,FALSE)*(E1107-(VLOOKUP(F1107,Budget!A:F,3,FALSE))))),VLOOKUP($D1107,Budget!A:F,5,FALSE)*E1107))</f>
        <v>0</v>
      </c>
      <c r="J1107" s="87" t="e">
        <f t="shared" si="90"/>
        <v>#N/A</v>
      </c>
      <c r="K1107" s="21"/>
      <c r="L1107" s="74"/>
      <c r="M1107" s="77"/>
      <c r="N1107">
        <f t="shared" si="92"/>
        <v>2024</v>
      </c>
    </row>
    <row r="1108" spans="1:14" hidden="1" x14ac:dyDescent="0.3">
      <c r="A1108" s="104"/>
      <c r="B1108" s="22"/>
      <c r="C1108" s="10"/>
      <c r="D1108" s="12"/>
      <c r="E1108" s="13"/>
      <c r="F1108" s="13"/>
      <c r="G1108" s="13"/>
      <c r="H1108" s="85"/>
      <c r="I1108" s="85"/>
      <c r="J1108" s="85"/>
      <c r="K1108" s="15"/>
      <c r="L1108" s="72"/>
      <c r="M1108" s="80"/>
      <c r="N1108">
        <f t="shared" si="92"/>
        <v>1900</v>
      </c>
    </row>
    <row r="1109" spans="1:14" hidden="1" x14ac:dyDescent="0.3">
      <c r="A1109" s="105"/>
      <c r="B1109" s="22"/>
      <c r="C1109" s="11"/>
      <c r="D1109" s="12"/>
      <c r="E1109" s="13"/>
      <c r="G1109" s="13"/>
      <c r="H1109" s="85"/>
      <c r="I1109" s="85"/>
      <c r="J1109" s="85"/>
      <c r="K1109" s="14"/>
      <c r="L1109" s="73"/>
      <c r="M1109" s="80"/>
      <c r="N1109">
        <f t="shared" si="92"/>
        <v>1900</v>
      </c>
    </row>
    <row r="1110" spans="1:14" hidden="1" x14ac:dyDescent="0.3">
      <c r="A1110" s="105"/>
      <c r="B1110" s="22"/>
      <c r="C1110" s="11"/>
      <c r="D1110" s="12"/>
      <c r="E1110" s="13"/>
      <c r="G1110" s="13"/>
      <c r="H1110" s="85"/>
      <c r="I1110" s="85"/>
      <c r="J1110" s="85"/>
      <c r="K1110" s="14"/>
      <c r="L1110" s="73"/>
      <c r="M1110" s="80"/>
      <c r="N1110">
        <f t="shared" si="92"/>
        <v>1900</v>
      </c>
    </row>
    <row r="1111" spans="1:14" hidden="1" x14ac:dyDescent="0.3">
      <c r="A1111" s="103"/>
      <c r="B1111" s="22"/>
      <c r="C1111" s="11"/>
      <c r="D1111" s="12"/>
      <c r="E1111" s="13"/>
      <c r="G1111" s="13"/>
      <c r="H1111" s="85"/>
      <c r="I1111" s="85"/>
      <c r="J1111" s="85"/>
      <c r="K1111" s="14"/>
      <c r="L1111" s="73"/>
      <c r="M1111" s="80"/>
      <c r="N1111">
        <f t="shared" si="92"/>
        <v>1900</v>
      </c>
    </row>
    <row r="1112" spans="1:14" hidden="1" x14ac:dyDescent="0.3">
      <c r="A1112" s="105"/>
      <c r="B1112" s="22"/>
      <c r="C1112" s="11"/>
      <c r="D1112" s="12"/>
      <c r="E1112" s="13"/>
      <c r="G1112" s="13"/>
      <c r="H1112" s="85"/>
      <c r="I1112" s="85"/>
      <c r="J1112" s="85"/>
      <c r="K1112" s="14"/>
      <c r="L1112" s="25"/>
      <c r="M1112" s="80"/>
      <c r="N1112">
        <f t="shared" si="92"/>
        <v>1900</v>
      </c>
    </row>
    <row r="1113" spans="1:14" hidden="1" x14ac:dyDescent="0.3">
      <c r="A1113" s="105"/>
      <c r="B1113" s="22"/>
      <c r="C1113" s="16"/>
      <c r="D1113" s="17"/>
      <c r="E1113" s="24"/>
      <c r="F1113" s="17"/>
      <c r="G1113" s="17"/>
      <c r="H1113" s="86"/>
      <c r="I1113" s="86"/>
      <c r="J1113" s="86"/>
      <c r="K1113" s="18"/>
      <c r="L1113" s="75"/>
      <c r="M1113" s="76"/>
      <c r="N1113">
        <f t="shared" si="92"/>
        <v>1900</v>
      </c>
    </row>
    <row r="1114" spans="1:14" ht="15" hidden="1" thickBot="1" x14ac:dyDescent="0.35">
      <c r="A1114" s="105"/>
      <c r="B1114" s="27"/>
      <c r="C1114" s="19"/>
      <c r="D1114" s="20"/>
      <c r="E1114" s="20"/>
      <c r="F1114" s="20"/>
      <c r="G1114" s="20"/>
      <c r="H1114" s="93"/>
      <c r="I1114" s="93"/>
      <c r="J1114" s="87"/>
      <c r="K1114" s="21"/>
      <c r="L1114" s="74"/>
      <c r="M1114" s="77"/>
      <c r="N1114">
        <f t="shared" si="92"/>
        <v>1900</v>
      </c>
    </row>
    <row r="1115" spans="1:14" hidden="1" x14ac:dyDescent="0.3">
      <c r="A1115" s="104"/>
      <c r="B1115" s="22"/>
      <c r="C1115" s="10"/>
      <c r="D1115" s="12"/>
      <c r="E1115" s="13"/>
      <c r="F1115" s="13"/>
      <c r="G1115" s="13"/>
      <c r="H1115" s="85"/>
      <c r="I1115" s="85"/>
      <c r="J1115" s="85"/>
      <c r="K1115" s="15"/>
      <c r="L1115" s="72"/>
      <c r="M1115" s="80"/>
      <c r="N1115">
        <f t="shared" si="92"/>
        <v>1900</v>
      </c>
    </row>
    <row r="1116" spans="1:14" hidden="1" x14ac:dyDescent="0.3">
      <c r="A1116" s="105"/>
      <c r="B1116" s="22"/>
      <c r="C1116" s="11"/>
      <c r="D1116" s="12"/>
      <c r="E1116" s="13"/>
      <c r="G1116" s="13"/>
      <c r="H1116" s="85"/>
      <c r="I1116" s="85"/>
      <c r="J1116" s="85"/>
      <c r="K1116" s="14"/>
      <c r="L1116" s="73"/>
      <c r="M1116" s="80"/>
      <c r="N1116">
        <f t="shared" si="92"/>
        <v>1900</v>
      </c>
    </row>
    <row r="1117" spans="1:14" hidden="1" x14ac:dyDescent="0.3">
      <c r="A1117" s="105"/>
      <c r="B1117" s="22"/>
      <c r="C1117" s="11"/>
      <c r="D1117" s="12"/>
      <c r="E1117" s="13"/>
      <c r="G1117" s="13"/>
      <c r="H1117" s="85"/>
      <c r="I1117" s="85"/>
      <c r="J1117" s="85"/>
      <c r="K1117" s="14"/>
      <c r="L1117" s="73"/>
      <c r="M1117" s="80"/>
      <c r="N1117">
        <f t="shared" si="92"/>
        <v>1900</v>
      </c>
    </row>
    <row r="1118" spans="1:14" hidden="1" x14ac:dyDescent="0.3">
      <c r="A1118" s="103"/>
      <c r="B1118" s="22"/>
      <c r="C1118" s="11"/>
      <c r="D1118" s="12"/>
      <c r="E1118" s="13"/>
      <c r="G1118" s="13"/>
      <c r="H1118" s="85"/>
      <c r="I1118" s="85"/>
      <c r="J1118" s="85"/>
      <c r="K1118" s="14"/>
      <c r="L1118" s="73"/>
      <c r="M1118" s="80"/>
      <c r="N1118">
        <f t="shared" si="92"/>
        <v>1900</v>
      </c>
    </row>
    <row r="1119" spans="1:14" hidden="1" x14ac:dyDescent="0.3">
      <c r="A1119" s="105"/>
      <c r="B1119" s="22"/>
      <c r="C1119" s="11"/>
      <c r="D1119" s="12"/>
      <c r="E1119" s="13"/>
      <c r="G1119" s="13"/>
      <c r="H1119" s="85"/>
      <c r="I1119" s="85"/>
      <c r="J1119" s="85"/>
      <c r="K1119" s="14"/>
      <c r="L1119" s="25"/>
      <c r="M1119" s="80"/>
      <c r="N1119">
        <f t="shared" si="92"/>
        <v>1900</v>
      </c>
    </row>
    <row r="1120" spans="1:14" hidden="1" x14ac:dyDescent="0.3">
      <c r="A1120" s="105"/>
      <c r="B1120" s="22"/>
      <c r="C1120" s="16"/>
      <c r="D1120" s="17"/>
      <c r="E1120" s="24"/>
      <c r="F1120" s="17"/>
      <c r="G1120" s="17"/>
      <c r="H1120" s="86"/>
      <c r="I1120" s="86"/>
      <c r="J1120" s="86"/>
      <c r="K1120" s="18"/>
      <c r="L1120" s="75"/>
      <c r="M1120" s="76"/>
      <c r="N1120">
        <f t="shared" si="92"/>
        <v>1900</v>
      </c>
    </row>
    <row r="1121" spans="1:14" ht="15" hidden="1" thickBot="1" x14ac:dyDescent="0.35">
      <c r="A1121" s="105"/>
      <c r="B1121" s="27"/>
      <c r="C1121" s="19"/>
      <c r="D1121" s="20"/>
      <c r="E1121" s="20"/>
      <c r="F1121" s="20"/>
      <c r="G1121" s="20"/>
      <c r="H1121" s="93"/>
      <c r="I1121" s="93"/>
      <c r="J1121" s="87"/>
      <c r="K1121" s="21"/>
      <c r="L1121" s="74"/>
      <c r="M1121" s="77"/>
      <c r="N1121">
        <f t="shared" si="92"/>
        <v>1900</v>
      </c>
    </row>
    <row r="1122" spans="1:14" hidden="1" x14ac:dyDescent="0.3">
      <c r="A1122" s="104"/>
      <c r="B1122" s="22"/>
      <c r="C1122" s="10"/>
      <c r="D1122" s="12"/>
      <c r="E1122" s="13"/>
      <c r="F1122" s="13"/>
      <c r="G1122" s="13"/>
      <c r="H1122" s="85"/>
      <c r="I1122" s="85"/>
      <c r="J1122" s="85"/>
      <c r="K1122" s="15"/>
      <c r="L1122" s="72"/>
      <c r="M1122" s="80"/>
      <c r="N1122">
        <f t="shared" si="92"/>
        <v>1900</v>
      </c>
    </row>
    <row r="1123" spans="1:14" hidden="1" x14ac:dyDescent="0.3">
      <c r="A1123" s="105"/>
      <c r="B1123" s="22"/>
      <c r="C1123" s="11"/>
      <c r="D1123" s="12"/>
      <c r="E1123" s="13"/>
      <c r="G1123" s="13"/>
      <c r="H1123" s="85"/>
      <c r="I1123" s="85"/>
      <c r="J1123" s="85"/>
      <c r="K1123" s="14"/>
      <c r="L1123" s="73"/>
      <c r="M1123" s="80"/>
      <c r="N1123">
        <f t="shared" si="92"/>
        <v>1900</v>
      </c>
    </row>
    <row r="1124" spans="1:14" hidden="1" x14ac:dyDescent="0.3">
      <c r="A1124" s="105"/>
      <c r="B1124" s="22"/>
      <c r="C1124" s="11"/>
      <c r="D1124" s="12"/>
      <c r="E1124" s="13"/>
      <c r="G1124" s="13"/>
      <c r="H1124" s="85"/>
      <c r="I1124" s="85"/>
      <c r="J1124" s="85"/>
      <c r="K1124" s="14"/>
      <c r="L1124" s="73"/>
      <c r="M1124" s="80"/>
      <c r="N1124">
        <f t="shared" si="92"/>
        <v>1900</v>
      </c>
    </row>
    <row r="1125" spans="1:14" hidden="1" x14ac:dyDescent="0.3">
      <c r="A1125" s="103"/>
      <c r="B1125" s="22"/>
      <c r="C1125" s="11"/>
      <c r="D1125" s="12"/>
      <c r="E1125" s="13"/>
      <c r="G1125" s="13"/>
      <c r="H1125" s="85"/>
      <c r="I1125" s="85"/>
      <c r="J1125" s="85"/>
      <c r="K1125" s="14"/>
      <c r="L1125" s="73"/>
      <c r="M1125" s="80"/>
      <c r="N1125">
        <f t="shared" si="92"/>
        <v>1900</v>
      </c>
    </row>
    <row r="1126" spans="1:14" hidden="1" x14ac:dyDescent="0.3">
      <c r="A1126" s="105"/>
      <c r="B1126" s="22"/>
      <c r="C1126" s="11"/>
      <c r="D1126" s="12"/>
      <c r="E1126" s="13"/>
      <c r="G1126" s="13"/>
      <c r="H1126" s="85"/>
      <c r="I1126" s="85"/>
      <c r="J1126" s="85"/>
      <c r="K1126" s="14"/>
      <c r="L1126" s="25"/>
      <c r="M1126" s="80"/>
      <c r="N1126">
        <f t="shared" si="92"/>
        <v>1900</v>
      </c>
    </row>
    <row r="1127" spans="1:14" hidden="1" x14ac:dyDescent="0.3">
      <c r="A1127" s="105"/>
      <c r="B1127" s="22"/>
      <c r="C1127" s="16"/>
      <c r="D1127" s="17"/>
      <c r="E1127" s="24"/>
      <c r="F1127" s="17"/>
      <c r="G1127" s="17"/>
      <c r="H1127" s="86"/>
      <c r="I1127" s="86"/>
      <c r="J1127" s="86"/>
      <c r="K1127" s="18"/>
      <c r="L1127" s="75"/>
      <c r="M1127" s="76"/>
      <c r="N1127">
        <f t="shared" si="92"/>
        <v>1900</v>
      </c>
    </row>
    <row r="1128" spans="1:14" ht="15" hidden="1" thickBot="1" x14ac:dyDescent="0.35">
      <c r="A1128" s="105"/>
      <c r="B1128" s="27"/>
      <c r="C1128" s="19"/>
      <c r="D1128" s="20"/>
      <c r="E1128" s="20"/>
      <c r="F1128" s="20"/>
      <c r="G1128" s="20"/>
      <c r="H1128" s="93"/>
      <c r="I1128" s="93"/>
      <c r="J1128" s="87"/>
      <c r="K1128" s="21"/>
      <c r="L1128" s="74"/>
      <c r="M1128" s="77"/>
      <c r="N1128">
        <f t="shared" si="92"/>
        <v>1900</v>
      </c>
    </row>
    <row r="1129" spans="1:14" hidden="1" x14ac:dyDescent="0.3">
      <c r="A1129" s="104"/>
      <c r="B1129" s="22"/>
      <c r="C1129" s="10"/>
      <c r="D1129" s="12"/>
      <c r="E1129" s="13"/>
      <c r="F1129" s="13"/>
      <c r="G1129" s="13"/>
      <c r="H1129" s="85"/>
      <c r="I1129" s="85"/>
      <c r="J1129" s="85"/>
      <c r="K1129" s="15"/>
      <c r="L1129" s="72"/>
      <c r="M1129" s="80"/>
      <c r="N1129">
        <f t="shared" si="92"/>
        <v>1900</v>
      </c>
    </row>
    <row r="1130" spans="1:14" hidden="1" x14ac:dyDescent="0.3">
      <c r="A1130" s="105"/>
      <c r="B1130" s="22"/>
      <c r="C1130" s="11"/>
      <c r="D1130" s="12"/>
      <c r="E1130" s="13"/>
      <c r="G1130" s="13"/>
      <c r="H1130" s="85"/>
      <c r="I1130" s="85"/>
      <c r="J1130" s="85"/>
      <c r="K1130" s="14"/>
      <c r="L1130" s="73"/>
      <c r="M1130" s="80"/>
      <c r="N1130">
        <f t="shared" si="92"/>
        <v>1900</v>
      </c>
    </row>
    <row r="1131" spans="1:14" hidden="1" x14ac:dyDescent="0.3">
      <c r="A1131" s="105"/>
      <c r="B1131" s="22"/>
      <c r="C1131" s="11"/>
      <c r="D1131" s="12"/>
      <c r="E1131" s="13"/>
      <c r="G1131" s="13"/>
      <c r="H1131" s="85"/>
      <c r="I1131" s="85"/>
      <c r="J1131" s="85"/>
      <c r="K1131" s="14"/>
      <c r="L1131" s="73"/>
      <c r="M1131" s="80"/>
      <c r="N1131">
        <f t="shared" si="92"/>
        <v>1900</v>
      </c>
    </row>
    <row r="1132" spans="1:14" hidden="1" x14ac:dyDescent="0.3">
      <c r="A1132" s="103"/>
      <c r="B1132" s="22"/>
      <c r="C1132" s="11"/>
      <c r="D1132" s="12"/>
      <c r="E1132" s="13"/>
      <c r="G1132" s="13"/>
      <c r="H1132" s="85"/>
      <c r="I1132" s="85"/>
      <c r="J1132" s="85"/>
      <c r="K1132" s="14"/>
      <c r="L1132" s="73"/>
      <c r="M1132" s="80"/>
      <c r="N1132">
        <f t="shared" si="92"/>
        <v>1900</v>
      </c>
    </row>
    <row r="1133" spans="1:14" hidden="1" x14ac:dyDescent="0.3">
      <c r="A1133" s="105"/>
      <c r="B1133" s="22"/>
      <c r="C1133" s="11"/>
      <c r="D1133" s="12"/>
      <c r="E1133" s="13"/>
      <c r="G1133" s="13"/>
      <c r="H1133" s="85"/>
      <c r="I1133" s="85"/>
      <c r="J1133" s="85"/>
      <c r="K1133" s="14"/>
      <c r="L1133" s="25"/>
      <c r="M1133" s="80"/>
      <c r="N1133">
        <f t="shared" si="92"/>
        <v>1900</v>
      </c>
    </row>
    <row r="1134" spans="1:14" hidden="1" x14ac:dyDescent="0.3">
      <c r="A1134" s="105"/>
      <c r="B1134" s="22"/>
      <c r="C1134" s="16"/>
      <c r="D1134" s="17"/>
      <c r="E1134" s="24"/>
      <c r="F1134" s="17"/>
      <c r="G1134" s="17"/>
      <c r="H1134" s="86"/>
      <c r="I1134" s="86"/>
      <c r="J1134" s="86"/>
      <c r="K1134" s="18"/>
      <c r="L1134" s="75"/>
      <c r="M1134" s="76"/>
      <c r="N1134">
        <f t="shared" si="92"/>
        <v>1900</v>
      </c>
    </row>
    <row r="1135" spans="1:14" ht="15" hidden="1" thickBot="1" x14ac:dyDescent="0.35">
      <c r="A1135" s="105"/>
      <c r="B1135" s="27"/>
      <c r="C1135" s="19"/>
      <c r="D1135" s="20"/>
      <c r="E1135" s="20"/>
      <c r="F1135" s="20"/>
      <c r="G1135" s="20"/>
      <c r="H1135" s="93"/>
      <c r="I1135" s="93"/>
      <c r="J1135" s="87"/>
      <c r="K1135" s="21"/>
      <c r="L1135" s="74"/>
      <c r="M1135" s="77"/>
      <c r="N1135">
        <f t="shared" si="92"/>
        <v>1900</v>
      </c>
    </row>
    <row r="1136" spans="1:14" hidden="1" x14ac:dyDescent="0.3">
      <c r="A1136" s="104"/>
      <c r="B1136" s="22"/>
      <c r="C1136" s="10"/>
      <c r="D1136" s="12"/>
      <c r="E1136" s="13"/>
      <c r="F1136" s="13"/>
      <c r="G1136" s="13"/>
      <c r="H1136" s="85"/>
      <c r="I1136" s="85"/>
      <c r="J1136" s="85"/>
      <c r="K1136" s="15"/>
      <c r="L1136" s="72"/>
      <c r="M1136" s="80"/>
      <c r="N1136">
        <f t="shared" si="92"/>
        <v>1900</v>
      </c>
    </row>
    <row r="1137" spans="1:14" hidden="1" x14ac:dyDescent="0.3">
      <c r="A1137" s="105"/>
      <c r="B1137" s="22"/>
      <c r="C1137" s="11"/>
      <c r="D1137" s="12"/>
      <c r="E1137" s="13"/>
      <c r="G1137" s="13"/>
      <c r="H1137" s="85"/>
      <c r="I1137" s="85"/>
      <c r="J1137" s="85"/>
      <c r="K1137" s="14"/>
      <c r="L1137" s="73"/>
      <c r="M1137" s="80"/>
      <c r="N1137">
        <f t="shared" si="92"/>
        <v>1900</v>
      </c>
    </row>
    <row r="1138" spans="1:14" hidden="1" x14ac:dyDescent="0.3">
      <c r="A1138" s="105"/>
      <c r="B1138" s="22"/>
      <c r="C1138" s="11"/>
      <c r="D1138" s="12"/>
      <c r="E1138" s="13"/>
      <c r="G1138" s="13"/>
      <c r="H1138" s="85"/>
      <c r="I1138" s="85"/>
      <c r="J1138" s="85"/>
      <c r="K1138" s="14"/>
      <c r="L1138" s="73"/>
      <c r="M1138" s="80"/>
      <c r="N1138">
        <f t="shared" si="92"/>
        <v>1900</v>
      </c>
    </row>
    <row r="1139" spans="1:14" hidden="1" x14ac:dyDescent="0.3">
      <c r="A1139" s="103"/>
      <c r="B1139" s="22"/>
      <c r="C1139" s="11"/>
      <c r="D1139" s="12"/>
      <c r="E1139" s="13"/>
      <c r="G1139" s="13"/>
      <c r="H1139" s="85"/>
      <c r="I1139" s="85"/>
      <c r="J1139" s="85"/>
      <c r="K1139" s="14"/>
      <c r="L1139" s="73"/>
      <c r="M1139" s="80"/>
      <c r="N1139">
        <f t="shared" si="92"/>
        <v>1900</v>
      </c>
    </row>
    <row r="1140" spans="1:14" hidden="1" x14ac:dyDescent="0.3">
      <c r="A1140" s="105"/>
      <c r="B1140" s="22"/>
      <c r="C1140" s="11"/>
      <c r="D1140" s="12"/>
      <c r="E1140" s="13"/>
      <c r="G1140" s="13"/>
      <c r="H1140" s="85"/>
      <c r="I1140" s="85"/>
      <c r="J1140" s="85"/>
      <c r="K1140" s="14"/>
      <c r="L1140" s="25"/>
      <c r="M1140" s="80"/>
      <c r="N1140">
        <f t="shared" si="92"/>
        <v>1900</v>
      </c>
    </row>
    <row r="1141" spans="1:14" hidden="1" x14ac:dyDescent="0.3">
      <c r="A1141" s="105"/>
      <c r="B1141" s="22"/>
      <c r="C1141" s="16"/>
      <c r="D1141" s="17"/>
      <c r="E1141" s="24"/>
      <c r="F1141" s="17"/>
      <c r="G1141" s="17"/>
      <c r="H1141" s="86"/>
      <c r="I1141" s="86"/>
      <c r="J1141" s="86"/>
      <c r="K1141" s="18"/>
      <c r="L1141" s="75"/>
      <c r="M1141" s="76"/>
      <c r="N1141">
        <f t="shared" si="92"/>
        <v>1900</v>
      </c>
    </row>
    <row r="1142" spans="1:14" ht="15" hidden="1" thickBot="1" x14ac:dyDescent="0.35">
      <c r="A1142" s="105"/>
      <c r="B1142" s="27"/>
      <c r="C1142" s="19"/>
      <c r="D1142" s="20"/>
      <c r="E1142" s="20"/>
      <c r="F1142" s="20"/>
      <c r="G1142" s="20"/>
      <c r="H1142" s="93"/>
      <c r="I1142" s="93"/>
      <c r="J1142" s="87"/>
      <c r="K1142" s="21"/>
      <c r="L1142" s="74"/>
      <c r="M1142" s="77"/>
      <c r="N1142">
        <f t="shared" si="92"/>
        <v>1900</v>
      </c>
    </row>
    <row r="1143" spans="1:14" hidden="1" x14ac:dyDescent="0.3">
      <c r="A1143" s="104"/>
      <c r="B1143" s="22"/>
      <c r="C1143" s="10"/>
      <c r="D1143" s="12"/>
      <c r="E1143" s="13"/>
      <c r="F1143" s="13"/>
      <c r="G1143" s="13"/>
      <c r="H1143" s="85"/>
      <c r="I1143" s="85"/>
      <c r="J1143" s="85"/>
      <c r="K1143" s="15"/>
      <c r="L1143" s="72"/>
      <c r="M1143" s="80"/>
      <c r="N1143">
        <f t="shared" si="92"/>
        <v>1900</v>
      </c>
    </row>
    <row r="1144" spans="1:14" hidden="1" x14ac:dyDescent="0.3">
      <c r="A1144" s="105"/>
      <c r="B1144" s="22"/>
      <c r="C1144" s="11"/>
      <c r="D1144" s="12"/>
      <c r="E1144" s="13"/>
      <c r="G1144" s="13"/>
      <c r="H1144" s="85"/>
      <c r="I1144" s="85"/>
      <c r="J1144" s="85"/>
      <c r="K1144" s="14"/>
      <c r="L1144" s="73"/>
      <c r="M1144" s="80"/>
      <c r="N1144">
        <f t="shared" si="92"/>
        <v>1900</v>
      </c>
    </row>
    <row r="1145" spans="1:14" hidden="1" x14ac:dyDescent="0.3">
      <c r="A1145" s="105"/>
      <c r="B1145" s="22"/>
      <c r="C1145" s="11"/>
      <c r="D1145" s="12"/>
      <c r="E1145" s="13"/>
      <c r="G1145" s="13"/>
      <c r="H1145" s="85"/>
      <c r="I1145" s="85"/>
      <c r="J1145" s="85"/>
      <c r="K1145" s="14"/>
      <c r="L1145" s="73"/>
      <c r="M1145" s="80"/>
      <c r="N1145">
        <f t="shared" si="92"/>
        <v>1900</v>
      </c>
    </row>
    <row r="1146" spans="1:14" hidden="1" x14ac:dyDescent="0.3">
      <c r="A1146" s="103"/>
      <c r="B1146" s="22"/>
      <c r="C1146" s="11"/>
      <c r="D1146" s="12"/>
      <c r="E1146" s="13"/>
      <c r="G1146" s="13"/>
      <c r="H1146" s="85"/>
      <c r="I1146" s="85"/>
      <c r="J1146" s="85"/>
      <c r="K1146" s="14"/>
      <c r="L1146" s="73"/>
      <c r="M1146" s="80"/>
      <c r="N1146">
        <f t="shared" si="92"/>
        <v>1900</v>
      </c>
    </row>
    <row r="1147" spans="1:14" hidden="1" x14ac:dyDescent="0.3">
      <c r="A1147" s="105"/>
      <c r="B1147" s="22"/>
      <c r="C1147" s="11"/>
      <c r="D1147" s="12"/>
      <c r="E1147" s="13"/>
      <c r="G1147" s="13"/>
      <c r="H1147" s="85"/>
      <c r="I1147" s="85"/>
      <c r="J1147" s="85"/>
      <c r="K1147" s="14"/>
      <c r="L1147" s="25"/>
      <c r="M1147" s="80"/>
      <c r="N1147">
        <f t="shared" si="92"/>
        <v>1900</v>
      </c>
    </row>
    <row r="1148" spans="1:14" hidden="1" x14ac:dyDescent="0.3">
      <c r="A1148" s="105"/>
      <c r="B1148" s="22"/>
      <c r="C1148" s="16"/>
      <c r="D1148" s="17"/>
      <c r="E1148" s="24"/>
      <c r="F1148" s="17"/>
      <c r="G1148" s="17"/>
      <c r="H1148" s="86"/>
      <c r="I1148" s="86"/>
      <c r="J1148" s="86"/>
      <c r="K1148" s="18"/>
      <c r="L1148" s="75"/>
      <c r="M1148" s="76"/>
      <c r="N1148">
        <f t="shared" si="92"/>
        <v>1900</v>
      </c>
    </row>
    <row r="1149" spans="1:14" ht="15" hidden="1" thickBot="1" x14ac:dyDescent="0.35">
      <c r="A1149" s="105"/>
      <c r="B1149" s="27"/>
      <c r="C1149" s="19"/>
      <c r="D1149" s="20"/>
      <c r="E1149" s="20"/>
      <c r="F1149" s="20"/>
      <c r="G1149" s="20"/>
      <c r="H1149" s="93"/>
      <c r="I1149" s="93"/>
      <c r="J1149" s="87"/>
      <c r="K1149" s="21"/>
      <c r="L1149" s="74"/>
      <c r="M1149" s="77"/>
      <c r="N1149">
        <f t="shared" si="92"/>
        <v>1900</v>
      </c>
    </row>
    <row r="1150" spans="1:14" hidden="1" x14ac:dyDescent="0.3">
      <c r="A1150" s="104"/>
      <c r="B1150" s="22"/>
      <c r="C1150" s="10"/>
      <c r="D1150" s="12"/>
      <c r="E1150" s="13"/>
      <c r="F1150" s="13"/>
      <c r="G1150" s="13"/>
      <c r="H1150" s="85"/>
      <c r="I1150" s="85"/>
      <c r="J1150" s="85"/>
      <c r="K1150" s="15"/>
      <c r="L1150" s="72"/>
      <c r="M1150" s="80"/>
      <c r="N1150">
        <f t="shared" si="92"/>
        <v>1900</v>
      </c>
    </row>
    <row r="1151" spans="1:14" hidden="1" x14ac:dyDescent="0.3">
      <c r="A1151" s="105"/>
      <c r="B1151" s="22"/>
      <c r="C1151" s="11"/>
      <c r="D1151" s="12"/>
      <c r="E1151" s="13"/>
      <c r="G1151" s="13"/>
      <c r="H1151" s="85"/>
      <c r="I1151" s="85"/>
      <c r="J1151" s="85"/>
      <c r="K1151" s="14"/>
      <c r="L1151" s="73"/>
      <c r="M1151" s="80"/>
      <c r="N1151">
        <f t="shared" si="92"/>
        <v>1900</v>
      </c>
    </row>
    <row r="1152" spans="1:14" hidden="1" x14ac:dyDescent="0.3">
      <c r="A1152" s="105"/>
      <c r="B1152" s="22"/>
      <c r="C1152" s="11"/>
      <c r="D1152" s="12"/>
      <c r="E1152" s="13"/>
      <c r="G1152" s="13"/>
      <c r="H1152" s="85"/>
      <c r="I1152" s="85"/>
      <c r="J1152" s="85"/>
      <c r="K1152" s="14"/>
      <c r="L1152" s="73"/>
      <c r="M1152" s="80"/>
      <c r="N1152">
        <f t="shared" si="92"/>
        <v>1900</v>
      </c>
    </row>
    <row r="1153" spans="1:14" hidden="1" x14ac:dyDescent="0.3">
      <c r="A1153" s="103"/>
      <c r="B1153" s="22"/>
      <c r="C1153" s="11"/>
      <c r="D1153" s="12"/>
      <c r="E1153" s="13"/>
      <c r="G1153" s="13"/>
      <c r="H1153" s="85"/>
      <c r="I1153" s="85"/>
      <c r="J1153" s="85"/>
      <c r="K1153" s="14"/>
      <c r="L1153" s="73"/>
      <c r="M1153" s="80"/>
      <c r="N1153">
        <f t="shared" si="92"/>
        <v>1900</v>
      </c>
    </row>
    <row r="1154" spans="1:14" hidden="1" x14ac:dyDescent="0.3">
      <c r="A1154" s="105"/>
      <c r="B1154" s="22"/>
      <c r="C1154" s="11"/>
      <c r="D1154" s="12"/>
      <c r="E1154" s="13"/>
      <c r="G1154" s="13"/>
      <c r="H1154" s="85"/>
      <c r="I1154" s="85"/>
      <c r="J1154" s="85"/>
      <c r="K1154" s="14"/>
      <c r="L1154" s="25"/>
      <c r="M1154" s="80"/>
      <c r="N1154">
        <f t="shared" si="92"/>
        <v>1900</v>
      </c>
    </row>
    <row r="1155" spans="1:14" hidden="1" x14ac:dyDescent="0.3">
      <c r="A1155" s="105"/>
      <c r="B1155" s="22"/>
      <c r="C1155" s="16"/>
      <c r="D1155" s="17"/>
      <c r="E1155" s="24"/>
      <c r="F1155" s="17"/>
      <c r="G1155" s="17"/>
      <c r="H1155" s="86"/>
      <c r="I1155" s="86"/>
      <c r="J1155" s="86"/>
      <c r="K1155" s="18"/>
      <c r="L1155" s="75"/>
      <c r="M1155" s="76"/>
      <c r="N1155">
        <f t="shared" ref="N1155:N1218" si="93">YEAR(B1155)</f>
        <v>1900</v>
      </c>
    </row>
    <row r="1156" spans="1:14" ht="15" hidden="1" thickBot="1" x14ac:dyDescent="0.35">
      <c r="A1156" s="105"/>
      <c r="B1156" s="27"/>
      <c r="C1156" s="19"/>
      <c r="D1156" s="20"/>
      <c r="E1156" s="20"/>
      <c r="F1156" s="20"/>
      <c r="G1156" s="20"/>
      <c r="H1156" s="93"/>
      <c r="I1156" s="93"/>
      <c r="J1156" s="87"/>
      <c r="K1156" s="21"/>
      <c r="L1156" s="74"/>
      <c r="M1156" s="77"/>
      <c r="N1156">
        <f t="shared" si="93"/>
        <v>1900</v>
      </c>
    </row>
    <row r="1157" spans="1:14" hidden="1" x14ac:dyDescent="0.3">
      <c r="A1157" s="104"/>
      <c r="B1157" s="22"/>
      <c r="C1157" s="10"/>
      <c r="D1157" s="12"/>
      <c r="E1157" s="13"/>
      <c r="F1157" s="13"/>
      <c r="G1157" s="13"/>
      <c r="H1157" s="85"/>
      <c r="I1157" s="85"/>
      <c r="J1157" s="85"/>
      <c r="K1157" s="15"/>
      <c r="L1157" s="72"/>
      <c r="M1157" s="80"/>
      <c r="N1157">
        <f t="shared" si="93"/>
        <v>1900</v>
      </c>
    </row>
    <row r="1158" spans="1:14" hidden="1" x14ac:dyDescent="0.3">
      <c r="A1158" s="105"/>
      <c r="B1158" s="22"/>
      <c r="C1158" s="11"/>
      <c r="D1158" s="12"/>
      <c r="E1158" s="13"/>
      <c r="G1158" s="13"/>
      <c r="H1158" s="85"/>
      <c r="I1158" s="85"/>
      <c r="J1158" s="85"/>
      <c r="K1158" s="14"/>
      <c r="L1158" s="73"/>
      <c r="M1158" s="80"/>
      <c r="N1158">
        <f t="shared" si="93"/>
        <v>1900</v>
      </c>
    </row>
    <row r="1159" spans="1:14" hidden="1" x14ac:dyDescent="0.3">
      <c r="A1159" s="105"/>
      <c r="B1159" s="22"/>
      <c r="C1159" s="11"/>
      <c r="D1159" s="12"/>
      <c r="E1159" s="13"/>
      <c r="G1159" s="13"/>
      <c r="H1159" s="85"/>
      <c r="I1159" s="85"/>
      <c r="J1159" s="85"/>
      <c r="K1159" s="14"/>
      <c r="L1159" s="73"/>
      <c r="M1159" s="80"/>
      <c r="N1159">
        <f t="shared" si="93"/>
        <v>1900</v>
      </c>
    </row>
    <row r="1160" spans="1:14" hidden="1" x14ac:dyDescent="0.3">
      <c r="A1160" s="103"/>
      <c r="B1160" s="22"/>
      <c r="C1160" s="11"/>
      <c r="D1160" s="12"/>
      <c r="E1160" s="13"/>
      <c r="G1160" s="13"/>
      <c r="H1160" s="85"/>
      <c r="I1160" s="85"/>
      <c r="J1160" s="85"/>
      <c r="K1160" s="14"/>
      <c r="L1160" s="73"/>
      <c r="M1160" s="80"/>
      <c r="N1160">
        <f t="shared" si="93"/>
        <v>1900</v>
      </c>
    </row>
    <row r="1161" spans="1:14" hidden="1" x14ac:dyDescent="0.3">
      <c r="A1161" s="105"/>
      <c r="B1161" s="22"/>
      <c r="C1161" s="11"/>
      <c r="D1161" s="12"/>
      <c r="E1161" s="13"/>
      <c r="G1161" s="13"/>
      <c r="H1161" s="85"/>
      <c r="I1161" s="85"/>
      <c r="J1161" s="85"/>
      <c r="K1161" s="14"/>
      <c r="L1161" s="25"/>
      <c r="M1161" s="80"/>
      <c r="N1161">
        <f t="shared" si="93"/>
        <v>1900</v>
      </c>
    </row>
    <row r="1162" spans="1:14" hidden="1" x14ac:dyDescent="0.3">
      <c r="A1162" s="105"/>
      <c r="B1162" s="22"/>
      <c r="C1162" s="16"/>
      <c r="D1162" s="17"/>
      <c r="E1162" s="24"/>
      <c r="F1162" s="17"/>
      <c r="G1162" s="17"/>
      <c r="H1162" s="86"/>
      <c r="I1162" s="86"/>
      <c r="J1162" s="86"/>
      <c r="K1162" s="18"/>
      <c r="L1162" s="75"/>
      <c r="M1162" s="76"/>
      <c r="N1162">
        <f t="shared" si="93"/>
        <v>1900</v>
      </c>
    </row>
    <row r="1163" spans="1:14" ht="15" hidden="1" thickBot="1" x14ac:dyDescent="0.35">
      <c r="A1163" s="105"/>
      <c r="B1163" s="27"/>
      <c r="C1163" s="19"/>
      <c r="D1163" s="20"/>
      <c r="E1163" s="20"/>
      <c r="F1163" s="20"/>
      <c r="G1163" s="20"/>
      <c r="H1163" s="93"/>
      <c r="I1163" s="93"/>
      <c r="J1163" s="87"/>
      <c r="K1163" s="21"/>
      <c r="L1163" s="74"/>
      <c r="M1163" s="77"/>
      <c r="N1163">
        <f t="shared" si="93"/>
        <v>1900</v>
      </c>
    </row>
    <row r="1164" spans="1:14" hidden="1" x14ac:dyDescent="0.3">
      <c r="A1164" s="104"/>
      <c r="B1164" s="22"/>
      <c r="C1164" s="10"/>
      <c r="D1164" s="12"/>
      <c r="E1164" s="13"/>
      <c r="F1164" s="13"/>
      <c r="G1164" s="13"/>
      <c r="H1164" s="85"/>
      <c r="I1164" s="85"/>
      <c r="J1164" s="85"/>
      <c r="K1164" s="15"/>
      <c r="L1164" s="72"/>
      <c r="M1164" s="80"/>
      <c r="N1164">
        <f t="shared" si="93"/>
        <v>1900</v>
      </c>
    </row>
    <row r="1165" spans="1:14" hidden="1" x14ac:dyDescent="0.3">
      <c r="A1165" s="105"/>
      <c r="B1165" s="22"/>
      <c r="C1165" s="11"/>
      <c r="D1165" s="12"/>
      <c r="E1165" s="13"/>
      <c r="G1165" s="13"/>
      <c r="H1165" s="85"/>
      <c r="I1165" s="85"/>
      <c r="J1165" s="85"/>
      <c r="K1165" s="14"/>
      <c r="L1165" s="73"/>
      <c r="M1165" s="80"/>
      <c r="N1165">
        <f t="shared" si="93"/>
        <v>1900</v>
      </c>
    </row>
    <row r="1166" spans="1:14" hidden="1" x14ac:dyDescent="0.3">
      <c r="A1166" s="105"/>
      <c r="B1166" s="22"/>
      <c r="C1166" s="11"/>
      <c r="D1166" s="12"/>
      <c r="E1166" s="13"/>
      <c r="G1166" s="13"/>
      <c r="H1166" s="85"/>
      <c r="I1166" s="85"/>
      <c r="J1166" s="85"/>
      <c r="K1166" s="14"/>
      <c r="L1166" s="73"/>
      <c r="M1166" s="80"/>
      <c r="N1166">
        <f t="shared" si="93"/>
        <v>1900</v>
      </c>
    </row>
    <row r="1167" spans="1:14" hidden="1" x14ac:dyDescent="0.3">
      <c r="A1167" s="103"/>
      <c r="B1167" s="22"/>
      <c r="C1167" s="11"/>
      <c r="D1167" s="12"/>
      <c r="E1167" s="13"/>
      <c r="G1167" s="13"/>
      <c r="H1167" s="85"/>
      <c r="I1167" s="85"/>
      <c r="J1167" s="85"/>
      <c r="K1167" s="14"/>
      <c r="L1167" s="73"/>
      <c r="M1167" s="80"/>
      <c r="N1167">
        <f t="shared" si="93"/>
        <v>1900</v>
      </c>
    </row>
    <row r="1168" spans="1:14" hidden="1" x14ac:dyDescent="0.3">
      <c r="A1168" s="105"/>
      <c r="B1168" s="22"/>
      <c r="C1168" s="11"/>
      <c r="D1168" s="12"/>
      <c r="E1168" s="13"/>
      <c r="G1168" s="13"/>
      <c r="H1168" s="85"/>
      <c r="I1168" s="85"/>
      <c r="J1168" s="85"/>
      <c r="K1168" s="14"/>
      <c r="L1168" s="25"/>
      <c r="M1168" s="80"/>
      <c r="N1168">
        <f t="shared" si="93"/>
        <v>1900</v>
      </c>
    </row>
    <row r="1169" spans="1:14" hidden="1" x14ac:dyDescent="0.3">
      <c r="A1169" s="105"/>
      <c r="B1169" s="22"/>
      <c r="C1169" s="16"/>
      <c r="D1169" s="17"/>
      <c r="E1169" s="24"/>
      <c r="F1169" s="17"/>
      <c r="G1169" s="17"/>
      <c r="H1169" s="86"/>
      <c r="I1169" s="86"/>
      <c r="J1169" s="86"/>
      <c r="K1169" s="18"/>
      <c r="L1169" s="75"/>
      <c r="M1169" s="76"/>
      <c r="N1169">
        <f t="shared" si="93"/>
        <v>1900</v>
      </c>
    </row>
    <row r="1170" spans="1:14" ht="15" hidden="1" thickBot="1" x14ac:dyDescent="0.35">
      <c r="A1170" s="105"/>
      <c r="B1170" s="27"/>
      <c r="C1170" s="19"/>
      <c r="D1170" s="20"/>
      <c r="E1170" s="20"/>
      <c r="F1170" s="20"/>
      <c r="G1170" s="20"/>
      <c r="H1170" s="93"/>
      <c r="I1170" s="93"/>
      <c r="J1170" s="87"/>
      <c r="K1170" s="21"/>
      <c r="L1170" s="74"/>
      <c r="M1170" s="77"/>
      <c r="N1170">
        <f t="shared" si="93"/>
        <v>1900</v>
      </c>
    </row>
    <row r="1171" spans="1:14" hidden="1" x14ac:dyDescent="0.3">
      <c r="A1171" s="104"/>
      <c r="B1171" s="22"/>
      <c r="C1171" s="10"/>
      <c r="D1171" s="12"/>
      <c r="E1171" s="13"/>
      <c r="F1171" s="13"/>
      <c r="G1171" s="13"/>
      <c r="H1171" s="85"/>
      <c r="I1171" s="85"/>
      <c r="J1171" s="85"/>
      <c r="K1171" s="15"/>
      <c r="L1171" s="72"/>
      <c r="M1171" s="80"/>
      <c r="N1171">
        <f t="shared" si="93"/>
        <v>1900</v>
      </c>
    </row>
    <row r="1172" spans="1:14" hidden="1" x14ac:dyDescent="0.3">
      <c r="A1172" s="105"/>
      <c r="B1172" s="22"/>
      <c r="C1172" s="11"/>
      <c r="D1172" s="12"/>
      <c r="E1172" s="13"/>
      <c r="G1172" s="13"/>
      <c r="H1172" s="85"/>
      <c r="I1172" s="85"/>
      <c r="J1172" s="85"/>
      <c r="K1172" s="14"/>
      <c r="L1172" s="73"/>
      <c r="M1172" s="80"/>
      <c r="N1172">
        <f t="shared" si="93"/>
        <v>1900</v>
      </c>
    </row>
    <row r="1173" spans="1:14" hidden="1" x14ac:dyDescent="0.3">
      <c r="A1173" s="105"/>
      <c r="B1173" s="22"/>
      <c r="C1173" s="11"/>
      <c r="D1173" s="12"/>
      <c r="E1173" s="13"/>
      <c r="G1173" s="13"/>
      <c r="H1173" s="85"/>
      <c r="I1173" s="85"/>
      <c r="J1173" s="85"/>
      <c r="K1173" s="14"/>
      <c r="L1173" s="73"/>
      <c r="M1173" s="80"/>
      <c r="N1173">
        <f t="shared" si="93"/>
        <v>1900</v>
      </c>
    </row>
    <row r="1174" spans="1:14" hidden="1" x14ac:dyDescent="0.3">
      <c r="A1174" s="103"/>
      <c r="B1174" s="22"/>
      <c r="C1174" s="11"/>
      <c r="D1174" s="12"/>
      <c r="E1174" s="13"/>
      <c r="G1174" s="13"/>
      <c r="H1174" s="85"/>
      <c r="I1174" s="85"/>
      <c r="J1174" s="85"/>
      <c r="K1174" s="14"/>
      <c r="L1174" s="73"/>
      <c r="M1174" s="80"/>
      <c r="N1174">
        <f t="shared" si="93"/>
        <v>1900</v>
      </c>
    </row>
    <row r="1175" spans="1:14" hidden="1" x14ac:dyDescent="0.3">
      <c r="A1175" s="105"/>
      <c r="B1175" s="22"/>
      <c r="C1175" s="11"/>
      <c r="D1175" s="12"/>
      <c r="E1175" s="13"/>
      <c r="G1175" s="13"/>
      <c r="H1175" s="85"/>
      <c r="I1175" s="85"/>
      <c r="J1175" s="85"/>
      <c r="K1175" s="14"/>
      <c r="L1175" s="25"/>
      <c r="M1175" s="80"/>
      <c r="N1175">
        <f t="shared" si="93"/>
        <v>1900</v>
      </c>
    </row>
    <row r="1176" spans="1:14" hidden="1" x14ac:dyDescent="0.3">
      <c r="A1176" s="105"/>
      <c r="B1176" s="22"/>
      <c r="C1176" s="16"/>
      <c r="D1176" s="17"/>
      <c r="E1176" s="24"/>
      <c r="F1176" s="17"/>
      <c r="G1176" s="17"/>
      <c r="H1176" s="86"/>
      <c r="I1176" s="86"/>
      <c r="J1176" s="86"/>
      <c r="K1176" s="18"/>
      <c r="L1176" s="75"/>
      <c r="M1176" s="76"/>
      <c r="N1176">
        <f t="shared" si="93"/>
        <v>1900</v>
      </c>
    </row>
    <row r="1177" spans="1:14" ht="15" hidden="1" thickBot="1" x14ac:dyDescent="0.35">
      <c r="A1177" s="105"/>
      <c r="B1177" s="27"/>
      <c r="C1177" s="19"/>
      <c r="D1177" s="20"/>
      <c r="E1177" s="20"/>
      <c r="F1177" s="20"/>
      <c r="G1177" s="20"/>
      <c r="H1177" s="93"/>
      <c r="I1177" s="93"/>
      <c r="J1177" s="87"/>
      <c r="K1177" s="21"/>
      <c r="L1177" s="74"/>
      <c r="M1177" s="77"/>
      <c r="N1177">
        <f t="shared" si="93"/>
        <v>1900</v>
      </c>
    </row>
    <row r="1178" spans="1:14" hidden="1" x14ac:dyDescent="0.3">
      <c r="A1178" s="104"/>
      <c r="B1178" s="22"/>
      <c r="C1178" s="10"/>
      <c r="D1178" s="12"/>
      <c r="E1178" s="13"/>
      <c r="F1178" s="13"/>
      <c r="G1178" s="13"/>
      <c r="H1178" s="85"/>
      <c r="I1178" s="85"/>
      <c r="J1178" s="85"/>
      <c r="K1178" s="15"/>
      <c r="L1178" s="72"/>
      <c r="M1178" s="80"/>
      <c r="N1178">
        <f t="shared" si="93"/>
        <v>1900</v>
      </c>
    </row>
    <row r="1179" spans="1:14" hidden="1" x14ac:dyDescent="0.3">
      <c r="A1179" s="105"/>
      <c r="B1179" s="22"/>
      <c r="C1179" s="11"/>
      <c r="D1179" s="12"/>
      <c r="E1179" s="13"/>
      <c r="G1179" s="13"/>
      <c r="H1179" s="85"/>
      <c r="I1179" s="85"/>
      <c r="J1179" s="85"/>
      <c r="K1179" s="14"/>
      <c r="L1179" s="73"/>
      <c r="M1179" s="80"/>
      <c r="N1179">
        <f t="shared" si="93"/>
        <v>1900</v>
      </c>
    </row>
    <row r="1180" spans="1:14" hidden="1" x14ac:dyDescent="0.3">
      <c r="A1180" s="105"/>
      <c r="B1180" s="22"/>
      <c r="C1180" s="11"/>
      <c r="D1180" s="12"/>
      <c r="E1180" s="13"/>
      <c r="G1180" s="13"/>
      <c r="H1180" s="85"/>
      <c r="I1180" s="85"/>
      <c r="J1180" s="85"/>
      <c r="K1180" s="14"/>
      <c r="L1180" s="73"/>
      <c r="M1180" s="80"/>
      <c r="N1180">
        <f t="shared" si="93"/>
        <v>1900</v>
      </c>
    </row>
    <row r="1181" spans="1:14" hidden="1" x14ac:dyDescent="0.3">
      <c r="A1181" s="103"/>
      <c r="B1181" s="22"/>
      <c r="C1181" s="11"/>
      <c r="D1181" s="12"/>
      <c r="E1181" s="13"/>
      <c r="G1181" s="13"/>
      <c r="H1181" s="85"/>
      <c r="I1181" s="85"/>
      <c r="J1181" s="85"/>
      <c r="K1181" s="14"/>
      <c r="L1181" s="73"/>
      <c r="M1181" s="80"/>
      <c r="N1181">
        <f t="shared" si="93"/>
        <v>1900</v>
      </c>
    </row>
    <row r="1182" spans="1:14" hidden="1" x14ac:dyDescent="0.3">
      <c r="A1182" s="105"/>
      <c r="B1182" s="22"/>
      <c r="C1182" s="11"/>
      <c r="D1182" s="12"/>
      <c r="E1182" s="13"/>
      <c r="G1182" s="13"/>
      <c r="H1182" s="85"/>
      <c r="I1182" s="85"/>
      <c r="J1182" s="85"/>
      <c r="K1182" s="14"/>
      <c r="L1182" s="25"/>
      <c r="M1182" s="80"/>
      <c r="N1182">
        <f t="shared" si="93"/>
        <v>1900</v>
      </c>
    </row>
    <row r="1183" spans="1:14" hidden="1" x14ac:dyDescent="0.3">
      <c r="A1183" s="105"/>
      <c r="B1183" s="22"/>
      <c r="C1183" s="16"/>
      <c r="D1183" s="17"/>
      <c r="E1183" s="24"/>
      <c r="F1183" s="17"/>
      <c r="G1183" s="17"/>
      <c r="H1183" s="86"/>
      <c r="I1183" s="86"/>
      <c r="J1183" s="86"/>
      <c r="K1183" s="18"/>
      <c r="L1183" s="75"/>
      <c r="M1183" s="76"/>
      <c r="N1183">
        <f t="shared" si="93"/>
        <v>1900</v>
      </c>
    </row>
    <row r="1184" spans="1:14" ht="15" hidden="1" thickBot="1" x14ac:dyDescent="0.35">
      <c r="A1184" s="105"/>
      <c r="B1184" s="27"/>
      <c r="C1184" s="19"/>
      <c r="D1184" s="20"/>
      <c r="E1184" s="20"/>
      <c r="F1184" s="20"/>
      <c r="G1184" s="20"/>
      <c r="H1184" s="93"/>
      <c r="I1184" s="93"/>
      <c r="J1184" s="87"/>
      <c r="K1184" s="21"/>
      <c r="L1184" s="74"/>
      <c r="M1184" s="77"/>
      <c r="N1184">
        <f t="shared" si="93"/>
        <v>1900</v>
      </c>
    </row>
    <row r="1185" spans="1:14" hidden="1" x14ac:dyDescent="0.3">
      <c r="A1185" s="104"/>
      <c r="B1185" s="22"/>
      <c r="C1185" s="10"/>
      <c r="D1185" s="12"/>
      <c r="E1185" s="13"/>
      <c r="F1185" s="13"/>
      <c r="G1185" s="13"/>
      <c r="H1185" s="85"/>
      <c r="I1185" s="85"/>
      <c r="J1185" s="85"/>
      <c r="K1185" s="15"/>
      <c r="L1185" s="72"/>
      <c r="M1185" s="80"/>
      <c r="N1185">
        <f t="shared" si="93"/>
        <v>1900</v>
      </c>
    </row>
    <row r="1186" spans="1:14" hidden="1" x14ac:dyDescent="0.3">
      <c r="A1186" s="105"/>
      <c r="B1186" s="22"/>
      <c r="C1186" s="11"/>
      <c r="D1186" s="12"/>
      <c r="E1186" s="13"/>
      <c r="G1186" s="13"/>
      <c r="H1186" s="85"/>
      <c r="I1186" s="85"/>
      <c r="J1186" s="85"/>
      <c r="K1186" s="14"/>
      <c r="L1186" s="73"/>
      <c r="M1186" s="80"/>
      <c r="N1186">
        <f t="shared" si="93"/>
        <v>1900</v>
      </c>
    </row>
    <row r="1187" spans="1:14" hidden="1" x14ac:dyDescent="0.3">
      <c r="A1187" s="105"/>
      <c r="B1187" s="22"/>
      <c r="C1187" s="11"/>
      <c r="D1187" s="12"/>
      <c r="E1187" s="13"/>
      <c r="G1187" s="13"/>
      <c r="H1187" s="85"/>
      <c r="I1187" s="85"/>
      <c r="J1187" s="85"/>
      <c r="K1187" s="14"/>
      <c r="L1187" s="73"/>
      <c r="M1187" s="80"/>
      <c r="N1187">
        <f t="shared" si="93"/>
        <v>1900</v>
      </c>
    </row>
    <row r="1188" spans="1:14" hidden="1" x14ac:dyDescent="0.3">
      <c r="A1188" s="103"/>
      <c r="B1188" s="22"/>
      <c r="C1188" s="11"/>
      <c r="D1188" s="12"/>
      <c r="E1188" s="13"/>
      <c r="G1188" s="13"/>
      <c r="H1188" s="85"/>
      <c r="I1188" s="85"/>
      <c r="J1188" s="85"/>
      <c r="K1188" s="14"/>
      <c r="L1188" s="73"/>
      <c r="M1188" s="80"/>
      <c r="N1188">
        <f t="shared" si="93"/>
        <v>1900</v>
      </c>
    </row>
    <row r="1189" spans="1:14" hidden="1" x14ac:dyDescent="0.3">
      <c r="A1189" s="105"/>
      <c r="B1189" s="22"/>
      <c r="C1189" s="11"/>
      <c r="D1189" s="12"/>
      <c r="E1189" s="13"/>
      <c r="G1189" s="13"/>
      <c r="H1189" s="85"/>
      <c r="I1189" s="85"/>
      <c r="J1189" s="85"/>
      <c r="K1189" s="14"/>
      <c r="L1189" s="25"/>
      <c r="M1189" s="80"/>
      <c r="N1189">
        <f t="shared" si="93"/>
        <v>1900</v>
      </c>
    </row>
    <row r="1190" spans="1:14" hidden="1" x14ac:dyDescent="0.3">
      <c r="A1190" s="105"/>
      <c r="B1190" s="22"/>
      <c r="C1190" s="16"/>
      <c r="D1190" s="17"/>
      <c r="E1190" s="24"/>
      <c r="F1190" s="17"/>
      <c r="G1190" s="17"/>
      <c r="H1190" s="86"/>
      <c r="I1190" s="86"/>
      <c r="J1190" s="86"/>
      <c r="K1190" s="18"/>
      <c r="L1190" s="75"/>
      <c r="M1190" s="76"/>
      <c r="N1190">
        <f t="shared" si="93"/>
        <v>1900</v>
      </c>
    </row>
    <row r="1191" spans="1:14" ht="15" hidden="1" thickBot="1" x14ac:dyDescent="0.35">
      <c r="A1191" s="105"/>
      <c r="B1191" s="27"/>
      <c r="C1191" s="19"/>
      <c r="D1191" s="20"/>
      <c r="E1191" s="20"/>
      <c r="F1191" s="20"/>
      <c r="G1191" s="20"/>
      <c r="H1191" s="93"/>
      <c r="I1191" s="93"/>
      <c r="J1191" s="87"/>
      <c r="K1191" s="21"/>
      <c r="L1191" s="74"/>
      <c r="M1191" s="77"/>
      <c r="N1191">
        <f t="shared" si="93"/>
        <v>1900</v>
      </c>
    </row>
    <row r="1192" spans="1:14" hidden="1" x14ac:dyDescent="0.3">
      <c r="A1192" s="104"/>
      <c r="B1192" s="22"/>
      <c r="C1192" s="10"/>
      <c r="D1192" s="12"/>
      <c r="E1192" s="13"/>
      <c r="F1192" s="13"/>
      <c r="G1192" s="13"/>
      <c r="H1192" s="85"/>
      <c r="I1192" s="85"/>
      <c r="J1192" s="85"/>
      <c r="K1192" s="15"/>
      <c r="L1192" s="72"/>
      <c r="M1192" s="80"/>
      <c r="N1192">
        <f t="shared" si="93"/>
        <v>1900</v>
      </c>
    </row>
    <row r="1193" spans="1:14" hidden="1" x14ac:dyDescent="0.3">
      <c r="N1193">
        <f t="shared" si="93"/>
        <v>1900</v>
      </c>
    </row>
    <row r="1194" spans="1:14" hidden="1" x14ac:dyDescent="0.3">
      <c r="N1194">
        <f t="shared" si="93"/>
        <v>1900</v>
      </c>
    </row>
    <row r="1195" spans="1:14" hidden="1" x14ac:dyDescent="0.3">
      <c r="N1195">
        <f t="shared" si="93"/>
        <v>1900</v>
      </c>
    </row>
    <row r="1196" spans="1:14" hidden="1" x14ac:dyDescent="0.3">
      <c r="N1196">
        <f t="shared" si="93"/>
        <v>1900</v>
      </c>
    </row>
    <row r="1197" spans="1:14" hidden="1" x14ac:dyDescent="0.3">
      <c r="N1197">
        <f t="shared" si="93"/>
        <v>1900</v>
      </c>
    </row>
    <row r="1198" spans="1:14" hidden="1" x14ac:dyDescent="0.3">
      <c r="N1198">
        <f t="shared" si="93"/>
        <v>1900</v>
      </c>
    </row>
    <row r="1199" spans="1:14" hidden="1" x14ac:dyDescent="0.3">
      <c r="N1199">
        <f t="shared" si="93"/>
        <v>1900</v>
      </c>
    </row>
    <row r="1200" spans="1:14" hidden="1" x14ac:dyDescent="0.3">
      <c r="N1200">
        <f t="shared" si="93"/>
        <v>1900</v>
      </c>
    </row>
    <row r="1201" spans="14:14" hidden="1" x14ac:dyDescent="0.3">
      <c r="N1201">
        <f t="shared" si="93"/>
        <v>1900</v>
      </c>
    </row>
    <row r="1202" spans="14:14" hidden="1" x14ac:dyDescent="0.3">
      <c r="N1202">
        <f t="shared" si="93"/>
        <v>1900</v>
      </c>
    </row>
    <row r="1203" spans="14:14" hidden="1" x14ac:dyDescent="0.3">
      <c r="N1203">
        <f t="shared" si="93"/>
        <v>1900</v>
      </c>
    </row>
    <row r="1204" spans="14:14" hidden="1" x14ac:dyDescent="0.3">
      <c r="N1204">
        <f t="shared" si="93"/>
        <v>1900</v>
      </c>
    </row>
    <row r="1205" spans="14:14" hidden="1" x14ac:dyDescent="0.3">
      <c r="N1205">
        <f t="shared" si="93"/>
        <v>1900</v>
      </c>
    </row>
    <row r="1206" spans="14:14" hidden="1" x14ac:dyDescent="0.3">
      <c r="N1206">
        <f t="shared" si="93"/>
        <v>1900</v>
      </c>
    </row>
    <row r="1207" spans="14:14" hidden="1" x14ac:dyDescent="0.3">
      <c r="N1207">
        <f t="shared" si="93"/>
        <v>1900</v>
      </c>
    </row>
    <row r="1208" spans="14:14" hidden="1" x14ac:dyDescent="0.3">
      <c r="N1208">
        <f t="shared" si="93"/>
        <v>1900</v>
      </c>
    </row>
    <row r="1209" spans="14:14" hidden="1" x14ac:dyDescent="0.3">
      <c r="N1209">
        <f t="shared" si="93"/>
        <v>1900</v>
      </c>
    </row>
    <row r="1210" spans="14:14" hidden="1" x14ac:dyDescent="0.3">
      <c r="N1210">
        <f t="shared" si="93"/>
        <v>1900</v>
      </c>
    </row>
    <row r="1211" spans="14:14" hidden="1" x14ac:dyDescent="0.3">
      <c r="N1211">
        <f t="shared" si="93"/>
        <v>1900</v>
      </c>
    </row>
    <row r="1212" spans="14:14" hidden="1" x14ac:dyDescent="0.3">
      <c r="N1212">
        <f t="shared" si="93"/>
        <v>1900</v>
      </c>
    </row>
    <row r="1213" spans="14:14" hidden="1" x14ac:dyDescent="0.3">
      <c r="N1213">
        <f t="shared" si="93"/>
        <v>1900</v>
      </c>
    </row>
    <row r="1214" spans="14:14" hidden="1" x14ac:dyDescent="0.3">
      <c r="N1214">
        <f t="shared" si="93"/>
        <v>1900</v>
      </c>
    </row>
    <row r="1215" spans="14:14" hidden="1" x14ac:dyDescent="0.3">
      <c r="N1215">
        <f t="shared" si="93"/>
        <v>1900</v>
      </c>
    </row>
    <row r="1216" spans="14:14" hidden="1" x14ac:dyDescent="0.3">
      <c r="N1216">
        <f t="shared" si="93"/>
        <v>1900</v>
      </c>
    </row>
    <row r="1217" spans="14:14" hidden="1" x14ac:dyDescent="0.3">
      <c r="N1217">
        <f t="shared" si="93"/>
        <v>1900</v>
      </c>
    </row>
    <row r="1218" spans="14:14" hidden="1" x14ac:dyDescent="0.3">
      <c r="N1218">
        <f t="shared" si="93"/>
        <v>1900</v>
      </c>
    </row>
    <row r="1219" spans="14:14" hidden="1" x14ac:dyDescent="0.3">
      <c r="N1219">
        <f t="shared" ref="N1219:N1282" si="94">YEAR(B1219)</f>
        <v>1900</v>
      </c>
    </row>
    <row r="1220" spans="14:14" hidden="1" x14ac:dyDescent="0.3">
      <c r="N1220">
        <f t="shared" si="94"/>
        <v>1900</v>
      </c>
    </row>
    <row r="1221" spans="14:14" hidden="1" x14ac:dyDescent="0.3">
      <c r="N1221">
        <f t="shared" si="94"/>
        <v>1900</v>
      </c>
    </row>
    <row r="1222" spans="14:14" hidden="1" x14ac:dyDescent="0.3">
      <c r="N1222">
        <f t="shared" si="94"/>
        <v>1900</v>
      </c>
    </row>
    <row r="1223" spans="14:14" hidden="1" x14ac:dyDescent="0.3">
      <c r="N1223">
        <f t="shared" si="94"/>
        <v>1900</v>
      </c>
    </row>
    <row r="1224" spans="14:14" hidden="1" x14ac:dyDescent="0.3">
      <c r="N1224">
        <f t="shared" si="94"/>
        <v>1900</v>
      </c>
    </row>
    <row r="1225" spans="14:14" hidden="1" x14ac:dyDescent="0.3">
      <c r="N1225">
        <f t="shared" si="94"/>
        <v>1900</v>
      </c>
    </row>
    <row r="1226" spans="14:14" hidden="1" x14ac:dyDescent="0.3">
      <c r="N1226">
        <f t="shared" si="94"/>
        <v>1900</v>
      </c>
    </row>
    <row r="1227" spans="14:14" hidden="1" x14ac:dyDescent="0.3">
      <c r="N1227">
        <f t="shared" si="94"/>
        <v>1900</v>
      </c>
    </row>
    <row r="1228" spans="14:14" hidden="1" x14ac:dyDescent="0.3">
      <c r="N1228">
        <f t="shared" si="94"/>
        <v>1900</v>
      </c>
    </row>
    <row r="1229" spans="14:14" hidden="1" x14ac:dyDescent="0.3">
      <c r="N1229">
        <f t="shared" si="94"/>
        <v>1900</v>
      </c>
    </row>
    <row r="1230" spans="14:14" hidden="1" x14ac:dyDescent="0.3">
      <c r="N1230">
        <f t="shared" si="94"/>
        <v>1900</v>
      </c>
    </row>
    <row r="1231" spans="14:14" hidden="1" x14ac:dyDescent="0.3">
      <c r="N1231">
        <f t="shared" si="94"/>
        <v>1900</v>
      </c>
    </row>
    <row r="1232" spans="14:14" hidden="1" x14ac:dyDescent="0.3">
      <c r="N1232">
        <f t="shared" si="94"/>
        <v>1900</v>
      </c>
    </row>
    <row r="1233" spans="14:14" hidden="1" x14ac:dyDescent="0.3">
      <c r="N1233">
        <f t="shared" si="94"/>
        <v>1900</v>
      </c>
    </row>
    <row r="1234" spans="14:14" hidden="1" x14ac:dyDescent="0.3">
      <c r="N1234">
        <f t="shared" si="94"/>
        <v>1900</v>
      </c>
    </row>
    <row r="1235" spans="14:14" hidden="1" x14ac:dyDescent="0.3">
      <c r="N1235">
        <f t="shared" si="94"/>
        <v>1900</v>
      </c>
    </row>
    <row r="1236" spans="14:14" hidden="1" x14ac:dyDescent="0.3">
      <c r="N1236">
        <f t="shared" si="94"/>
        <v>1900</v>
      </c>
    </row>
    <row r="1237" spans="14:14" hidden="1" x14ac:dyDescent="0.3">
      <c r="N1237">
        <f t="shared" si="94"/>
        <v>1900</v>
      </c>
    </row>
    <row r="1238" spans="14:14" hidden="1" x14ac:dyDescent="0.3">
      <c r="N1238">
        <f t="shared" si="94"/>
        <v>1900</v>
      </c>
    </row>
    <row r="1239" spans="14:14" hidden="1" x14ac:dyDescent="0.3">
      <c r="N1239">
        <f t="shared" si="94"/>
        <v>1900</v>
      </c>
    </row>
    <row r="1240" spans="14:14" hidden="1" x14ac:dyDescent="0.3">
      <c r="N1240">
        <f t="shared" si="94"/>
        <v>1900</v>
      </c>
    </row>
    <row r="1241" spans="14:14" hidden="1" x14ac:dyDescent="0.3">
      <c r="N1241">
        <f t="shared" si="94"/>
        <v>1900</v>
      </c>
    </row>
    <row r="1242" spans="14:14" hidden="1" x14ac:dyDescent="0.3">
      <c r="N1242">
        <f t="shared" si="94"/>
        <v>1900</v>
      </c>
    </row>
    <row r="1243" spans="14:14" hidden="1" x14ac:dyDescent="0.3">
      <c r="N1243">
        <f t="shared" si="94"/>
        <v>1900</v>
      </c>
    </row>
    <row r="1244" spans="14:14" hidden="1" x14ac:dyDescent="0.3">
      <c r="N1244">
        <f t="shared" si="94"/>
        <v>1900</v>
      </c>
    </row>
    <row r="1245" spans="14:14" hidden="1" x14ac:dyDescent="0.3">
      <c r="N1245">
        <f t="shared" si="94"/>
        <v>1900</v>
      </c>
    </row>
    <row r="1246" spans="14:14" hidden="1" x14ac:dyDescent="0.3">
      <c r="N1246">
        <f t="shared" si="94"/>
        <v>1900</v>
      </c>
    </row>
    <row r="1247" spans="14:14" hidden="1" x14ac:dyDescent="0.3">
      <c r="N1247">
        <f t="shared" si="94"/>
        <v>1900</v>
      </c>
    </row>
    <row r="1248" spans="14:14" hidden="1" x14ac:dyDescent="0.3">
      <c r="N1248">
        <f t="shared" si="94"/>
        <v>1900</v>
      </c>
    </row>
    <row r="1249" spans="14:14" hidden="1" x14ac:dyDescent="0.3">
      <c r="N1249">
        <f t="shared" si="94"/>
        <v>1900</v>
      </c>
    </row>
    <row r="1250" spans="14:14" hidden="1" x14ac:dyDescent="0.3">
      <c r="N1250">
        <f t="shared" si="94"/>
        <v>1900</v>
      </c>
    </row>
    <row r="1251" spans="14:14" hidden="1" x14ac:dyDescent="0.3">
      <c r="N1251">
        <f t="shared" si="94"/>
        <v>1900</v>
      </c>
    </row>
    <row r="1252" spans="14:14" hidden="1" x14ac:dyDescent="0.3">
      <c r="N1252">
        <f t="shared" si="94"/>
        <v>1900</v>
      </c>
    </row>
    <row r="1253" spans="14:14" hidden="1" x14ac:dyDescent="0.3">
      <c r="N1253">
        <f t="shared" si="94"/>
        <v>1900</v>
      </c>
    </row>
    <row r="1254" spans="14:14" hidden="1" x14ac:dyDescent="0.3">
      <c r="N1254">
        <f t="shared" si="94"/>
        <v>1900</v>
      </c>
    </row>
    <row r="1255" spans="14:14" hidden="1" x14ac:dyDescent="0.3">
      <c r="N1255">
        <f t="shared" si="94"/>
        <v>1900</v>
      </c>
    </row>
    <row r="1256" spans="14:14" hidden="1" x14ac:dyDescent="0.3">
      <c r="N1256">
        <f t="shared" si="94"/>
        <v>1900</v>
      </c>
    </row>
    <row r="1257" spans="14:14" hidden="1" x14ac:dyDescent="0.3">
      <c r="N1257">
        <f t="shared" si="94"/>
        <v>1900</v>
      </c>
    </row>
    <row r="1258" spans="14:14" hidden="1" x14ac:dyDescent="0.3">
      <c r="N1258">
        <f t="shared" si="94"/>
        <v>1900</v>
      </c>
    </row>
    <row r="1259" spans="14:14" hidden="1" x14ac:dyDescent="0.3">
      <c r="N1259">
        <f t="shared" si="94"/>
        <v>1900</v>
      </c>
    </row>
    <row r="1260" spans="14:14" hidden="1" x14ac:dyDescent="0.3">
      <c r="N1260">
        <f t="shared" si="94"/>
        <v>1900</v>
      </c>
    </row>
    <row r="1261" spans="14:14" hidden="1" x14ac:dyDescent="0.3">
      <c r="N1261">
        <f t="shared" si="94"/>
        <v>1900</v>
      </c>
    </row>
    <row r="1262" spans="14:14" hidden="1" x14ac:dyDescent="0.3">
      <c r="N1262">
        <f t="shared" si="94"/>
        <v>1900</v>
      </c>
    </row>
    <row r="1263" spans="14:14" hidden="1" x14ac:dyDescent="0.3">
      <c r="N1263">
        <f t="shared" si="94"/>
        <v>1900</v>
      </c>
    </row>
    <row r="1264" spans="14:14" hidden="1" x14ac:dyDescent="0.3">
      <c r="N1264">
        <f t="shared" si="94"/>
        <v>1900</v>
      </c>
    </row>
    <row r="1265" spans="14:14" hidden="1" x14ac:dyDescent="0.3">
      <c r="N1265">
        <f t="shared" si="94"/>
        <v>1900</v>
      </c>
    </row>
    <row r="1266" spans="14:14" hidden="1" x14ac:dyDescent="0.3">
      <c r="N1266">
        <f t="shared" si="94"/>
        <v>1900</v>
      </c>
    </row>
    <row r="1267" spans="14:14" hidden="1" x14ac:dyDescent="0.3">
      <c r="N1267">
        <f t="shared" si="94"/>
        <v>1900</v>
      </c>
    </row>
    <row r="1268" spans="14:14" hidden="1" x14ac:dyDescent="0.3">
      <c r="N1268">
        <f t="shared" si="94"/>
        <v>1900</v>
      </c>
    </row>
    <row r="1269" spans="14:14" hidden="1" x14ac:dyDescent="0.3">
      <c r="N1269">
        <f t="shared" si="94"/>
        <v>1900</v>
      </c>
    </row>
    <row r="1270" spans="14:14" hidden="1" x14ac:dyDescent="0.3">
      <c r="N1270">
        <f t="shared" si="94"/>
        <v>1900</v>
      </c>
    </row>
    <row r="1271" spans="14:14" hidden="1" x14ac:dyDescent="0.3">
      <c r="N1271">
        <f t="shared" si="94"/>
        <v>1900</v>
      </c>
    </row>
    <row r="1272" spans="14:14" hidden="1" x14ac:dyDescent="0.3">
      <c r="N1272">
        <f t="shared" si="94"/>
        <v>1900</v>
      </c>
    </row>
    <row r="1273" spans="14:14" hidden="1" x14ac:dyDescent="0.3">
      <c r="N1273">
        <f t="shared" si="94"/>
        <v>1900</v>
      </c>
    </row>
    <row r="1274" spans="14:14" hidden="1" x14ac:dyDescent="0.3">
      <c r="N1274">
        <f t="shared" si="94"/>
        <v>1900</v>
      </c>
    </row>
    <row r="1275" spans="14:14" hidden="1" x14ac:dyDescent="0.3">
      <c r="N1275">
        <f t="shared" si="94"/>
        <v>1900</v>
      </c>
    </row>
    <row r="1276" spans="14:14" hidden="1" x14ac:dyDescent="0.3">
      <c r="N1276">
        <f t="shared" si="94"/>
        <v>1900</v>
      </c>
    </row>
    <row r="1277" spans="14:14" hidden="1" x14ac:dyDescent="0.3">
      <c r="N1277">
        <f t="shared" si="94"/>
        <v>1900</v>
      </c>
    </row>
    <row r="1278" spans="14:14" hidden="1" x14ac:dyDescent="0.3">
      <c r="N1278">
        <f t="shared" si="94"/>
        <v>1900</v>
      </c>
    </row>
    <row r="1279" spans="14:14" hidden="1" x14ac:dyDescent="0.3">
      <c r="N1279">
        <f t="shared" si="94"/>
        <v>1900</v>
      </c>
    </row>
    <row r="1280" spans="14:14" hidden="1" x14ac:dyDescent="0.3">
      <c r="N1280">
        <f t="shared" si="94"/>
        <v>1900</v>
      </c>
    </row>
    <row r="1281" spans="14:14" hidden="1" x14ac:dyDescent="0.3">
      <c r="N1281">
        <f t="shared" si="94"/>
        <v>1900</v>
      </c>
    </row>
    <row r="1282" spans="14:14" hidden="1" x14ac:dyDescent="0.3">
      <c r="N1282">
        <f t="shared" si="94"/>
        <v>1900</v>
      </c>
    </row>
    <row r="1283" spans="14:14" hidden="1" x14ac:dyDescent="0.3">
      <c r="N1283">
        <f t="shared" ref="N1283:N1346" si="95">YEAR(B1283)</f>
        <v>1900</v>
      </c>
    </row>
    <row r="1284" spans="14:14" hidden="1" x14ac:dyDescent="0.3">
      <c r="N1284">
        <f t="shared" si="95"/>
        <v>1900</v>
      </c>
    </row>
    <row r="1285" spans="14:14" hidden="1" x14ac:dyDescent="0.3">
      <c r="N1285">
        <f t="shared" si="95"/>
        <v>1900</v>
      </c>
    </row>
    <row r="1286" spans="14:14" hidden="1" x14ac:dyDescent="0.3">
      <c r="N1286">
        <f t="shared" si="95"/>
        <v>1900</v>
      </c>
    </row>
    <row r="1287" spans="14:14" hidden="1" x14ac:dyDescent="0.3">
      <c r="N1287">
        <f t="shared" si="95"/>
        <v>1900</v>
      </c>
    </row>
    <row r="1288" spans="14:14" hidden="1" x14ac:dyDescent="0.3">
      <c r="N1288">
        <f t="shared" si="95"/>
        <v>1900</v>
      </c>
    </row>
    <row r="1289" spans="14:14" hidden="1" x14ac:dyDescent="0.3">
      <c r="N1289">
        <f t="shared" si="95"/>
        <v>1900</v>
      </c>
    </row>
    <row r="1290" spans="14:14" hidden="1" x14ac:dyDescent="0.3">
      <c r="N1290">
        <f t="shared" si="95"/>
        <v>1900</v>
      </c>
    </row>
    <row r="1291" spans="14:14" hidden="1" x14ac:dyDescent="0.3">
      <c r="N1291">
        <f t="shared" si="95"/>
        <v>1900</v>
      </c>
    </row>
    <row r="1292" spans="14:14" hidden="1" x14ac:dyDescent="0.3">
      <c r="N1292">
        <f t="shared" si="95"/>
        <v>1900</v>
      </c>
    </row>
    <row r="1293" spans="14:14" hidden="1" x14ac:dyDescent="0.3">
      <c r="N1293">
        <f t="shared" si="95"/>
        <v>1900</v>
      </c>
    </row>
    <row r="1294" spans="14:14" hidden="1" x14ac:dyDescent="0.3">
      <c r="N1294">
        <f t="shared" si="95"/>
        <v>1900</v>
      </c>
    </row>
    <row r="1295" spans="14:14" hidden="1" x14ac:dyDescent="0.3">
      <c r="N1295">
        <f t="shared" si="95"/>
        <v>1900</v>
      </c>
    </row>
    <row r="1296" spans="14:14" hidden="1" x14ac:dyDescent="0.3">
      <c r="N1296">
        <f t="shared" si="95"/>
        <v>1900</v>
      </c>
    </row>
    <row r="1297" spans="14:14" hidden="1" x14ac:dyDescent="0.3">
      <c r="N1297">
        <f t="shared" si="95"/>
        <v>1900</v>
      </c>
    </row>
    <row r="1298" spans="14:14" hidden="1" x14ac:dyDescent="0.3">
      <c r="N1298">
        <f t="shared" si="95"/>
        <v>1900</v>
      </c>
    </row>
    <row r="1299" spans="14:14" hidden="1" x14ac:dyDescent="0.3">
      <c r="N1299">
        <f t="shared" si="95"/>
        <v>1900</v>
      </c>
    </row>
    <row r="1300" spans="14:14" hidden="1" x14ac:dyDescent="0.3">
      <c r="N1300">
        <f t="shared" si="95"/>
        <v>1900</v>
      </c>
    </row>
    <row r="1301" spans="14:14" hidden="1" x14ac:dyDescent="0.3">
      <c r="N1301">
        <f t="shared" si="95"/>
        <v>1900</v>
      </c>
    </row>
    <row r="1302" spans="14:14" hidden="1" x14ac:dyDescent="0.3">
      <c r="N1302">
        <f t="shared" si="95"/>
        <v>1900</v>
      </c>
    </row>
    <row r="1303" spans="14:14" hidden="1" x14ac:dyDescent="0.3">
      <c r="N1303">
        <f t="shared" si="95"/>
        <v>1900</v>
      </c>
    </row>
    <row r="1304" spans="14:14" hidden="1" x14ac:dyDescent="0.3">
      <c r="N1304">
        <f t="shared" si="95"/>
        <v>1900</v>
      </c>
    </row>
    <row r="1305" spans="14:14" hidden="1" x14ac:dyDescent="0.3">
      <c r="N1305">
        <f t="shared" si="95"/>
        <v>1900</v>
      </c>
    </row>
    <row r="1306" spans="14:14" hidden="1" x14ac:dyDescent="0.3">
      <c r="N1306">
        <f t="shared" si="95"/>
        <v>1900</v>
      </c>
    </row>
    <row r="1307" spans="14:14" hidden="1" x14ac:dyDescent="0.3">
      <c r="N1307">
        <f t="shared" si="95"/>
        <v>1900</v>
      </c>
    </row>
    <row r="1308" spans="14:14" hidden="1" x14ac:dyDescent="0.3">
      <c r="N1308">
        <f t="shared" si="95"/>
        <v>1900</v>
      </c>
    </row>
    <row r="1309" spans="14:14" hidden="1" x14ac:dyDescent="0.3">
      <c r="N1309">
        <f t="shared" si="95"/>
        <v>1900</v>
      </c>
    </row>
    <row r="1310" spans="14:14" hidden="1" x14ac:dyDescent="0.3">
      <c r="N1310">
        <f t="shared" si="95"/>
        <v>1900</v>
      </c>
    </row>
    <row r="1311" spans="14:14" hidden="1" x14ac:dyDescent="0.3">
      <c r="N1311">
        <f t="shared" si="95"/>
        <v>1900</v>
      </c>
    </row>
    <row r="1312" spans="14:14" hidden="1" x14ac:dyDescent="0.3">
      <c r="N1312">
        <f t="shared" si="95"/>
        <v>1900</v>
      </c>
    </row>
    <row r="1313" spans="14:14" hidden="1" x14ac:dyDescent="0.3">
      <c r="N1313">
        <f t="shared" si="95"/>
        <v>1900</v>
      </c>
    </row>
    <row r="1314" spans="14:14" hidden="1" x14ac:dyDescent="0.3">
      <c r="N1314">
        <f t="shared" si="95"/>
        <v>1900</v>
      </c>
    </row>
    <row r="1315" spans="14:14" hidden="1" x14ac:dyDescent="0.3">
      <c r="N1315">
        <f t="shared" si="95"/>
        <v>1900</v>
      </c>
    </row>
    <row r="1316" spans="14:14" hidden="1" x14ac:dyDescent="0.3">
      <c r="N1316">
        <f t="shared" si="95"/>
        <v>1900</v>
      </c>
    </row>
    <row r="1317" spans="14:14" hidden="1" x14ac:dyDescent="0.3">
      <c r="N1317">
        <f t="shared" si="95"/>
        <v>1900</v>
      </c>
    </row>
    <row r="1318" spans="14:14" hidden="1" x14ac:dyDescent="0.3">
      <c r="N1318">
        <f t="shared" si="95"/>
        <v>1900</v>
      </c>
    </row>
    <row r="1319" spans="14:14" hidden="1" x14ac:dyDescent="0.3">
      <c r="N1319">
        <f t="shared" si="95"/>
        <v>1900</v>
      </c>
    </row>
    <row r="1320" spans="14:14" hidden="1" x14ac:dyDescent="0.3">
      <c r="N1320">
        <f t="shared" si="95"/>
        <v>1900</v>
      </c>
    </row>
    <row r="1321" spans="14:14" hidden="1" x14ac:dyDescent="0.3">
      <c r="N1321">
        <f t="shared" si="95"/>
        <v>1900</v>
      </c>
    </row>
    <row r="1322" spans="14:14" hidden="1" x14ac:dyDescent="0.3">
      <c r="N1322">
        <f t="shared" si="95"/>
        <v>1900</v>
      </c>
    </row>
    <row r="1323" spans="14:14" hidden="1" x14ac:dyDescent="0.3">
      <c r="N1323">
        <f t="shared" si="95"/>
        <v>1900</v>
      </c>
    </row>
    <row r="1324" spans="14:14" hidden="1" x14ac:dyDescent="0.3">
      <c r="N1324">
        <f t="shared" si="95"/>
        <v>1900</v>
      </c>
    </row>
    <row r="1325" spans="14:14" hidden="1" x14ac:dyDescent="0.3">
      <c r="N1325">
        <f t="shared" si="95"/>
        <v>1900</v>
      </c>
    </row>
    <row r="1326" spans="14:14" hidden="1" x14ac:dyDescent="0.3">
      <c r="N1326">
        <f t="shared" si="95"/>
        <v>1900</v>
      </c>
    </row>
    <row r="1327" spans="14:14" hidden="1" x14ac:dyDescent="0.3">
      <c r="N1327">
        <f t="shared" si="95"/>
        <v>1900</v>
      </c>
    </row>
    <row r="1328" spans="14:14" hidden="1" x14ac:dyDescent="0.3">
      <c r="N1328">
        <f t="shared" si="95"/>
        <v>1900</v>
      </c>
    </row>
    <row r="1329" spans="14:14" hidden="1" x14ac:dyDescent="0.3">
      <c r="N1329">
        <f t="shared" si="95"/>
        <v>1900</v>
      </c>
    </row>
    <row r="1330" spans="14:14" hidden="1" x14ac:dyDescent="0.3">
      <c r="N1330">
        <f t="shared" si="95"/>
        <v>1900</v>
      </c>
    </row>
    <row r="1331" spans="14:14" hidden="1" x14ac:dyDescent="0.3">
      <c r="N1331">
        <f t="shared" si="95"/>
        <v>1900</v>
      </c>
    </row>
    <row r="1332" spans="14:14" hidden="1" x14ac:dyDescent="0.3">
      <c r="N1332">
        <f t="shared" si="95"/>
        <v>1900</v>
      </c>
    </row>
    <row r="1333" spans="14:14" hidden="1" x14ac:dyDescent="0.3">
      <c r="N1333">
        <f t="shared" si="95"/>
        <v>1900</v>
      </c>
    </row>
    <row r="1334" spans="14:14" hidden="1" x14ac:dyDescent="0.3">
      <c r="N1334">
        <f t="shared" si="95"/>
        <v>1900</v>
      </c>
    </row>
    <row r="1335" spans="14:14" hidden="1" x14ac:dyDescent="0.3">
      <c r="N1335">
        <f t="shared" si="95"/>
        <v>1900</v>
      </c>
    </row>
    <row r="1336" spans="14:14" hidden="1" x14ac:dyDescent="0.3">
      <c r="N1336">
        <f t="shared" si="95"/>
        <v>1900</v>
      </c>
    </row>
    <row r="1337" spans="14:14" hidden="1" x14ac:dyDescent="0.3">
      <c r="N1337">
        <f t="shared" si="95"/>
        <v>1900</v>
      </c>
    </row>
    <row r="1338" spans="14:14" hidden="1" x14ac:dyDescent="0.3">
      <c r="N1338">
        <f t="shared" si="95"/>
        <v>1900</v>
      </c>
    </row>
    <row r="1339" spans="14:14" hidden="1" x14ac:dyDescent="0.3">
      <c r="N1339">
        <f t="shared" si="95"/>
        <v>1900</v>
      </c>
    </row>
    <row r="1340" spans="14:14" hidden="1" x14ac:dyDescent="0.3">
      <c r="N1340">
        <f t="shared" si="95"/>
        <v>1900</v>
      </c>
    </row>
    <row r="1341" spans="14:14" hidden="1" x14ac:dyDescent="0.3">
      <c r="N1341">
        <f t="shared" si="95"/>
        <v>1900</v>
      </c>
    </row>
    <row r="1342" spans="14:14" hidden="1" x14ac:dyDescent="0.3">
      <c r="N1342">
        <f t="shared" si="95"/>
        <v>1900</v>
      </c>
    </row>
    <row r="1343" spans="14:14" hidden="1" x14ac:dyDescent="0.3">
      <c r="N1343">
        <f t="shared" si="95"/>
        <v>1900</v>
      </c>
    </row>
    <row r="1344" spans="14:14" hidden="1" x14ac:dyDescent="0.3">
      <c r="N1344">
        <f t="shared" si="95"/>
        <v>1900</v>
      </c>
    </row>
    <row r="1345" spans="14:14" hidden="1" x14ac:dyDescent="0.3">
      <c r="N1345">
        <f t="shared" si="95"/>
        <v>1900</v>
      </c>
    </row>
    <row r="1346" spans="14:14" hidden="1" x14ac:dyDescent="0.3">
      <c r="N1346">
        <f t="shared" si="95"/>
        <v>1900</v>
      </c>
    </row>
    <row r="1347" spans="14:14" hidden="1" x14ac:dyDescent="0.3">
      <c r="N1347">
        <f t="shared" ref="N1347:N1410" si="96">YEAR(B1347)</f>
        <v>1900</v>
      </c>
    </row>
    <row r="1348" spans="14:14" hidden="1" x14ac:dyDescent="0.3">
      <c r="N1348">
        <f t="shared" si="96"/>
        <v>1900</v>
      </c>
    </row>
    <row r="1349" spans="14:14" hidden="1" x14ac:dyDescent="0.3">
      <c r="N1349">
        <f t="shared" si="96"/>
        <v>1900</v>
      </c>
    </row>
    <row r="1350" spans="14:14" hidden="1" x14ac:dyDescent="0.3">
      <c r="N1350">
        <f t="shared" si="96"/>
        <v>1900</v>
      </c>
    </row>
    <row r="1351" spans="14:14" hidden="1" x14ac:dyDescent="0.3">
      <c r="N1351">
        <f t="shared" si="96"/>
        <v>1900</v>
      </c>
    </row>
    <row r="1352" spans="14:14" hidden="1" x14ac:dyDescent="0.3">
      <c r="N1352">
        <f t="shared" si="96"/>
        <v>1900</v>
      </c>
    </row>
    <row r="1353" spans="14:14" hidden="1" x14ac:dyDescent="0.3">
      <c r="N1353">
        <f t="shared" si="96"/>
        <v>1900</v>
      </c>
    </row>
    <row r="1354" spans="14:14" hidden="1" x14ac:dyDescent="0.3">
      <c r="N1354">
        <f t="shared" si="96"/>
        <v>1900</v>
      </c>
    </row>
    <row r="1355" spans="14:14" hidden="1" x14ac:dyDescent="0.3">
      <c r="N1355">
        <f t="shared" si="96"/>
        <v>1900</v>
      </c>
    </row>
    <row r="1356" spans="14:14" hidden="1" x14ac:dyDescent="0.3">
      <c r="N1356">
        <f t="shared" si="96"/>
        <v>1900</v>
      </c>
    </row>
    <row r="1357" spans="14:14" hidden="1" x14ac:dyDescent="0.3">
      <c r="N1357">
        <f t="shared" si="96"/>
        <v>1900</v>
      </c>
    </row>
    <row r="1358" spans="14:14" hidden="1" x14ac:dyDescent="0.3">
      <c r="N1358">
        <f t="shared" si="96"/>
        <v>1900</v>
      </c>
    </row>
    <row r="1359" spans="14:14" hidden="1" x14ac:dyDescent="0.3">
      <c r="N1359">
        <f t="shared" si="96"/>
        <v>1900</v>
      </c>
    </row>
    <row r="1360" spans="14:14" hidden="1" x14ac:dyDescent="0.3">
      <c r="N1360">
        <f t="shared" si="96"/>
        <v>1900</v>
      </c>
    </row>
    <row r="1361" spans="14:14" hidden="1" x14ac:dyDescent="0.3">
      <c r="N1361">
        <f t="shared" si="96"/>
        <v>1900</v>
      </c>
    </row>
    <row r="1362" spans="14:14" hidden="1" x14ac:dyDescent="0.3">
      <c r="N1362">
        <f t="shared" si="96"/>
        <v>1900</v>
      </c>
    </row>
    <row r="1363" spans="14:14" hidden="1" x14ac:dyDescent="0.3">
      <c r="N1363">
        <f t="shared" si="96"/>
        <v>1900</v>
      </c>
    </row>
    <row r="1364" spans="14:14" hidden="1" x14ac:dyDescent="0.3">
      <c r="N1364">
        <f t="shared" si="96"/>
        <v>1900</v>
      </c>
    </row>
    <row r="1365" spans="14:14" hidden="1" x14ac:dyDescent="0.3">
      <c r="N1365">
        <f t="shared" si="96"/>
        <v>1900</v>
      </c>
    </row>
    <row r="1366" spans="14:14" hidden="1" x14ac:dyDescent="0.3">
      <c r="N1366">
        <f t="shared" si="96"/>
        <v>1900</v>
      </c>
    </row>
    <row r="1367" spans="14:14" hidden="1" x14ac:dyDescent="0.3">
      <c r="N1367">
        <f t="shared" si="96"/>
        <v>1900</v>
      </c>
    </row>
    <row r="1368" spans="14:14" hidden="1" x14ac:dyDescent="0.3">
      <c r="N1368">
        <f t="shared" si="96"/>
        <v>1900</v>
      </c>
    </row>
    <row r="1369" spans="14:14" hidden="1" x14ac:dyDescent="0.3">
      <c r="N1369">
        <f t="shared" si="96"/>
        <v>1900</v>
      </c>
    </row>
    <row r="1370" spans="14:14" hidden="1" x14ac:dyDescent="0.3">
      <c r="N1370">
        <f t="shared" si="96"/>
        <v>1900</v>
      </c>
    </row>
    <row r="1371" spans="14:14" hidden="1" x14ac:dyDescent="0.3">
      <c r="N1371">
        <f t="shared" si="96"/>
        <v>1900</v>
      </c>
    </row>
    <row r="1372" spans="14:14" hidden="1" x14ac:dyDescent="0.3">
      <c r="N1372">
        <f t="shared" si="96"/>
        <v>1900</v>
      </c>
    </row>
    <row r="1373" spans="14:14" hidden="1" x14ac:dyDescent="0.3">
      <c r="N1373">
        <f t="shared" si="96"/>
        <v>1900</v>
      </c>
    </row>
    <row r="1374" spans="14:14" hidden="1" x14ac:dyDescent="0.3">
      <c r="N1374">
        <f t="shared" si="96"/>
        <v>1900</v>
      </c>
    </row>
    <row r="1375" spans="14:14" hidden="1" x14ac:dyDescent="0.3">
      <c r="N1375">
        <f t="shared" si="96"/>
        <v>1900</v>
      </c>
    </row>
    <row r="1376" spans="14:14" hidden="1" x14ac:dyDescent="0.3">
      <c r="N1376">
        <f t="shared" si="96"/>
        <v>1900</v>
      </c>
    </row>
    <row r="1377" spans="14:14" hidden="1" x14ac:dyDescent="0.3">
      <c r="N1377">
        <f t="shared" si="96"/>
        <v>1900</v>
      </c>
    </row>
    <row r="1378" spans="14:14" hidden="1" x14ac:dyDescent="0.3">
      <c r="N1378">
        <f t="shared" si="96"/>
        <v>1900</v>
      </c>
    </row>
    <row r="1379" spans="14:14" hidden="1" x14ac:dyDescent="0.3">
      <c r="N1379">
        <f t="shared" si="96"/>
        <v>1900</v>
      </c>
    </row>
    <row r="1380" spans="14:14" hidden="1" x14ac:dyDescent="0.3">
      <c r="N1380">
        <f t="shared" si="96"/>
        <v>1900</v>
      </c>
    </row>
    <row r="1381" spans="14:14" hidden="1" x14ac:dyDescent="0.3">
      <c r="N1381">
        <f t="shared" si="96"/>
        <v>1900</v>
      </c>
    </row>
    <row r="1382" spans="14:14" hidden="1" x14ac:dyDescent="0.3">
      <c r="N1382">
        <f t="shared" si="96"/>
        <v>1900</v>
      </c>
    </row>
    <row r="1383" spans="14:14" hidden="1" x14ac:dyDescent="0.3">
      <c r="N1383">
        <f t="shared" si="96"/>
        <v>1900</v>
      </c>
    </row>
    <row r="1384" spans="14:14" hidden="1" x14ac:dyDescent="0.3">
      <c r="N1384">
        <f t="shared" si="96"/>
        <v>1900</v>
      </c>
    </row>
    <row r="1385" spans="14:14" hidden="1" x14ac:dyDescent="0.3">
      <c r="N1385">
        <f t="shared" si="96"/>
        <v>1900</v>
      </c>
    </row>
    <row r="1386" spans="14:14" hidden="1" x14ac:dyDescent="0.3">
      <c r="N1386">
        <f t="shared" si="96"/>
        <v>1900</v>
      </c>
    </row>
    <row r="1387" spans="14:14" hidden="1" x14ac:dyDescent="0.3">
      <c r="N1387">
        <f t="shared" si="96"/>
        <v>1900</v>
      </c>
    </row>
    <row r="1388" spans="14:14" hidden="1" x14ac:dyDescent="0.3">
      <c r="N1388">
        <f t="shared" si="96"/>
        <v>1900</v>
      </c>
    </row>
    <row r="1389" spans="14:14" hidden="1" x14ac:dyDescent="0.3">
      <c r="N1389">
        <f t="shared" si="96"/>
        <v>1900</v>
      </c>
    </row>
    <row r="1390" spans="14:14" hidden="1" x14ac:dyDescent="0.3">
      <c r="N1390">
        <f t="shared" si="96"/>
        <v>1900</v>
      </c>
    </row>
    <row r="1391" spans="14:14" hidden="1" x14ac:dyDescent="0.3">
      <c r="N1391">
        <f t="shared" si="96"/>
        <v>1900</v>
      </c>
    </row>
    <row r="1392" spans="14:14" hidden="1" x14ac:dyDescent="0.3">
      <c r="N1392">
        <f t="shared" si="96"/>
        <v>1900</v>
      </c>
    </row>
    <row r="1393" spans="14:14" hidden="1" x14ac:dyDescent="0.3">
      <c r="N1393">
        <f t="shared" si="96"/>
        <v>1900</v>
      </c>
    </row>
    <row r="1394" spans="14:14" hidden="1" x14ac:dyDescent="0.3">
      <c r="N1394">
        <f t="shared" si="96"/>
        <v>1900</v>
      </c>
    </row>
    <row r="1395" spans="14:14" hidden="1" x14ac:dyDescent="0.3">
      <c r="N1395">
        <f t="shared" si="96"/>
        <v>1900</v>
      </c>
    </row>
    <row r="1396" spans="14:14" hidden="1" x14ac:dyDescent="0.3">
      <c r="N1396">
        <f t="shared" si="96"/>
        <v>1900</v>
      </c>
    </row>
    <row r="1397" spans="14:14" hidden="1" x14ac:dyDescent="0.3">
      <c r="N1397">
        <f t="shared" si="96"/>
        <v>1900</v>
      </c>
    </row>
    <row r="1398" spans="14:14" hidden="1" x14ac:dyDescent="0.3">
      <c r="N1398">
        <f t="shared" si="96"/>
        <v>1900</v>
      </c>
    </row>
    <row r="1399" spans="14:14" hidden="1" x14ac:dyDescent="0.3">
      <c r="N1399">
        <f t="shared" si="96"/>
        <v>1900</v>
      </c>
    </row>
    <row r="1400" spans="14:14" hidden="1" x14ac:dyDescent="0.3">
      <c r="N1400">
        <f t="shared" si="96"/>
        <v>1900</v>
      </c>
    </row>
    <row r="1401" spans="14:14" hidden="1" x14ac:dyDescent="0.3">
      <c r="N1401">
        <f t="shared" si="96"/>
        <v>1900</v>
      </c>
    </row>
    <row r="1402" spans="14:14" hidden="1" x14ac:dyDescent="0.3">
      <c r="N1402">
        <f t="shared" si="96"/>
        <v>1900</v>
      </c>
    </row>
    <row r="1403" spans="14:14" hidden="1" x14ac:dyDescent="0.3">
      <c r="N1403">
        <f t="shared" si="96"/>
        <v>1900</v>
      </c>
    </row>
    <row r="1404" spans="14:14" hidden="1" x14ac:dyDescent="0.3">
      <c r="N1404">
        <f t="shared" si="96"/>
        <v>1900</v>
      </c>
    </row>
    <row r="1405" spans="14:14" hidden="1" x14ac:dyDescent="0.3">
      <c r="N1405">
        <f t="shared" si="96"/>
        <v>1900</v>
      </c>
    </row>
    <row r="1406" spans="14:14" hidden="1" x14ac:dyDescent="0.3">
      <c r="N1406">
        <f t="shared" si="96"/>
        <v>1900</v>
      </c>
    </row>
    <row r="1407" spans="14:14" hidden="1" x14ac:dyDescent="0.3">
      <c r="N1407">
        <f t="shared" si="96"/>
        <v>1900</v>
      </c>
    </row>
    <row r="1408" spans="14:14" hidden="1" x14ac:dyDescent="0.3">
      <c r="N1408">
        <f t="shared" si="96"/>
        <v>1900</v>
      </c>
    </row>
    <row r="1409" spans="14:14" hidden="1" x14ac:dyDescent="0.3">
      <c r="N1409">
        <f t="shared" si="96"/>
        <v>1900</v>
      </c>
    </row>
    <row r="1410" spans="14:14" hidden="1" x14ac:dyDescent="0.3">
      <c r="N1410">
        <f t="shared" si="96"/>
        <v>1900</v>
      </c>
    </row>
    <row r="1411" spans="14:14" hidden="1" x14ac:dyDescent="0.3">
      <c r="N1411">
        <f t="shared" ref="N1411:N1474" si="97">YEAR(B1411)</f>
        <v>1900</v>
      </c>
    </row>
    <row r="1412" spans="14:14" hidden="1" x14ac:dyDescent="0.3">
      <c r="N1412">
        <f t="shared" si="97"/>
        <v>1900</v>
      </c>
    </row>
    <row r="1413" spans="14:14" hidden="1" x14ac:dyDescent="0.3">
      <c r="N1413">
        <f t="shared" si="97"/>
        <v>1900</v>
      </c>
    </row>
    <row r="1414" spans="14:14" hidden="1" x14ac:dyDescent="0.3">
      <c r="N1414">
        <f t="shared" si="97"/>
        <v>1900</v>
      </c>
    </row>
    <row r="1415" spans="14:14" hidden="1" x14ac:dyDescent="0.3">
      <c r="N1415">
        <f t="shared" si="97"/>
        <v>1900</v>
      </c>
    </row>
    <row r="1416" spans="14:14" hidden="1" x14ac:dyDescent="0.3">
      <c r="N1416">
        <f t="shared" si="97"/>
        <v>1900</v>
      </c>
    </row>
    <row r="1417" spans="14:14" hidden="1" x14ac:dyDescent="0.3">
      <c r="N1417">
        <f t="shared" si="97"/>
        <v>1900</v>
      </c>
    </row>
    <row r="1418" spans="14:14" hidden="1" x14ac:dyDescent="0.3">
      <c r="N1418">
        <f t="shared" si="97"/>
        <v>1900</v>
      </c>
    </row>
    <row r="1419" spans="14:14" hidden="1" x14ac:dyDescent="0.3">
      <c r="N1419">
        <f t="shared" si="97"/>
        <v>1900</v>
      </c>
    </row>
    <row r="1420" spans="14:14" hidden="1" x14ac:dyDescent="0.3">
      <c r="N1420">
        <f t="shared" si="97"/>
        <v>1900</v>
      </c>
    </row>
    <row r="1421" spans="14:14" hidden="1" x14ac:dyDescent="0.3">
      <c r="N1421">
        <f t="shared" si="97"/>
        <v>1900</v>
      </c>
    </row>
    <row r="1422" spans="14:14" hidden="1" x14ac:dyDescent="0.3">
      <c r="N1422">
        <f t="shared" si="97"/>
        <v>1900</v>
      </c>
    </row>
    <row r="1423" spans="14:14" hidden="1" x14ac:dyDescent="0.3">
      <c r="N1423">
        <f t="shared" si="97"/>
        <v>1900</v>
      </c>
    </row>
    <row r="1424" spans="14:14" hidden="1" x14ac:dyDescent="0.3">
      <c r="N1424">
        <f t="shared" si="97"/>
        <v>1900</v>
      </c>
    </row>
    <row r="1425" spans="14:14" hidden="1" x14ac:dyDescent="0.3">
      <c r="N1425">
        <f t="shared" si="97"/>
        <v>1900</v>
      </c>
    </row>
    <row r="1426" spans="14:14" hidden="1" x14ac:dyDescent="0.3">
      <c r="N1426">
        <f t="shared" si="97"/>
        <v>1900</v>
      </c>
    </row>
    <row r="1427" spans="14:14" hidden="1" x14ac:dyDescent="0.3">
      <c r="N1427">
        <f t="shared" si="97"/>
        <v>1900</v>
      </c>
    </row>
    <row r="1428" spans="14:14" hidden="1" x14ac:dyDescent="0.3">
      <c r="N1428">
        <f t="shared" si="97"/>
        <v>1900</v>
      </c>
    </row>
    <row r="1429" spans="14:14" hidden="1" x14ac:dyDescent="0.3">
      <c r="N1429">
        <f t="shared" si="97"/>
        <v>1900</v>
      </c>
    </row>
    <row r="1430" spans="14:14" hidden="1" x14ac:dyDescent="0.3">
      <c r="N1430">
        <f t="shared" si="97"/>
        <v>1900</v>
      </c>
    </row>
    <row r="1431" spans="14:14" hidden="1" x14ac:dyDescent="0.3">
      <c r="N1431">
        <f t="shared" si="97"/>
        <v>1900</v>
      </c>
    </row>
    <row r="1432" spans="14:14" hidden="1" x14ac:dyDescent="0.3">
      <c r="N1432">
        <f t="shared" si="97"/>
        <v>1900</v>
      </c>
    </row>
    <row r="1433" spans="14:14" hidden="1" x14ac:dyDescent="0.3">
      <c r="N1433">
        <f t="shared" si="97"/>
        <v>1900</v>
      </c>
    </row>
    <row r="1434" spans="14:14" hidden="1" x14ac:dyDescent="0.3">
      <c r="N1434">
        <f t="shared" si="97"/>
        <v>1900</v>
      </c>
    </row>
    <row r="1435" spans="14:14" hidden="1" x14ac:dyDescent="0.3">
      <c r="N1435">
        <f t="shared" si="97"/>
        <v>1900</v>
      </c>
    </row>
    <row r="1436" spans="14:14" hidden="1" x14ac:dyDescent="0.3">
      <c r="N1436">
        <f t="shared" si="97"/>
        <v>1900</v>
      </c>
    </row>
    <row r="1437" spans="14:14" hidden="1" x14ac:dyDescent="0.3">
      <c r="N1437">
        <f t="shared" si="97"/>
        <v>1900</v>
      </c>
    </row>
    <row r="1438" spans="14:14" hidden="1" x14ac:dyDescent="0.3">
      <c r="N1438">
        <f t="shared" si="97"/>
        <v>1900</v>
      </c>
    </row>
    <row r="1439" spans="14:14" hidden="1" x14ac:dyDescent="0.3">
      <c r="N1439">
        <f t="shared" si="97"/>
        <v>1900</v>
      </c>
    </row>
    <row r="1440" spans="14:14" hidden="1" x14ac:dyDescent="0.3">
      <c r="N1440">
        <f t="shared" si="97"/>
        <v>1900</v>
      </c>
    </row>
    <row r="1441" spans="14:14" hidden="1" x14ac:dyDescent="0.3">
      <c r="N1441">
        <f t="shared" si="97"/>
        <v>1900</v>
      </c>
    </row>
    <row r="1442" spans="14:14" hidden="1" x14ac:dyDescent="0.3">
      <c r="N1442">
        <f t="shared" si="97"/>
        <v>1900</v>
      </c>
    </row>
    <row r="1443" spans="14:14" hidden="1" x14ac:dyDescent="0.3">
      <c r="N1443">
        <f t="shared" si="97"/>
        <v>1900</v>
      </c>
    </row>
    <row r="1444" spans="14:14" hidden="1" x14ac:dyDescent="0.3">
      <c r="N1444">
        <f t="shared" si="97"/>
        <v>1900</v>
      </c>
    </row>
    <row r="1445" spans="14:14" hidden="1" x14ac:dyDescent="0.3">
      <c r="N1445">
        <f t="shared" si="97"/>
        <v>1900</v>
      </c>
    </row>
    <row r="1446" spans="14:14" hidden="1" x14ac:dyDescent="0.3">
      <c r="N1446">
        <f t="shared" si="97"/>
        <v>1900</v>
      </c>
    </row>
    <row r="1447" spans="14:14" hidden="1" x14ac:dyDescent="0.3">
      <c r="N1447">
        <f t="shared" si="97"/>
        <v>1900</v>
      </c>
    </row>
    <row r="1448" spans="14:14" hidden="1" x14ac:dyDescent="0.3">
      <c r="N1448">
        <f t="shared" si="97"/>
        <v>1900</v>
      </c>
    </row>
    <row r="1449" spans="14:14" hidden="1" x14ac:dyDescent="0.3">
      <c r="N1449">
        <f t="shared" si="97"/>
        <v>1900</v>
      </c>
    </row>
    <row r="1450" spans="14:14" hidden="1" x14ac:dyDescent="0.3">
      <c r="N1450">
        <f t="shared" si="97"/>
        <v>1900</v>
      </c>
    </row>
    <row r="1451" spans="14:14" hidden="1" x14ac:dyDescent="0.3">
      <c r="N1451">
        <f t="shared" si="97"/>
        <v>1900</v>
      </c>
    </row>
    <row r="1452" spans="14:14" hidden="1" x14ac:dyDescent="0.3">
      <c r="N1452">
        <f t="shared" si="97"/>
        <v>1900</v>
      </c>
    </row>
    <row r="1453" spans="14:14" hidden="1" x14ac:dyDescent="0.3">
      <c r="N1453">
        <f t="shared" si="97"/>
        <v>1900</v>
      </c>
    </row>
    <row r="1454" spans="14:14" hidden="1" x14ac:dyDescent="0.3">
      <c r="N1454">
        <f t="shared" si="97"/>
        <v>1900</v>
      </c>
    </row>
    <row r="1455" spans="14:14" hidden="1" x14ac:dyDescent="0.3">
      <c r="N1455">
        <f t="shared" si="97"/>
        <v>1900</v>
      </c>
    </row>
    <row r="1456" spans="14:14" hidden="1" x14ac:dyDescent="0.3">
      <c r="N1456">
        <f t="shared" si="97"/>
        <v>1900</v>
      </c>
    </row>
    <row r="1457" spans="14:14" hidden="1" x14ac:dyDescent="0.3">
      <c r="N1457">
        <f t="shared" si="97"/>
        <v>1900</v>
      </c>
    </row>
    <row r="1458" spans="14:14" hidden="1" x14ac:dyDescent="0.3">
      <c r="N1458">
        <f t="shared" si="97"/>
        <v>1900</v>
      </c>
    </row>
    <row r="1459" spans="14:14" hidden="1" x14ac:dyDescent="0.3">
      <c r="N1459">
        <f t="shared" si="97"/>
        <v>1900</v>
      </c>
    </row>
    <row r="1460" spans="14:14" hidden="1" x14ac:dyDescent="0.3">
      <c r="N1460">
        <f t="shared" si="97"/>
        <v>1900</v>
      </c>
    </row>
    <row r="1461" spans="14:14" hidden="1" x14ac:dyDescent="0.3">
      <c r="N1461">
        <f t="shared" si="97"/>
        <v>1900</v>
      </c>
    </row>
    <row r="1462" spans="14:14" hidden="1" x14ac:dyDescent="0.3">
      <c r="N1462">
        <f t="shared" si="97"/>
        <v>1900</v>
      </c>
    </row>
    <row r="1463" spans="14:14" hidden="1" x14ac:dyDescent="0.3">
      <c r="N1463">
        <f t="shared" si="97"/>
        <v>1900</v>
      </c>
    </row>
    <row r="1464" spans="14:14" hidden="1" x14ac:dyDescent="0.3">
      <c r="N1464">
        <f t="shared" si="97"/>
        <v>1900</v>
      </c>
    </row>
    <row r="1465" spans="14:14" hidden="1" x14ac:dyDescent="0.3">
      <c r="N1465">
        <f t="shared" si="97"/>
        <v>1900</v>
      </c>
    </row>
    <row r="1466" spans="14:14" hidden="1" x14ac:dyDescent="0.3">
      <c r="N1466">
        <f t="shared" si="97"/>
        <v>1900</v>
      </c>
    </row>
    <row r="1467" spans="14:14" hidden="1" x14ac:dyDescent="0.3">
      <c r="N1467">
        <f t="shared" si="97"/>
        <v>1900</v>
      </c>
    </row>
    <row r="1468" spans="14:14" hidden="1" x14ac:dyDescent="0.3">
      <c r="N1468">
        <f t="shared" si="97"/>
        <v>1900</v>
      </c>
    </row>
    <row r="1469" spans="14:14" hidden="1" x14ac:dyDescent="0.3">
      <c r="N1469">
        <f t="shared" si="97"/>
        <v>1900</v>
      </c>
    </row>
    <row r="1470" spans="14:14" hidden="1" x14ac:dyDescent="0.3">
      <c r="N1470">
        <f t="shared" si="97"/>
        <v>1900</v>
      </c>
    </row>
    <row r="1471" spans="14:14" hidden="1" x14ac:dyDescent="0.3">
      <c r="N1471">
        <f t="shared" si="97"/>
        <v>1900</v>
      </c>
    </row>
    <row r="1472" spans="14:14" hidden="1" x14ac:dyDescent="0.3">
      <c r="N1472">
        <f t="shared" si="97"/>
        <v>1900</v>
      </c>
    </row>
    <row r="1473" spans="14:14" hidden="1" x14ac:dyDescent="0.3">
      <c r="N1473">
        <f t="shared" si="97"/>
        <v>1900</v>
      </c>
    </row>
    <row r="1474" spans="14:14" hidden="1" x14ac:dyDescent="0.3">
      <c r="N1474">
        <f t="shared" si="97"/>
        <v>1900</v>
      </c>
    </row>
    <row r="1475" spans="14:14" hidden="1" x14ac:dyDescent="0.3">
      <c r="N1475">
        <f t="shared" ref="N1475:N1538" si="98">YEAR(B1475)</f>
        <v>1900</v>
      </c>
    </row>
    <row r="1476" spans="14:14" hidden="1" x14ac:dyDescent="0.3">
      <c r="N1476">
        <f t="shared" si="98"/>
        <v>1900</v>
      </c>
    </row>
    <row r="1477" spans="14:14" hidden="1" x14ac:dyDescent="0.3">
      <c r="N1477">
        <f t="shared" si="98"/>
        <v>1900</v>
      </c>
    </row>
    <row r="1478" spans="14:14" hidden="1" x14ac:dyDescent="0.3">
      <c r="N1478">
        <f t="shared" si="98"/>
        <v>1900</v>
      </c>
    </row>
    <row r="1479" spans="14:14" hidden="1" x14ac:dyDescent="0.3">
      <c r="N1479">
        <f t="shared" si="98"/>
        <v>1900</v>
      </c>
    </row>
    <row r="1480" spans="14:14" hidden="1" x14ac:dyDescent="0.3">
      <c r="N1480">
        <f t="shared" si="98"/>
        <v>1900</v>
      </c>
    </row>
    <row r="1481" spans="14:14" hidden="1" x14ac:dyDescent="0.3">
      <c r="N1481">
        <f t="shared" si="98"/>
        <v>1900</v>
      </c>
    </row>
    <row r="1482" spans="14:14" hidden="1" x14ac:dyDescent="0.3">
      <c r="N1482">
        <f t="shared" si="98"/>
        <v>1900</v>
      </c>
    </row>
    <row r="1483" spans="14:14" hidden="1" x14ac:dyDescent="0.3">
      <c r="N1483">
        <f t="shared" si="98"/>
        <v>1900</v>
      </c>
    </row>
    <row r="1484" spans="14:14" hidden="1" x14ac:dyDescent="0.3">
      <c r="N1484">
        <f t="shared" si="98"/>
        <v>1900</v>
      </c>
    </row>
    <row r="1485" spans="14:14" hidden="1" x14ac:dyDescent="0.3">
      <c r="N1485">
        <f t="shared" si="98"/>
        <v>1900</v>
      </c>
    </row>
    <row r="1486" spans="14:14" hidden="1" x14ac:dyDescent="0.3">
      <c r="N1486">
        <f t="shared" si="98"/>
        <v>1900</v>
      </c>
    </row>
    <row r="1487" spans="14:14" hidden="1" x14ac:dyDescent="0.3">
      <c r="N1487">
        <f t="shared" si="98"/>
        <v>1900</v>
      </c>
    </row>
    <row r="1488" spans="14:14" hidden="1" x14ac:dyDescent="0.3">
      <c r="N1488">
        <f t="shared" si="98"/>
        <v>1900</v>
      </c>
    </row>
    <row r="1489" spans="14:14" hidden="1" x14ac:dyDescent="0.3">
      <c r="N1489">
        <f t="shared" si="98"/>
        <v>1900</v>
      </c>
    </row>
    <row r="1490" spans="14:14" hidden="1" x14ac:dyDescent="0.3">
      <c r="N1490">
        <f t="shared" si="98"/>
        <v>1900</v>
      </c>
    </row>
    <row r="1491" spans="14:14" hidden="1" x14ac:dyDescent="0.3">
      <c r="N1491">
        <f t="shared" si="98"/>
        <v>1900</v>
      </c>
    </row>
    <row r="1492" spans="14:14" hidden="1" x14ac:dyDescent="0.3">
      <c r="N1492">
        <f t="shared" si="98"/>
        <v>1900</v>
      </c>
    </row>
    <row r="1493" spans="14:14" hidden="1" x14ac:dyDescent="0.3">
      <c r="N1493">
        <f t="shared" si="98"/>
        <v>1900</v>
      </c>
    </row>
    <row r="1494" spans="14:14" hidden="1" x14ac:dyDescent="0.3">
      <c r="N1494">
        <f t="shared" si="98"/>
        <v>1900</v>
      </c>
    </row>
    <row r="1495" spans="14:14" hidden="1" x14ac:dyDescent="0.3">
      <c r="N1495">
        <f t="shared" si="98"/>
        <v>1900</v>
      </c>
    </row>
    <row r="1496" spans="14:14" hidden="1" x14ac:dyDescent="0.3">
      <c r="N1496">
        <f t="shared" si="98"/>
        <v>1900</v>
      </c>
    </row>
    <row r="1497" spans="14:14" hidden="1" x14ac:dyDescent="0.3">
      <c r="N1497">
        <f t="shared" si="98"/>
        <v>1900</v>
      </c>
    </row>
    <row r="1498" spans="14:14" hidden="1" x14ac:dyDescent="0.3">
      <c r="N1498">
        <f t="shared" si="98"/>
        <v>1900</v>
      </c>
    </row>
    <row r="1499" spans="14:14" hidden="1" x14ac:dyDescent="0.3">
      <c r="N1499">
        <f t="shared" si="98"/>
        <v>1900</v>
      </c>
    </row>
    <row r="1500" spans="14:14" hidden="1" x14ac:dyDescent="0.3">
      <c r="N1500">
        <f t="shared" si="98"/>
        <v>1900</v>
      </c>
    </row>
    <row r="1501" spans="14:14" hidden="1" x14ac:dyDescent="0.3">
      <c r="N1501">
        <f t="shared" si="98"/>
        <v>1900</v>
      </c>
    </row>
    <row r="1502" spans="14:14" hidden="1" x14ac:dyDescent="0.3">
      <c r="N1502">
        <f t="shared" si="98"/>
        <v>1900</v>
      </c>
    </row>
    <row r="1503" spans="14:14" hidden="1" x14ac:dyDescent="0.3">
      <c r="N1503">
        <f t="shared" si="98"/>
        <v>1900</v>
      </c>
    </row>
    <row r="1504" spans="14:14" hidden="1" x14ac:dyDescent="0.3">
      <c r="N1504">
        <f t="shared" si="98"/>
        <v>1900</v>
      </c>
    </row>
    <row r="1505" spans="14:14" hidden="1" x14ac:dyDescent="0.3">
      <c r="N1505">
        <f t="shared" si="98"/>
        <v>1900</v>
      </c>
    </row>
    <row r="1506" spans="14:14" hidden="1" x14ac:dyDescent="0.3">
      <c r="N1506">
        <f t="shared" si="98"/>
        <v>1900</v>
      </c>
    </row>
    <row r="1507" spans="14:14" hidden="1" x14ac:dyDescent="0.3">
      <c r="N1507">
        <f t="shared" si="98"/>
        <v>1900</v>
      </c>
    </row>
    <row r="1508" spans="14:14" hidden="1" x14ac:dyDescent="0.3">
      <c r="N1508">
        <f t="shared" si="98"/>
        <v>1900</v>
      </c>
    </row>
    <row r="1509" spans="14:14" hidden="1" x14ac:dyDescent="0.3">
      <c r="N1509">
        <f t="shared" si="98"/>
        <v>1900</v>
      </c>
    </row>
    <row r="1510" spans="14:14" hidden="1" x14ac:dyDescent="0.3">
      <c r="N1510">
        <f t="shared" si="98"/>
        <v>1900</v>
      </c>
    </row>
    <row r="1511" spans="14:14" hidden="1" x14ac:dyDescent="0.3">
      <c r="N1511">
        <f t="shared" si="98"/>
        <v>1900</v>
      </c>
    </row>
    <row r="1512" spans="14:14" hidden="1" x14ac:dyDescent="0.3">
      <c r="N1512">
        <f t="shared" si="98"/>
        <v>1900</v>
      </c>
    </row>
    <row r="1513" spans="14:14" hidden="1" x14ac:dyDescent="0.3">
      <c r="N1513">
        <f t="shared" si="98"/>
        <v>1900</v>
      </c>
    </row>
    <row r="1514" spans="14:14" hidden="1" x14ac:dyDescent="0.3">
      <c r="N1514">
        <f t="shared" si="98"/>
        <v>1900</v>
      </c>
    </row>
    <row r="1515" spans="14:14" hidden="1" x14ac:dyDescent="0.3">
      <c r="N1515">
        <f t="shared" si="98"/>
        <v>1900</v>
      </c>
    </row>
    <row r="1516" spans="14:14" hidden="1" x14ac:dyDescent="0.3">
      <c r="N1516">
        <f t="shared" si="98"/>
        <v>1900</v>
      </c>
    </row>
    <row r="1517" spans="14:14" hidden="1" x14ac:dyDescent="0.3">
      <c r="N1517">
        <f t="shared" si="98"/>
        <v>1900</v>
      </c>
    </row>
    <row r="1518" spans="14:14" hidden="1" x14ac:dyDescent="0.3">
      <c r="N1518">
        <f t="shared" si="98"/>
        <v>1900</v>
      </c>
    </row>
    <row r="1519" spans="14:14" hidden="1" x14ac:dyDescent="0.3">
      <c r="N1519">
        <f t="shared" si="98"/>
        <v>1900</v>
      </c>
    </row>
    <row r="1520" spans="14:14" hidden="1" x14ac:dyDescent="0.3">
      <c r="N1520">
        <f t="shared" si="98"/>
        <v>1900</v>
      </c>
    </row>
    <row r="1521" spans="14:14" hidden="1" x14ac:dyDescent="0.3">
      <c r="N1521">
        <f t="shared" si="98"/>
        <v>1900</v>
      </c>
    </row>
    <row r="1522" spans="14:14" hidden="1" x14ac:dyDescent="0.3">
      <c r="N1522">
        <f t="shared" si="98"/>
        <v>1900</v>
      </c>
    </row>
    <row r="1523" spans="14:14" hidden="1" x14ac:dyDescent="0.3">
      <c r="N1523">
        <f t="shared" si="98"/>
        <v>1900</v>
      </c>
    </row>
    <row r="1524" spans="14:14" hidden="1" x14ac:dyDescent="0.3">
      <c r="N1524">
        <f t="shared" si="98"/>
        <v>1900</v>
      </c>
    </row>
    <row r="1525" spans="14:14" hidden="1" x14ac:dyDescent="0.3">
      <c r="N1525">
        <f t="shared" si="98"/>
        <v>1900</v>
      </c>
    </row>
    <row r="1526" spans="14:14" hidden="1" x14ac:dyDescent="0.3">
      <c r="N1526">
        <f t="shared" si="98"/>
        <v>1900</v>
      </c>
    </row>
    <row r="1527" spans="14:14" hidden="1" x14ac:dyDescent="0.3">
      <c r="N1527">
        <f t="shared" si="98"/>
        <v>1900</v>
      </c>
    </row>
    <row r="1528" spans="14:14" hidden="1" x14ac:dyDescent="0.3">
      <c r="N1528">
        <f t="shared" si="98"/>
        <v>1900</v>
      </c>
    </row>
    <row r="1529" spans="14:14" hidden="1" x14ac:dyDescent="0.3">
      <c r="N1529">
        <f t="shared" si="98"/>
        <v>1900</v>
      </c>
    </row>
    <row r="1530" spans="14:14" hidden="1" x14ac:dyDescent="0.3">
      <c r="N1530">
        <f t="shared" si="98"/>
        <v>1900</v>
      </c>
    </row>
    <row r="1531" spans="14:14" hidden="1" x14ac:dyDescent="0.3">
      <c r="N1531">
        <f t="shared" si="98"/>
        <v>1900</v>
      </c>
    </row>
    <row r="1532" spans="14:14" hidden="1" x14ac:dyDescent="0.3">
      <c r="N1532">
        <f t="shared" si="98"/>
        <v>1900</v>
      </c>
    </row>
    <row r="1533" spans="14:14" hidden="1" x14ac:dyDescent="0.3">
      <c r="N1533">
        <f t="shared" si="98"/>
        <v>1900</v>
      </c>
    </row>
    <row r="1534" spans="14:14" hidden="1" x14ac:dyDescent="0.3">
      <c r="N1534">
        <f t="shared" si="98"/>
        <v>1900</v>
      </c>
    </row>
    <row r="1535" spans="14:14" hidden="1" x14ac:dyDescent="0.3">
      <c r="N1535">
        <f t="shared" si="98"/>
        <v>1900</v>
      </c>
    </row>
    <row r="1536" spans="14:14" hidden="1" x14ac:dyDescent="0.3">
      <c r="N1536">
        <f t="shared" si="98"/>
        <v>1900</v>
      </c>
    </row>
    <row r="1537" spans="14:14" hidden="1" x14ac:dyDescent="0.3">
      <c r="N1537">
        <f t="shared" si="98"/>
        <v>1900</v>
      </c>
    </row>
    <row r="1538" spans="14:14" hidden="1" x14ac:dyDescent="0.3">
      <c r="N1538">
        <f t="shared" si="98"/>
        <v>1900</v>
      </c>
    </row>
    <row r="1539" spans="14:14" hidden="1" x14ac:dyDescent="0.3">
      <c r="N1539">
        <f t="shared" ref="N1539:N1602" si="99">YEAR(B1539)</f>
        <v>1900</v>
      </c>
    </row>
    <row r="1540" spans="14:14" hidden="1" x14ac:dyDescent="0.3">
      <c r="N1540">
        <f t="shared" si="99"/>
        <v>1900</v>
      </c>
    </row>
    <row r="1541" spans="14:14" hidden="1" x14ac:dyDescent="0.3">
      <c r="N1541">
        <f t="shared" si="99"/>
        <v>1900</v>
      </c>
    </row>
    <row r="1542" spans="14:14" hidden="1" x14ac:dyDescent="0.3">
      <c r="N1542">
        <f t="shared" si="99"/>
        <v>1900</v>
      </c>
    </row>
    <row r="1543" spans="14:14" hidden="1" x14ac:dyDescent="0.3">
      <c r="N1543">
        <f t="shared" si="99"/>
        <v>1900</v>
      </c>
    </row>
    <row r="1544" spans="14:14" hidden="1" x14ac:dyDescent="0.3">
      <c r="N1544">
        <f t="shared" si="99"/>
        <v>1900</v>
      </c>
    </row>
    <row r="1545" spans="14:14" hidden="1" x14ac:dyDescent="0.3">
      <c r="N1545">
        <f t="shared" si="99"/>
        <v>1900</v>
      </c>
    </row>
    <row r="1546" spans="14:14" hidden="1" x14ac:dyDescent="0.3">
      <c r="N1546">
        <f t="shared" si="99"/>
        <v>1900</v>
      </c>
    </row>
    <row r="1547" spans="14:14" hidden="1" x14ac:dyDescent="0.3">
      <c r="N1547">
        <f t="shared" si="99"/>
        <v>1900</v>
      </c>
    </row>
    <row r="1548" spans="14:14" hidden="1" x14ac:dyDescent="0.3">
      <c r="N1548">
        <f t="shared" si="99"/>
        <v>1900</v>
      </c>
    </row>
    <row r="1549" spans="14:14" hidden="1" x14ac:dyDescent="0.3">
      <c r="N1549">
        <f t="shared" si="99"/>
        <v>1900</v>
      </c>
    </row>
    <row r="1550" spans="14:14" hidden="1" x14ac:dyDescent="0.3">
      <c r="N1550">
        <f t="shared" si="99"/>
        <v>1900</v>
      </c>
    </row>
    <row r="1551" spans="14:14" hidden="1" x14ac:dyDescent="0.3">
      <c r="N1551">
        <f t="shared" si="99"/>
        <v>1900</v>
      </c>
    </row>
    <row r="1552" spans="14:14" hidden="1" x14ac:dyDescent="0.3">
      <c r="N1552">
        <f t="shared" si="99"/>
        <v>1900</v>
      </c>
    </row>
    <row r="1553" spans="14:14" hidden="1" x14ac:dyDescent="0.3">
      <c r="N1553">
        <f t="shared" si="99"/>
        <v>1900</v>
      </c>
    </row>
    <row r="1554" spans="14:14" hidden="1" x14ac:dyDescent="0.3">
      <c r="N1554">
        <f t="shared" si="99"/>
        <v>1900</v>
      </c>
    </row>
    <row r="1555" spans="14:14" hidden="1" x14ac:dyDescent="0.3">
      <c r="N1555">
        <f t="shared" si="99"/>
        <v>1900</v>
      </c>
    </row>
    <row r="1556" spans="14:14" hidden="1" x14ac:dyDescent="0.3">
      <c r="N1556">
        <f t="shared" si="99"/>
        <v>1900</v>
      </c>
    </row>
    <row r="1557" spans="14:14" hidden="1" x14ac:dyDescent="0.3">
      <c r="N1557">
        <f t="shared" si="99"/>
        <v>1900</v>
      </c>
    </row>
    <row r="1558" spans="14:14" hidden="1" x14ac:dyDescent="0.3">
      <c r="N1558">
        <f t="shared" si="99"/>
        <v>1900</v>
      </c>
    </row>
    <row r="1559" spans="14:14" hidden="1" x14ac:dyDescent="0.3">
      <c r="N1559">
        <f t="shared" si="99"/>
        <v>1900</v>
      </c>
    </row>
    <row r="1560" spans="14:14" hidden="1" x14ac:dyDescent="0.3">
      <c r="N1560">
        <f t="shared" si="99"/>
        <v>1900</v>
      </c>
    </row>
    <row r="1561" spans="14:14" hidden="1" x14ac:dyDescent="0.3">
      <c r="N1561">
        <f t="shared" si="99"/>
        <v>1900</v>
      </c>
    </row>
    <row r="1562" spans="14:14" hidden="1" x14ac:dyDescent="0.3">
      <c r="N1562">
        <f t="shared" si="99"/>
        <v>1900</v>
      </c>
    </row>
    <row r="1563" spans="14:14" hidden="1" x14ac:dyDescent="0.3">
      <c r="N1563">
        <f t="shared" si="99"/>
        <v>1900</v>
      </c>
    </row>
    <row r="1564" spans="14:14" hidden="1" x14ac:dyDescent="0.3">
      <c r="N1564">
        <f t="shared" si="99"/>
        <v>1900</v>
      </c>
    </row>
    <row r="1565" spans="14:14" hidden="1" x14ac:dyDescent="0.3">
      <c r="N1565">
        <f t="shared" si="99"/>
        <v>1900</v>
      </c>
    </row>
    <row r="1566" spans="14:14" hidden="1" x14ac:dyDescent="0.3">
      <c r="N1566">
        <f t="shared" si="99"/>
        <v>1900</v>
      </c>
    </row>
    <row r="1567" spans="14:14" hidden="1" x14ac:dyDescent="0.3">
      <c r="N1567">
        <f t="shared" si="99"/>
        <v>1900</v>
      </c>
    </row>
    <row r="1568" spans="14:14" hidden="1" x14ac:dyDescent="0.3">
      <c r="N1568">
        <f t="shared" si="99"/>
        <v>1900</v>
      </c>
    </row>
    <row r="1569" spans="14:14" hidden="1" x14ac:dyDescent="0.3">
      <c r="N1569">
        <f t="shared" si="99"/>
        <v>1900</v>
      </c>
    </row>
    <row r="1570" spans="14:14" hidden="1" x14ac:dyDescent="0.3">
      <c r="N1570">
        <f t="shared" si="99"/>
        <v>1900</v>
      </c>
    </row>
    <row r="1571" spans="14:14" hidden="1" x14ac:dyDescent="0.3">
      <c r="N1571">
        <f t="shared" si="99"/>
        <v>1900</v>
      </c>
    </row>
    <row r="1572" spans="14:14" hidden="1" x14ac:dyDescent="0.3">
      <c r="N1572">
        <f t="shared" si="99"/>
        <v>1900</v>
      </c>
    </row>
    <row r="1573" spans="14:14" hidden="1" x14ac:dyDescent="0.3">
      <c r="N1573">
        <f t="shared" si="99"/>
        <v>1900</v>
      </c>
    </row>
    <row r="1574" spans="14:14" hidden="1" x14ac:dyDescent="0.3">
      <c r="N1574">
        <f t="shared" si="99"/>
        <v>1900</v>
      </c>
    </row>
    <row r="1575" spans="14:14" hidden="1" x14ac:dyDescent="0.3">
      <c r="N1575">
        <f t="shared" si="99"/>
        <v>1900</v>
      </c>
    </row>
    <row r="1576" spans="14:14" hidden="1" x14ac:dyDescent="0.3">
      <c r="N1576">
        <f t="shared" si="99"/>
        <v>1900</v>
      </c>
    </row>
    <row r="1577" spans="14:14" hidden="1" x14ac:dyDescent="0.3">
      <c r="N1577">
        <f t="shared" si="99"/>
        <v>1900</v>
      </c>
    </row>
    <row r="1578" spans="14:14" hidden="1" x14ac:dyDescent="0.3">
      <c r="N1578">
        <f t="shared" si="99"/>
        <v>1900</v>
      </c>
    </row>
    <row r="1579" spans="14:14" hidden="1" x14ac:dyDescent="0.3">
      <c r="N1579">
        <f t="shared" si="99"/>
        <v>1900</v>
      </c>
    </row>
    <row r="1580" spans="14:14" hidden="1" x14ac:dyDescent="0.3">
      <c r="N1580">
        <f t="shared" si="99"/>
        <v>1900</v>
      </c>
    </row>
    <row r="1581" spans="14:14" hidden="1" x14ac:dyDescent="0.3">
      <c r="N1581">
        <f t="shared" si="99"/>
        <v>1900</v>
      </c>
    </row>
    <row r="1582" spans="14:14" hidden="1" x14ac:dyDescent="0.3">
      <c r="N1582">
        <f t="shared" si="99"/>
        <v>1900</v>
      </c>
    </row>
    <row r="1583" spans="14:14" hidden="1" x14ac:dyDescent="0.3">
      <c r="N1583">
        <f t="shared" si="99"/>
        <v>1900</v>
      </c>
    </row>
    <row r="1584" spans="14:14" hidden="1" x14ac:dyDescent="0.3">
      <c r="N1584">
        <f t="shared" si="99"/>
        <v>1900</v>
      </c>
    </row>
    <row r="1585" spans="14:14" hidden="1" x14ac:dyDescent="0.3">
      <c r="N1585">
        <f t="shared" si="99"/>
        <v>1900</v>
      </c>
    </row>
    <row r="1586" spans="14:14" hidden="1" x14ac:dyDescent="0.3">
      <c r="N1586">
        <f t="shared" si="99"/>
        <v>1900</v>
      </c>
    </row>
    <row r="1587" spans="14:14" hidden="1" x14ac:dyDescent="0.3">
      <c r="N1587">
        <f t="shared" si="99"/>
        <v>1900</v>
      </c>
    </row>
    <row r="1588" spans="14:14" hidden="1" x14ac:dyDescent="0.3">
      <c r="N1588">
        <f t="shared" si="99"/>
        <v>1900</v>
      </c>
    </row>
    <row r="1589" spans="14:14" hidden="1" x14ac:dyDescent="0.3">
      <c r="N1589">
        <f t="shared" si="99"/>
        <v>1900</v>
      </c>
    </row>
    <row r="1590" spans="14:14" hidden="1" x14ac:dyDescent="0.3">
      <c r="N1590">
        <f t="shared" si="99"/>
        <v>1900</v>
      </c>
    </row>
    <row r="1591" spans="14:14" hidden="1" x14ac:dyDescent="0.3">
      <c r="N1591">
        <f t="shared" si="99"/>
        <v>1900</v>
      </c>
    </row>
    <row r="1592" spans="14:14" hidden="1" x14ac:dyDescent="0.3">
      <c r="N1592">
        <f t="shared" si="99"/>
        <v>1900</v>
      </c>
    </row>
    <row r="1593" spans="14:14" hidden="1" x14ac:dyDescent="0.3">
      <c r="N1593">
        <f t="shared" si="99"/>
        <v>1900</v>
      </c>
    </row>
    <row r="1594" spans="14:14" hidden="1" x14ac:dyDescent="0.3">
      <c r="N1594">
        <f t="shared" si="99"/>
        <v>1900</v>
      </c>
    </row>
    <row r="1595" spans="14:14" hidden="1" x14ac:dyDescent="0.3">
      <c r="N1595">
        <f t="shared" si="99"/>
        <v>1900</v>
      </c>
    </row>
    <row r="1596" spans="14:14" hidden="1" x14ac:dyDescent="0.3">
      <c r="N1596">
        <f t="shared" si="99"/>
        <v>1900</v>
      </c>
    </row>
    <row r="1597" spans="14:14" hidden="1" x14ac:dyDescent="0.3">
      <c r="N1597">
        <f t="shared" si="99"/>
        <v>1900</v>
      </c>
    </row>
    <row r="1598" spans="14:14" hidden="1" x14ac:dyDescent="0.3">
      <c r="N1598">
        <f t="shared" si="99"/>
        <v>1900</v>
      </c>
    </row>
    <row r="1599" spans="14:14" hidden="1" x14ac:dyDescent="0.3">
      <c r="N1599">
        <f t="shared" si="99"/>
        <v>1900</v>
      </c>
    </row>
    <row r="1600" spans="14:14" hidden="1" x14ac:dyDescent="0.3">
      <c r="N1600">
        <f t="shared" si="99"/>
        <v>1900</v>
      </c>
    </row>
    <row r="1601" spans="14:14" hidden="1" x14ac:dyDescent="0.3">
      <c r="N1601">
        <f t="shared" si="99"/>
        <v>1900</v>
      </c>
    </row>
    <row r="1602" spans="14:14" hidden="1" x14ac:dyDescent="0.3">
      <c r="N1602">
        <f t="shared" si="99"/>
        <v>1900</v>
      </c>
    </row>
    <row r="1603" spans="14:14" hidden="1" x14ac:dyDescent="0.3">
      <c r="N1603">
        <f t="shared" ref="N1603:N1666" si="100">YEAR(B1603)</f>
        <v>1900</v>
      </c>
    </row>
    <row r="1604" spans="14:14" hidden="1" x14ac:dyDescent="0.3">
      <c r="N1604">
        <f t="shared" si="100"/>
        <v>1900</v>
      </c>
    </row>
    <row r="1605" spans="14:14" hidden="1" x14ac:dyDescent="0.3">
      <c r="N1605">
        <f t="shared" si="100"/>
        <v>1900</v>
      </c>
    </row>
    <row r="1606" spans="14:14" hidden="1" x14ac:dyDescent="0.3">
      <c r="N1606">
        <f t="shared" si="100"/>
        <v>1900</v>
      </c>
    </row>
    <row r="1607" spans="14:14" hidden="1" x14ac:dyDescent="0.3">
      <c r="N1607">
        <f t="shared" si="100"/>
        <v>1900</v>
      </c>
    </row>
    <row r="1608" spans="14:14" hidden="1" x14ac:dyDescent="0.3">
      <c r="N1608">
        <f t="shared" si="100"/>
        <v>1900</v>
      </c>
    </row>
    <row r="1609" spans="14:14" hidden="1" x14ac:dyDescent="0.3">
      <c r="N1609">
        <f t="shared" si="100"/>
        <v>1900</v>
      </c>
    </row>
    <row r="1610" spans="14:14" hidden="1" x14ac:dyDescent="0.3">
      <c r="N1610">
        <f t="shared" si="100"/>
        <v>1900</v>
      </c>
    </row>
    <row r="1611" spans="14:14" hidden="1" x14ac:dyDescent="0.3">
      <c r="N1611">
        <f t="shared" si="100"/>
        <v>1900</v>
      </c>
    </row>
    <row r="1612" spans="14:14" hidden="1" x14ac:dyDescent="0.3">
      <c r="N1612">
        <f t="shared" si="100"/>
        <v>1900</v>
      </c>
    </row>
    <row r="1613" spans="14:14" hidden="1" x14ac:dyDescent="0.3">
      <c r="N1613">
        <f t="shared" si="100"/>
        <v>1900</v>
      </c>
    </row>
    <row r="1614" spans="14:14" hidden="1" x14ac:dyDescent="0.3">
      <c r="N1614">
        <f t="shared" si="100"/>
        <v>1900</v>
      </c>
    </row>
    <row r="1615" spans="14:14" hidden="1" x14ac:dyDescent="0.3">
      <c r="N1615">
        <f t="shared" si="100"/>
        <v>1900</v>
      </c>
    </row>
    <row r="1616" spans="14:14" hidden="1" x14ac:dyDescent="0.3">
      <c r="N1616">
        <f t="shared" si="100"/>
        <v>1900</v>
      </c>
    </row>
    <row r="1617" spans="14:14" hidden="1" x14ac:dyDescent="0.3">
      <c r="N1617">
        <f t="shared" si="100"/>
        <v>1900</v>
      </c>
    </row>
    <row r="1618" spans="14:14" hidden="1" x14ac:dyDescent="0.3">
      <c r="N1618">
        <f t="shared" si="100"/>
        <v>1900</v>
      </c>
    </row>
    <row r="1619" spans="14:14" hidden="1" x14ac:dyDescent="0.3">
      <c r="N1619">
        <f t="shared" si="100"/>
        <v>1900</v>
      </c>
    </row>
    <row r="1620" spans="14:14" hidden="1" x14ac:dyDescent="0.3">
      <c r="N1620">
        <f t="shared" si="100"/>
        <v>1900</v>
      </c>
    </row>
    <row r="1621" spans="14:14" hidden="1" x14ac:dyDescent="0.3">
      <c r="N1621">
        <f t="shared" si="100"/>
        <v>1900</v>
      </c>
    </row>
    <row r="1622" spans="14:14" hidden="1" x14ac:dyDescent="0.3">
      <c r="N1622">
        <f t="shared" si="100"/>
        <v>1900</v>
      </c>
    </row>
    <row r="1623" spans="14:14" hidden="1" x14ac:dyDescent="0.3">
      <c r="N1623">
        <f t="shared" si="100"/>
        <v>1900</v>
      </c>
    </row>
    <row r="1624" spans="14:14" hidden="1" x14ac:dyDescent="0.3">
      <c r="N1624">
        <f t="shared" si="100"/>
        <v>1900</v>
      </c>
    </row>
    <row r="1625" spans="14:14" hidden="1" x14ac:dyDescent="0.3">
      <c r="N1625">
        <f t="shared" si="100"/>
        <v>1900</v>
      </c>
    </row>
    <row r="1626" spans="14:14" hidden="1" x14ac:dyDescent="0.3">
      <c r="N1626">
        <f t="shared" si="100"/>
        <v>1900</v>
      </c>
    </row>
    <row r="1627" spans="14:14" hidden="1" x14ac:dyDescent="0.3">
      <c r="N1627">
        <f t="shared" si="100"/>
        <v>1900</v>
      </c>
    </row>
    <row r="1628" spans="14:14" hidden="1" x14ac:dyDescent="0.3">
      <c r="N1628">
        <f t="shared" si="100"/>
        <v>1900</v>
      </c>
    </row>
    <row r="1629" spans="14:14" hidden="1" x14ac:dyDescent="0.3">
      <c r="N1629">
        <f t="shared" si="100"/>
        <v>1900</v>
      </c>
    </row>
    <row r="1630" spans="14:14" hidden="1" x14ac:dyDescent="0.3">
      <c r="N1630">
        <f t="shared" si="100"/>
        <v>1900</v>
      </c>
    </row>
    <row r="1631" spans="14:14" hidden="1" x14ac:dyDescent="0.3">
      <c r="N1631">
        <f t="shared" si="100"/>
        <v>1900</v>
      </c>
    </row>
    <row r="1632" spans="14:14" hidden="1" x14ac:dyDescent="0.3">
      <c r="N1632">
        <f t="shared" si="100"/>
        <v>1900</v>
      </c>
    </row>
    <row r="1633" spans="14:14" hidden="1" x14ac:dyDescent="0.3">
      <c r="N1633">
        <f t="shared" si="100"/>
        <v>1900</v>
      </c>
    </row>
    <row r="1634" spans="14:14" hidden="1" x14ac:dyDescent="0.3">
      <c r="N1634">
        <f t="shared" si="100"/>
        <v>1900</v>
      </c>
    </row>
    <row r="1635" spans="14:14" hidden="1" x14ac:dyDescent="0.3">
      <c r="N1635">
        <f t="shared" si="100"/>
        <v>1900</v>
      </c>
    </row>
    <row r="1636" spans="14:14" hidden="1" x14ac:dyDescent="0.3">
      <c r="N1636">
        <f t="shared" si="100"/>
        <v>1900</v>
      </c>
    </row>
    <row r="1637" spans="14:14" hidden="1" x14ac:dyDescent="0.3">
      <c r="N1637">
        <f t="shared" si="100"/>
        <v>1900</v>
      </c>
    </row>
    <row r="1638" spans="14:14" hidden="1" x14ac:dyDescent="0.3">
      <c r="N1638">
        <f t="shared" si="100"/>
        <v>1900</v>
      </c>
    </row>
    <row r="1639" spans="14:14" hidden="1" x14ac:dyDescent="0.3">
      <c r="N1639">
        <f t="shared" si="100"/>
        <v>1900</v>
      </c>
    </row>
    <row r="1640" spans="14:14" hidden="1" x14ac:dyDescent="0.3">
      <c r="N1640">
        <f t="shared" si="100"/>
        <v>1900</v>
      </c>
    </row>
    <row r="1641" spans="14:14" hidden="1" x14ac:dyDescent="0.3">
      <c r="N1641">
        <f t="shared" si="100"/>
        <v>1900</v>
      </c>
    </row>
    <row r="1642" spans="14:14" hidden="1" x14ac:dyDescent="0.3">
      <c r="N1642">
        <f t="shared" si="100"/>
        <v>1900</v>
      </c>
    </row>
    <row r="1643" spans="14:14" hidden="1" x14ac:dyDescent="0.3">
      <c r="N1643">
        <f t="shared" si="100"/>
        <v>1900</v>
      </c>
    </row>
    <row r="1644" spans="14:14" hidden="1" x14ac:dyDescent="0.3">
      <c r="N1644">
        <f t="shared" si="100"/>
        <v>1900</v>
      </c>
    </row>
    <row r="1645" spans="14:14" hidden="1" x14ac:dyDescent="0.3">
      <c r="N1645">
        <f t="shared" si="100"/>
        <v>1900</v>
      </c>
    </row>
    <row r="1646" spans="14:14" hidden="1" x14ac:dyDescent="0.3">
      <c r="N1646">
        <f t="shared" si="100"/>
        <v>1900</v>
      </c>
    </row>
    <row r="1647" spans="14:14" hidden="1" x14ac:dyDescent="0.3">
      <c r="N1647">
        <f t="shared" si="100"/>
        <v>1900</v>
      </c>
    </row>
    <row r="1648" spans="14:14" hidden="1" x14ac:dyDescent="0.3">
      <c r="N1648">
        <f t="shared" si="100"/>
        <v>1900</v>
      </c>
    </row>
    <row r="1649" spans="14:14" hidden="1" x14ac:dyDescent="0.3">
      <c r="N1649">
        <f t="shared" si="100"/>
        <v>1900</v>
      </c>
    </row>
    <row r="1650" spans="14:14" hidden="1" x14ac:dyDescent="0.3">
      <c r="N1650">
        <f t="shared" si="100"/>
        <v>1900</v>
      </c>
    </row>
    <row r="1651" spans="14:14" hidden="1" x14ac:dyDescent="0.3">
      <c r="N1651">
        <f t="shared" si="100"/>
        <v>1900</v>
      </c>
    </row>
    <row r="1652" spans="14:14" hidden="1" x14ac:dyDescent="0.3">
      <c r="N1652">
        <f t="shared" si="100"/>
        <v>1900</v>
      </c>
    </row>
    <row r="1653" spans="14:14" hidden="1" x14ac:dyDescent="0.3">
      <c r="N1653">
        <f t="shared" si="100"/>
        <v>1900</v>
      </c>
    </row>
    <row r="1654" spans="14:14" hidden="1" x14ac:dyDescent="0.3">
      <c r="N1654">
        <f t="shared" si="100"/>
        <v>1900</v>
      </c>
    </row>
    <row r="1655" spans="14:14" hidden="1" x14ac:dyDescent="0.3">
      <c r="N1655">
        <f t="shared" si="100"/>
        <v>1900</v>
      </c>
    </row>
    <row r="1656" spans="14:14" hidden="1" x14ac:dyDescent="0.3">
      <c r="N1656">
        <f t="shared" si="100"/>
        <v>1900</v>
      </c>
    </row>
    <row r="1657" spans="14:14" hidden="1" x14ac:dyDescent="0.3">
      <c r="N1657">
        <f t="shared" si="100"/>
        <v>1900</v>
      </c>
    </row>
    <row r="1658" spans="14:14" hidden="1" x14ac:dyDescent="0.3">
      <c r="N1658">
        <f t="shared" si="100"/>
        <v>1900</v>
      </c>
    </row>
    <row r="1659" spans="14:14" hidden="1" x14ac:dyDescent="0.3">
      <c r="N1659">
        <f t="shared" si="100"/>
        <v>1900</v>
      </c>
    </row>
    <row r="1660" spans="14:14" hidden="1" x14ac:dyDescent="0.3">
      <c r="N1660">
        <f t="shared" si="100"/>
        <v>1900</v>
      </c>
    </row>
    <row r="1661" spans="14:14" hidden="1" x14ac:dyDescent="0.3">
      <c r="N1661">
        <f t="shared" si="100"/>
        <v>1900</v>
      </c>
    </row>
    <row r="1662" spans="14:14" hidden="1" x14ac:dyDescent="0.3">
      <c r="N1662">
        <f t="shared" si="100"/>
        <v>1900</v>
      </c>
    </row>
    <row r="1663" spans="14:14" hidden="1" x14ac:dyDescent="0.3">
      <c r="N1663">
        <f t="shared" si="100"/>
        <v>1900</v>
      </c>
    </row>
    <row r="1664" spans="14:14" hidden="1" x14ac:dyDescent="0.3">
      <c r="N1664">
        <f t="shared" si="100"/>
        <v>1900</v>
      </c>
    </row>
    <row r="1665" spans="14:14" hidden="1" x14ac:dyDescent="0.3">
      <c r="N1665">
        <f t="shared" si="100"/>
        <v>1900</v>
      </c>
    </row>
    <row r="1666" spans="14:14" hidden="1" x14ac:dyDescent="0.3">
      <c r="N1666">
        <f t="shared" si="100"/>
        <v>1900</v>
      </c>
    </row>
    <row r="1667" spans="14:14" hidden="1" x14ac:dyDescent="0.3">
      <c r="N1667">
        <f t="shared" ref="N1667:N1730" si="101">YEAR(B1667)</f>
        <v>1900</v>
      </c>
    </row>
    <row r="1668" spans="14:14" hidden="1" x14ac:dyDescent="0.3">
      <c r="N1668">
        <f t="shared" si="101"/>
        <v>1900</v>
      </c>
    </row>
    <row r="1669" spans="14:14" hidden="1" x14ac:dyDescent="0.3">
      <c r="N1669">
        <f t="shared" si="101"/>
        <v>1900</v>
      </c>
    </row>
    <row r="1670" spans="14:14" hidden="1" x14ac:dyDescent="0.3">
      <c r="N1670">
        <f t="shared" si="101"/>
        <v>1900</v>
      </c>
    </row>
    <row r="1671" spans="14:14" hidden="1" x14ac:dyDescent="0.3">
      <c r="N1671">
        <f t="shared" si="101"/>
        <v>1900</v>
      </c>
    </row>
    <row r="1672" spans="14:14" hidden="1" x14ac:dyDescent="0.3">
      <c r="N1672">
        <f t="shared" si="101"/>
        <v>1900</v>
      </c>
    </row>
    <row r="1673" spans="14:14" hidden="1" x14ac:dyDescent="0.3">
      <c r="N1673">
        <f t="shared" si="101"/>
        <v>1900</v>
      </c>
    </row>
    <row r="1674" spans="14:14" hidden="1" x14ac:dyDescent="0.3">
      <c r="N1674">
        <f t="shared" si="101"/>
        <v>1900</v>
      </c>
    </row>
    <row r="1675" spans="14:14" hidden="1" x14ac:dyDescent="0.3">
      <c r="N1675">
        <f t="shared" si="101"/>
        <v>1900</v>
      </c>
    </row>
    <row r="1676" spans="14:14" hidden="1" x14ac:dyDescent="0.3">
      <c r="N1676">
        <f t="shared" si="101"/>
        <v>1900</v>
      </c>
    </row>
    <row r="1677" spans="14:14" hidden="1" x14ac:dyDescent="0.3">
      <c r="N1677">
        <f t="shared" si="101"/>
        <v>1900</v>
      </c>
    </row>
    <row r="1678" spans="14:14" hidden="1" x14ac:dyDescent="0.3">
      <c r="N1678">
        <f t="shared" si="101"/>
        <v>1900</v>
      </c>
    </row>
    <row r="1679" spans="14:14" hidden="1" x14ac:dyDescent="0.3">
      <c r="N1679">
        <f t="shared" si="101"/>
        <v>1900</v>
      </c>
    </row>
    <row r="1680" spans="14:14" hidden="1" x14ac:dyDescent="0.3">
      <c r="N1680">
        <f t="shared" si="101"/>
        <v>1900</v>
      </c>
    </row>
    <row r="1681" spans="14:14" hidden="1" x14ac:dyDescent="0.3">
      <c r="N1681">
        <f t="shared" si="101"/>
        <v>1900</v>
      </c>
    </row>
    <row r="1682" spans="14:14" hidden="1" x14ac:dyDescent="0.3">
      <c r="N1682">
        <f t="shared" si="101"/>
        <v>1900</v>
      </c>
    </row>
    <row r="1683" spans="14:14" hidden="1" x14ac:dyDescent="0.3">
      <c r="N1683">
        <f t="shared" si="101"/>
        <v>1900</v>
      </c>
    </row>
    <row r="1684" spans="14:14" hidden="1" x14ac:dyDescent="0.3">
      <c r="N1684">
        <f t="shared" si="101"/>
        <v>1900</v>
      </c>
    </row>
    <row r="1685" spans="14:14" hidden="1" x14ac:dyDescent="0.3">
      <c r="N1685">
        <f t="shared" si="101"/>
        <v>1900</v>
      </c>
    </row>
    <row r="1686" spans="14:14" hidden="1" x14ac:dyDescent="0.3">
      <c r="N1686">
        <f t="shared" si="101"/>
        <v>1900</v>
      </c>
    </row>
    <row r="1687" spans="14:14" hidden="1" x14ac:dyDescent="0.3">
      <c r="N1687">
        <f t="shared" si="101"/>
        <v>1900</v>
      </c>
    </row>
    <row r="1688" spans="14:14" hidden="1" x14ac:dyDescent="0.3">
      <c r="N1688">
        <f t="shared" si="101"/>
        <v>1900</v>
      </c>
    </row>
    <row r="1689" spans="14:14" hidden="1" x14ac:dyDescent="0.3">
      <c r="N1689">
        <f t="shared" si="101"/>
        <v>1900</v>
      </c>
    </row>
    <row r="1690" spans="14:14" hidden="1" x14ac:dyDescent="0.3">
      <c r="N1690">
        <f t="shared" si="101"/>
        <v>1900</v>
      </c>
    </row>
    <row r="1691" spans="14:14" hidden="1" x14ac:dyDescent="0.3">
      <c r="N1691">
        <f t="shared" si="101"/>
        <v>1900</v>
      </c>
    </row>
    <row r="1692" spans="14:14" hidden="1" x14ac:dyDescent="0.3">
      <c r="N1692">
        <f t="shared" si="101"/>
        <v>1900</v>
      </c>
    </row>
    <row r="1693" spans="14:14" hidden="1" x14ac:dyDescent="0.3">
      <c r="N1693">
        <f t="shared" si="101"/>
        <v>1900</v>
      </c>
    </row>
    <row r="1694" spans="14:14" hidden="1" x14ac:dyDescent="0.3">
      <c r="N1694">
        <f t="shared" si="101"/>
        <v>1900</v>
      </c>
    </row>
    <row r="1695" spans="14:14" hidden="1" x14ac:dyDescent="0.3">
      <c r="N1695">
        <f t="shared" si="101"/>
        <v>1900</v>
      </c>
    </row>
    <row r="1696" spans="14:14" hidden="1" x14ac:dyDescent="0.3">
      <c r="N1696">
        <f t="shared" si="101"/>
        <v>1900</v>
      </c>
    </row>
    <row r="1697" spans="14:14" hidden="1" x14ac:dyDescent="0.3">
      <c r="N1697">
        <f t="shared" si="101"/>
        <v>1900</v>
      </c>
    </row>
    <row r="1698" spans="14:14" hidden="1" x14ac:dyDescent="0.3">
      <c r="N1698">
        <f t="shared" si="101"/>
        <v>1900</v>
      </c>
    </row>
    <row r="1699" spans="14:14" hidden="1" x14ac:dyDescent="0.3">
      <c r="N1699">
        <f t="shared" si="101"/>
        <v>1900</v>
      </c>
    </row>
    <row r="1700" spans="14:14" hidden="1" x14ac:dyDescent="0.3">
      <c r="N1700">
        <f t="shared" si="101"/>
        <v>1900</v>
      </c>
    </row>
    <row r="1701" spans="14:14" hidden="1" x14ac:dyDescent="0.3">
      <c r="N1701">
        <f t="shared" si="101"/>
        <v>1900</v>
      </c>
    </row>
    <row r="1702" spans="14:14" hidden="1" x14ac:dyDescent="0.3">
      <c r="N1702">
        <f t="shared" si="101"/>
        <v>1900</v>
      </c>
    </row>
    <row r="1703" spans="14:14" hidden="1" x14ac:dyDescent="0.3">
      <c r="N1703">
        <f t="shared" si="101"/>
        <v>1900</v>
      </c>
    </row>
    <row r="1704" spans="14:14" hidden="1" x14ac:dyDescent="0.3">
      <c r="N1704">
        <f t="shared" si="101"/>
        <v>1900</v>
      </c>
    </row>
    <row r="1705" spans="14:14" hidden="1" x14ac:dyDescent="0.3">
      <c r="N1705">
        <f t="shared" si="101"/>
        <v>1900</v>
      </c>
    </row>
    <row r="1706" spans="14:14" hidden="1" x14ac:dyDescent="0.3">
      <c r="N1706">
        <f t="shared" si="101"/>
        <v>1900</v>
      </c>
    </row>
    <row r="1707" spans="14:14" hidden="1" x14ac:dyDescent="0.3">
      <c r="N1707">
        <f t="shared" si="101"/>
        <v>1900</v>
      </c>
    </row>
    <row r="1708" spans="14:14" hidden="1" x14ac:dyDescent="0.3">
      <c r="N1708">
        <f t="shared" si="101"/>
        <v>1900</v>
      </c>
    </row>
    <row r="1709" spans="14:14" hidden="1" x14ac:dyDescent="0.3">
      <c r="N1709">
        <f t="shared" si="101"/>
        <v>1900</v>
      </c>
    </row>
    <row r="1710" spans="14:14" hidden="1" x14ac:dyDescent="0.3">
      <c r="N1710">
        <f t="shared" si="101"/>
        <v>1900</v>
      </c>
    </row>
    <row r="1711" spans="14:14" hidden="1" x14ac:dyDescent="0.3">
      <c r="N1711">
        <f t="shared" si="101"/>
        <v>1900</v>
      </c>
    </row>
    <row r="1712" spans="14:14" hidden="1" x14ac:dyDescent="0.3">
      <c r="N1712">
        <f t="shared" si="101"/>
        <v>1900</v>
      </c>
    </row>
    <row r="1713" spans="14:14" hidden="1" x14ac:dyDescent="0.3">
      <c r="N1713">
        <f t="shared" si="101"/>
        <v>1900</v>
      </c>
    </row>
    <row r="1714" spans="14:14" hidden="1" x14ac:dyDescent="0.3">
      <c r="N1714">
        <f t="shared" si="101"/>
        <v>1900</v>
      </c>
    </row>
    <row r="1715" spans="14:14" hidden="1" x14ac:dyDescent="0.3">
      <c r="N1715">
        <f t="shared" si="101"/>
        <v>1900</v>
      </c>
    </row>
    <row r="1716" spans="14:14" hidden="1" x14ac:dyDescent="0.3">
      <c r="N1716">
        <f t="shared" si="101"/>
        <v>1900</v>
      </c>
    </row>
    <row r="1717" spans="14:14" hidden="1" x14ac:dyDescent="0.3">
      <c r="N1717">
        <f t="shared" si="101"/>
        <v>1900</v>
      </c>
    </row>
    <row r="1718" spans="14:14" hidden="1" x14ac:dyDescent="0.3">
      <c r="N1718">
        <f t="shared" si="101"/>
        <v>1900</v>
      </c>
    </row>
    <row r="1719" spans="14:14" hidden="1" x14ac:dyDescent="0.3">
      <c r="N1719">
        <f t="shared" si="101"/>
        <v>1900</v>
      </c>
    </row>
    <row r="1720" spans="14:14" hidden="1" x14ac:dyDescent="0.3">
      <c r="N1720">
        <f t="shared" si="101"/>
        <v>1900</v>
      </c>
    </row>
    <row r="1721" spans="14:14" hidden="1" x14ac:dyDescent="0.3">
      <c r="N1721">
        <f t="shared" si="101"/>
        <v>1900</v>
      </c>
    </row>
    <row r="1722" spans="14:14" hidden="1" x14ac:dyDescent="0.3">
      <c r="N1722">
        <f t="shared" si="101"/>
        <v>1900</v>
      </c>
    </row>
    <row r="1723" spans="14:14" hidden="1" x14ac:dyDescent="0.3">
      <c r="N1723">
        <f t="shared" si="101"/>
        <v>1900</v>
      </c>
    </row>
    <row r="1724" spans="14:14" hidden="1" x14ac:dyDescent="0.3">
      <c r="N1724">
        <f t="shared" si="101"/>
        <v>1900</v>
      </c>
    </row>
    <row r="1725" spans="14:14" hidden="1" x14ac:dyDescent="0.3">
      <c r="N1725">
        <f t="shared" si="101"/>
        <v>1900</v>
      </c>
    </row>
    <row r="1726" spans="14:14" hidden="1" x14ac:dyDescent="0.3">
      <c r="N1726">
        <f t="shared" si="101"/>
        <v>1900</v>
      </c>
    </row>
    <row r="1727" spans="14:14" hidden="1" x14ac:dyDescent="0.3">
      <c r="N1727">
        <f t="shared" si="101"/>
        <v>1900</v>
      </c>
    </row>
    <row r="1728" spans="14:14" hidden="1" x14ac:dyDescent="0.3">
      <c r="N1728">
        <f t="shared" si="101"/>
        <v>1900</v>
      </c>
    </row>
    <row r="1729" spans="14:14" hidden="1" x14ac:dyDescent="0.3">
      <c r="N1729">
        <f t="shared" si="101"/>
        <v>1900</v>
      </c>
    </row>
    <row r="1730" spans="14:14" hidden="1" x14ac:dyDescent="0.3">
      <c r="N1730">
        <f t="shared" si="101"/>
        <v>1900</v>
      </c>
    </row>
    <row r="1731" spans="14:14" hidden="1" x14ac:dyDescent="0.3">
      <c r="N1731">
        <f t="shared" ref="N1731:N1794" si="102">YEAR(B1731)</f>
        <v>1900</v>
      </c>
    </row>
    <row r="1732" spans="14:14" hidden="1" x14ac:dyDescent="0.3">
      <c r="N1732">
        <f t="shared" si="102"/>
        <v>1900</v>
      </c>
    </row>
    <row r="1733" spans="14:14" hidden="1" x14ac:dyDescent="0.3">
      <c r="N1733">
        <f t="shared" si="102"/>
        <v>1900</v>
      </c>
    </row>
    <row r="1734" spans="14:14" hidden="1" x14ac:dyDescent="0.3">
      <c r="N1734">
        <f t="shared" si="102"/>
        <v>1900</v>
      </c>
    </row>
    <row r="1735" spans="14:14" hidden="1" x14ac:dyDescent="0.3">
      <c r="N1735">
        <f t="shared" si="102"/>
        <v>1900</v>
      </c>
    </row>
    <row r="1736" spans="14:14" hidden="1" x14ac:dyDescent="0.3">
      <c r="N1736">
        <f t="shared" si="102"/>
        <v>1900</v>
      </c>
    </row>
    <row r="1737" spans="14:14" hidden="1" x14ac:dyDescent="0.3">
      <c r="N1737">
        <f t="shared" si="102"/>
        <v>1900</v>
      </c>
    </row>
    <row r="1738" spans="14:14" hidden="1" x14ac:dyDescent="0.3">
      <c r="N1738">
        <f t="shared" si="102"/>
        <v>1900</v>
      </c>
    </row>
    <row r="1739" spans="14:14" hidden="1" x14ac:dyDescent="0.3">
      <c r="N1739">
        <f t="shared" si="102"/>
        <v>1900</v>
      </c>
    </row>
    <row r="1740" spans="14:14" hidden="1" x14ac:dyDescent="0.3">
      <c r="N1740">
        <f t="shared" si="102"/>
        <v>1900</v>
      </c>
    </row>
    <row r="1741" spans="14:14" hidden="1" x14ac:dyDescent="0.3">
      <c r="N1741">
        <f t="shared" si="102"/>
        <v>1900</v>
      </c>
    </row>
    <row r="1742" spans="14:14" hidden="1" x14ac:dyDescent="0.3">
      <c r="N1742">
        <f t="shared" si="102"/>
        <v>1900</v>
      </c>
    </row>
    <row r="1743" spans="14:14" hidden="1" x14ac:dyDescent="0.3">
      <c r="N1743">
        <f t="shared" si="102"/>
        <v>1900</v>
      </c>
    </row>
    <row r="1744" spans="14:14" hidden="1" x14ac:dyDescent="0.3">
      <c r="N1744">
        <f t="shared" si="102"/>
        <v>1900</v>
      </c>
    </row>
    <row r="1745" spans="14:14" hidden="1" x14ac:dyDescent="0.3">
      <c r="N1745">
        <f t="shared" si="102"/>
        <v>1900</v>
      </c>
    </row>
    <row r="1746" spans="14:14" hidden="1" x14ac:dyDescent="0.3">
      <c r="N1746">
        <f t="shared" si="102"/>
        <v>1900</v>
      </c>
    </row>
    <row r="1747" spans="14:14" hidden="1" x14ac:dyDescent="0.3">
      <c r="N1747">
        <f t="shared" si="102"/>
        <v>1900</v>
      </c>
    </row>
    <row r="1748" spans="14:14" hidden="1" x14ac:dyDescent="0.3">
      <c r="N1748">
        <f t="shared" si="102"/>
        <v>1900</v>
      </c>
    </row>
    <row r="1749" spans="14:14" hidden="1" x14ac:dyDescent="0.3">
      <c r="N1749">
        <f t="shared" si="102"/>
        <v>1900</v>
      </c>
    </row>
    <row r="1750" spans="14:14" hidden="1" x14ac:dyDescent="0.3">
      <c r="N1750">
        <f t="shared" si="102"/>
        <v>1900</v>
      </c>
    </row>
    <row r="1751" spans="14:14" hidden="1" x14ac:dyDescent="0.3">
      <c r="N1751">
        <f t="shared" si="102"/>
        <v>1900</v>
      </c>
    </row>
    <row r="1752" spans="14:14" hidden="1" x14ac:dyDescent="0.3">
      <c r="N1752">
        <f t="shared" si="102"/>
        <v>1900</v>
      </c>
    </row>
    <row r="1753" spans="14:14" hidden="1" x14ac:dyDescent="0.3">
      <c r="N1753">
        <f t="shared" si="102"/>
        <v>1900</v>
      </c>
    </row>
    <row r="1754" spans="14:14" hidden="1" x14ac:dyDescent="0.3">
      <c r="N1754">
        <f t="shared" si="102"/>
        <v>1900</v>
      </c>
    </row>
    <row r="1755" spans="14:14" hidden="1" x14ac:dyDescent="0.3">
      <c r="N1755">
        <f t="shared" si="102"/>
        <v>1900</v>
      </c>
    </row>
    <row r="1756" spans="14:14" hidden="1" x14ac:dyDescent="0.3">
      <c r="N1756">
        <f t="shared" si="102"/>
        <v>1900</v>
      </c>
    </row>
    <row r="1757" spans="14:14" hidden="1" x14ac:dyDescent="0.3">
      <c r="N1757">
        <f t="shared" si="102"/>
        <v>1900</v>
      </c>
    </row>
    <row r="1758" spans="14:14" hidden="1" x14ac:dyDescent="0.3">
      <c r="N1758">
        <f t="shared" si="102"/>
        <v>1900</v>
      </c>
    </row>
    <row r="1759" spans="14:14" hidden="1" x14ac:dyDescent="0.3">
      <c r="N1759">
        <f t="shared" si="102"/>
        <v>1900</v>
      </c>
    </row>
    <row r="1760" spans="14:14" hidden="1" x14ac:dyDescent="0.3">
      <c r="N1760">
        <f t="shared" si="102"/>
        <v>1900</v>
      </c>
    </row>
    <row r="1761" spans="14:14" hidden="1" x14ac:dyDescent="0.3">
      <c r="N1761">
        <f t="shared" si="102"/>
        <v>1900</v>
      </c>
    </row>
    <row r="1762" spans="14:14" hidden="1" x14ac:dyDescent="0.3">
      <c r="N1762">
        <f t="shared" si="102"/>
        <v>1900</v>
      </c>
    </row>
    <row r="1763" spans="14:14" hidden="1" x14ac:dyDescent="0.3">
      <c r="N1763">
        <f t="shared" si="102"/>
        <v>1900</v>
      </c>
    </row>
    <row r="1764" spans="14:14" hidden="1" x14ac:dyDescent="0.3">
      <c r="N1764">
        <f t="shared" si="102"/>
        <v>1900</v>
      </c>
    </row>
    <row r="1765" spans="14:14" hidden="1" x14ac:dyDescent="0.3">
      <c r="N1765">
        <f t="shared" si="102"/>
        <v>1900</v>
      </c>
    </row>
    <row r="1766" spans="14:14" hidden="1" x14ac:dyDescent="0.3">
      <c r="N1766">
        <f t="shared" si="102"/>
        <v>1900</v>
      </c>
    </row>
    <row r="1767" spans="14:14" hidden="1" x14ac:dyDescent="0.3">
      <c r="N1767">
        <f t="shared" si="102"/>
        <v>1900</v>
      </c>
    </row>
    <row r="1768" spans="14:14" hidden="1" x14ac:dyDescent="0.3">
      <c r="N1768">
        <f t="shared" si="102"/>
        <v>1900</v>
      </c>
    </row>
    <row r="1769" spans="14:14" hidden="1" x14ac:dyDescent="0.3">
      <c r="N1769">
        <f t="shared" si="102"/>
        <v>1900</v>
      </c>
    </row>
    <row r="1770" spans="14:14" hidden="1" x14ac:dyDescent="0.3">
      <c r="N1770">
        <f t="shared" si="102"/>
        <v>1900</v>
      </c>
    </row>
    <row r="1771" spans="14:14" hidden="1" x14ac:dyDescent="0.3">
      <c r="N1771">
        <f t="shared" si="102"/>
        <v>1900</v>
      </c>
    </row>
    <row r="1772" spans="14:14" hidden="1" x14ac:dyDescent="0.3">
      <c r="N1772">
        <f t="shared" si="102"/>
        <v>1900</v>
      </c>
    </row>
    <row r="1773" spans="14:14" hidden="1" x14ac:dyDescent="0.3">
      <c r="N1773">
        <f t="shared" si="102"/>
        <v>1900</v>
      </c>
    </row>
    <row r="1774" spans="14:14" hidden="1" x14ac:dyDescent="0.3">
      <c r="N1774">
        <f t="shared" si="102"/>
        <v>1900</v>
      </c>
    </row>
    <row r="1775" spans="14:14" hidden="1" x14ac:dyDescent="0.3">
      <c r="N1775">
        <f t="shared" si="102"/>
        <v>1900</v>
      </c>
    </row>
    <row r="1776" spans="14:14" hidden="1" x14ac:dyDescent="0.3">
      <c r="N1776">
        <f t="shared" si="102"/>
        <v>1900</v>
      </c>
    </row>
    <row r="1777" spans="14:14" hidden="1" x14ac:dyDescent="0.3">
      <c r="N1777">
        <f t="shared" si="102"/>
        <v>1900</v>
      </c>
    </row>
    <row r="1778" spans="14:14" hidden="1" x14ac:dyDescent="0.3">
      <c r="N1778">
        <f t="shared" si="102"/>
        <v>1900</v>
      </c>
    </row>
    <row r="1779" spans="14:14" hidden="1" x14ac:dyDescent="0.3">
      <c r="N1779">
        <f t="shared" si="102"/>
        <v>1900</v>
      </c>
    </row>
    <row r="1780" spans="14:14" hidden="1" x14ac:dyDescent="0.3">
      <c r="N1780">
        <f t="shared" si="102"/>
        <v>1900</v>
      </c>
    </row>
    <row r="1781" spans="14:14" hidden="1" x14ac:dyDescent="0.3">
      <c r="N1781">
        <f t="shared" si="102"/>
        <v>1900</v>
      </c>
    </row>
    <row r="1782" spans="14:14" hidden="1" x14ac:dyDescent="0.3">
      <c r="N1782">
        <f t="shared" si="102"/>
        <v>1900</v>
      </c>
    </row>
    <row r="1783" spans="14:14" hidden="1" x14ac:dyDescent="0.3">
      <c r="N1783">
        <f t="shared" si="102"/>
        <v>1900</v>
      </c>
    </row>
    <row r="1784" spans="14:14" hidden="1" x14ac:dyDescent="0.3">
      <c r="N1784">
        <f t="shared" si="102"/>
        <v>1900</v>
      </c>
    </row>
    <row r="1785" spans="14:14" hidden="1" x14ac:dyDescent="0.3">
      <c r="N1785">
        <f t="shared" si="102"/>
        <v>1900</v>
      </c>
    </row>
    <row r="1786" spans="14:14" hidden="1" x14ac:dyDescent="0.3">
      <c r="N1786">
        <f t="shared" si="102"/>
        <v>1900</v>
      </c>
    </row>
    <row r="1787" spans="14:14" hidden="1" x14ac:dyDescent="0.3">
      <c r="N1787">
        <f t="shared" si="102"/>
        <v>1900</v>
      </c>
    </row>
    <row r="1788" spans="14:14" hidden="1" x14ac:dyDescent="0.3">
      <c r="N1788">
        <f t="shared" si="102"/>
        <v>1900</v>
      </c>
    </row>
    <row r="1789" spans="14:14" hidden="1" x14ac:dyDescent="0.3">
      <c r="N1789">
        <f t="shared" si="102"/>
        <v>1900</v>
      </c>
    </row>
    <row r="1790" spans="14:14" hidden="1" x14ac:dyDescent="0.3">
      <c r="N1790">
        <f t="shared" si="102"/>
        <v>1900</v>
      </c>
    </row>
    <row r="1791" spans="14:14" hidden="1" x14ac:dyDescent="0.3">
      <c r="N1791">
        <f t="shared" si="102"/>
        <v>1900</v>
      </c>
    </row>
    <row r="1792" spans="14:14" hidden="1" x14ac:dyDescent="0.3">
      <c r="N1792">
        <f t="shared" si="102"/>
        <v>1900</v>
      </c>
    </row>
    <row r="1793" spans="14:14" hidden="1" x14ac:dyDescent="0.3">
      <c r="N1793">
        <f t="shared" si="102"/>
        <v>1900</v>
      </c>
    </row>
    <row r="1794" spans="14:14" hidden="1" x14ac:dyDescent="0.3">
      <c r="N1794">
        <f t="shared" si="102"/>
        <v>1900</v>
      </c>
    </row>
    <row r="1795" spans="14:14" hidden="1" x14ac:dyDescent="0.3">
      <c r="N1795">
        <f t="shared" ref="N1795:N1858" si="103">YEAR(B1795)</f>
        <v>1900</v>
      </c>
    </row>
    <row r="1796" spans="14:14" hidden="1" x14ac:dyDescent="0.3">
      <c r="N1796">
        <f t="shared" si="103"/>
        <v>1900</v>
      </c>
    </row>
    <row r="1797" spans="14:14" hidden="1" x14ac:dyDescent="0.3">
      <c r="N1797">
        <f t="shared" si="103"/>
        <v>1900</v>
      </c>
    </row>
    <row r="1798" spans="14:14" hidden="1" x14ac:dyDescent="0.3">
      <c r="N1798">
        <f t="shared" si="103"/>
        <v>1900</v>
      </c>
    </row>
    <row r="1799" spans="14:14" hidden="1" x14ac:dyDescent="0.3">
      <c r="N1799">
        <f t="shared" si="103"/>
        <v>1900</v>
      </c>
    </row>
    <row r="1800" spans="14:14" hidden="1" x14ac:dyDescent="0.3">
      <c r="N1800">
        <f t="shared" si="103"/>
        <v>1900</v>
      </c>
    </row>
    <row r="1801" spans="14:14" hidden="1" x14ac:dyDescent="0.3">
      <c r="N1801">
        <f t="shared" si="103"/>
        <v>1900</v>
      </c>
    </row>
    <row r="1802" spans="14:14" hidden="1" x14ac:dyDescent="0.3">
      <c r="N1802">
        <f t="shared" si="103"/>
        <v>1900</v>
      </c>
    </row>
    <row r="1803" spans="14:14" hidden="1" x14ac:dyDescent="0.3">
      <c r="N1803">
        <f t="shared" si="103"/>
        <v>1900</v>
      </c>
    </row>
    <row r="1804" spans="14:14" hidden="1" x14ac:dyDescent="0.3">
      <c r="N1804">
        <f t="shared" si="103"/>
        <v>1900</v>
      </c>
    </row>
    <row r="1805" spans="14:14" hidden="1" x14ac:dyDescent="0.3">
      <c r="N1805">
        <f t="shared" si="103"/>
        <v>1900</v>
      </c>
    </row>
    <row r="1806" spans="14:14" hidden="1" x14ac:dyDescent="0.3">
      <c r="N1806">
        <f t="shared" si="103"/>
        <v>1900</v>
      </c>
    </row>
    <row r="1807" spans="14:14" hidden="1" x14ac:dyDescent="0.3">
      <c r="N1807">
        <f t="shared" si="103"/>
        <v>1900</v>
      </c>
    </row>
    <row r="1808" spans="14:14" hidden="1" x14ac:dyDescent="0.3">
      <c r="N1808">
        <f t="shared" si="103"/>
        <v>1900</v>
      </c>
    </row>
    <row r="1809" spans="14:14" hidden="1" x14ac:dyDescent="0.3">
      <c r="N1809">
        <f t="shared" si="103"/>
        <v>1900</v>
      </c>
    </row>
    <row r="1810" spans="14:14" hidden="1" x14ac:dyDescent="0.3">
      <c r="N1810">
        <f t="shared" si="103"/>
        <v>1900</v>
      </c>
    </row>
    <row r="1811" spans="14:14" hidden="1" x14ac:dyDescent="0.3">
      <c r="N1811">
        <f t="shared" si="103"/>
        <v>1900</v>
      </c>
    </row>
    <row r="1812" spans="14:14" hidden="1" x14ac:dyDescent="0.3">
      <c r="N1812">
        <f t="shared" si="103"/>
        <v>1900</v>
      </c>
    </row>
    <row r="1813" spans="14:14" hidden="1" x14ac:dyDescent="0.3">
      <c r="N1813">
        <f t="shared" si="103"/>
        <v>1900</v>
      </c>
    </row>
    <row r="1814" spans="14:14" hidden="1" x14ac:dyDescent="0.3">
      <c r="N1814">
        <f t="shared" si="103"/>
        <v>1900</v>
      </c>
    </row>
    <row r="1815" spans="14:14" hidden="1" x14ac:dyDescent="0.3">
      <c r="N1815">
        <f t="shared" si="103"/>
        <v>1900</v>
      </c>
    </row>
    <row r="1816" spans="14:14" hidden="1" x14ac:dyDescent="0.3">
      <c r="N1816">
        <f t="shared" si="103"/>
        <v>1900</v>
      </c>
    </row>
    <row r="1817" spans="14:14" hidden="1" x14ac:dyDescent="0.3">
      <c r="N1817">
        <f t="shared" si="103"/>
        <v>1900</v>
      </c>
    </row>
    <row r="1818" spans="14:14" hidden="1" x14ac:dyDescent="0.3">
      <c r="N1818">
        <f t="shared" si="103"/>
        <v>1900</v>
      </c>
    </row>
    <row r="1819" spans="14:14" hidden="1" x14ac:dyDescent="0.3">
      <c r="N1819">
        <f t="shared" si="103"/>
        <v>1900</v>
      </c>
    </row>
    <row r="1820" spans="14:14" hidden="1" x14ac:dyDescent="0.3">
      <c r="N1820">
        <f t="shared" si="103"/>
        <v>1900</v>
      </c>
    </row>
    <row r="1821" spans="14:14" hidden="1" x14ac:dyDescent="0.3">
      <c r="N1821">
        <f t="shared" si="103"/>
        <v>1900</v>
      </c>
    </row>
    <row r="1822" spans="14:14" hidden="1" x14ac:dyDescent="0.3">
      <c r="N1822">
        <f t="shared" si="103"/>
        <v>1900</v>
      </c>
    </row>
    <row r="1823" spans="14:14" hidden="1" x14ac:dyDescent="0.3">
      <c r="N1823">
        <f t="shared" si="103"/>
        <v>1900</v>
      </c>
    </row>
    <row r="1824" spans="14:14" hidden="1" x14ac:dyDescent="0.3">
      <c r="N1824">
        <f t="shared" si="103"/>
        <v>1900</v>
      </c>
    </row>
    <row r="1825" spans="14:14" hidden="1" x14ac:dyDescent="0.3">
      <c r="N1825">
        <f t="shared" si="103"/>
        <v>1900</v>
      </c>
    </row>
    <row r="1826" spans="14:14" hidden="1" x14ac:dyDescent="0.3">
      <c r="N1826">
        <f t="shared" si="103"/>
        <v>1900</v>
      </c>
    </row>
    <row r="1827" spans="14:14" hidden="1" x14ac:dyDescent="0.3">
      <c r="N1827">
        <f t="shared" si="103"/>
        <v>1900</v>
      </c>
    </row>
    <row r="1828" spans="14:14" hidden="1" x14ac:dyDescent="0.3">
      <c r="N1828">
        <f t="shared" si="103"/>
        <v>1900</v>
      </c>
    </row>
    <row r="1829" spans="14:14" hidden="1" x14ac:dyDescent="0.3">
      <c r="N1829">
        <f t="shared" si="103"/>
        <v>1900</v>
      </c>
    </row>
    <row r="1830" spans="14:14" hidden="1" x14ac:dyDescent="0.3">
      <c r="N1830">
        <f t="shared" si="103"/>
        <v>1900</v>
      </c>
    </row>
    <row r="1831" spans="14:14" hidden="1" x14ac:dyDescent="0.3">
      <c r="N1831">
        <f t="shared" si="103"/>
        <v>1900</v>
      </c>
    </row>
    <row r="1832" spans="14:14" hidden="1" x14ac:dyDescent="0.3">
      <c r="N1832">
        <f t="shared" si="103"/>
        <v>1900</v>
      </c>
    </row>
    <row r="1833" spans="14:14" hidden="1" x14ac:dyDescent="0.3">
      <c r="N1833">
        <f t="shared" si="103"/>
        <v>1900</v>
      </c>
    </row>
    <row r="1834" spans="14:14" hidden="1" x14ac:dyDescent="0.3">
      <c r="N1834">
        <f t="shared" si="103"/>
        <v>1900</v>
      </c>
    </row>
    <row r="1835" spans="14:14" hidden="1" x14ac:dyDescent="0.3">
      <c r="N1835">
        <f t="shared" si="103"/>
        <v>1900</v>
      </c>
    </row>
    <row r="1836" spans="14:14" hidden="1" x14ac:dyDescent="0.3">
      <c r="N1836">
        <f t="shared" si="103"/>
        <v>1900</v>
      </c>
    </row>
    <row r="1837" spans="14:14" hidden="1" x14ac:dyDescent="0.3">
      <c r="N1837">
        <f t="shared" si="103"/>
        <v>1900</v>
      </c>
    </row>
    <row r="1838" spans="14:14" hidden="1" x14ac:dyDescent="0.3">
      <c r="N1838">
        <f t="shared" si="103"/>
        <v>1900</v>
      </c>
    </row>
    <row r="1839" spans="14:14" hidden="1" x14ac:dyDescent="0.3">
      <c r="N1839">
        <f t="shared" si="103"/>
        <v>1900</v>
      </c>
    </row>
    <row r="1840" spans="14:14" hidden="1" x14ac:dyDescent="0.3">
      <c r="N1840">
        <f t="shared" si="103"/>
        <v>1900</v>
      </c>
    </row>
    <row r="1841" spans="14:14" hidden="1" x14ac:dyDescent="0.3">
      <c r="N1841">
        <f t="shared" si="103"/>
        <v>1900</v>
      </c>
    </row>
    <row r="1842" spans="14:14" hidden="1" x14ac:dyDescent="0.3">
      <c r="N1842">
        <f t="shared" si="103"/>
        <v>1900</v>
      </c>
    </row>
    <row r="1843" spans="14:14" hidden="1" x14ac:dyDescent="0.3">
      <c r="N1843">
        <f t="shared" si="103"/>
        <v>1900</v>
      </c>
    </row>
    <row r="1844" spans="14:14" hidden="1" x14ac:dyDescent="0.3">
      <c r="N1844">
        <f t="shared" si="103"/>
        <v>1900</v>
      </c>
    </row>
    <row r="1845" spans="14:14" hidden="1" x14ac:dyDescent="0.3">
      <c r="N1845">
        <f t="shared" si="103"/>
        <v>1900</v>
      </c>
    </row>
    <row r="1846" spans="14:14" hidden="1" x14ac:dyDescent="0.3">
      <c r="N1846">
        <f t="shared" si="103"/>
        <v>1900</v>
      </c>
    </row>
    <row r="1847" spans="14:14" hidden="1" x14ac:dyDescent="0.3">
      <c r="N1847">
        <f t="shared" si="103"/>
        <v>1900</v>
      </c>
    </row>
    <row r="1848" spans="14:14" hidden="1" x14ac:dyDescent="0.3">
      <c r="N1848">
        <f t="shared" si="103"/>
        <v>1900</v>
      </c>
    </row>
    <row r="1849" spans="14:14" hidden="1" x14ac:dyDescent="0.3">
      <c r="N1849">
        <f t="shared" si="103"/>
        <v>1900</v>
      </c>
    </row>
    <row r="1850" spans="14:14" hidden="1" x14ac:dyDescent="0.3">
      <c r="N1850">
        <f t="shared" si="103"/>
        <v>1900</v>
      </c>
    </row>
    <row r="1851" spans="14:14" hidden="1" x14ac:dyDescent="0.3">
      <c r="N1851">
        <f t="shared" si="103"/>
        <v>1900</v>
      </c>
    </row>
    <row r="1852" spans="14:14" hidden="1" x14ac:dyDescent="0.3">
      <c r="N1852">
        <f t="shared" si="103"/>
        <v>1900</v>
      </c>
    </row>
    <row r="1853" spans="14:14" hidden="1" x14ac:dyDescent="0.3">
      <c r="N1853">
        <f t="shared" si="103"/>
        <v>1900</v>
      </c>
    </row>
    <row r="1854" spans="14:14" hidden="1" x14ac:dyDescent="0.3">
      <c r="N1854">
        <f t="shared" si="103"/>
        <v>1900</v>
      </c>
    </row>
    <row r="1855" spans="14:14" hidden="1" x14ac:dyDescent="0.3">
      <c r="N1855">
        <f t="shared" si="103"/>
        <v>1900</v>
      </c>
    </row>
    <row r="1856" spans="14:14" hidden="1" x14ac:dyDescent="0.3">
      <c r="N1856">
        <f t="shared" si="103"/>
        <v>1900</v>
      </c>
    </row>
    <row r="1857" spans="14:14" hidden="1" x14ac:dyDescent="0.3">
      <c r="N1857">
        <f t="shared" si="103"/>
        <v>1900</v>
      </c>
    </row>
    <row r="1858" spans="14:14" hidden="1" x14ac:dyDescent="0.3">
      <c r="N1858">
        <f t="shared" si="103"/>
        <v>1900</v>
      </c>
    </row>
    <row r="1859" spans="14:14" hidden="1" x14ac:dyDescent="0.3">
      <c r="N1859">
        <f t="shared" ref="N1859:N1922" si="104">YEAR(B1859)</f>
        <v>1900</v>
      </c>
    </row>
    <row r="1860" spans="14:14" hidden="1" x14ac:dyDescent="0.3">
      <c r="N1860">
        <f t="shared" si="104"/>
        <v>1900</v>
      </c>
    </row>
    <row r="1861" spans="14:14" hidden="1" x14ac:dyDescent="0.3">
      <c r="N1861">
        <f t="shared" si="104"/>
        <v>1900</v>
      </c>
    </row>
    <row r="1862" spans="14:14" hidden="1" x14ac:dyDescent="0.3">
      <c r="N1862">
        <f t="shared" si="104"/>
        <v>1900</v>
      </c>
    </row>
    <row r="1863" spans="14:14" hidden="1" x14ac:dyDescent="0.3">
      <c r="N1863">
        <f t="shared" si="104"/>
        <v>1900</v>
      </c>
    </row>
    <row r="1864" spans="14:14" hidden="1" x14ac:dyDescent="0.3">
      <c r="N1864">
        <f t="shared" si="104"/>
        <v>1900</v>
      </c>
    </row>
    <row r="1865" spans="14:14" hidden="1" x14ac:dyDescent="0.3">
      <c r="N1865">
        <f t="shared" si="104"/>
        <v>1900</v>
      </c>
    </row>
    <row r="1866" spans="14:14" hidden="1" x14ac:dyDescent="0.3">
      <c r="N1866">
        <f t="shared" si="104"/>
        <v>1900</v>
      </c>
    </row>
    <row r="1867" spans="14:14" hidden="1" x14ac:dyDescent="0.3">
      <c r="N1867">
        <f t="shared" si="104"/>
        <v>1900</v>
      </c>
    </row>
    <row r="1868" spans="14:14" hidden="1" x14ac:dyDescent="0.3">
      <c r="N1868">
        <f t="shared" si="104"/>
        <v>1900</v>
      </c>
    </row>
    <row r="1869" spans="14:14" hidden="1" x14ac:dyDescent="0.3">
      <c r="N1869">
        <f t="shared" si="104"/>
        <v>1900</v>
      </c>
    </row>
    <row r="1870" spans="14:14" hidden="1" x14ac:dyDescent="0.3">
      <c r="N1870">
        <f t="shared" si="104"/>
        <v>1900</v>
      </c>
    </row>
    <row r="1871" spans="14:14" hidden="1" x14ac:dyDescent="0.3">
      <c r="N1871">
        <f t="shared" si="104"/>
        <v>1900</v>
      </c>
    </row>
    <row r="1872" spans="14:14" hidden="1" x14ac:dyDescent="0.3">
      <c r="N1872">
        <f t="shared" si="104"/>
        <v>1900</v>
      </c>
    </row>
    <row r="1873" spans="14:14" hidden="1" x14ac:dyDescent="0.3">
      <c r="N1873">
        <f t="shared" si="104"/>
        <v>1900</v>
      </c>
    </row>
    <row r="1874" spans="14:14" hidden="1" x14ac:dyDescent="0.3">
      <c r="N1874">
        <f t="shared" si="104"/>
        <v>1900</v>
      </c>
    </row>
    <row r="1875" spans="14:14" hidden="1" x14ac:dyDescent="0.3">
      <c r="N1875">
        <f t="shared" si="104"/>
        <v>1900</v>
      </c>
    </row>
    <row r="1876" spans="14:14" hidden="1" x14ac:dyDescent="0.3">
      <c r="N1876">
        <f t="shared" si="104"/>
        <v>1900</v>
      </c>
    </row>
    <row r="1877" spans="14:14" hidden="1" x14ac:dyDescent="0.3">
      <c r="N1877">
        <f t="shared" si="104"/>
        <v>1900</v>
      </c>
    </row>
    <row r="1878" spans="14:14" hidden="1" x14ac:dyDescent="0.3">
      <c r="N1878">
        <f t="shared" si="104"/>
        <v>1900</v>
      </c>
    </row>
    <row r="1879" spans="14:14" hidden="1" x14ac:dyDescent="0.3">
      <c r="N1879">
        <f t="shared" si="104"/>
        <v>1900</v>
      </c>
    </row>
    <row r="1880" spans="14:14" hidden="1" x14ac:dyDescent="0.3">
      <c r="N1880">
        <f t="shared" si="104"/>
        <v>1900</v>
      </c>
    </row>
    <row r="1881" spans="14:14" hidden="1" x14ac:dyDescent="0.3">
      <c r="N1881">
        <f t="shared" si="104"/>
        <v>1900</v>
      </c>
    </row>
    <row r="1882" spans="14:14" hidden="1" x14ac:dyDescent="0.3">
      <c r="N1882">
        <f t="shared" si="104"/>
        <v>1900</v>
      </c>
    </row>
    <row r="1883" spans="14:14" hidden="1" x14ac:dyDescent="0.3">
      <c r="N1883">
        <f t="shared" si="104"/>
        <v>1900</v>
      </c>
    </row>
    <row r="1884" spans="14:14" hidden="1" x14ac:dyDescent="0.3">
      <c r="N1884">
        <f t="shared" si="104"/>
        <v>1900</v>
      </c>
    </row>
    <row r="1885" spans="14:14" hidden="1" x14ac:dyDescent="0.3">
      <c r="N1885">
        <f t="shared" si="104"/>
        <v>1900</v>
      </c>
    </row>
    <row r="1886" spans="14:14" hidden="1" x14ac:dyDescent="0.3">
      <c r="N1886">
        <f t="shared" si="104"/>
        <v>1900</v>
      </c>
    </row>
    <row r="1887" spans="14:14" hidden="1" x14ac:dyDescent="0.3">
      <c r="N1887">
        <f t="shared" si="104"/>
        <v>1900</v>
      </c>
    </row>
    <row r="1888" spans="14:14" hidden="1" x14ac:dyDescent="0.3">
      <c r="N1888">
        <f t="shared" si="104"/>
        <v>1900</v>
      </c>
    </row>
    <row r="1889" spans="14:14" hidden="1" x14ac:dyDescent="0.3">
      <c r="N1889">
        <f t="shared" si="104"/>
        <v>1900</v>
      </c>
    </row>
    <row r="1890" spans="14:14" hidden="1" x14ac:dyDescent="0.3">
      <c r="N1890">
        <f t="shared" si="104"/>
        <v>1900</v>
      </c>
    </row>
    <row r="1891" spans="14:14" hidden="1" x14ac:dyDescent="0.3">
      <c r="N1891">
        <f t="shared" si="104"/>
        <v>1900</v>
      </c>
    </row>
    <row r="1892" spans="14:14" hidden="1" x14ac:dyDescent="0.3">
      <c r="N1892">
        <f t="shared" si="104"/>
        <v>1900</v>
      </c>
    </row>
    <row r="1893" spans="14:14" hidden="1" x14ac:dyDescent="0.3">
      <c r="N1893">
        <f t="shared" si="104"/>
        <v>1900</v>
      </c>
    </row>
    <row r="1894" spans="14:14" hidden="1" x14ac:dyDescent="0.3">
      <c r="N1894">
        <f t="shared" si="104"/>
        <v>1900</v>
      </c>
    </row>
    <row r="1895" spans="14:14" hidden="1" x14ac:dyDescent="0.3">
      <c r="N1895">
        <f t="shared" si="104"/>
        <v>1900</v>
      </c>
    </row>
    <row r="1896" spans="14:14" hidden="1" x14ac:dyDescent="0.3">
      <c r="N1896">
        <f t="shared" si="104"/>
        <v>1900</v>
      </c>
    </row>
    <row r="1897" spans="14:14" hidden="1" x14ac:dyDescent="0.3">
      <c r="N1897">
        <f t="shared" si="104"/>
        <v>1900</v>
      </c>
    </row>
    <row r="1898" spans="14:14" hidden="1" x14ac:dyDescent="0.3">
      <c r="N1898">
        <f t="shared" si="104"/>
        <v>1900</v>
      </c>
    </row>
    <row r="1899" spans="14:14" hidden="1" x14ac:dyDescent="0.3">
      <c r="N1899">
        <f t="shared" si="104"/>
        <v>1900</v>
      </c>
    </row>
    <row r="1900" spans="14:14" hidden="1" x14ac:dyDescent="0.3">
      <c r="N1900">
        <f t="shared" si="104"/>
        <v>1900</v>
      </c>
    </row>
    <row r="1901" spans="14:14" hidden="1" x14ac:dyDescent="0.3">
      <c r="N1901">
        <f t="shared" si="104"/>
        <v>1900</v>
      </c>
    </row>
    <row r="1902" spans="14:14" hidden="1" x14ac:dyDescent="0.3">
      <c r="N1902">
        <f t="shared" si="104"/>
        <v>1900</v>
      </c>
    </row>
    <row r="1903" spans="14:14" hidden="1" x14ac:dyDescent="0.3">
      <c r="N1903">
        <f t="shared" si="104"/>
        <v>1900</v>
      </c>
    </row>
    <row r="1904" spans="14:14" hidden="1" x14ac:dyDescent="0.3">
      <c r="N1904">
        <f t="shared" si="104"/>
        <v>1900</v>
      </c>
    </row>
    <row r="1905" spans="14:14" hidden="1" x14ac:dyDescent="0.3">
      <c r="N1905">
        <f t="shared" si="104"/>
        <v>1900</v>
      </c>
    </row>
    <row r="1906" spans="14:14" hidden="1" x14ac:dyDescent="0.3">
      <c r="N1906">
        <f t="shared" si="104"/>
        <v>1900</v>
      </c>
    </row>
    <row r="1907" spans="14:14" hidden="1" x14ac:dyDescent="0.3">
      <c r="N1907">
        <f t="shared" si="104"/>
        <v>1900</v>
      </c>
    </row>
    <row r="1908" spans="14:14" hidden="1" x14ac:dyDescent="0.3">
      <c r="N1908">
        <f t="shared" si="104"/>
        <v>1900</v>
      </c>
    </row>
    <row r="1909" spans="14:14" hidden="1" x14ac:dyDescent="0.3">
      <c r="N1909">
        <f t="shared" si="104"/>
        <v>1900</v>
      </c>
    </row>
    <row r="1910" spans="14:14" hidden="1" x14ac:dyDescent="0.3">
      <c r="N1910">
        <f t="shared" si="104"/>
        <v>1900</v>
      </c>
    </row>
    <row r="1911" spans="14:14" hidden="1" x14ac:dyDescent="0.3">
      <c r="N1911">
        <f t="shared" si="104"/>
        <v>1900</v>
      </c>
    </row>
    <row r="1912" spans="14:14" hidden="1" x14ac:dyDescent="0.3">
      <c r="N1912">
        <f t="shared" si="104"/>
        <v>1900</v>
      </c>
    </row>
    <row r="1913" spans="14:14" hidden="1" x14ac:dyDescent="0.3">
      <c r="N1913">
        <f t="shared" si="104"/>
        <v>1900</v>
      </c>
    </row>
    <row r="1914" spans="14:14" hidden="1" x14ac:dyDescent="0.3">
      <c r="N1914">
        <f t="shared" si="104"/>
        <v>1900</v>
      </c>
    </row>
    <row r="1915" spans="14:14" hidden="1" x14ac:dyDescent="0.3">
      <c r="N1915">
        <f t="shared" si="104"/>
        <v>1900</v>
      </c>
    </row>
    <row r="1916" spans="14:14" hidden="1" x14ac:dyDescent="0.3">
      <c r="N1916">
        <f t="shared" si="104"/>
        <v>1900</v>
      </c>
    </row>
    <row r="1917" spans="14:14" hidden="1" x14ac:dyDescent="0.3">
      <c r="N1917">
        <f t="shared" si="104"/>
        <v>1900</v>
      </c>
    </row>
    <row r="1918" spans="14:14" hidden="1" x14ac:dyDescent="0.3">
      <c r="N1918">
        <f t="shared" si="104"/>
        <v>1900</v>
      </c>
    </row>
    <row r="1919" spans="14:14" hidden="1" x14ac:dyDescent="0.3">
      <c r="N1919">
        <f t="shared" si="104"/>
        <v>1900</v>
      </c>
    </row>
    <row r="1920" spans="14:14" hidden="1" x14ac:dyDescent="0.3">
      <c r="N1920">
        <f t="shared" si="104"/>
        <v>1900</v>
      </c>
    </row>
    <row r="1921" spans="14:14" hidden="1" x14ac:dyDescent="0.3">
      <c r="N1921">
        <f t="shared" si="104"/>
        <v>1900</v>
      </c>
    </row>
    <row r="1922" spans="14:14" hidden="1" x14ac:dyDescent="0.3">
      <c r="N1922">
        <f t="shared" si="104"/>
        <v>1900</v>
      </c>
    </row>
    <row r="1923" spans="14:14" hidden="1" x14ac:dyDescent="0.3">
      <c r="N1923">
        <f t="shared" ref="N1923:N1986" si="105">YEAR(B1923)</f>
        <v>1900</v>
      </c>
    </row>
    <row r="1924" spans="14:14" hidden="1" x14ac:dyDescent="0.3">
      <c r="N1924">
        <f t="shared" si="105"/>
        <v>1900</v>
      </c>
    </row>
    <row r="1925" spans="14:14" hidden="1" x14ac:dyDescent="0.3">
      <c r="N1925">
        <f t="shared" si="105"/>
        <v>1900</v>
      </c>
    </row>
    <row r="1926" spans="14:14" hidden="1" x14ac:dyDescent="0.3">
      <c r="N1926">
        <f t="shared" si="105"/>
        <v>1900</v>
      </c>
    </row>
    <row r="1927" spans="14:14" hidden="1" x14ac:dyDescent="0.3">
      <c r="N1927">
        <f t="shared" si="105"/>
        <v>1900</v>
      </c>
    </row>
    <row r="1928" spans="14:14" hidden="1" x14ac:dyDescent="0.3">
      <c r="N1928">
        <f t="shared" si="105"/>
        <v>1900</v>
      </c>
    </row>
    <row r="1929" spans="14:14" hidden="1" x14ac:dyDescent="0.3">
      <c r="N1929">
        <f t="shared" si="105"/>
        <v>1900</v>
      </c>
    </row>
    <row r="1930" spans="14:14" hidden="1" x14ac:dyDescent="0.3">
      <c r="N1930">
        <f t="shared" si="105"/>
        <v>1900</v>
      </c>
    </row>
    <row r="1931" spans="14:14" hidden="1" x14ac:dyDescent="0.3">
      <c r="N1931">
        <f t="shared" si="105"/>
        <v>1900</v>
      </c>
    </row>
    <row r="1932" spans="14:14" hidden="1" x14ac:dyDescent="0.3">
      <c r="N1932">
        <f t="shared" si="105"/>
        <v>1900</v>
      </c>
    </row>
    <row r="1933" spans="14:14" hidden="1" x14ac:dyDescent="0.3">
      <c r="N1933">
        <f t="shared" si="105"/>
        <v>1900</v>
      </c>
    </row>
    <row r="1934" spans="14:14" hidden="1" x14ac:dyDescent="0.3">
      <c r="N1934">
        <f t="shared" si="105"/>
        <v>1900</v>
      </c>
    </row>
    <row r="1935" spans="14:14" hidden="1" x14ac:dyDescent="0.3">
      <c r="N1935">
        <f t="shared" si="105"/>
        <v>1900</v>
      </c>
    </row>
    <row r="1936" spans="14:14" hidden="1" x14ac:dyDescent="0.3">
      <c r="N1936">
        <f t="shared" si="105"/>
        <v>1900</v>
      </c>
    </row>
    <row r="1937" spans="14:14" hidden="1" x14ac:dyDescent="0.3">
      <c r="N1937">
        <f t="shared" si="105"/>
        <v>1900</v>
      </c>
    </row>
    <row r="1938" spans="14:14" hidden="1" x14ac:dyDescent="0.3">
      <c r="N1938">
        <f t="shared" si="105"/>
        <v>1900</v>
      </c>
    </row>
    <row r="1939" spans="14:14" hidden="1" x14ac:dyDescent="0.3">
      <c r="N1939">
        <f t="shared" si="105"/>
        <v>1900</v>
      </c>
    </row>
    <row r="1940" spans="14:14" hidden="1" x14ac:dyDescent="0.3">
      <c r="N1940">
        <f t="shared" si="105"/>
        <v>1900</v>
      </c>
    </row>
    <row r="1941" spans="14:14" hidden="1" x14ac:dyDescent="0.3">
      <c r="N1941">
        <f t="shared" si="105"/>
        <v>1900</v>
      </c>
    </row>
    <row r="1942" spans="14:14" hidden="1" x14ac:dyDescent="0.3">
      <c r="N1942">
        <f t="shared" si="105"/>
        <v>1900</v>
      </c>
    </row>
    <row r="1943" spans="14:14" hidden="1" x14ac:dyDescent="0.3">
      <c r="N1943">
        <f t="shared" si="105"/>
        <v>1900</v>
      </c>
    </row>
    <row r="1944" spans="14:14" hidden="1" x14ac:dyDescent="0.3">
      <c r="N1944">
        <f t="shared" si="105"/>
        <v>1900</v>
      </c>
    </row>
    <row r="1945" spans="14:14" hidden="1" x14ac:dyDescent="0.3">
      <c r="N1945">
        <f t="shared" si="105"/>
        <v>1900</v>
      </c>
    </row>
    <row r="1946" spans="14:14" hidden="1" x14ac:dyDescent="0.3">
      <c r="N1946">
        <f t="shared" si="105"/>
        <v>1900</v>
      </c>
    </row>
    <row r="1947" spans="14:14" hidden="1" x14ac:dyDescent="0.3">
      <c r="N1947">
        <f t="shared" si="105"/>
        <v>1900</v>
      </c>
    </row>
    <row r="1948" spans="14:14" hidden="1" x14ac:dyDescent="0.3">
      <c r="N1948">
        <f t="shared" si="105"/>
        <v>1900</v>
      </c>
    </row>
    <row r="1949" spans="14:14" hidden="1" x14ac:dyDescent="0.3">
      <c r="N1949">
        <f t="shared" si="105"/>
        <v>1900</v>
      </c>
    </row>
    <row r="1950" spans="14:14" hidden="1" x14ac:dyDescent="0.3">
      <c r="N1950">
        <f t="shared" si="105"/>
        <v>1900</v>
      </c>
    </row>
    <row r="1951" spans="14:14" hidden="1" x14ac:dyDescent="0.3">
      <c r="N1951">
        <f t="shared" si="105"/>
        <v>1900</v>
      </c>
    </row>
    <row r="1952" spans="14:14" hidden="1" x14ac:dyDescent="0.3">
      <c r="N1952">
        <f t="shared" si="105"/>
        <v>1900</v>
      </c>
    </row>
    <row r="1953" spans="14:14" hidden="1" x14ac:dyDescent="0.3">
      <c r="N1953">
        <f t="shared" si="105"/>
        <v>1900</v>
      </c>
    </row>
    <row r="1954" spans="14:14" hidden="1" x14ac:dyDescent="0.3">
      <c r="N1954">
        <f t="shared" si="105"/>
        <v>1900</v>
      </c>
    </row>
    <row r="1955" spans="14:14" hidden="1" x14ac:dyDescent="0.3">
      <c r="N1955">
        <f t="shared" si="105"/>
        <v>1900</v>
      </c>
    </row>
    <row r="1956" spans="14:14" hidden="1" x14ac:dyDescent="0.3">
      <c r="N1956">
        <f t="shared" si="105"/>
        <v>1900</v>
      </c>
    </row>
    <row r="1957" spans="14:14" hidden="1" x14ac:dyDescent="0.3">
      <c r="N1957">
        <f t="shared" si="105"/>
        <v>1900</v>
      </c>
    </row>
    <row r="1958" spans="14:14" hidden="1" x14ac:dyDescent="0.3">
      <c r="N1958">
        <f t="shared" si="105"/>
        <v>1900</v>
      </c>
    </row>
    <row r="1959" spans="14:14" hidden="1" x14ac:dyDescent="0.3">
      <c r="N1959">
        <f t="shared" si="105"/>
        <v>1900</v>
      </c>
    </row>
    <row r="1960" spans="14:14" hidden="1" x14ac:dyDescent="0.3">
      <c r="N1960">
        <f t="shared" si="105"/>
        <v>1900</v>
      </c>
    </row>
    <row r="1961" spans="14:14" hidden="1" x14ac:dyDescent="0.3">
      <c r="N1961">
        <f t="shared" si="105"/>
        <v>1900</v>
      </c>
    </row>
    <row r="1962" spans="14:14" hidden="1" x14ac:dyDescent="0.3">
      <c r="N1962">
        <f t="shared" si="105"/>
        <v>1900</v>
      </c>
    </row>
    <row r="1963" spans="14:14" hidden="1" x14ac:dyDescent="0.3">
      <c r="N1963">
        <f t="shared" si="105"/>
        <v>1900</v>
      </c>
    </row>
    <row r="1964" spans="14:14" hidden="1" x14ac:dyDescent="0.3">
      <c r="N1964">
        <f t="shared" si="105"/>
        <v>1900</v>
      </c>
    </row>
    <row r="1965" spans="14:14" hidden="1" x14ac:dyDescent="0.3">
      <c r="N1965">
        <f t="shared" si="105"/>
        <v>1900</v>
      </c>
    </row>
    <row r="1966" spans="14:14" hidden="1" x14ac:dyDescent="0.3">
      <c r="N1966">
        <f t="shared" si="105"/>
        <v>1900</v>
      </c>
    </row>
    <row r="1967" spans="14:14" hidden="1" x14ac:dyDescent="0.3">
      <c r="N1967">
        <f t="shared" si="105"/>
        <v>1900</v>
      </c>
    </row>
    <row r="1968" spans="14:14" hidden="1" x14ac:dyDescent="0.3">
      <c r="N1968">
        <f t="shared" si="105"/>
        <v>1900</v>
      </c>
    </row>
    <row r="1969" spans="14:14" hidden="1" x14ac:dyDescent="0.3">
      <c r="N1969">
        <f t="shared" si="105"/>
        <v>1900</v>
      </c>
    </row>
    <row r="1970" spans="14:14" hidden="1" x14ac:dyDescent="0.3">
      <c r="N1970">
        <f t="shared" si="105"/>
        <v>1900</v>
      </c>
    </row>
    <row r="1971" spans="14:14" hidden="1" x14ac:dyDescent="0.3">
      <c r="N1971">
        <f t="shared" si="105"/>
        <v>1900</v>
      </c>
    </row>
    <row r="1972" spans="14:14" hidden="1" x14ac:dyDescent="0.3">
      <c r="N1972">
        <f t="shared" si="105"/>
        <v>1900</v>
      </c>
    </row>
    <row r="1973" spans="14:14" hidden="1" x14ac:dyDescent="0.3">
      <c r="N1973">
        <f t="shared" si="105"/>
        <v>1900</v>
      </c>
    </row>
    <row r="1974" spans="14:14" hidden="1" x14ac:dyDescent="0.3">
      <c r="N1974">
        <f t="shared" si="105"/>
        <v>1900</v>
      </c>
    </row>
    <row r="1975" spans="14:14" hidden="1" x14ac:dyDescent="0.3">
      <c r="N1975">
        <f t="shared" si="105"/>
        <v>1900</v>
      </c>
    </row>
    <row r="1976" spans="14:14" hidden="1" x14ac:dyDescent="0.3">
      <c r="N1976">
        <f t="shared" si="105"/>
        <v>1900</v>
      </c>
    </row>
    <row r="1977" spans="14:14" hidden="1" x14ac:dyDescent="0.3">
      <c r="N1977">
        <f t="shared" si="105"/>
        <v>1900</v>
      </c>
    </row>
    <row r="1978" spans="14:14" hidden="1" x14ac:dyDescent="0.3">
      <c r="N1978">
        <f t="shared" si="105"/>
        <v>1900</v>
      </c>
    </row>
    <row r="1979" spans="14:14" hidden="1" x14ac:dyDescent="0.3">
      <c r="N1979">
        <f t="shared" si="105"/>
        <v>1900</v>
      </c>
    </row>
    <row r="1980" spans="14:14" hidden="1" x14ac:dyDescent="0.3">
      <c r="N1980">
        <f t="shared" si="105"/>
        <v>1900</v>
      </c>
    </row>
    <row r="1981" spans="14:14" hidden="1" x14ac:dyDescent="0.3">
      <c r="N1981">
        <f t="shared" si="105"/>
        <v>1900</v>
      </c>
    </row>
    <row r="1982" spans="14:14" hidden="1" x14ac:dyDescent="0.3">
      <c r="N1982">
        <f t="shared" si="105"/>
        <v>1900</v>
      </c>
    </row>
    <row r="1983" spans="14:14" hidden="1" x14ac:dyDescent="0.3">
      <c r="N1983">
        <f t="shared" si="105"/>
        <v>1900</v>
      </c>
    </row>
    <row r="1984" spans="14:14" hidden="1" x14ac:dyDescent="0.3">
      <c r="N1984">
        <f t="shared" si="105"/>
        <v>1900</v>
      </c>
    </row>
    <row r="1985" spans="14:14" hidden="1" x14ac:dyDescent="0.3">
      <c r="N1985">
        <f t="shared" si="105"/>
        <v>1900</v>
      </c>
    </row>
    <row r="1986" spans="14:14" hidden="1" x14ac:dyDescent="0.3">
      <c r="N1986">
        <f t="shared" si="105"/>
        <v>1900</v>
      </c>
    </row>
    <row r="1987" spans="14:14" hidden="1" x14ac:dyDescent="0.3">
      <c r="N1987">
        <f t="shared" ref="N1987:N2050" si="106">YEAR(B1987)</f>
        <v>1900</v>
      </c>
    </row>
    <row r="1988" spans="14:14" hidden="1" x14ac:dyDescent="0.3">
      <c r="N1988">
        <f t="shared" si="106"/>
        <v>1900</v>
      </c>
    </row>
    <row r="1989" spans="14:14" hidden="1" x14ac:dyDescent="0.3">
      <c r="N1989">
        <f t="shared" si="106"/>
        <v>1900</v>
      </c>
    </row>
    <row r="1990" spans="14:14" hidden="1" x14ac:dyDescent="0.3">
      <c r="N1990">
        <f t="shared" si="106"/>
        <v>1900</v>
      </c>
    </row>
    <row r="1991" spans="14:14" hidden="1" x14ac:dyDescent="0.3">
      <c r="N1991">
        <f t="shared" si="106"/>
        <v>1900</v>
      </c>
    </row>
    <row r="1992" spans="14:14" hidden="1" x14ac:dyDescent="0.3">
      <c r="N1992">
        <f t="shared" si="106"/>
        <v>1900</v>
      </c>
    </row>
    <row r="1993" spans="14:14" hidden="1" x14ac:dyDescent="0.3">
      <c r="N1993">
        <f t="shared" si="106"/>
        <v>1900</v>
      </c>
    </row>
    <row r="1994" spans="14:14" hidden="1" x14ac:dyDescent="0.3">
      <c r="N1994">
        <f t="shared" si="106"/>
        <v>1900</v>
      </c>
    </row>
    <row r="1995" spans="14:14" hidden="1" x14ac:dyDescent="0.3">
      <c r="N1995">
        <f t="shared" si="106"/>
        <v>1900</v>
      </c>
    </row>
    <row r="1996" spans="14:14" hidden="1" x14ac:dyDescent="0.3">
      <c r="N1996">
        <f t="shared" si="106"/>
        <v>1900</v>
      </c>
    </row>
    <row r="1997" spans="14:14" hidden="1" x14ac:dyDescent="0.3">
      <c r="N1997">
        <f t="shared" si="106"/>
        <v>1900</v>
      </c>
    </row>
    <row r="1998" spans="14:14" hidden="1" x14ac:dyDescent="0.3">
      <c r="N1998">
        <f t="shared" si="106"/>
        <v>1900</v>
      </c>
    </row>
    <row r="1999" spans="14:14" hidden="1" x14ac:dyDescent="0.3">
      <c r="N1999">
        <f t="shared" si="106"/>
        <v>1900</v>
      </c>
    </row>
    <row r="2000" spans="14:14" hidden="1" x14ac:dyDescent="0.3">
      <c r="N2000">
        <f t="shared" si="106"/>
        <v>1900</v>
      </c>
    </row>
    <row r="2001" spans="14:14" hidden="1" x14ac:dyDescent="0.3">
      <c r="N2001">
        <f t="shared" si="106"/>
        <v>1900</v>
      </c>
    </row>
    <row r="2002" spans="14:14" hidden="1" x14ac:dyDescent="0.3">
      <c r="N2002">
        <f t="shared" si="106"/>
        <v>1900</v>
      </c>
    </row>
    <row r="2003" spans="14:14" hidden="1" x14ac:dyDescent="0.3">
      <c r="N2003">
        <f t="shared" si="106"/>
        <v>1900</v>
      </c>
    </row>
    <row r="2004" spans="14:14" hidden="1" x14ac:dyDescent="0.3">
      <c r="N2004">
        <f t="shared" si="106"/>
        <v>1900</v>
      </c>
    </row>
    <row r="2005" spans="14:14" hidden="1" x14ac:dyDescent="0.3">
      <c r="N2005">
        <f t="shared" si="106"/>
        <v>1900</v>
      </c>
    </row>
    <row r="2006" spans="14:14" hidden="1" x14ac:dyDescent="0.3">
      <c r="N2006">
        <f t="shared" si="106"/>
        <v>1900</v>
      </c>
    </row>
    <row r="2007" spans="14:14" hidden="1" x14ac:dyDescent="0.3">
      <c r="N2007">
        <f t="shared" si="106"/>
        <v>1900</v>
      </c>
    </row>
    <row r="2008" spans="14:14" hidden="1" x14ac:dyDescent="0.3">
      <c r="N2008">
        <f t="shared" si="106"/>
        <v>1900</v>
      </c>
    </row>
    <row r="2009" spans="14:14" hidden="1" x14ac:dyDescent="0.3">
      <c r="N2009">
        <f t="shared" si="106"/>
        <v>1900</v>
      </c>
    </row>
    <row r="2010" spans="14:14" hidden="1" x14ac:dyDescent="0.3">
      <c r="N2010">
        <f t="shared" si="106"/>
        <v>1900</v>
      </c>
    </row>
    <row r="2011" spans="14:14" hidden="1" x14ac:dyDescent="0.3">
      <c r="N2011">
        <f t="shared" si="106"/>
        <v>1900</v>
      </c>
    </row>
    <row r="2012" spans="14:14" hidden="1" x14ac:dyDescent="0.3">
      <c r="N2012">
        <f t="shared" si="106"/>
        <v>1900</v>
      </c>
    </row>
    <row r="2013" spans="14:14" hidden="1" x14ac:dyDescent="0.3">
      <c r="N2013">
        <f t="shared" si="106"/>
        <v>1900</v>
      </c>
    </row>
    <row r="2014" spans="14:14" hidden="1" x14ac:dyDescent="0.3">
      <c r="N2014">
        <f t="shared" si="106"/>
        <v>1900</v>
      </c>
    </row>
    <row r="2015" spans="14:14" hidden="1" x14ac:dyDescent="0.3">
      <c r="N2015">
        <f t="shared" si="106"/>
        <v>1900</v>
      </c>
    </row>
    <row r="2016" spans="14:14" hidden="1" x14ac:dyDescent="0.3">
      <c r="N2016">
        <f t="shared" si="106"/>
        <v>1900</v>
      </c>
    </row>
    <row r="2017" spans="14:14" hidden="1" x14ac:dyDescent="0.3">
      <c r="N2017">
        <f t="shared" si="106"/>
        <v>1900</v>
      </c>
    </row>
    <row r="2018" spans="14:14" hidden="1" x14ac:dyDescent="0.3">
      <c r="N2018">
        <f t="shared" si="106"/>
        <v>1900</v>
      </c>
    </row>
    <row r="2019" spans="14:14" hidden="1" x14ac:dyDescent="0.3">
      <c r="N2019">
        <f t="shared" si="106"/>
        <v>1900</v>
      </c>
    </row>
    <row r="2020" spans="14:14" hidden="1" x14ac:dyDescent="0.3">
      <c r="N2020">
        <f t="shared" si="106"/>
        <v>1900</v>
      </c>
    </row>
    <row r="2021" spans="14:14" hidden="1" x14ac:dyDescent="0.3">
      <c r="N2021">
        <f t="shared" si="106"/>
        <v>1900</v>
      </c>
    </row>
    <row r="2022" spans="14:14" hidden="1" x14ac:dyDescent="0.3">
      <c r="N2022">
        <f t="shared" si="106"/>
        <v>1900</v>
      </c>
    </row>
    <row r="2023" spans="14:14" hidden="1" x14ac:dyDescent="0.3">
      <c r="N2023">
        <f t="shared" si="106"/>
        <v>1900</v>
      </c>
    </row>
    <row r="2024" spans="14:14" hidden="1" x14ac:dyDescent="0.3">
      <c r="N2024">
        <f t="shared" si="106"/>
        <v>1900</v>
      </c>
    </row>
    <row r="2025" spans="14:14" hidden="1" x14ac:dyDescent="0.3">
      <c r="N2025">
        <f t="shared" si="106"/>
        <v>1900</v>
      </c>
    </row>
    <row r="2026" spans="14:14" hidden="1" x14ac:dyDescent="0.3">
      <c r="N2026">
        <f t="shared" si="106"/>
        <v>1900</v>
      </c>
    </row>
    <row r="2027" spans="14:14" hidden="1" x14ac:dyDescent="0.3">
      <c r="N2027">
        <f t="shared" si="106"/>
        <v>1900</v>
      </c>
    </row>
    <row r="2028" spans="14:14" hidden="1" x14ac:dyDescent="0.3">
      <c r="N2028">
        <f t="shared" si="106"/>
        <v>1900</v>
      </c>
    </row>
    <row r="2029" spans="14:14" hidden="1" x14ac:dyDescent="0.3">
      <c r="N2029">
        <f t="shared" si="106"/>
        <v>1900</v>
      </c>
    </row>
    <row r="2030" spans="14:14" hidden="1" x14ac:dyDescent="0.3">
      <c r="N2030">
        <f t="shared" si="106"/>
        <v>1900</v>
      </c>
    </row>
    <row r="2031" spans="14:14" hidden="1" x14ac:dyDescent="0.3">
      <c r="N2031">
        <f t="shared" si="106"/>
        <v>1900</v>
      </c>
    </row>
    <row r="2032" spans="14:14" hidden="1" x14ac:dyDescent="0.3">
      <c r="N2032">
        <f t="shared" si="106"/>
        <v>1900</v>
      </c>
    </row>
    <row r="2033" spans="14:14" hidden="1" x14ac:dyDescent="0.3">
      <c r="N2033">
        <f t="shared" si="106"/>
        <v>1900</v>
      </c>
    </row>
    <row r="2034" spans="14:14" hidden="1" x14ac:dyDescent="0.3">
      <c r="N2034">
        <f t="shared" si="106"/>
        <v>1900</v>
      </c>
    </row>
    <row r="2035" spans="14:14" hidden="1" x14ac:dyDescent="0.3">
      <c r="N2035">
        <f t="shared" si="106"/>
        <v>1900</v>
      </c>
    </row>
    <row r="2036" spans="14:14" hidden="1" x14ac:dyDescent="0.3">
      <c r="N2036">
        <f t="shared" si="106"/>
        <v>1900</v>
      </c>
    </row>
    <row r="2037" spans="14:14" hidden="1" x14ac:dyDescent="0.3">
      <c r="N2037">
        <f t="shared" si="106"/>
        <v>1900</v>
      </c>
    </row>
    <row r="2038" spans="14:14" hidden="1" x14ac:dyDescent="0.3">
      <c r="N2038">
        <f t="shared" si="106"/>
        <v>1900</v>
      </c>
    </row>
    <row r="2039" spans="14:14" hidden="1" x14ac:dyDescent="0.3">
      <c r="N2039">
        <f t="shared" si="106"/>
        <v>1900</v>
      </c>
    </row>
    <row r="2040" spans="14:14" hidden="1" x14ac:dyDescent="0.3">
      <c r="N2040">
        <f t="shared" si="106"/>
        <v>1900</v>
      </c>
    </row>
    <row r="2041" spans="14:14" hidden="1" x14ac:dyDescent="0.3">
      <c r="N2041">
        <f t="shared" si="106"/>
        <v>1900</v>
      </c>
    </row>
    <row r="2042" spans="14:14" hidden="1" x14ac:dyDescent="0.3">
      <c r="N2042">
        <f t="shared" si="106"/>
        <v>1900</v>
      </c>
    </row>
    <row r="2043" spans="14:14" hidden="1" x14ac:dyDescent="0.3">
      <c r="N2043">
        <f t="shared" si="106"/>
        <v>1900</v>
      </c>
    </row>
    <row r="2044" spans="14:14" hidden="1" x14ac:dyDescent="0.3">
      <c r="N2044">
        <f t="shared" si="106"/>
        <v>1900</v>
      </c>
    </row>
    <row r="2045" spans="14:14" hidden="1" x14ac:dyDescent="0.3">
      <c r="N2045">
        <f t="shared" si="106"/>
        <v>1900</v>
      </c>
    </row>
    <row r="2046" spans="14:14" hidden="1" x14ac:dyDescent="0.3">
      <c r="N2046">
        <f t="shared" si="106"/>
        <v>1900</v>
      </c>
    </row>
    <row r="2047" spans="14:14" hidden="1" x14ac:dyDescent="0.3">
      <c r="N2047">
        <f t="shared" si="106"/>
        <v>1900</v>
      </c>
    </row>
    <row r="2048" spans="14:14" hidden="1" x14ac:dyDescent="0.3">
      <c r="N2048">
        <f t="shared" si="106"/>
        <v>1900</v>
      </c>
    </row>
    <row r="2049" spans="14:14" hidden="1" x14ac:dyDescent="0.3">
      <c r="N2049">
        <f t="shared" si="106"/>
        <v>1900</v>
      </c>
    </row>
    <row r="2050" spans="14:14" hidden="1" x14ac:dyDescent="0.3">
      <c r="N2050">
        <f t="shared" si="106"/>
        <v>1900</v>
      </c>
    </row>
    <row r="2051" spans="14:14" hidden="1" x14ac:dyDescent="0.3">
      <c r="N2051">
        <f t="shared" ref="N2051:N2114" si="107">YEAR(B2051)</f>
        <v>1900</v>
      </c>
    </row>
    <row r="2052" spans="14:14" hidden="1" x14ac:dyDescent="0.3">
      <c r="N2052">
        <f t="shared" si="107"/>
        <v>1900</v>
      </c>
    </row>
    <row r="2053" spans="14:14" hidden="1" x14ac:dyDescent="0.3">
      <c r="N2053">
        <f t="shared" si="107"/>
        <v>1900</v>
      </c>
    </row>
    <row r="2054" spans="14:14" hidden="1" x14ac:dyDescent="0.3">
      <c r="N2054">
        <f t="shared" si="107"/>
        <v>1900</v>
      </c>
    </row>
    <row r="2055" spans="14:14" hidden="1" x14ac:dyDescent="0.3">
      <c r="N2055">
        <f t="shared" si="107"/>
        <v>1900</v>
      </c>
    </row>
    <row r="2056" spans="14:14" hidden="1" x14ac:dyDescent="0.3">
      <c r="N2056">
        <f t="shared" si="107"/>
        <v>1900</v>
      </c>
    </row>
    <row r="2057" spans="14:14" hidden="1" x14ac:dyDescent="0.3">
      <c r="N2057">
        <f t="shared" si="107"/>
        <v>1900</v>
      </c>
    </row>
    <row r="2058" spans="14:14" hidden="1" x14ac:dyDescent="0.3">
      <c r="N2058">
        <f t="shared" si="107"/>
        <v>1900</v>
      </c>
    </row>
    <row r="2059" spans="14:14" hidden="1" x14ac:dyDescent="0.3">
      <c r="N2059">
        <f t="shared" si="107"/>
        <v>1900</v>
      </c>
    </row>
    <row r="2060" spans="14:14" hidden="1" x14ac:dyDescent="0.3">
      <c r="N2060">
        <f t="shared" si="107"/>
        <v>1900</v>
      </c>
    </row>
    <row r="2061" spans="14:14" hidden="1" x14ac:dyDescent="0.3">
      <c r="N2061">
        <f t="shared" si="107"/>
        <v>1900</v>
      </c>
    </row>
    <row r="2062" spans="14:14" hidden="1" x14ac:dyDescent="0.3">
      <c r="N2062">
        <f t="shared" si="107"/>
        <v>1900</v>
      </c>
    </row>
    <row r="2063" spans="14:14" hidden="1" x14ac:dyDescent="0.3">
      <c r="N2063">
        <f t="shared" si="107"/>
        <v>1900</v>
      </c>
    </row>
    <row r="2064" spans="14:14" hidden="1" x14ac:dyDescent="0.3">
      <c r="N2064">
        <f t="shared" si="107"/>
        <v>1900</v>
      </c>
    </row>
    <row r="2065" spans="14:14" hidden="1" x14ac:dyDescent="0.3">
      <c r="N2065">
        <f t="shared" si="107"/>
        <v>1900</v>
      </c>
    </row>
    <row r="2066" spans="14:14" hidden="1" x14ac:dyDescent="0.3">
      <c r="N2066">
        <f t="shared" si="107"/>
        <v>1900</v>
      </c>
    </row>
    <row r="2067" spans="14:14" hidden="1" x14ac:dyDescent="0.3">
      <c r="N2067">
        <f t="shared" si="107"/>
        <v>1900</v>
      </c>
    </row>
    <row r="2068" spans="14:14" hidden="1" x14ac:dyDescent="0.3">
      <c r="N2068">
        <f t="shared" si="107"/>
        <v>1900</v>
      </c>
    </row>
    <row r="2069" spans="14:14" hidden="1" x14ac:dyDescent="0.3">
      <c r="N2069">
        <f t="shared" si="107"/>
        <v>1900</v>
      </c>
    </row>
    <row r="2070" spans="14:14" hidden="1" x14ac:dyDescent="0.3">
      <c r="N2070">
        <f t="shared" si="107"/>
        <v>1900</v>
      </c>
    </row>
    <row r="2071" spans="14:14" hidden="1" x14ac:dyDescent="0.3">
      <c r="N2071">
        <f t="shared" si="107"/>
        <v>1900</v>
      </c>
    </row>
    <row r="2072" spans="14:14" hidden="1" x14ac:dyDescent="0.3">
      <c r="N2072">
        <f t="shared" si="107"/>
        <v>1900</v>
      </c>
    </row>
    <row r="2073" spans="14:14" hidden="1" x14ac:dyDescent="0.3">
      <c r="N2073">
        <f t="shared" si="107"/>
        <v>1900</v>
      </c>
    </row>
    <row r="2074" spans="14:14" hidden="1" x14ac:dyDescent="0.3">
      <c r="N2074">
        <f t="shared" si="107"/>
        <v>1900</v>
      </c>
    </row>
    <row r="2075" spans="14:14" hidden="1" x14ac:dyDescent="0.3">
      <c r="N2075">
        <f t="shared" si="107"/>
        <v>1900</v>
      </c>
    </row>
    <row r="2076" spans="14:14" hidden="1" x14ac:dyDescent="0.3">
      <c r="N2076">
        <f t="shared" si="107"/>
        <v>1900</v>
      </c>
    </row>
    <row r="2077" spans="14:14" hidden="1" x14ac:dyDescent="0.3">
      <c r="N2077">
        <f t="shared" si="107"/>
        <v>1900</v>
      </c>
    </row>
    <row r="2078" spans="14:14" hidden="1" x14ac:dyDescent="0.3">
      <c r="N2078">
        <f t="shared" si="107"/>
        <v>1900</v>
      </c>
    </row>
    <row r="2079" spans="14:14" hidden="1" x14ac:dyDescent="0.3">
      <c r="N2079">
        <f t="shared" si="107"/>
        <v>1900</v>
      </c>
    </row>
    <row r="2080" spans="14:14" hidden="1" x14ac:dyDescent="0.3">
      <c r="N2080">
        <f t="shared" si="107"/>
        <v>1900</v>
      </c>
    </row>
    <row r="2081" spans="14:14" hidden="1" x14ac:dyDescent="0.3">
      <c r="N2081">
        <f t="shared" si="107"/>
        <v>1900</v>
      </c>
    </row>
    <row r="2082" spans="14:14" hidden="1" x14ac:dyDescent="0.3">
      <c r="N2082">
        <f t="shared" si="107"/>
        <v>1900</v>
      </c>
    </row>
    <row r="2083" spans="14:14" hidden="1" x14ac:dyDescent="0.3">
      <c r="N2083">
        <f t="shared" si="107"/>
        <v>1900</v>
      </c>
    </row>
    <row r="2084" spans="14:14" hidden="1" x14ac:dyDescent="0.3">
      <c r="N2084">
        <f t="shared" si="107"/>
        <v>1900</v>
      </c>
    </row>
    <row r="2085" spans="14:14" hidden="1" x14ac:dyDescent="0.3">
      <c r="N2085">
        <f t="shared" si="107"/>
        <v>1900</v>
      </c>
    </row>
    <row r="2086" spans="14:14" hidden="1" x14ac:dyDescent="0.3">
      <c r="N2086">
        <f t="shared" si="107"/>
        <v>1900</v>
      </c>
    </row>
    <row r="2087" spans="14:14" hidden="1" x14ac:dyDescent="0.3">
      <c r="N2087">
        <f t="shared" si="107"/>
        <v>1900</v>
      </c>
    </row>
    <row r="2088" spans="14:14" hidden="1" x14ac:dyDescent="0.3">
      <c r="N2088">
        <f t="shared" si="107"/>
        <v>1900</v>
      </c>
    </row>
    <row r="2089" spans="14:14" hidden="1" x14ac:dyDescent="0.3">
      <c r="N2089">
        <f t="shared" si="107"/>
        <v>1900</v>
      </c>
    </row>
    <row r="2090" spans="14:14" hidden="1" x14ac:dyDescent="0.3">
      <c r="N2090">
        <f t="shared" si="107"/>
        <v>1900</v>
      </c>
    </row>
    <row r="2091" spans="14:14" hidden="1" x14ac:dyDescent="0.3">
      <c r="N2091">
        <f t="shared" si="107"/>
        <v>1900</v>
      </c>
    </row>
    <row r="2092" spans="14:14" hidden="1" x14ac:dyDescent="0.3">
      <c r="N2092">
        <f t="shared" si="107"/>
        <v>1900</v>
      </c>
    </row>
    <row r="2093" spans="14:14" hidden="1" x14ac:dyDescent="0.3">
      <c r="N2093">
        <f t="shared" si="107"/>
        <v>1900</v>
      </c>
    </row>
    <row r="2094" spans="14:14" hidden="1" x14ac:dyDescent="0.3">
      <c r="N2094">
        <f t="shared" si="107"/>
        <v>1900</v>
      </c>
    </row>
    <row r="2095" spans="14:14" hidden="1" x14ac:dyDescent="0.3">
      <c r="N2095">
        <f t="shared" si="107"/>
        <v>1900</v>
      </c>
    </row>
    <row r="2096" spans="14:14" hidden="1" x14ac:dyDescent="0.3">
      <c r="N2096">
        <f t="shared" si="107"/>
        <v>1900</v>
      </c>
    </row>
    <row r="2097" spans="14:14" hidden="1" x14ac:dyDescent="0.3">
      <c r="N2097">
        <f t="shared" si="107"/>
        <v>1900</v>
      </c>
    </row>
    <row r="2098" spans="14:14" hidden="1" x14ac:dyDescent="0.3">
      <c r="N2098">
        <f t="shared" si="107"/>
        <v>1900</v>
      </c>
    </row>
    <row r="2099" spans="14:14" hidden="1" x14ac:dyDescent="0.3">
      <c r="N2099">
        <f t="shared" si="107"/>
        <v>1900</v>
      </c>
    </row>
    <row r="2100" spans="14:14" hidden="1" x14ac:dyDescent="0.3">
      <c r="N2100">
        <f t="shared" si="107"/>
        <v>1900</v>
      </c>
    </row>
    <row r="2101" spans="14:14" hidden="1" x14ac:dyDescent="0.3">
      <c r="N2101">
        <f t="shared" si="107"/>
        <v>1900</v>
      </c>
    </row>
    <row r="2102" spans="14:14" hidden="1" x14ac:dyDescent="0.3">
      <c r="N2102">
        <f t="shared" si="107"/>
        <v>1900</v>
      </c>
    </row>
    <row r="2103" spans="14:14" hidden="1" x14ac:dyDescent="0.3">
      <c r="N2103">
        <f t="shared" si="107"/>
        <v>1900</v>
      </c>
    </row>
    <row r="2104" spans="14:14" hidden="1" x14ac:dyDescent="0.3">
      <c r="N2104">
        <f t="shared" si="107"/>
        <v>1900</v>
      </c>
    </row>
    <row r="2105" spans="14:14" hidden="1" x14ac:dyDescent="0.3">
      <c r="N2105">
        <f t="shared" si="107"/>
        <v>1900</v>
      </c>
    </row>
    <row r="2106" spans="14:14" hidden="1" x14ac:dyDescent="0.3">
      <c r="N2106">
        <f t="shared" si="107"/>
        <v>1900</v>
      </c>
    </row>
    <row r="2107" spans="14:14" hidden="1" x14ac:dyDescent="0.3">
      <c r="N2107">
        <f t="shared" si="107"/>
        <v>1900</v>
      </c>
    </row>
    <row r="2108" spans="14:14" hidden="1" x14ac:dyDescent="0.3">
      <c r="N2108">
        <f t="shared" si="107"/>
        <v>1900</v>
      </c>
    </row>
    <row r="2109" spans="14:14" hidden="1" x14ac:dyDescent="0.3">
      <c r="N2109">
        <f t="shared" si="107"/>
        <v>1900</v>
      </c>
    </row>
    <row r="2110" spans="14:14" hidden="1" x14ac:dyDescent="0.3">
      <c r="N2110">
        <f t="shared" si="107"/>
        <v>1900</v>
      </c>
    </row>
    <row r="2111" spans="14:14" hidden="1" x14ac:dyDescent="0.3">
      <c r="N2111">
        <f t="shared" si="107"/>
        <v>1900</v>
      </c>
    </row>
    <row r="2112" spans="14:14" hidden="1" x14ac:dyDescent="0.3">
      <c r="N2112">
        <f t="shared" si="107"/>
        <v>1900</v>
      </c>
    </row>
    <row r="2113" spans="14:14" hidden="1" x14ac:dyDescent="0.3">
      <c r="N2113">
        <f t="shared" si="107"/>
        <v>1900</v>
      </c>
    </row>
    <row r="2114" spans="14:14" hidden="1" x14ac:dyDescent="0.3">
      <c r="N2114">
        <f t="shared" si="107"/>
        <v>1900</v>
      </c>
    </row>
    <row r="2115" spans="14:14" hidden="1" x14ac:dyDescent="0.3">
      <c r="N2115">
        <f t="shared" ref="N2115:N2178" si="108">YEAR(B2115)</f>
        <v>1900</v>
      </c>
    </row>
    <row r="2116" spans="14:14" hidden="1" x14ac:dyDescent="0.3">
      <c r="N2116">
        <f t="shared" si="108"/>
        <v>1900</v>
      </c>
    </row>
    <row r="2117" spans="14:14" hidden="1" x14ac:dyDescent="0.3">
      <c r="N2117">
        <f t="shared" si="108"/>
        <v>1900</v>
      </c>
    </row>
    <row r="2118" spans="14:14" hidden="1" x14ac:dyDescent="0.3">
      <c r="N2118">
        <f t="shared" si="108"/>
        <v>1900</v>
      </c>
    </row>
    <row r="2119" spans="14:14" hidden="1" x14ac:dyDescent="0.3">
      <c r="N2119">
        <f t="shared" si="108"/>
        <v>1900</v>
      </c>
    </row>
    <row r="2120" spans="14:14" hidden="1" x14ac:dyDescent="0.3">
      <c r="N2120">
        <f t="shared" si="108"/>
        <v>1900</v>
      </c>
    </row>
    <row r="2121" spans="14:14" hidden="1" x14ac:dyDescent="0.3">
      <c r="N2121">
        <f t="shared" si="108"/>
        <v>1900</v>
      </c>
    </row>
    <row r="2122" spans="14:14" hidden="1" x14ac:dyDescent="0.3">
      <c r="N2122">
        <f t="shared" si="108"/>
        <v>1900</v>
      </c>
    </row>
    <row r="2123" spans="14:14" hidden="1" x14ac:dyDescent="0.3">
      <c r="N2123">
        <f t="shared" si="108"/>
        <v>1900</v>
      </c>
    </row>
    <row r="2124" spans="14:14" hidden="1" x14ac:dyDescent="0.3">
      <c r="N2124">
        <f t="shared" si="108"/>
        <v>1900</v>
      </c>
    </row>
    <row r="2125" spans="14:14" hidden="1" x14ac:dyDescent="0.3">
      <c r="N2125">
        <f t="shared" si="108"/>
        <v>1900</v>
      </c>
    </row>
    <row r="2126" spans="14:14" hidden="1" x14ac:dyDescent="0.3">
      <c r="N2126">
        <f t="shared" si="108"/>
        <v>1900</v>
      </c>
    </row>
    <row r="2127" spans="14:14" hidden="1" x14ac:dyDescent="0.3">
      <c r="N2127">
        <f t="shared" si="108"/>
        <v>1900</v>
      </c>
    </row>
    <row r="2128" spans="14:14" hidden="1" x14ac:dyDescent="0.3">
      <c r="N2128">
        <f t="shared" si="108"/>
        <v>1900</v>
      </c>
    </row>
    <row r="2129" spans="14:14" hidden="1" x14ac:dyDescent="0.3">
      <c r="N2129">
        <f t="shared" si="108"/>
        <v>1900</v>
      </c>
    </row>
    <row r="2130" spans="14:14" hidden="1" x14ac:dyDescent="0.3">
      <c r="N2130">
        <f t="shared" si="108"/>
        <v>1900</v>
      </c>
    </row>
    <row r="2131" spans="14:14" hidden="1" x14ac:dyDescent="0.3">
      <c r="N2131">
        <f t="shared" si="108"/>
        <v>1900</v>
      </c>
    </row>
    <row r="2132" spans="14:14" hidden="1" x14ac:dyDescent="0.3">
      <c r="N2132">
        <f t="shared" si="108"/>
        <v>1900</v>
      </c>
    </row>
    <row r="2133" spans="14:14" hidden="1" x14ac:dyDescent="0.3">
      <c r="N2133">
        <f t="shared" si="108"/>
        <v>1900</v>
      </c>
    </row>
    <row r="2134" spans="14:14" hidden="1" x14ac:dyDescent="0.3">
      <c r="N2134">
        <f t="shared" si="108"/>
        <v>1900</v>
      </c>
    </row>
    <row r="2135" spans="14:14" hidden="1" x14ac:dyDescent="0.3">
      <c r="N2135">
        <f t="shared" si="108"/>
        <v>1900</v>
      </c>
    </row>
    <row r="2136" spans="14:14" hidden="1" x14ac:dyDescent="0.3">
      <c r="N2136">
        <f t="shared" si="108"/>
        <v>1900</v>
      </c>
    </row>
    <row r="2137" spans="14:14" hidden="1" x14ac:dyDescent="0.3">
      <c r="N2137">
        <f t="shared" si="108"/>
        <v>1900</v>
      </c>
    </row>
    <row r="2138" spans="14:14" hidden="1" x14ac:dyDescent="0.3">
      <c r="N2138">
        <f t="shared" si="108"/>
        <v>1900</v>
      </c>
    </row>
    <row r="2139" spans="14:14" hidden="1" x14ac:dyDescent="0.3">
      <c r="N2139">
        <f t="shared" si="108"/>
        <v>1900</v>
      </c>
    </row>
    <row r="2140" spans="14:14" hidden="1" x14ac:dyDescent="0.3">
      <c r="N2140">
        <f t="shared" si="108"/>
        <v>1900</v>
      </c>
    </row>
    <row r="2141" spans="14:14" hidden="1" x14ac:dyDescent="0.3">
      <c r="N2141">
        <f t="shared" si="108"/>
        <v>1900</v>
      </c>
    </row>
    <row r="2142" spans="14:14" hidden="1" x14ac:dyDescent="0.3">
      <c r="N2142">
        <f t="shared" si="108"/>
        <v>1900</v>
      </c>
    </row>
    <row r="2143" spans="14:14" hidden="1" x14ac:dyDescent="0.3">
      <c r="N2143">
        <f t="shared" si="108"/>
        <v>1900</v>
      </c>
    </row>
    <row r="2144" spans="14:14" hidden="1" x14ac:dyDescent="0.3">
      <c r="N2144">
        <f t="shared" si="108"/>
        <v>1900</v>
      </c>
    </row>
    <row r="2145" spans="14:14" hidden="1" x14ac:dyDescent="0.3">
      <c r="N2145">
        <f t="shared" si="108"/>
        <v>1900</v>
      </c>
    </row>
    <row r="2146" spans="14:14" hidden="1" x14ac:dyDescent="0.3">
      <c r="N2146">
        <f t="shared" si="108"/>
        <v>1900</v>
      </c>
    </row>
    <row r="2147" spans="14:14" hidden="1" x14ac:dyDescent="0.3">
      <c r="N2147">
        <f t="shared" si="108"/>
        <v>1900</v>
      </c>
    </row>
    <row r="2148" spans="14:14" hidden="1" x14ac:dyDescent="0.3">
      <c r="N2148">
        <f t="shared" si="108"/>
        <v>1900</v>
      </c>
    </row>
    <row r="2149" spans="14:14" hidden="1" x14ac:dyDescent="0.3">
      <c r="N2149">
        <f t="shared" si="108"/>
        <v>1900</v>
      </c>
    </row>
    <row r="2150" spans="14:14" hidden="1" x14ac:dyDescent="0.3">
      <c r="N2150">
        <f t="shared" si="108"/>
        <v>1900</v>
      </c>
    </row>
    <row r="2151" spans="14:14" hidden="1" x14ac:dyDescent="0.3">
      <c r="N2151">
        <f t="shared" si="108"/>
        <v>1900</v>
      </c>
    </row>
    <row r="2152" spans="14:14" hidden="1" x14ac:dyDescent="0.3">
      <c r="N2152">
        <f t="shared" si="108"/>
        <v>1900</v>
      </c>
    </row>
    <row r="2153" spans="14:14" hidden="1" x14ac:dyDescent="0.3">
      <c r="N2153">
        <f t="shared" si="108"/>
        <v>1900</v>
      </c>
    </row>
    <row r="2154" spans="14:14" hidden="1" x14ac:dyDescent="0.3">
      <c r="N2154">
        <f t="shared" si="108"/>
        <v>1900</v>
      </c>
    </row>
    <row r="2155" spans="14:14" hidden="1" x14ac:dyDescent="0.3">
      <c r="N2155">
        <f t="shared" si="108"/>
        <v>1900</v>
      </c>
    </row>
    <row r="2156" spans="14:14" hidden="1" x14ac:dyDescent="0.3">
      <c r="N2156">
        <f t="shared" si="108"/>
        <v>1900</v>
      </c>
    </row>
    <row r="2157" spans="14:14" hidden="1" x14ac:dyDescent="0.3">
      <c r="N2157">
        <f t="shared" si="108"/>
        <v>1900</v>
      </c>
    </row>
    <row r="2158" spans="14:14" hidden="1" x14ac:dyDescent="0.3">
      <c r="N2158">
        <f t="shared" si="108"/>
        <v>1900</v>
      </c>
    </row>
    <row r="2159" spans="14:14" hidden="1" x14ac:dyDescent="0.3">
      <c r="N2159">
        <f t="shared" si="108"/>
        <v>1900</v>
      </c>
    </row>
    <row r="2160" spans="14:14" hidden="1" x14ac:dyDescent="0.3">
      <c r="N2160">
        <f t="shared" si="108"/>
        <v>1900</v>
      </c>
    </row>
    <row r="2161" spans="14:14" hidden="1" x14ac:dyDescent="0.3">
      <c r="N2161">
        <f t="shared" si="108"/>
        <v>1900</v>
      </c>
    </row>
    <row r="2162" spans="14:14" hidden="1" x14ac:dyDescent="0.3">
      <c r="N2162">
        <f t="shared" si="108"/>
        <v>1900</v>
      </c>
    </row>
    <row r="2163" spans="14:14" hidden="1" x14ac:dyDescent="0.3">
      <c r="N2163">
        <f t="shared" si="108"/>
        <v>1900</v>
      </c>
    </row>
    <row r="2164" spans="14:14" hidden="1" x14ac:dyDescent="0.3">
      <c r="N2164">
        <f t="shared" si="108"/>
        <v>1900</v>
      </c>
    </row>
    <row r="2165" spans="14:14" hidden="1" x14ac:dyDescent="0.3">
      <c r="N2165">
        <f t="shared" si="108"/>
        <v>1900</v>
      </c>
    </row>
    <row r="2166" spans="14:14" hidden="1" x14ac:dyDescent="0.3">
      <c r="N2166">
        <f t="shared" si="108"/>
        <v>1900</v>
      </c>
    </row>
    <row r="2167" spans="14:14" hidden="1" x14ac:dyDescent="0.3">
      <c r="N2167">
        <f t="shared" si="108"/>
        <v>1900</v>
      </c>
    </row>
    <row r="2168" spans="14:14" hidden="1" x14ac:dyDescent="0.3">
      <c r="N2168">
        <f t="shared" si="108"/>
        <v>1900</v>
      </c>
    </row>
    <row r="2169" spans="14:14" hidden="1" x14ac:dyDescent="0.3">
      <c r="N2169">
        <f t="shared" si="108"/>
        <v>1900</v>
      </c>
    </row>
    <row r="2170" spans="14:14" hidden="1" x14ac:dyDescent="0.3">
      <c r="N2170">
        <f t="shared" si="108"/>
        <v>1900</v>
      </c>
    </row>
    <row r="2171" spans="14:14" hidden="1" x14ac:dyDescent="0.3">
      <c r="N2171">
        <f t="shared" si="108"/>
        <v>1900</v>
      </c>
    </row>
    <row r="2172" spans="14:14" hidden="1" x14ac:dyDescent="0.3">
      <c r="N2172">
        <f t="shared" si="108"/>
        <v>1900</v>
      </c>
    </row>
    <row r="2173" spans="14:14" hidden="1" x14ac:dyDescent="0.3">
      <c r="N2173">
        <f t="shared" si="108"/>
        <v>1900</v>
      </c>
    </row>
    <row r="2174" spans="14:14" hidden="1" x14ac:dyDescent="0.3">
      <c r="N2174">
        <f t="shared" si="108"/>
        <v>1900</v>
      </c>
    </row>
    <row r="2175" spans="14:14" hidden="1" x14ac:dyDescent="0.3">
      <c r="N2175">
        <f t="shared" si="108"/>
        <v>1900</v>
      </c>
    </row>
    <row r="2176" spans="14:14" hidden="1" x14ac:dyDescent="0.3">
      <c r="N2176">
        <f t="shared" si="108"/>
        <v>1900</v>
      </c>
    </row>
    <row r="2177" spans="14:14" hidden="1" x14ac:dyDescent="0.3">
      <c r="N2177">
        <f t="shared" si="108"/>
        <v>1900</v>
      </c>
    </row>
    <row r="2178" spans="14:14" hidden="1" x14ac:dyDescent="0.3">
      <c r="N2178">
        <f t="shared" si="108"/>
        <v>1900</v>
      </c>
    </row>
    <row r="2179" spans="14:14" hidden="1" x14ac:dyDescent="0.3">
      <c r="N2179">
        <f t="shared" ref="N2179:N2242" si="109">YEAR(B2179)</f>
        <v>1900</v>
      </c>
    </row>
    <row r="2180" spans="14:14" hidden="1" x14ac:dyDescent="0.3">
      <c r="N2180">
        <f t="shared" si="109"/>
        <v>1900</v>
      </c>
    </row>
    <row r="2181" spans="14:14" hidden="1" x14ac:dyDescent="0.3">
      <c r="N2181">
        <f t="shared" si="109"/>
        <v>1900</v>
      </c>
    </row>
    <row r="2182" spans="14:14" hidden="1" x14ac:dyDescent="0.3">
      <c r="N2182">
        <f t="shared" si="109"/>
        <v>1900</v>
      </c>
    </row>
    <row r="2183" spans="14:14" hidden="1" x14ac:dyDescent="0.3">
      <c r="N2183">
        <f t="shared" si="109"/>
        <v>1900</v>
      </c>
    </row>
    <row r="2184" spans="14:14" hidden="1" x14ac:dyDescent="0.3">
      <c r="N2184">
        <f t="shared" si="109"/>
        <v>1900</v>
      </c>
    </row>
    <row r="2185" spans="14:14" hidden="1" x14ac:dyDescent="0.3">
      <c r="N2185">
        <f t="shared" si="109"/>
        <v>1900</v>
      </c>
    </row>
    <row r="2186" spans="14:14" hidden="1" x14ac:dyDescent="0.3">
      <c r="N2186">
        <f t="shared" si="109"/>
        <v>1900</v>
      </c>
    </row>
    <row r="2187" spans="14:14" hidden="1" x14ac:dyDescent="0.3">
      <c r="N2187">
        <f t="shared" si="109"/>
        <v>1900</v>
      </c>
    </row>
    <row r="2188" spans="14:14" hidden="1" x14ac:dyDescent="0.3">
      <c r="N2188">
        <f t="shared" si="109"/>
        <v>1900</v>
      </c>
    </row>
    <row r="2189" spans="14:14" hidden="1" x14ac:dyDescent="0.3">
      <c r="N2189">
        <f t="shared" si="109"/>
        <v>1900</v>
      </c>
    </row>
    <row r="2190" spans="14:14" hidden="1" x14ac:dyDescent="0.3">
      <c r="N2190">
        <f t="shared" si="109"/>
        <v>1900</v>
      </c>
    </row>
    <row r="2191" spans="14:14" hidden="1" x14ac:dyDescent="0.3">
      <c r="N2191">
        <f t="shared" si="109"/>
        <v>1900</v>
      </c>
    </row>
    <row r="2192" spans="14:14" hidden="1" x14ac:dyDescent="0.3">
      <c r="N2192">
        <f t="shared" si="109"/>
        <v>1900</v>
      </c>
    </row>
    <row r="2193" spans="14:14" hidden="1" x14ac:dyDescent="0.3">
      <c r="N2193">
        <f t="shared" si="109"/>
        <v>1900</v>
      </c>
    </row>
    <row r="2194" spans="14:14" hidden="1" x14ac:dyDescent="0.3">
      <c r="N2194">
        <f t="shared" si="109"/>
        <v>1900</v>
      </c>
    </row>
    <row r="2195" spans="14:14" hidden="1" x14ac:dyDescent="0.3">
      <c r="N2195">
        <f t="shared" si="109"/>
        <v>1900</v>
      </c>
    </row>
    <row r="2196" spans="14:14" hidden="1" x14ac:dyDescent="0.3">
      <c r="N2196">
        <f t="shared" si="109"/>
        <v>1900</v>
      </c>
    </row>
    <row r="2197" spans="14:14" hidden="1" x14ac:dyDescent="0.3">
      <c r="N2197">
        <f t="shared" si="109"/>
        <v>1900</v>
      </c>
    </row>
    <row r="2198" spans="14:14" hidden="1" x14ac:dyDescent="0.3">
      <c r="N2198">
        <f t="shared" si="109"/>
        <v>1900</v>
      </c>
    </row>
    <row r="2199" spans="14:14" hidden="1" x14ac:dyDescent="0.3">
      <c r="N2199">
        <f t="shared" si="109"/>
        <v>1900</v>
      </c>
    </row>
    <row r="2200" spans="14:14" hidden="1" x14ac:dyDescent="0.3">
      <c r="N2200">
        <f t="shared" si="109"/>
        <v>1900</v>
      </c>
    </row>
    <row r="2201" spans="14:14" hidden="1" x14ac:dyDescent="0.3">
      <c r="N2201">
        <f t="shared" si="109"/>
        <v>1900</v>
      </c>
    </row>
    <row r="2202" spans="14:14" hidden="1" x14ac:dyDescent="0.3">
      <c r="N2202">
        <f t="shared" si="109"/>
        <v>1900</v>
      </c>
    </row>
    <row r="2203" spans="14:14" hidden="1" x14ac:dyDescent="0.3">
      <c r="N2203">
        <f t="shared" si="109"/>
        <v>1900</v>
      </c>
    </row>
    <row r="2204" spans="14:14" hidden="1" x14ac:dyDescent="0.3">
      <c r="N2204">
        <f t="shared" si="109"/>
        <v>1900</v>
      </c>
    </row>
    <row r="2205" spans="14:14" hidden="1" x14ac:dyDescent="0.3">
      <c r="N2205">
        <f t="shared" si="109"/>
        <v>1900</v>
      </c>
    </row>
    <row r="2206" spans="14:14" hidden="1" x14ac:dyDescent="0.3">
      <c r="N2206">
        <f t="shared" si="109"/>
        <v>1900</v>
      </c>
    </row>
    <row r="2207" spans="14:14" hidden="1" x14ac:dyDescent="0.3">
      <c r="N2207">
        <f t="shared" si="109"/>
        <v>1900</v>
      </c>
    </row>
    <row r="2208" spans="14:14" hidden="1" x14ac:dyDescent="0.3">
      <c r="N2208">
        <f t="shared" si="109"/>
        <v>1900</v>
      </c>
    </row>
    <row r="2209" spans="14:14" hidden="1" x14ac:dyDescent="0.3">
      <c r="N2209">
        <f t="shared" si="109"/>
        <v>1900</v>
      </c>
    </row>
    <row r="2210" spans="14:14" hidden="1" x14ac:dyDescent="0.3">
      <c r="N2210">
        <f t="shared" si="109"/>
        <v>1900</v>
      </c>
    </row>
    <row r="2211" spans="14:14" hidden="1" x14ac:dyDescent="0.3">
      <c r="N2211">
        <f t="shared" si="109"/>
        <v>1900</v>
      </c>
    </row>
    <row r="2212" spans="14:14" hidden="1" x14ac:dyDescent="0.3">
      <c r="N2212">
        <f t="shared" si="109"/>
        <v>1900</v>
      </c>
    </row>
    <row r="2213" spans="14:14" hidden="1" x14ac:dyDescent="0.3">
      <c r="N2213">
        <f t="shared" si="109"/>
        <v>1900</v>
      </c>
    </row>
    <row r="2214" spans="14:14" hidden="1" x14ac:dyDescent="0.3">
      <c r="N2214">
        <f t="shared" si="109"/>
        <v>1900</v>
      </c>
    </row>
    <row r="2215" spans="14:14" hidden="1" x14ac:dyDescent="0.3">
      <c r="N2215">
        <f t="shared" si="109"/>
        <v>1900</v>
      </c>
    </row>
    <row r="2216" spans="14:14" hidden="1" x14ac:dyDescent="0.3">
      <c r="N2216">
        <f t="shared" si="109"/>
        <v>1900</v>
      </c>
    </row>
    <row r="2217" spans="14:14" hidden="1" x14ac:dyDescent="0.3">
      <c r="N2217">
        <f t="shared" si="109"/>
        <v>1900</v>
      </c>
    </row>
    <row r="2218" spans="14:14" hidden="1" x14ac:dyDescent="0.3">
      <c r="N2218">
        <f t="shared" si="109"/>
        <v>1900</v>
      </c>
    </row>
    <row r="2219" spans="14:14" hidden="1" x14ac:dyDescent="0.3">
      <c r="N2219">
        <f t="shared" si="109"/>
        <v>1900</v>
      </c>
    </row>
    <row r="2220" spans="14:14" hidden="1" x14ac:dyDescent="0.3">
      <c r="N2220">
        <f t="shared" si="109"/>
        <v>1900</v>
      </c>
    </row>
    <row r="2221" spans="14:14" hidden="1" x14ac:dyDescent="0.3">
      <c r="N2221">
        <f t="shared" si="109"/>
        <v>1900</v>
      </c>
    </row>
    <row r="2222" spans="14:14" hidden="1" x14ac:dyDescent="0.3">
      <c r="N2222">
        <f t="shared" si="109"/>
        <v>1900</v>
      </c>
    </row>
    <row r="2223" spans="14:14" hidden="1" x14ac:dyDescent="0.3">
      <c r="N2223">
        <f t="shared" si="109"/>
        <v>1900</v>
      </c>
    </row>
    <row r="2224" spans="14:14" hidden="1" x14ac:dyDescent="0.3">
      <c r="N2224">
        <f t="shared" si="109"/>
        <v>1900</v>
      </c>
    </row>
    <row r="2225" spans="14:14" hidden="1" x14ac:dyDescent="0.3">
      <c r="N2225">
        <f t="shared" si="109"/>
        <v>1900</v>
      </c>
    </row>
    <row r="2226" spans="14:14" hidden="1" x14ac:dyDescent="0.3">
      <c r="N2226">
        <f t="shared" si="109"/>
        <v>1900</v>
      </c>
    </row>
    <row r="2227" spans="14:14" hidden="1" x14ac:dyDescent="0.3">
      <c r="N2227">
        <f t="shared" si="109"/>
        <v>1900</v>
      </c>
    </row>
    <row r="2228" spans="14:14" hidden="1" x14ac:dyDescent="0.3">
      <c r="N2228">
        <f t="shared" si="109"/>
        <v>1900</v>
      </c>
    </row>
    <row r="2229" spans="14:14" hidden="1" x14ac:dyDescent="0.3">
      <c r="N2229">
        <f t="shared" si="109"/>
        <v>1900</v>
      </c>
    </row>
    <row r="2230" spans="14:14" hidden="1" x14ac:dyDescent="0.3">
      <c r="N2230">
        <f t="shared" si="109"/>
        <v>1900</v>
      </c>
    </row>
    <row r="2231" spans="14:14" hidden="1" x14ac:dyDescent="0.3">
      <c r="N2231">
        <f t="shared" si="109"/>
        <v>1900</v>
      </c>
    </row>
    <row r="2232" spans="14:14" hidden="1" x14ac:dyDescent="0.3">
      <c r="N2232">
        <f t="shared" si="109"/>
        <v>1900</v>
      </c>
    </row>
    <row r="2233" spans="14:14" hidden="1" x14ac:dyDescent="0.3">
      <c r="N2233">
        <f t="shared" si="109"/>
        <v>1900</v>
      </c>
    </row>
    <row r="2234" spans="14:14" hidden="1" x14ac:dyDescent="0.3">
      <c r="N2234">
        <f t="shared" si="109"/>
        <v>1900</v>
      </c>
    </row>
    <row r="2235" spans="14:14" hidden="1" x14ac:dyDescent="0.3">
      <c r="N2235">
        <f t="shared" si="109"/>
        <v>1900</v>
      </c>
    </row>
    <row r="2236" spans="14:14" hidden="1" x14ac:dyDescent="0.3">
      <c r="N2236">
        <f t="shared" si="109"/>
        <v>1900</v>
      </c>
    </row>
    <row r="2237" spans="14:14" hidden="1" x14ac:dyDescent="0.3">
      <c r="N2237">
        <f t="shared" si="109"/>
        <v>1900</v>
      </c>
    </row>
    <row r="2238" spans="14:14" hidden="1" x14ac:dyDescent="0.3">
      <c r="N2238">
        <f t="shared" si="109"/>
        <v>1900</v>
      </c>
    </row>
    <row r="2239" spans="14:14" hidden="1" x14ac:dyDescent="0.3">
      <c r="N2239">
        <f t="shared" si="109"/>
        <v>1900</v>
      </c>
    </row>
    <row r="2240" spans="14:14" hidden="1" x14ac:dyDescent="0.3">
      <c r="N2240">
        <f t="shared" si="109"/>
        <v>1900</v>
      </c>
    </row>
    <row r="2241" spans="14:14" hidden="1" x14ac:dyDescent="0.3">
      <c r="N2241">
        <f t="shared" si="109"/>
        <v>1900</v>
      </c>
    </row>
    <row r="2242" spans="14:14" hidden="1" x14ac:dyDescent="0.3">
      <c r="N2242">
        <f t="shared" si="109"/>
        <v>1900</v>
      </c>
    </row>
    <row r="2243" spans="14:14" hidden="1" x14ac:dyDescent="0.3">
      <c r="N2243">
        <f t="shared" ref="N2243:N2306" si="110">YEAR(B2243)</f>
        <v>1900</v>
      </c>
    </row>
    <row r="2244" spans="14:14" hidden="1" x14ac:dyDescent="0.3">
      <c r="N2244">
        <f t="shared" si="110"/>
        <v>1900</v>
      </c>
    </row>
    <row r="2245" spans="14:14" hidden="1" x14ac:dyDescent="0.3">
      <c r="N2245">
        <f t="shared" si="110"/>
        <v>1900</v>
      </c>
    </row>
    <row r="2246" spans="14:14" hidden="1" x14ac:dyDescent="0.3">
      <c r="N2246">
        <f t="shared" si="110"/>
        <v>1900</v>
      </c>
    </row>
    <row r="2247" spans="14:14" hidden="1" x14ac:dyDescent="0.3">
      <c r="N2247">
        <f t="shared" si="110"/>
        <v>1900</v>
      </c>
    </row>
    <row r="2248" spans="14:14" hidden="1" x14ac:dyDescent="0.3">
      <c r="N2248">
        <f t="shared" si="110"/>
        <v>1900</v>
      </c>
    </row>
    <row r="2249" spans="14:14" hidden="1" x14ac:dyDescent="0.3">
      <c r="N2249">
        <f t="shared" si="110"/>
        <v>1900</v>
      </c>
    </row>
    <row r="2250" spans="14:14" hidden="1" x14ac:dyDescent="0.3">
      <c r="N2250">
        <f t="shared" si="110"/>
        <v>1900</v>
      </c>
    </row>
    <row r="2251" spans="14:14" hidden="1" x14ac:dyDescent="0.3">
      <c r="N2251">
        <f t="shared" si="110"/>
        <v>1900</v>
      </c>
    </row>
    <row r="2252" spans="14:14" hidden="1" x14ac:dyDescent="0.3">
      <c r="N2252">
        <f t="shared" si="110"/>
        <v>1900</v>
      </c>
    </row>
    <row r="2253" spans="14:14" hidden="1" x14ac:dyDescent="0.3">
      <c r="N2253">
        <f t="shared" si="110"/>
        <v>1900</v>
      </c>
    </row>
    <row r="2254" spans="14:14" hidden="1" x14ac:dyDescent="0.3">
      <c r="N2254">
        <f t="shared" si="110"/>
        <v>1900</v>
      </c>
    </row>
    <row r="2255" spans="14:14" hidden="1" x14ac:dyDescent="0.3">
      <c r="N2255">
        <f t="shared" si="110"/>
        <v>1900</v>
      </c>
    </row>
    <row r="2256" spans="14:14" hidden="1" x14ac:dyDescent="0.3">
      <c r="N2256">
        <f t="shared" si="110"/>
        <v>1900</v>
      </c>
    </row>
    <row r="2257" spans="14:14" hidden="1" x14ac:dyDescent="0.3">
      <c r="N2257">
        <f t="shared" si="110"/>
        <v>1900</v>
      </c>
    </row>
    <row r="2258" spans="14:14" hidden="1" x14ac:dyDescent="0.3">
      <c r="N2258">
        <f t="shared" si="110"/>
        <v>1900</v>
      </c>
    </row>
    <row r="2259" spans="14:14" hidden="1" x14ac:dyDescent="0.3">
      <c r="N2259">
        <f t="shared" si="110"/>
        <v>1900</v>
      </c>
    </row>
    <row r="2260" spans="14:14" hidden="1" x14ac:dyDescent="0.3">
      <c r="N2260">
        <f t="shared" si="110"/>
        <v>1900</v>
      </c>
    </row>
    <row r="2261" spans="14:14" hidden="1" x14ac:dyDescent="0.3">
      <c r="N2261">
        <f t="shared" si="110"/>
        <v>1900</v>
      </c>
    </row>
    <row r="2262" spans="14:14" hidden="1" x14ac:dyDescent="0.3">
      <c r="N2262">
        <f t="shared" si="110"/>
        <v>1900</v>
      </c>
    </row>
    <row r="2263" spans="14:14" hidden="1" x14ac:dyDescent="0.3">
      <c r="N2263">
        <f t="shared" si="110"/>
        <v>1900</v>
      </c>
    </row>
    <row r="2264" spans="14:14" hidden="1" x14ac:dyDescent="0.3">
      <c r="N2264">
        <f t="shared" si="110"/>
        <v>1900</v>
      </c>
    </row>
    <row r="2265" spans="14:14" hidden="1" x14ac:dyDescent="0.3">
      <c r="N2265">
        <f t="shared" si="110"/>
        <v>1900</v>
      </c>
    </row>
    <row r="2266" spans="14:14" hidden="1" x14ac:dyDescent="0.3">
      <c r="N2266">
        <f t="shared" si="110"/>
        <v>1900</v>
      </c>
    </row>
    <row r="2267" spans="14:14" hidden="1" x14ac:dyDescent="0.3">
      <c r="N2267">
        <f t="shared" si="110"/>
        <v>1900</v>
      </c>
    </row>
    <row r="2268" spans="14:14" hidden="1" x14ac:dyDescent="0.3">
      <c r="N2268">
        <f t="shared" si="110"/>
        <v>1900</v>
      </c>
    </row>
    <row r="2269" spans="14:14" hidden="1" x14ac:dyDescent="0.3">
      <c r="N2269">
        <f t="shared" si="110"/>
        <v>1900</v>
      </c>
    </row>
    <row r="2270" spans="14:14" hidden="1" x14ac:dyDescent="0.3">
      <c r="N2270">
        <f t="shared" si="110"/>
        <v>1900</v>
      </c>
    </row>
    <row r="2271" spans="14:14" hidden="1" x14ac:dyDescent="0.3">
      <c r="N2271">
        <f t="shared" si="110"/>
        <v>1900</v>
      </c>
    </row>
    <row r="2272" spans="14:14" hidden="1" x14ac:dyDescent="0.3">
      <c r="N2272">
        <f t="shared" si="110"/>
        <v>1900</v>
      </c>
    </row>
    <row r="2273" spans="14:14" hidden="1" x14ac:dyDescent="0.3">
      <c r="N2273">
        <f t="shared" si="110"/>
        <v>1900</v>
      </c>
    </row>
    <row r="2274" spans="14:14" hidden="1" x14ac:dyDescent="0.3">
      <c r="N2274">
        <f t="shared" si="110"/>
        <v>1900</v>
      </c>
    </row>
    <row r="2275" spans="14:14" hidden="1" x14ac:dyDescent="0.3">
      <c r="N2275">
        <f t="shared" si="110"/>
        <v>1900</v>
      </c>
    </row>
    <row r="2276" spans="14:14" hidden="1" x14ac:dyDescent="0.3">
      <c r="N2276">
        <f t="shared" si="110"/>
        <v>1900</v>
      </c>
    </row>
    <row r="2277" spans="14:14" hidden="1" x14ac:dyDescent="0.3">
      <c r="N2277">
        <f t="shared" si="110"/>
        <v>1900</v>
      </c>
    </row>
    <row r="2278" spans="14:14" hidden="1" x14ac:dyDescent="0.3">
      <c r="N2278">
        <f t="shared" si="110"/>
        <v>1900</v>
      </c>
    </row>
    <row r="2279" spans="14:14" hidden="1" x14ac:dyDescent="0.3">
      <c r="N2279">
        <f t="shared" si="110"/>
        <v>1900</v>
      </c>
    </row>
    <row r="2280" spans="14:14" hidden="1" x14ac:dyDescent="0.3">
      <c r="N2280">
        <f t="shared" si="110"/>
        <v>1900</v>
      </c>
    </row>
    <row r="2281" spans="14:14" hidden="1" x14ac:dyDescent="0.3">
      <c r="N2281">
        <f t="shared" si="110"/>
        <v>1900</v>
      </c>
    </row>
    <row r="2282" spans="14:14" hidden="1" x14ac:dyDescent="0.3">
      <c r="N2282">
        <f t="shared" si="110"/>
        <v>1900</v>
      </c>
    </row>
    <row r="2283" spans="14:14" hidden="1" x14ac:dyDescent="0.3">
      <c r="N2283">
        <f t="shared" si="110"/>
        <v>1900</v>
      </c>
    </row>
    <row r="2284" spans="14:14" hidden="1" x14ac:dyDescent="0.3">
      <c r="N2284">
        <f t="shared" si="110"/>
        <v>1900</v>
      </c>
    </row>
    <row r="2285" spans="14:14" hidden="1" x14ac:dyDescent="0.3">
      <c r="N2285">
        <f t="shared" si="110"/>
        <v>1900</v>
      </c>
    </row>
    <row r="2286" spans="14:14" hidden="1" x14ac:dyDescent="0.3">
      <c r="N2286">
        <f t="shared" si="110"/>
        <v>1900</v>
      </c>
    </row>
    <row r="2287" spans="14:14" hidden="1" x14ac:dyDescent="0.3">
      <c r="N2287">
        <f t="shared" si="110"/>
        <v>1900</v>
      </c>
    </row>
    <row r="2288" spans="14:14" hidden="1" x14ac:dyDescent="0.3">
      <c r="N2288">
        <f t="shared" si="110"/>
        <v>1900</v>
      </c>
    </row>
    <row r="2289" spans="14:14" hidden="1" x14ac:dyDescent="0.3">
      <c r="N2289">
        <f t="shared" si="110"/>
        <v>1900</v>
      </c>
    </row>
    <row r="2290" spans="14:14" hidden="1" x14ac:dyDescent="0.3">
      <c r="N2290">
        <f t="shared" si="110"/>
        <v>1900</v>
      </c>
    </row>
    <row r="2291" spans="14:14" hidden="1" x14ac:dyDescent="0.3">
      <c r="N2291">
        <f t="shared" si="110"/>
        <v>1900</v>
      </c>
    </row>
    <row r="2292" spans="14:14" hidden="1" x14ac:dyDescent="0.3">
      <c r="N2292">
        <f t="shared" si="110"/>
        <v>1900</v>
      </c>
    </row>
    <row r="2293" spans="14:14" hidden="1" x14ac:dyDescent="0.3">
      <c r="N2293">
        <f t="shared" si="110"/>
        <v>1900</v>
      </c>
    </row>
    <row r="2294" spans="14:14" hidden="1" x14ac:dyDescent="0.3">
      <c r="N2294">
        <f t="shared" si="110"/>
        <v>1900</v>
      </c>
    </row>
    <row r="2295" spans="14:14" hidden="1" x14ac:dyDescent="0.3">
      <c r="N2295">
        <f t="shared" si="110"/>
        <v>1900</v>
      </c>
    </row>
    <row r="2296" spans="14:14" hidden="1" x14ac:dyDescent="0.3">
      <c r="N2296">
        <f t="shared" si="110"/>
        <v>1900</v>
      </c>
    </row>
    <row r="2297" spans="14:14" hidden="1" x14ac:dyDescent="0.3">
      <c r="N2297">
        <f t="shared" si="110"/>
        <v>1900</v>
      </c>
    </row>
    <row r="2298" spans="14:14" hidden="1" x14ac:dyDescent="0.3">
      <c r="N2298">
        <f t="shared" si="110"/>
        <v>1900</v>
      </c>
    </row>
    <row r="2299" spans="14:14" hidden="1" x14ac:dyDescent="0.3">
      <c r="N2299">
        <f t="shared" si="110"/>
        <v>1900</v>
      </c>
    </row>
    <row r="2300" spans="14:14" hidden="1" x14ac:dyDescent="0.3">
      <c r="N2300">
        <f t="shared" si="110"/>
        <v>1900</v>
      </c>
    </row>
    <row r="2301" spans="14:14" hidden="1" x14ac:dyDescent="0.3">
      <c r="N2301">
        <f t="shared" si="110"/>
        <v>1900</v>
      </c>
    </row>
    <row r="2302" spans="14:14" hidden="1" x14ac:dyDescent="0.3">
      <c r="N2302">
        <f t="shared" si="110"/>
        <v>1900</v>
      </c>
    </row>
    <row r="2303" spans="14:14" hidden="1" x14ac:dyDescent="0.3">
      <c r="N2303">
        <f t="shared" si="110"/>
        <v>1900</v>
      </c>
    </row>
    <row r="2304" spans="14:14" hidden="1" x14ac:dyDescent="0.3">
      <c r="N2304">
        <f t="shared" si="110"/>
        <v>1900</v>
      </c>
    </row>
    <row r="2305" spans="14:14" hidden="1" x14ac:dyDescent="0.3">
      <c r="N2305">
        <f t="shared" si="110"/>
        <v>1900</v>
      </c>
    </row>
    <row r="2306" spans="14:14" hidden="1" x14ac:dyDescent="0.3">
      <c r="N2306">
        <f t="shared" si="110"/>
        <v>1900</v>
      </c>
    </row>
    <row r="2307" spans="14:14" hidden="1" x14ac:dyDescent="0.3">
      <c r="N2307">
        <f t="shared" ref="N2307:N2370" si="111">YEAR(B2307)</f>
        <v>1900</v>
      </c>
    </row>
    <row r="2308" spans="14:14" hidden="1" x14ac:dyDescent="0.3">
      <c r="N2308">
        <f t="shared" si="111"/>
        <v>1900</v>
      </c>
    </row>
    <row r="2309" spans="14:14" hidden="1" x14ac:dyDescent="0.3">
      <c r="N2309">
        <f t="shared" si="111"/>
        <v>1900</v>
      </c>
    </row>
    <row r="2310" spans="14:14" hidden="1" x14ac:dyDescent="0.3">
      <c r="N2310">
        <f t="shared" si="111"/>
        <v>1900</v>
      </c>
    </row>
    <row r="2311" spans="14:14" hidden="1" x14ac:dyDescent="0.3">
      <c r="N2311">
        <f t="shared" si="111"/>
        <v>1900</v>
      </c>
    </row>
    <row r="2312" spans="14:14" hidden="1" x14ac:dyDescent="0.3">
      <c r="N2312">
        <f t="shared" si="111"/>
        <v>1900</v>
      </c>
    </row>
    <row r="2313" spans="14:14" hidden="1" x14ac:dyDescent="0.3">
      <c r="N2313">
        <f t="shared" si="111"/>
        <v>1900</v>
      </c>
    </row>
    <row r="2314" spans="14:14" hidden="1" x14ac:dyDescent="0.3">
      <c r="N2314">
        <f t="shared" si="111"/>
        <v>1900</v>
      </c>
    </row>
    <row r="2315" spans="14:14" hidden="1" x14ac:dyDescent="0.3">
      <c r="N2315">
        <f t="shared" si="111"/>
        <v>1900</v>
      </c>
    </row>
    <row r="2316" spans="14:14" hidden="1" x14ac:dyDescent="0.3">
      <c r="N2316">
        <f t="shared" si="111"/>
        <v>1900</v>
      </c>
    </row>
    <row r="2317" spans="14:14" hidden="1" x14ac:dyDescent="0.3">
      <c r="N2317">
        <f t="shared" si="111"/>
        <v>1900</v>
      </c>
    </row>
    <row r="2318" spans="14:14" hidden="1" x14ac:dyDescent="0.3">
      <c r="N2318">
        <f t="shared" si="111"/>
        <v>1900</v>
      </c>
    </row>
    <row r="2319" spans="14:14" hidden="1" x14ac:dyDescent="0.3">
      <c r="N2319">
        <f t="shared" si="111"/>
        <v>1900</v>
      </c>
    </row>
    <row r="2320" spans="14:14" hidden="1" x14ac:dyDescent="0.3">
      <c r="N2320">
        <f t="shared" si="111"/>
        <v>1900</v>
      </c>
    </row>
    <row r="2321" spans="14:14" hidden="1" x14ac:dyDescent="0.3">
      <c r="N2321">
        <f t="shared" si="111"/>
        <v>1900</v>
      </c>
    </row>
    <row r="2322" spans="14:14" hidden="1" x14ac:dyDescent="0.3">
      <c r="N2322">
        <f t="shared" si="111"/>
        <v>1900</v>
      </c>
    </row>
    <row r="2323" spans="14:14" hidden="1" x14ac:dyDescent="0.3">
      <c r="N2323">
        <f t="shared" si="111"/>
        <v>1900</v>
      </c>
    </row>
    <row r="2324" spans="14:14" hidden="1" x14ac:dyDescent="0.3">
      <c r="N2324">
        <f t="shared" si="111"/>
        <v>1900</v>
      </c>
    </row>
    <row r="2325" spans="14:14" hidden="1" x14ac:dyDescent="0.3">
      <c r="N2325">
        <f t="shared" si="111"/>
        <v>1900</v>
      </c>
    </row>
    <row r="2326" spans="14:14" hidden="1" x14ac:dyDescent="0.3">
      <c r="N2326">
        <f t="shared" si="111"/>
        <v>1900</v>
      </c>
    </row>
    <row r="2327" spans="14:14" hidden="1" x14ac:dyDescent="0.3">
      <c r="N2327">
        <f t="shared" si="111"/>
        <v>1900</v>
      </c>
    </row>
    <row r="2328" spans="14:14" hidden="1" x14ac:dyDescent="0.3">
      <c r="N2328">
        <f t="shared" si="111"/>
        <v>1900</v>
      </c>
    </row>
    <row r="2329" spans="14:14" hidden="1" x14ac:dyDescent="0.3">
      <c r="N2329">
        <f t="shared" si="111"/>
        <v>1900</v>
      </c>
    </row>
    <row r="2330" spans="14:14" hidden="1" x14ac:dyDescent="0.3">
      <c r="N2330">
        <f t="shared" si="111"/>
        <v>1900</v>
      </c>
    </row>
    <row r="2331" spans="14:14" hidden="1" x14ac:dyDescent="0.3">
      <c r="N2331">
        <f t="shared" si="111"/>
        <v>1900</v>
      </c>
    </row>
    <row r="2332" spans="14:14" hidden="1" x14ac:dyDescent="0.3">
      <c r="N2332">
        <f t="shared" si="111"/>
        <v>1900</v>
      </c>
    </row>
    <row r="2333" spans="14:14" hidden="1" x14ac:dyDescent="0.3">
      <c r="N2333">
        <f t="shared" si="111"/>
        <v>1900</v>
      </c>
    </row>
    <row r="2334" spans="14:14" hidden="1" x14ac:dyDescent="0.3">
      <c r="N2334">
        <f t="shared" si="111"/>
        <v>1900</v>
      </c>
    </row>
    <row r="2335" spans="14:14" hidden="1" x14ac:dyDescent="0.3">
      <c r="N2335">
        <f t="shared" si="111"/>
        <v>1900</v>
      </c>
    </row>
    <row r="2336" spans="14:14" hidden="1" x14ac:dyDescent="0.3">
      <c r="N2336">
        <f t="shared" si="111"/>
        <v>1900</v>
      </c>
    </row>
    <row r="2337" spans="14:14" hidden="1" x14ac:dyDescent="0.3">
      <c r="N2337">
        <f t="shared" si="111"/>
        <v>1900</v>
      </c>
    </row>
    <row r="2338" spans="14:14" hidden="1" x14ac:dyDescent="0.3">
      <c r="N2338">
        <f t="shared" si="111"/>
        <v>1900</v>
      </c>
    </row>
    <row r="2339" spans="14:14" hidden="1" x14ac:dyDescent="0.3">
      <c r="N2339">
        <f t="shared" si="111"/>
        <v>1900</v>
      </c>
    </row>
    <row r="2340" spans="14:14" hidden="1" x14ac:dyDescent="0.3">
      <c r="N2340">
        <f t="shared" si="111"/>
        <v>1900</v>
      </c>
    </row>
    <row r="2341" spans="14:14" hidden="1" x14ac:dyDescent="0.3">
      <c r="N2341">
        <f t="shared" si="111"/>
        <v>1900</v>
      </c>
    </row>
    <row r="2342" spans="14:14" hidden="1" x14ac:dyDescent="0.3">
      <c r="N2342">
        <f t="shared" si="111"/>
        <v>1900</v>
      </c>
    </row>
    <row r="2343" spans="14:14" hidden="1" x14ac:dyDescent="0.3">
      <c r="N2343">
        <f t="shared" si="111"/>
        <v>1900</v>
      </c>
    </row>
    <row r="2344" spans="14:14" hidden="1" x14ac:dyDescent="0.3">
      <c r="N2344">
        <f t="shared" si="111"/>
        <v>1900</v>
      </c>
    </row>
    <row r="2345" spans="14:14" hidden="1" x14ac:dyDescent="0.3">
      <c r="N2345">
        <f t="shared" si="111"/>
        <v>1900</v>
      </c>
    </row>
    <row r="2346" spans="14:14" hidden="1" x14ac:dyDescent="0.3">
      <c r="N2346">
        <f t="shared" si="111"/>
        <v>1900</v>
      </c>
    </row>
    <row r="2347" spans="14:14" hidden="1" x14ac:dyDescent="0.3">
      <c r="N2347">
        <f t="shared" si="111"/>
        <v>1900</v>
      </c>
    </row>
    <row r="2348" spans="14:14" hidden="1" x14ac:dyDescent="0.3">
      <c r="N2348">
        <f t="shared" si="111"/>
        <v>1900</v>
      </c>
    </row>
    <row r="2349" spans="14:14" hidden="1" x14ac:dyDescent="0.3">
      <c r="N2349">
        <f t="shared" si="111"/>
        <v>1900</v>
      </c>
    </row>
    <row r="2350" spans="14:14" hidden="1" x14ac:dyDescent="0.3">
      <c r="N2350">
        <f t="shared" si="111"/>
        <v>1900</v>
      </c>
    </row>
    <row r="2351" spans="14:14" hidden="1" x14ac:dyDescent="0.3">
      <c r="N2351">
        <f t="shared" si="111"/>
        <v>1900</v>
      </c>
    </row>
    <row r="2352" spans="14:14" hidden="1" x14ac:dyDescent="0.3">
      <c r="N2352">
        <f t="shared" si="111"/>
        <v>1900</v>
      </c>
    </row>
    <row r="2353" spans="14:14" hidden="1" x14ac:dyDescent="0.3">
      <c r="N2353">
        <f t="shared" si="111"/>
        <v>1900</v>
      </c>
    </row>
    <row r="2354" spans="14:14" hidden="1" x14ac:dyDescent="0.3">
      <c r="N2354">
        <f t="shared" si="111"/>
        <v>1900</v>
      </c>
    </row>
    <row r="2355" spans="14:14" hidden="1" x14ac:dyDescent="0.3">
      <c r="N2355">
        <f t="shared" si="111"/>
        <v>1900</v>
      </c>
    </row>
    <row r="2356" spans="14:14" hidden="1" x14ac:dyDescent="0.3">
      <c r="N2356">
        <f t="shared" si="111"/>
        <v>1900</v>
      </c>
    </row>
    <row r="2357" spans="14:14" hidden="1" x14ac:dyDescent="0.3">
      <c r="N2357">
        <f t="shared" si="111"/>
        <v>1900</v>
      </c>
    </row>
    <row r="2358" spans="14:14" hidden="1" x14ac:dyDescent="0.3">
      <c r="N2358">
        <f t="shared" si="111"/>
        <v>1900</v>
      </c>
    </row>
    <row r="2359" spans="14:14" hidden="1" x14ac:dyDescent="0.3">
      <c r="N2359">
        <f t="shared" si="111"/>
        <v>1900</v>
      </c>
    </row>
    <row r="2360" spans="14:14" hidden="1" x14ac:dyDescent="0.3">
      <c r="N2360">
        <f t="shared" si="111"/>
        <v>1900</v>
      </c>
    </row>
    <row r="2361" spans="14:14" hidden="1" x14ac:dyDescent="0.3">
      <c r="N2361">
        <f t="shared" si="111"/>
        <v>1900</v>
      </c>
    </row>
    <row r="2362" spans="14:14" hidden="1" x14ac:dyDescent="0.3">
      <c r="N2362">
        <f t="shared" si="111"/>
        <v>1900</v>
      </c>
    </row>
    <row r="2363" spans="14:14" hidden="1" x14ac:dyDescent="0.3">
      <c r="N2363">
        <f t="shared" si="111"/>
        <v>1900</v>
      </c>
    </row>
    <row r="2364" spans="14:14" hidden="1" x14ac:dyDescent="0.3">
      <c r="N2364">
        <f t="shared" si="111"/>
        <v>1900</v>
      </c>
    </row>
    <row r="2365" spans="14:14" hidden="1" x14ac:dyDescent="0.3">
      <c r="N2365">
        <f t="shared" si="111"/>
        <v>1900</v>
      </c>
    </row>
    <row r="2366" spans="14:14" hidden="1" x14ac:dyDescent="0.3">
      <c r="N2366">
        <f t="shared" si="111"/>
        <v>1900</v>
      </c>
    </row>
    <row r="2367" spans="14:14" hidden="1" x14ac:dyDescent="0.3">
      <c r="N2367">
        <f t="shared" si="111"/>
        <v>1900</v>
      </c>
    </row>
    <row r="2368" spans="14:14" hidden="1" x14ac:dyDescent="0.3">
      <c r="N2368">
        <f t="shared" si="111"/>
        <v>1900</v>
      </c>
    </row>
    <row r="2369" spans="14:14" hidden="1" x14ac:dyDescent="0.3">
      <c r="N2369">
        <f t="shared" si="111"/>
        <v>1900</v>
      </c>
    </row>
    <row r="2370" spans="14:14" hidden="1" x14ac:dyDescent="0.3">
      <c r="N2370">
        <f t="shared" si="111"/>
        <v>1900</v>
      </c>
    </row>
    <row r="2371" spans="14:14" hidden="1" x14ac:dyDescent="0.3">
      <c r="N2371">
        <f t="shared" ref="N2371:N2434" si="112">YEAR(B2371)</f>
        <v>1900</v>
      </c>
    </row>
    <row r="2372" spans="14:14" hidden="1" x14ac:dyDescent="0.3">
      <c r="N2372">
        <f t="shared" si="112"/>
        <v>1900</v>
      </c>
    </row>
    <row r="2373" spans="14:14" hidden="1" x14ac:dyDescent="0.3">
      <c r="N2373">
        <f t="shared" si="112"/>
        <v>1900</v>
      </c>
    </row>
    <row r="2374" spans="14:14" hidden="1" x14ac:dyDescent="0.3">
      <c r="N2374">
        <f t="shared" si="112"/>
        <v>1900</v>
      </c>
    </row>
    <row r="2375" spans="14:14" hidden="1" x14ac:dyDescent="0.3">
      <c r="N2375">
        <f t="shared" si="112"/>
        <v>1900</v>
      </c>
    </row>
    <row r="2376" spans="14:14" hidden="1" x14ac:dyDescent="0.3">
      <c r="N2376">
        <f t="shared" si="112"/>
        <v>1900</v>
      </c>
    </row>
    <row r="2377" spans="14:14" hidden="1" x14ac:dyDescent="0.3">
      <c r="N2377">
        <f t="shared" si="112"/>
        <v>1900</v>
      </c>
    </row>
    <row r="2378" spans="14:14" hidden="1" x14ac:dyDescent="0.3">
      <c r="N2378">
        <f t="shared" si="112"/>
        <v>1900</v>
      </c>
    </row>
    <row r="2379" spans="14:14" hidden="1" x14ac:dyDescent="0.3">
      <c r="N2379">
        <f t="shared" si="112"/>
        <v>1900</v>
      </c>
    </row>
    <row r="2380" spans="14:14" hidden="1" x14ac:dyDescent="0.3">
      <c r="N2380">
        <f t="shared" si="112"/>
        <v>1900</v>
      </c>
    </row>
    <row r="2381" spans="14:14" hidden="1" x14ac:dyDescent="0.3">
      <c r="N2381">
        <f t="shared" si="112"/>
        <v>1900</v>
      </c>
    </row>
    <row r="2382" spans="14:14" hidden="1" x14ac:dyDescent="0.3">
      <c r="N2382">
        <f t="shared" si="112"/>
        <v>1900</v>
      </c>
    </row>
    <row r="2383" spans="14:14" hidden="1" x14ac:dyDescent="0.3">
      <c r="N2383">
        <f t="shared" si="112"/>
        <v>1900</v>
      </c>
    </row>
    <row r="2384" spans="14:14" hidden="1" x14ac:dyDescent="0.3">
      <c r="N2384">
        <f t="shared" si="112"/>
        <v>1900</v>
      </c>
    </row>
    <row r="2385" spans="14:14" hidden="1" x14ac:dyDescent="0.3">
      <c r="N2385">
        <f t="shared" si="112"/>
        <v>1900</v>
      </c>
    </row>
    <row r="2386" spans="14:14" hidden="1" x14ac:dyDescent="0.3">
      <c r="N2386">
        <f t="shared" si="112"/>
        <v>1900</v>
      </c>
    </row>
    <row r="2387" spans="14:14" hidden="1" x14ac:dyDescent="0.3">
      <c r="N2387">
        <f t="shared" si="112"/>
        <v>1900</v>
      </c>
    </row>
    <row r="2388" spans="14:14" hidden="1" x14ac:dyDescent="0.3">
      <c r="N2388">
        <f t="shared" si="112"/>
        <v>1900</v>
      </c>
    </row>
    <row r="2389" spans="14:14" hidden="1" x14ac:dyDescent="0.3">
      <c r="N2389">
        <f t="shared" si="112"/>
        <v>1900</v>
      </c>
    </row>
    <row r="2390" spans="14:14" hidden="1" x14ac:dyDescent="0.3">
      <c r="N2390">
        <f t="shared" si="112"/>
        <v>1900</v>
      </c>
    </row>
    <row r="2391" spans="14:14" hidden="1" x14ac:dyDescent="0.3">
      <c r="N2391">
        <f t="shared" si="112"/>
        <v>1900</v>
      </c>
    </row>
    <row r="2392" spans="14:14" hidden="1" x14ac:dyDescent="0.3">
      <c r="N2392">
        <f t="shared" si="112"/>
        <v>1900</v>
      </c>
    </row>
    <row r="2393" spans="14:14" hidden="1" x14ac:dyDescent="0.3">
      <c r="N2393">
        <f t="shared" si="112"/>
        <v>1900</v>
      </c>
    </row>
    <row r="2394" spans="14:14" hidden="1" x14ac:dyDescent="0.3">
      <c r="N2394">
        <f t="shared" si="112"/>
        <v>1900</v>
      </c>
    </row>
    <row r="2395" spans="14:14" hidden="1" x14ac:dyDescent="0.3">
      <c r="N2395">
        <f t="shared" si="112"/>
        <v>1900</v>
      </c>
    </row>
    <row r="2396" spans="14:14" hidden="1" x14ac:dyDescent="0.3">
      <c r="N2396">
        <f t="shared" si="112"/>
        <v>1900</v>
      </c>
    </row>
    <row r="2397" spans="14:14" hidden="1" x14ac:dyDescent="0.3">
      <c r="N2397">
        <f t="shared" si="112"/>
        <v>1900</v>
      </c>
    </row>
    <row r="2398" spans="14:14" hidden="1" x14ac:dyDescent="0.3">
      <c r="N2398">
        <f t="shared" si="112"/>
        <v>1900</v>
      </c>
    </row>
    <row r="2399" spans="14:14" hidden="1" x14ac:dyDescent="0.3">
      <c r="N2399">
        <f t="shared" si="112"/>
        <v>1900</v>
      </c>
    </row>
    <row r="2400" spans="14:14" hidden="1" x14ac:dyDescent="0.3">
      <c r="N2400">
        <f t="shared" si="112"/>
        <v>1900</v>
      </c>
    </row>
    <row r="2401" spans="14:14" hidden="1" x14ac:dyDescent="0.3">
      <c r="N2401">
        <f t="shared" si="112"/>
        <v>1900</v>
      </c>
    </row>
    <row r="2402" spans="14:14" hidden="1" x14ac:dyDescent="0.3">
      <c r="N2402">
        <f t="shared" si="112"/>
        <v>1900</v>
      </c>
    </row>
    <row r="2403" spans="14:14" hidden="1" x14ac:dyDescent="0.3">
      <c r="N2403">
        <f t="shared" si="112"/>
        <v>1900</v>
      </c>
    </row>
    <row r="2404" spans="14:14" hidden="1" x14ac:dyDescent="0.3">
      <c r="N2404">
        <f t="shared" si="112"/>
        <v>1900</v>
      </c>
    </row>
    <row r="2405" spans="14:14" hidden="1" x14ac:dyDescent="0.3">
      <c r="N2405">
        <f t="shared" si="112"/>
        <v>1900</v>
      </c>
    </row>
    <row r="2406" spans="14:14" hidden="1" x14ac:dyDescent="0.3">
      <c r="N2406">
        <f t="shared" si="112"/>
        <v>1900</v>
      </c>
    </row>
    <row r="2407" spans="14:14" hidden="1" x14ac:dyDescent="0.3">
      <c r="N2407">
        <f t="shared" si="112"/>
        <v>1900</v>
      </c>
    </row>
    <row r="2408" spans="14:14" hidden="1" x14ac:dyDescent="0.3">
      <c r="N2408">
        <f t="shared" si="112"/>
        <v>1900</v>
      </c>
    </row>
    <row r="2409" spans="14:14" hidden="1" x14ac:dyDescent="0.3">
      <c r="N2409">
        <f t="shared" si="112"/>
        <v>1900</v>
      </c>
    </row>
    <row r="2410" spans="14:14" hidden="1" x14ac:dyDescent="0.3">
      <c r="N2410">
        <f t="shared" si="112"/>
        <v>1900</v>
      </c>
    </row>
    <row r="2411" spans="14:14" hidden="1" x14ac:dyDescent="0.3">
      <c r="N2411">
        <f t="shared" si="112"/>
        <v>1900</v>
      </c>
    </row>
    <row r="2412" spans="14:14" hidden="1" x14ac:dyDescent="0.3">
      <c r="N2412">
        <f t="shared" si="112"/>
        <v>1900</v>
      </c>
    </row>
    <row r="2413" spans="14:14" hidden="1" x14ac:dyDescent="0.3">
      <c r="N2413">
        <f t="shared" si="112"/>
        <v>1900</v>
      </c>
    </row>
    <row r="2414" spans="14:14" hidden="1" x14ac:dyDescent="0.3">
      <c r="N2414">
        <f t="shared" si="112"/>
        <v>1900</v>
      </c>
    </row>
    <row r="2415" spans="14:14" hidden="1" x14ac:dyDescent="0.3">
      <c r="N2415">
        <f t="shared" si="112"/>
        <v>1900</v>
      </c>
    </row>
    <row r="2416" spans="14:14" hidden="1" x14ac:dyDescent="0.3">
      <c r="N2416">
        <f t="shared" si="112"/>
        <v>1900</v>
      </c>
    </row>
    <row r="2417" spans="14:14" hidden="1" x14ac:dyDescent="0.3">
      <c r="N2417">
        <f t="shared" si="112"/>
        <v>1900</v>
      </c>
    </row>
    <row r="2418" spans="14:14" hidden="1" x14ac:dyDescent="0.3">
      <c r="N2418">
        <f t="shared" si="112"/>
        <v>1900</v>
      </c>
    </row>
    <row r="2419" spans="14:14" hidden="1" x14ac:dyDescent="0.3">
      <c r="N2419">
        <f t="shared" si="112"/>
        <v>1900</v>
      </c>
    </row>
    <row r="2420" spans="14:14" hidden="1" x14ac:dyDescent="0.3">
      <c r="N2420">
        <f t="shared" si="112"/>
        <v>1900</v>
      </c>
    </row>
    <row r="2421" spans="14:14" hidden="1" x14ac:dyDescent="0.3">
      <c r="N2421">
        <f t="shared" si="112"/>
        <v>1900</v>
      </c>
    </row>
    <row r="2422" spans="14:14" hidden="1" x14ac:dyDescent="0.3">
      <c r="N2422">
        <f t="shared" si="112"/>
        <v>1900</v>
      </c>
    </row>
    <row r="2423" spans="14:14" hidden="1" x14ac:dyDescent="0.3">
      <c r="N2423">
        <f t="shared" si="112"/>
        <v>1900</v>
      </c>
    </row>
    <row r="2424" spans="14:14" hidden="1" x14ac:dyDescent="0.3">
      <c r="N2424">
        <f t="shared" si="112"/>
        <v>1900</v>
      </c>
    </row>
    <row r="2425" spans="14:14" hidden="1" x14ac:dyDescent="0.3">
      <c r="N2425">
        <f t="shared" si="112"/>
        <v>1900</v>
      </c>
    </row>
    <row r="2426" spans="14:14" hidden="1" x14ac:dyDescent="0.3">
      <c r="N2426">
        <f t="shared" si="112"/>
        <v>1900</v>
      </c>
    </row>
    <row r="2427" spans="14:14" hidden="1" x14ac:dyDescent="0.3">
      <c r="N2427">
        <f t="shared" si="112"/>
        <v>1900</v>
      </c>
    </row>
    <row r="2428" spans="14:14" hidden="1" x14ac:dyDescent="0.3">
      <c r="N2428">
        <f t="shared" si="112"/>
        <v>1900</v>
      </c>
    </row>
    <row r="2429" spans="14:14" hidden="1" x14ac:dyDescent="0.3">
      <c r="N2429">
        <f t="shared" si="112"/>
        <v>1900</v>
      </c>
    </row>
    <row r="2430" spans="14:14" hidden="1" x14ac:dyDescent="0.3">
      <c r="N2430">
        <f t="shared" si="112"/>
        <v>1900</v>
      </c>
    </row>
    <row r="2431" spans="14:14" hidden="1" x14ac:dyDescent="0.3">
      <c r="N2431">
        <f t="shared" si="112"/>
        <v>1900</v>
      </c>
    </row>
    <row r="2432" spans="14:14" hidden="1" x14ac:dyDescent="0.3">
      <c r="N2432">
        <f t="shared" si="112"/>
        <v>1900</v>
      </c>
    </row>
    <row r="2433" spans="14:14" hidden="1" x14ac:dyDescent="0.3">
      <c r="N2433">
        <f t="shared" si="112"/>
        <v>1900</v>
      </c>
    </row>
    <row r="2434" spans="14:14" hidden="1" x14ac:dyDescent="0.3">
      <c r="N2434">
        <f t="shared" si="112"/>
        <v>1900</v>
      </c>
    </row>
    <row r="2435" spans="14:14" hidden="1" x14ac:dyDescent="0.3">
      <c r="N2435">
        <f t="shared" ref="N2435:N2498" si="113">YEAR(B2435)</f>
        <v>1900</v>
      </c>
    </row>
    <row r="2436" spans="14:14" hidden="1" x14ac:dyDescent="0.3">
      <c r="N2436">
        <f t="shared" si="113"/>
        <v>1900</v>
      </c>
    </row>
    <row r="2437" spans="14:14" hidden="1" x14ac:dyDescent="0.3">
      <c r="N2437">
        <f t="shared" si="113"/>
        <v>1900</v>
      </c>
    </row>
    <row r="2438" spans="14:14" hidden="1" x14ac:dyDescent="0.3">
      <c r="N2438">
        <f t="shared" si="113"/>
        <v>1900</v>
      </c>
    </row>
    <row r="2439" spans="14:14" hidden="1" x14ac:dyDescent="0.3">
      <c r="N2439">
        <f t="shared" si="113"/>
        <v>1900</v>
      </c>
    </row>
    <row r="2440" spans="14:14" hidden="1" x14ac:dyDescent="0.3">
      <c r="N2440">
        <f t="shared" si="113"/>
        <v>1900</v>
      </c>
    </row>
    <row r="2441" spans="14:14" hidden="1" x14ac:dyDescent="0.3">
      <c r="N2441">
        <f t="shared" si="113"/>
        <v>1900</v>
      </c>
    </row>
    <row r="2442" spans="14:14" hidden="1" x14ac:dyDescent="0.3">
      <c r="N2442">
        <f t="shared" si="113"/>
        <v>1900</v>
      </c>
    </row>
    <row r="2443" spans="14:14" hidden="1" x14ac:dyDescent="0.3">
      <c r="N2443">
        <f t="shared" si="113"/>
        <v>1900</v>
      </c>
    </row>
    <row r="2444" spans="14:14" hidden="1" x14ac:dyDescent="0.3">
      <c r="N2444">
        <f t="shared" si="113"/>
        <v>1900</v>
      </c>
    </row>
    <row r="2445" spans="14:14" hidden="1" x14ac:dyDescent="0.3">
      <c r="N2445">
        <f t="shared" si="113"/>
        <v>1900</v>
      </c>
    </row>
    <row r="2446" spans="14:14" hidden="1" x14ac:dyDescent="0.3">
      <c r="N2446">
        <f t="shared" si="113"/>
        <v>1900</v>
      </c>
    </row>
    <row r="2447" spans="14:14" hidden="1" x14ac:dyDescent="0.3">
      <c r="N2447">
        <f t="shared" si="113"/>
        <v>1900</v>
      </c>
    </row>
    <row r="2448" spans="14:14" hidden="1" x14ac:dyDescent="0.3">
      <c r="N2448">
        <f t="shared" si="113"/>
        <v>1900</v>
      </c>
    </row>
    <row r="2449" spans="14:14" hidden="1" x14ac:dyDescent="0.3">
      <c r="N2449">
        <f t="shared" si="113"/>
        <v>1900</v>
      </c>
    </row>
    <row r="2450" spans="14:14" hidden="1" x14ac:dyDescent="0.3">
      <c r="N2450">
        <f t="shared" si="113"/>
        <v>1900</v>
      </c>
    </row>
    <row r="2451" spans="14:14" hidden="1" x14ac:dyDescent="0.3">
      <c r="N2451">
        <f t="shared" si="113"/>
        <v>1900</v>
      </c>
    </row>
    <row r="2452" spans="14:14" hidden="1" x14ac:dyDescent="0.3">
      <c r="N2452">
        <f t="shared" si="113"/>
        <v>1900</v>
      </c>
    </row>
    <row r="2453" spans="14:14" hidden="1" x14ac:dyDescent="0.3">
      <c r="N2453">
        <f t="shared" si="113"/>
        <v>1900</v>
      </c>
    </row>
    <row r="2454" spans="14:14" hidden="1" x14ac:dyDescent="0.3">
      <c r="N2454">
        <f t="shared" si="113"/>
        <v>1900</v>
      </c>
    </row>
    <row r="2455" spans="14:14" hidden="1" x14ac:dyDescent="0.3">
      <c r="N2455">
        <f t="shared" si="113"/>
        <v>1900</v>
      </c>
    </row>
    <row r="2456" spans="14:14" hidden="1" x14ac:dyDescent="0.3">
      <c r="N2456">
        <f t="shared" si="113"/>
        <v>1900</v>
      </c>
    </row>
    <row r="2457" spans="14:14" hidden="1" x14ac:dyDescent="0.3">
      <c r="N2457">
        <f t="shared" si="113"/>
        <v>1900</v>
      </c>
    </row>
    <row r="2458" spans="14:14" hidden="1" x14ac:dyDescent="0.3">
      <c r="N2458">
        <f t="shared" si="113"/>
        <v>1900</v>
      </c>
    </row>
    <row r="2459" spans="14:14" hidden="1" x14ac:dyDescent="0.3">
      <c r="N2459">
        <f t="shared" si="113"/>
        <v>1900</v>
      </c>
    </row>
    <row r="2460" spans="14:14" hidden="1" x14ac:dyDescent="0.3">
      <c r="N2460">
        <f t="shared" si="113"/>
        <v>1900</v>
      </c>
    </row>
    <row r="2461" spans="14:14" hidden="1" x14ac:dyDescent="0.3">
      <c r="N2461">
        <f t="shared" si="113"/>
        <v>1900</v>
      </c>
    </row>
    <row r="2462" spans="14:14" hidden="1" x14ac:dyDescent="0.3">
      <c r="N2462">
        <f t="shared" si="113"/>
        <v>1900</v>
      </c>
    </row>
    <row r="2463" spans="14:14" hidden="1" x14ac:dyDescent="0.3">
      <c r="N2463">
        <f t="shared" si="113"/>
        <v>1900</v>
      </c>
    </row>
    <row r="2464" spans="14:14" hidden="1" x14ac:dyDescent="0.3">
      <c r="N2464">
        <f t="shared" si="113"/>
        <v>1900</v>
      </c>
    </row>
    <row r="2465" spans="14:14" hidden="1" x14ac:dyDescent="0.3">
      <c r="N2465">
        <f t="shared" si="113"/>
        <v>1900</v>
      </c>
    </row>
    <row r="2466" spans="14:14" hidden="1" x14ac:dyDescent="0.3">
      <c r="N2466">
        <f t="shared" si="113"/>
        <v>1900</v>
      </c>
    </row>
    <row r="2467" spans="14:14" hidden="1" x14ac:dyDescent="0.3">
      <c r="N2467">
        <f t="shared" si="113"/>
        <v>1900</v>
      </c>
    </row>
    <row r="2468" spans="14:14" hidden="1" x14ac:dyDescent="0.3">
      <c r="N2468">
        <f t="shared" si="113"/>
        <v>1900</v>
      </c>
    </row>
    <row r="2469" spans="14:14" hidden="1" x14ac:dyDescent="0.3">
      <c r="N2469">
        <f t="shared" si="113"/>
        <v>1900</v>
      </c>
    </row>
    <row r="2470" spans="14:14" hidden="1" x14ac:dyDescent="0.3">
      <c r="N2470">
        <f t="shared" si="113"/>
        <v>1900</v>
      </c>
    </row>
    <row r="2471" spans="14:14" hidden="1" x14ac:dyDescent="0.3">
      <c r="N2471">
        <f t="shared" si="113"/>
        <v>1900</v>
      </c>
    </row>
    <row r="2472" spans="14:14" hidden="1" x14ac:dyDescent="0.3">
      <c r="N2472">
        <f t="shared" si="113"/>
        <v>1900</v>
      </c>
    </row>
    <row r="2473" spans="14:14" hidden="1" x14ac:dyDescent="0.3">
      <c r="N2473">
        <f t="shared" si="113"/>
        <v>1900</v>
      </c>
    </row>
    <row r="2474" spans="14:14" hidden="1" x14ac:dyDescent="0.3">
      <c r="N2474">
        <f t="shared" si="113"/>
        <v>1900</v>
      </c>
    </row>
    <row r="2475" spans="14:14" hidden="1" x14ac:dyDescent="0.3">
      <c r="N2475">
        <f t="shared" si="113"/>
        <v>1900</v>
      </c>
    </row>
    <row r="2476" spans="14:14" hidden="1" x14ac:dyDescent="0.3">
      <c r="N2476">
        <f t="shared" si="113"/>
        <v>1900</v>
      </c>
    </row>
    <row r="2477" spans="14:14" hidden="1" x14ac:dyDescent="0.3">
      <c r="N2477">
        <f t="shared" si="113"/>
        <v>1900</v>
      </c>
    </row>
    <row r="2478" spans="14:14" hidden="1" x14ac:dyDescent="0.3">
      <c r="N2478">
        <f t="shared" si="113"/>
        <v>1900</v>
      </c>
    </row>
    <row r="2479" spans="14:14" hidden="1" x14ac:dyDescent="0.3">
      <c r="N2479">
        <f t="shared" si="113"/>
        <v>1900</v>
      </c>
    </row>
    <row r="2480" spans="14:14" hidden="1" x14ac:dyDescent="0.3">
      <c r="N2480">
        <f t="shared" si="113"/>
        <v>1900</v>
      </c>
    </row>
    <row r="2481" spans="14:14" hidden="1" x14ac:dyDescent="0.3">
      <c r="N2481">
        <f t="shared" si="113"/>
        <v>1900</v>
      </c>
    </row>
    <row r="2482" spans="14:14" hidden="1" x14ac:dyDescent="0.3">
      <c r="N2482">
        <f t="shared" si="113"/>
        <v>1900</v>
      </c>
    </row>
    <row r="2483" spans="14:14" hidden="1" x14ac:dyDescent="0.3">
      <c r="N2483">
        <f t="shared" si="113"/>
        <v>1900</v>
      </c>
    </row>
    <row r="2484" spans="14:14" hidden="1" x14ac:dyDescent="0.3">
      <c r="N2484">
        <f t="shared" si="113"/>
        <v>1900</v>
      </c>
    </row>
    <row r="2485" spans="14:14" hidden="1" x14ac:dyDescent="0.3">
      <c r="N2485">
        <f t="shared" si="113"/>
        <v>1900</v>
      </c>
    </row>
    <row r="2486" spans="14:14" hidden="1" x14ac:dyDescent="0.3">
      <c r="N2486">
        <f t="shared" si="113"/>
        <v>1900</v>
      </c>
    </row>
    <row r="2487" spans="14:14" hidden="1" x14ac:dyDescent="0.3">
      <c r="N2487">
        <f t="shared" si="113"/>
        <v>1900</v>
      </c>
    </row>
    <row r="2488" spans="14:14" hidden="1" x14ac:dyDescent="0.3">
      <c r="N2488">
        <f t="shared" si="113"/>
        <v>1900</v>
      </c>
    </row>
    <row r="2489" spans="14:14" hidden="1" x14ac:dyDescent="0.3">
      <c r="N2489">
        <f t="shared" si="113"/>
        <v>1900</v>
      </c>
    </row>
    <row r="2490" spans="14:14" hidden="1" x14ac:dyDescent="0.3">
      <c r="N2490">
        <f t="shared" si="113"/>
        <v>1900</v>
      </c>
    </row>
    <row r="2491" spans="14:14" hidden="1" x14ac:dyDescent="0.3">
      <c r="N2491">
        <f t="shared" si="113"/>
        <v>1900</v>
      </c>
    </row>
    <row r="2492" spans="14:14" hidden="1" x14ac:dyDescent="0.3">
      <c r="N2492">
        <f t="shared" si="113"/>
        <v>1900</v>
      </c>
    </row>
    <row r="2493" spans="14:14" hidden="1" x14ac:dyDescent="0.3">
      <c r="N2493">
        <f t="shared" si="113"/>
        <v>1900</v>
      </c>
    </row>
    <row r="2494" spans="14:14" hidden="1" x14ac:dyDescent="0.3">
      <c r="N2494">
        <f t="shared" si="113"/>
        <v>1900</v>
      </c>
    </row>
    <row r="2495" spans="14:14" hidden="1" x14ac:dyDescent="0.3">
      <c r="N2495">
        <f t="shared" si="113"/>
        <v>1900</v>
      </c>
    </row>
    <row r="2496" spans="14:14" hidden="1" x14ac:dyDescent="0.3">
      <c r="N2496">
        <f t="shared" si="113"/>
        <v>1900</v>
      </c>
    </row>
    <row r="2497" spans="14:14" hidden="1" x14ac:dyDescent="0.3">
      <c r="N2497">
        <f t="shared" si="113"/>
        <v>1900</v>
      </c>
    </row>
    <row r="2498" spans="14:14" hidden="1" x14ac:dyDescent="0.3">
      <c r="N2498">
        <f t="shared" si="113"/>
        <v>1900</v>
      </c>
    </row>
    <row r="2499" spans="14:14" hidden="1" x14ac:dyDescent="0.3">
      <c r="N2499">
        <f t="shared" ref="N2499:N2562" si="114">YEAR(B2499)</f>
        <v>1900</v>
      </c>
    </row>
    <row r="2500" spans="14:14" hidden="1" x14ac:dyDescent="0.3">
      <c r="N2500">
        <f t="shared" si="114"/>
        <v>1900</v>
      </c>
    </row>
    <row r="2501" spans="14:14" hidden="1" x14ac:dyDescent="0.3">
      <c r="N2501">
        <f t="shared" si="114"/>
        <v>1900</v>
      </c>
    </row>
    <row r="2502" spans="14:14" hidden="1" x14ac:dyDescent="0.3">
      <c r="N2502">
        <f t="shared" si="114"/>
        <v>1900</v>
      </c>
    </row>
    <row r="2503" spans="14:14" hidden="1" x14ac:dyDescent="0.3">
      <c r="N2503">
        <f t="shared" si="114"/>
        <v>1900</v>
      </c>
    </row>
    <row r="2504" spans="14:14" hidden="1" x14ac:dyDescent="0.3">
      <c r="N2504">
        <f t="shared" si="114"/>
        <v>1900</v>
      </c>
    </row>
    <row r="2505" spans="14:14" hidden="1" x14ac:dyDescent="0.3">
      <c r="N2505">
        <f t="shared" si="114"/>
        <v>1900</v>
      </c>
    </row>
    <row r="2506" spans="14:14" hidden="1" x14ac:dyDescent="0.3">
      <c r="N2506">
        <f t="shared" si="114"/>
        <v>1900</v>
      </c>
    </row>
    <row r="2507" spans="14:14" hidden="1" x14ac:dyDescent="0.3">
      <c r="N2507">
        <f t="shared" si="114"/>
        <v>1900</v>
      </c>
    </row>
    <row r="2508" spans="14:14" hidden="1" x14ac:dyDescent="0.3">
      <c r="N2508">
        <f t="shared" si="114"/>
        <v>1900</v>
      </c>
    </row>
    <row r="2509" spans="14:14" hidden="1" x14ac:dyDescent="0.3">
      <c r="N2509">
        <f t="shared" si="114"/>
        <v>1900</v>
      </c>
    </row>
    <row r="2510" spans="14:14" hidden="1" x14ac:dyDescent="0.3">
      <c r="N2510">
        <f t="shared" si="114"/>
        <v>1900</v>
      </c>
    </row>
    <row r="2511" spans="14:14" hidden="1" x14ac:dyDescent="0.3">
      <c r="N2511">
        <f t="shared" si="114"/>
        <v>1900</v>
      </c>
    </row>
    <row r="2512" spans="14:14" hidden="1" x14ac:dyDescent="0.3">
      <c r="N2512">
        <f t="shared" si="114"/>
        <v>1900</v>
      </c>
    </row>
    <row r="2513" spans="14:14" hidden="1" x14ac:dyDescent="0.3">
      <c r="N2513">
        <f t="shared" si="114"/>
        <v>1900</v>
      </c>
    </row>
    <row r="2514" spans="14:14" hidden="1" x14ac:dyDescent="0.3">
      <c r="N2514">
        <f t="shared" si="114"/>
        <v>1900</v>
      </c>
    </row>
    <row r="2515" spans="14:14" hidden="1" x14ac:dyDescent="0.3">
      <c r="N2515">
        <f t="shared" si="114"/>
        <v>1900</v>
      </c>
    </row>
    <row r="2516" spans="14:14" hidden="1" x14ac:dyDescent="0.3">
      <c r="N2516">
        <f t="shared" si="114"/>
        <v>1900</v>
      </c>
    </row>
    <row r="2517" spans="14:14" hidden="1" x14ac:dyDescent="0.3">
      <c r="N2517">
        <f t="shared" si="114"/>
        <v>1900</v>
      </c>
    </row>
    <row r="2518" spans="14:14" hidden="1" x14ac:dyDescent="0.3">
      <c r="N2518">
        <f t="shared" si="114"/>
        <v>1900</v>
      </c>
    </row>
    <row r="2519" spans="14:14" hidden="1" x14ac:dyDescent="0.3">
      <c r="N2519">
        <f t="shared" si="114"/>
        <v>1900</v>
      </c>
    </row>
    <row r="2520" spans="14:14" hidden="1" x14ac:dyDescent="0.3">
      <c r="N2520">
        <f t="shared" si="114"/>
        <v>1900</v>
      </c>
    </row>
    <row r="2521" spans="14:14" hidden="1" x14ac:dyDescent="0.3">
      <c r="N2521">
        <f t="shared" si="114"/>
        <v>1900</v>
      </c>
    </row>
    <row r="2522" spans="14:14" hidden="1" x14ac:dyDescent="0.3">
      <c r="N2522">
        <f t="shared" si="114"/>
        <v>1900</v>
      </c>
    </row>
    <row r="2523" spans="14:14" hidden="1" x14ac:dyDescent="0.3">
      <c r="N2523">
        <f t="shared" si="114"/>
        <v>1900</v>
      </c>
    </row>
    <row r="2524" spans="14:14" hidden="1" x14ac:dyDescent="0.3">
      <c r="N2524">
        <f t="shared" si="114"/>
        <v>1900</v>
      </c>
    </row>
    <row r="2525" spans="14:14" hidden="1" x14ac:dyDescent="0.3">
      <c r="N2525">
        <f t="shared" si="114"/>
        <v>1900</v>
      </c>
    </row>
    <row r="2526" spans="14:14" hidden="1" x14ac:dyDescent="0.3">
      <c r="N2526">
        <f t="shared" si="114"/>
        <v>1900</v>
      </c>
    </row>
    <row r="2527" spans="14:14" hidden="1" x14ac:dyDescent="0.3">
      <c r="N2527">
        <f t="shared" si="114"/>
        <v>1900</v>
      </c>
    </row>
    <row r="2528" spans="14:14" hidden="1" x14ac:dyDescent="0.3">
      <c r="N2528">
        <f t="shared" si="114"/>
        <v>1900</v>
      </c>
    </row>
    <row r="2529" spans="14:14" hidden="1" x14ac:dyDescent="0.3">
      <c r="N2529">
        <f t="shared" si="114"/>
        <v>1900</v>
      </c>
    </row>
    <row r="2530" spans="14:14" hidden="1" x14ac:dyDescent="0.3">
      <c r="N2530">
        <f t="shared" si="114"/>
        <v>1900</v>
      </c>
    </row>
    <row r="2531" spans="14:14" hidden="1" x14ac:dyDescent="0.3">
      <c r="N2531">
        <f t="shared" si="114"/>
        <v>1900</v>
      </c>
    </row>
    <row r="2532" spans="14:14" hidden="1" x14ac:dyDescent="0.3">
      <c r="N2532">
        <f t="shared" si="114"/>
        <v>1900</v>
      </c>
    </row>
    <row r="2533" spans="14:14" hidden="1" x14ac:dyDescent="0.3">
      <c r="N2533">
        <f t="shared" si="114"/>
        <v>1900</v>
      </c>
    </row>
    <row r="2534" spans="14:14" hidden="1" x14ac:dyDescent="0.3">
      <c r="N2534">
        <f t="shared" si="114"/>
        <v>1900</v>
      </c>
    </row>
    <row r="2535" spans="14:14" hidden="1" x14ac:dyDescent="0.3">
      <c r="N2535">
        <f t="shared" si="114"/>
        <v>1900</v>
      </c>
    </row>
    <row r="2536" spans="14:14" hidden="1" x14ac:dyDescent="0.3">
      <c r="N2536">
        <f t="shared" si="114"/>
        <v>1900</v>
      </c>
    </row>
    <row r="2537" spans="14:14" hidden="1" x14ac:dyDescent="0.3">
      <c r="N2537">
        <f t="shared" si="114"/>
        <v>1900</v>
      </c>
    </row>
    <row r="2538" spans="14:14" hidden="1" x14ac:dyDescent="0.3">
      <c r="N2538">
        <f t="shared" si="114"/>
        <v>1900</v>
      </c>
    </row>
    <row r="2539" spans="14:14" hidden="1" x14ac:dyDescent="0.3">
      <c r="N2539">
        <f t="shared" si="114"/>
        <v>1900</v>
      </c>
    </row>
    <row r="2540" spans="14:14" hidden="1" x14ac:dyDescent="0.3">
      <c r="N2540">
        <f t="shared" si="114"/>
        <v>1900</v>
      </c>
    </row>
    <row r="2541" spans="14:14" hidden="1" x14ac:dyDescent="0.3">
      <c r="N2541">
        <f t="shared" si="114"/>
        <v>1900</v>
      </c>
    </row>
    <row r="2542" spans="14:14" hidden="1" x14ac:dyDescent="0.3">
      <c r="N2542">
        <f t="shared" si="114"/>
        <v>1900</v>
      </c>
    </row>
    <row r="2543" spans="14:14" hidden="1" x14ac:dyDescent="0.3">
      <c r="N2543">
        <f t="shared" si="114"/>
        <v>1900</v>
      </c>
    </row>
    <row r="2544" spans="14:14" hidden="1" x14ac:dyDescent="0.3">
      <c r="N2544">
        <f t="shared" si="114"/>
        <v>1900</v>
      </c>
    </row>
    <row r="2545" spans="14:14" hidden="1" x14ac:dyDescent="0.3">
      <c r="N2545">
        <f t="shared" si="114"/>
        <v>1900</v>
      </c>
    </row>
    <row r="2546" spans="14:14" hidden="1" x14ac:dyDescent="0.3">
      <c r="N2546">
        <f t="shared" si="114"/>
        <v>1900</v>
      </c>
    </row>
    <row r="2547" spans="14:14" hidden="1" x14ac:dyDescent="0.3">
      <c r="N2547">
        <f t="shared" si="114"/>
        <v>1900</v>
      </c>
    </row>
    <row r="2548" spans="14:14" hidden="1" x14ac:dyDescent="0.3">
      <c r="N2548">
        <f t="shared" si="114"/>
        <v>1900</v>
      </c>
    </row>
    <row r="2549" spans="14:14" hidden="1" x14ac:dyDescent="0.3">
      <c r="N2549">
        <f t="shared" si="114"/>
        <v>1900</v>
      </c>
    </row>
    <row r="2550" spans="14:14" hidden="1" x14ac:dyDescent="0.3">
      <c r="N2550">
        <f t="shared" si="114"/>
        <v>1900</v>
      </c>
    </row>
    <row r="2551" spans="14:14" hidden="1" x14ac:dyDescent="0.3">
      <c r="N2551">
        <f t="shared" si="114"/>
        <v>1900</v>
      </c>
    </row>
    <row r="2552" spans="14:14" hidden="1" x14ac:dyDescent="0.3">
      <c r="N2552">
        <f t="shared" si="114"/>
        <v>1900</v>
      </c>
    </row>
    <row r="2553" spans="14:14" hidden="1" x14ac:dyDescent="0.3">
      <c r="N2553">
        <f t="shared" si="114"/>
        <v>1900</v>
      </c>
    </row>
    <row r="2554" spans="14:14" hidden="1" x14ac:dyDescent="0.3">
      <c r="N2554">
        <f t="shared" si="114"/>
        <v>1900</v>
      </c>
    </row>
    <row r="2555" spans="14:14" hidden="1" x14ac:dyDescent="0.3">
      <c r="N2555">
        <f t="shared" si="114"/>
        <v>1900</v>
      </c>
    </row>
    <row r="2556" spans="14:14" hidden="1" x14ac:dyDescent="0.3">
      <c r="N2556">
        <f t="shared" si="114"/>
        <v>1900</v>
      </c>
    </row>
    <row r="2557" spans="14:14" hidden="1" x14ac:dyDescent="0.3">
      <c r="N2557">
        <f t="shared" si="114"/>
        <v>1900</v>
      </c>
    </row>
    <row r="2558" spans="14:14" hidden="1" x14ac:dyDescent="0.3">
      <c r="N2558">
        <f t="shared" si="114"/>
        <v>1900</v>
      </c>
    </row>
    <row r="2559" spans="14:14" hidden="1" x14ac:dyDescent="0.3">
      <c r="N2559">
        <f t="shared" si="114"/>
        <v>1900</v>
      </c>
    </row>
    <row r="2560" spans="14:14" hidden="1" x14ac:dyDescent="0.3">
      <c r="N2560">
        <f t="shared" si="114"/>
        <v>1900</v>
      </c>
    </row>
    <row r="2561" spans="14:14" hidden="1" x14ac:dyDescent="0.3">
      <c r="N2561">
        <f t="shared" si="114"/>
        <v>1900</v>
      </c>
    </row>
    <row r="2562" spans="14:14" hidden="1" x14ac:dyDescent="0.3">
      <c r="N2562">
        <f t="shared" si="114"/>
        <v>1900</v>
      </c>
    </row>
    <row r="2563" spans="14:14" hidden="1" x14ac:dyDescent="0.3">
      <c r="N2563">
        <f t="shared" ref="N2563:N2626" si="115">YEAR(B2563)</f>
        <v>1900</v>
      </c>
    </row>
    <row r="2564" spans="14:14" hidden="1" x14ac:dyDescent="0.3">
      <c r="N2564">
        <f t="shared" si="115"/>
        <v>1900</v>
      </c>
    </row>
    <row r="2565" spans="14:14" hidden="1" x14ac:dyDescent="0.3">
      <c r="N2565">
        <f t="shared" si="115"/>
        <v>1900</v>
      </c>
    </row>
    <row r="2566" spans="14:14" hidden="1" x14ac:dyDescent="0.3">
      <c r="N2566">
        <f t="shared" si="115"/>
        <v>1900</v>
      </c>
    </row>
    <row r="2567" spans="14:14" hidden="1" x14ac:dyDescent="0.3">
      <c r="N2567">
        <f t="shared" si="115"/>
        <v>1900</v>
      </c>
    </row>
    <row r="2568" spans="14:14" hidden="1" x14ac:dyDescent="0.3">
      <c r="N2568">
        <f t="shared" si="115"/>
        <v>1900</v>
      </c>
    </row>
    <row r="2569" spans="14:14" hidden="1" x14ac:dyDescent="0.3">
      <c r="N2569">
        <f t="shared" si="115"/>
        <v>1900</v>
      </c>
    </row>
    <row r="2570" spans="14:14" hidden="1" x14ac:dyDescent="0.3">
      <c r="N2570">
        <f t="shared" si="115"/>
        <v>1900</v>
      </c>
    </row>
    <row r="2571" spans="14:14" hidden="1" x14ac:dyDescent="0.3">
      <c r="N2571">
        <f t="shared" si="115"/>
        <v>1900</v>
      </c>
    </row>
    <row r="2572" spans="14:14" hidden="1" x14ac:dyDescent="0.3">
      <c r="N2572">
        <f t="shared" si="115"/>
        <v>1900</v>
      </c>
    </row>
    <row r="2573" spans="14:14" hidden="1" x14ac:dyDescent="0.3">
      <c r="N2573">
        <f t="shared" si="115"/>
        <v>1900</v>
      </c>
    </row>
    <row r="2574" spans="14:14" hidden="1" x14ac:dyDescent="0.3">
      <c r="N2574">
        <f t="shared" si="115"/>
        <v>1900</v>
      </c>
    </row>
    <row r="2575" spans="14:14" hidden="1" x14ac:dyDescent="0.3">
      <c r="N2575">
        <f t="shared" si="115"/>
        <v>1900</v>
      </c>
    </row>
    <row r="2576" spans="14:14" hidden="1" x14ac:dyDescent="0.3">
      <c r="N2576">
        <f t="shared" si="115"/>
        <v>1900</v>
      </c>
    </row>
    <row r="2577" spans="14:14" hidden="1" x14ac:dyDescent="0.3">
      <c r="N2577">
        <f t="shared" si="115"/>
        <v>1900</v>
      </c>
    </row>
    <row r="2578" spans="14:14" hidden="1" x14ac:dyDescent="0.3">
      <c r="N2578">
        <f t="shared" si="115"/>
        <v>1900</v>
      </c>
    </row>
    <row r="2579" spans="14:14" hidden="1" x14ac:dyDescent="0.3">
      <c r="N2579">
        <f t="shared" si="115"/>
        <v>1900</v>
      </c>
    </row>
    <row r="2580" spans="14:14" hidden="1" x14ac:dyDescent="0.3">
      <c r="N2580">
        <f t="shared" si="115"/>
        <v>1900</v>
      </c>
    </row>
    <row r="2581" spans="14:14" hidden="1" x14ac:dyDescent="0.3">
      <c r="N2581">
        <f t="shared" si="115"/>
        <v>1900</v>
      </c>
    </row>
    <row r="2582" spans="14:14" hidden="1" x14ac:dyDescent="0.3">
      <c r="N2582">
        <f t="shared" si="115"/>
        <v>1900</v>
      </c>
    </row>
    <row r="2583" spans="14:14" hidden="1" x14ac:dyDescent="0.3">
      <c r="N2583">
        <f t="shared" si="115"/>
        <v>1900</v>
      </c>
    </row>
    <row r="2584" spans="14:14" hidden="1" x14ac:dyDescent="0.3">
      <c r="N2584">
        <f t="shared" si="115"/>
        <v>1900</v>
      </c>
    </row>
    <row r="2585" spans="14:14" hidden="1" x14ac:dyDescent="0.3">
      <c r="N2585">
        <f t="shared" si="115"/>
        <v>1900</v>
      </c>
    </row>
    <row r="2586" spans="14:14" hidden="1" x14ac:dyDescent="0.3">
      <c r="N2586">
        <f t="shared" si="115"/>
        <v>1900</v>
      </c>
    </row>
    <row r="2587" spans="14:14" hidden="1" x14ac:dyDescent="0.3">
      <c r="N2587">
        <f t="shared" si="115"/>
        <v>1900</v>
      </c>
    </row>
    <row r="2588" spans="14:14" hidden="1" x14ac:dyDescent="0.3">
      <c r="N2588">
        <f t="shared" si="115"/>
        <v>1900</v>
      </c>
    </row>
    <row r="2589" spans="14:14" hidden="1" x14ac:dyDescent="0.3">
      <c r="N2589">
        <f t="shared" si="115"/>
        <v>1900</v>
      </c>
    </row>
    <row r="2590" spans="14:14" hidden="1" x14ac:dyDescent="0.3">
      <c r="N2590">
        <f t="shared" si="115"/>
        <v>1900</v>
      </c>
    </row>
    <row r="2591" spans="14:14" hidden="1" x14ac:dyDescent="0.3">
      <c r="N2591">
        <f t="shared" si="115"/>
        <v>1900</v>
      </c>
    </row>
    <row r="2592" spans="14:14" hidden="1" x14ac:dyDescent="0.3">
      <c r="N2592">
        <f t="shared" si="115"/>
        <v>1900</v>
      </c>
    </row>
    <row r="2593" spans="14:14" hidden="1" x14ac:dyDescent="0.3">
      <c r="N2593">
        <f t="shared" si="115"/>
        <v>1900</v>
      </c>
    </row>
    <row r="2594" spans="14:14" hidden="1" x14ac:dyDescent="0.3">
      <c r="N2594">
        <f t="shared" si="115"/>
        <v>1900</v>
      </c>
    </row>
    <row r="2595" spans="14:14" hidden="1" x14ac:dyDescent="0.3">
      <c r="N2595">
        <f t="shared" si="115"/>
        <v>1900</v>
      </c>
    </row>
    <row r="2596" spans="14:14" hidden="1" x14ac:dyDescent="0.3">
      <c r="N2596">
        <f t="shared" si="115"/>
        <v>1900</v>
      </c>
    </row>
    <row r="2597" spans="14:14" hidden="1" x14ac:dyDescent="0.3">
      <c r="N2597">
        <f t="shared" si="115"/>
        <v>1900</v>
      </c>
    </row>
    <row r="2598" spans="14:14" hidden="1" x14ac:dyDescent="0.3">
      <c r="N2598">
        <f t="shared" si="115"/>
        <v>1900</v>
      </c>
    </row>
    <row r="2599" spans="14:14" hidden="1" x14ac:dyDescent="0.3">
      <c r="N2599">
        <f t="shared" si="115"/>
        <v>1900</v>
      </c>
    </row>
    <row r="2600" spans="14:14" hidden="1" x14ac:dyDescent="0.3">
      <c r="N2600">
        <f t="shared" si="115"/>
        <v>1900</v>
      </c>
    </row>
    <row r="2601" spans="14:14" hidden="1" x14ac:dyDescent="0.3">
      <c r="N2601">
        <f t="shared" si="115"/>
        <v>1900</v>
      </c>
    </row>
    <row r="2602" spans="14:14" hidden="1" x14ac:dyDescent="0.3">
      <c r="N2602">
        <f t="shared" si="115"/>
        <v>1900</v>
      </c>
    </row>
    <row r="2603" spans="14:14" hidden="1" x14ac:dyDescent="0.3">
      <c r="N2603">
        <f t="shared" si="115"/>
        <v>1900</v>
      </c>
    </row>
    <row r="2604" spans="14:14" hidden="1" x14ac:dyDescent="0.3">
      <c r="N2604">
        <f t="shared" si="115"/>
        <v>1900</v>
      </c>
    </row>
    <row r="2605" spans="14:14" hidden="1" x14ac:dyDescent="0.3">
      <c r="N2605">
        <f t="shared" si="115"/>
        <v>1900</v>
      </c>
    </row>
    <row r="2606" spans="14:14" hidden="1" x14ac:dyDescent="0.3">
      <c r="N2606">
        <f t="shared" si="115"/>
        <v>1900</v>
      </c>
    </row>
    <row r="2607" spans="14:14" hidden="1" x14ac:dyDescent="0.3">
      <c r="N2607">
        <f t="shared" si="115"/>
        <v>1900</v>
      </c>
    </row>
    <row r="2608" spans="14:14" hidden="1" x14ac:dyDescent="0.3">
      <c r="N2608">
        <f t="shared" si="115"/>
        <v>1900</v>
      </c>
    </row>
    <row r="2609" spans="14:14" hidden="1" x14ac:dyDescent="0.3">
      <c r="N2609">
        <f t="shared" si="115"/>
        <v>1900</v>
      </c>
    </row>
    <row r="2610" spans="14:14" hidden="1" x14ac:dyDescent="0.3">
      <c r="N2610">
        <f t="shared" si="115"/>
        <v>1900</v>
      </c>
    </row>
    <row r="2611" spans="14:14" hidden="1" x14ac:dyDescent="0.3">
      <c r="N2611">
        <f t="shared" si="115"/>
        <v>1900</v>
      </c>
    </row>
    <row r="2612" spans="14:14" hidden="1" x14ac:dyDescent="0.3">
      <c r="N2612">
        <f t="shared" si="115"/>
        <v>1900</v>
      </c>
    </row>
    <row r="2613" spans="14:14" hidden="1" x14ac:dyDescent="0.3">
      <c r="N2613">
        <f t="shared" si="115"/>
        <v>1900</v>
      </c>
    </row>
    <row r="2614" spans="14:14" hidden="1" x14ac:dyDescent="0.3">
      <c r="N2614">
        <f t="shared" si="115"/>
        <v>1900</v>
      </c>
    </row>
    <row r="2615" spans="14:14" hidden="1" x14ac:dyDescent="0.3">
      <c r="N2615">
        <f t="shared" si="115"/>
        <v>1900</v>
      </c>
    </row>
    <row r="2616" spans="14:14" hidden="1" x14ac:dyDescent="0.3">
      <c r="N2616">
        <f t="shared" si="115"/>
        <v>1900</v>
      </c>
    </row>
    <row r="2617" spans="14:14" hidden="1" x14ac:dyDescent="0.3">
      <c r="N2617">
        <f t="shared" si="115"/>
        <v>1900</v>
      </c>
    </row>
    <row r="2618" spans="14:14" hidden="1" x14ac:dyDescent="0.3">
      <c r="N2618">
        <f t="shared" si="115"/>
        <v>1900</v>
      </c>
    </row>
    <row r="2619" spans="14:14" hidden="1" x14ac:dyDescent="0.3">
      <c r="N2619">
        <f t="shared" si="115"/>
        <v>1900</v>
      </c>
    </row>
    <row r="2620" spans="14:14" hidden="1" x14ac:dyDescent="0.3">
      <c r="N2620">
        <f t="shared" si="115"/>
        <v>1900</v>
      </c>
    </row>
    <row r="2621" spans="14:14" hidden="1" x14ac:dyDescent="0.3">
      <c r="N2621">
        <f t="shared" si="115"/>
        <v>1900</v>
      </c>
    </row>
    <row r="2622" spans="14:14" hidden="1" x14ac:dyDescent="0.3">
      <c r="N2622">
        <f t="shared" si="115"/>
        <v>1900</v>
      </c>
    </row>
    <row r="2623" spans="14:14" hidden="1" x14ac:dyDescent="0.3">
      <c r="N2623">
        <f t="shared" si="115"/>
        <v>1900</v>
      </c>
    </row>
    <row r="2624" spans="14:14" hidden="1" x14ac:dyDescent="0.3">
      <c r="N2624">
        <f t="shared" si="115"/>
        <v>1900</v>
      </c>
    </row>
    <row r="2625" spans="14:14" hidden="1" x14ac:dyDescent="0.3">
      <c r="N2625">
        <f t="shared" si="115"/>
        <v>1900</v>
      </c>
    </row>
    <row r="2626" spans="14:14" hidden="1" x14ac:dyDescent="0.3">
      <c r="N2626">
        <f t="shared" si="115"/>
        <v>1900</v>
      </c>
    </row>
    <row r="2627" spans="14:14" hidden="1" x14ac:dyDescent="0.3">
      <c r="N2627">
        <f t="shared" ref="N2627:N2690" si="116">YEAR(B2627)</f>
        <v>1900</v>
      </c>
    </row>
    <row r="2628" spans="14:14" hidden="1" x14ac:dyDescent="0.3">
      <c r="N2628">
        <f t="shared" si="116"/>
        <v>1900</v>
      </c>
    </row>
    <row r="2629" spans="14:14" hidden="1" x14ac:dyDescent="0.3">
      <c r="N2629">
        <f t="shared" si="116"/>
        <v>1900</v>
      </c>
    </row>
    <row r="2630" spans="14:14" hidden="1" x14ac:dyDescent="0.3">
      <c r="N2630">
        <f t="shared" si="116"/>
        <v>1900</v>
      </c>
    </row>
    <row r="2631" spans="14:14" hidden="1" x14ac:dyDescent="0.3">
      <c r="N2631">
        <f t="shared" si="116"/>
        <v>1900</v>
      </c>
    </row>
    <row r="2632" spans="14:14" hidden="1" x14ac:dyDescent="0.3">
      <c r="N2632">
        <f t="shared" si="116"/>
        <v>1900</v>
      </c>
    </row>
    <row r="2633" spans="14:14" hidden="1" x14ac:dyDescent="0.3">
      <c r="N2633">
        <f t="shared" si="116"/>
        <v>1900</v>
      </c>
    </row>
    <row r="2634" spans="14:14" hidden="1" x14ac:dyDescent="0.3">
      <c r="N2634">
        <f t="shared" si="116"/>
        <v>1900</v>
      </c>
    </row>
    <row r="2635" spans="14:14" hidden="1" x14ac:dyDescent="0.3">
      <c r="N2635">
        <f t="shared" si="116"/>
        <v>1900</v>
      </c>
    </row>
    <row r="2636" spans="14:14" hidden="1" x14ac:dyDescent="0.3">
      <c r="N2636">
        <f t="shared" si="116"/>
        <v>1900</v>
      </c>
    </row>
    <row r="2637" spans="14:14" hidden="1" x14ac:dyDescent="0.3">
      <c r="N2637">
        <f t="shared" si="116"/>
        <v>1900</v>
      </c>
    </row>
    <row r="2638" spans="14:14" hidden="1" x14ac:dyDescent="0.3">
      <c r="N2638">
        <f t="shared" si="116"/>
        <v>1900</v>
      </c>
    </row>
    <row r="2639" spans="14:14" hidden="1" x14ac:dyDescent="0.3">
      <c r="N2639">
        <f t="shared" si="116"/>
        <v>1900</v>
      </c>
    </row>
    <row r="2640" spans="14:14" hidden="1" x14ac:dyDescent="0.3">
      <c r="N2640">
        <f t="shared" si="116"/>
        <v>1900</v>
      </c>
    </row>
    <row r="2641" spans="14:14" hidden="1" x14ac:dyDescent="0.3">
      <c r="N2641">
        <f t="shared" si="116"/>
        <v>1900</v>
      </c>
    </row>
    <row r="2642" spans="14:14" hidden="1" x14ac:dyDescent="0.3">
      <c r="N2642">
        <f t="shared" si="116"/>
        <v>1900</v>
      </c>
    </row>
    <row r="2643" spans="14:14" hidden="1" x14ac:dyDescent="0.3">
      <c r="N2643">
        <f t="shared" si="116"/>
        <v>1900</v>
      </c>
    </row>
    <row r="2644" spans="14:14" hidden="1" x14ac:dyDescent="0.3">
      <c r="N2644">
        <f t="shared" si="116"/>
        <v>1900</v>
      </c>
    </row>
    <row r="2645" spans="14:14" hidden="1" x14ac:dyDescent="0.3">
      <c r="N2645">
        <f t="shared" si="116"/>
        <v>1900</v>
      </c>
    </row>
    <row r="2646" spans="14:14" hidden="1" x14ac:dyDescent="0.3">
      <c r="N2646">
        <f t="shared" si="116"/>
        <v>1900</v>
      </c>
    </row>
    <row r="2647" spans="14:14" hidden="1" x14ac:dyDescent="0.3">
      <c r="N2647">
        <f t="shared" si="116"/>
        <v>1900</v>
      </c>
    </row>
    <row r="2648" spans="14:14" hidden="1" x14ac:dyDescent="0.3">
      <c r="N2648">
        <f t="shared" si="116"/>
        <v>1900</v>
      </c>
    </row>
    <row r="2649" spans="14:14" hidden="1" x14ac:dyDescent="0.3">
      <c r="N2649">
        <f t="shared" si="116"/>
        <v>1900</v>
      </c>
    </row>
    <row r="2650" spans="14:14" hidden="1" x14ac:dyDescent="0.3">
      <c r="N2650">
        <f t="shared" si="116"/>
        <v>1900</v>
      </c>
    </row>
    <row r="2651" spans="14:14" hidden="1" x14ac:dyDescent="0.3">
      <c r="N2651">
        <f t="shared" si="116"/>
        <v>1900</v>
      </c>
    </row>
    <row r="2652" spans="14:14" hidden="1" x14ac:dyDescent="0.3">
      <c r="N2652">
        <f t="shared" si="116"/>
        <v>1900</v>
      </c>
    </row>
    <row r="2653" spans="14:14" hidden="1" x14ac:dyDescent="0.3">
      <c r="N2653">
        <f t="shared" si="116"/>
        <v>1900</v>
      </c>
    </row>
    <row r="2654" spans="14:14" hidden="1" x14ac:dyDescent="0.3">
      <c r="N2654">
        <f t="shared" si="116"/>
        <v>1900</v>
      </c>
    </row>
    <row r="2655" spans="14:14" hidden="1" x14ac:dyDescent="0.3">
      <c r="N2655">
        <f t="shared" si="116"/>
        <v>1900</v>
      </c>
    </row>
    <row r="2656" spans="14:14" hidden="1" x14ac:dyDescent="0.3">
      <c r="N2656">
        <f t="shared" si="116"/>
        <v>1900</v>
      </c>
    </row>
    <row r="2657" spans="14:14" hidden="1" x14ac:dyDescent="0.3">
      <c r="N2657">
        <f t="shared" si="116"/>
        <v>1900</v>
      </c>
    </row>
    <row r="2658" spans="14:14" hidden="1" x14ac:dyDescent="0.3">
      <c r="N2658">
        <f t="shared" si="116"/>
        <v>1900</v>
      </c>
    </row>
    <row r="2659" spans="14:14" hidden="1" x14ac:dyDescent="0.3">
      <c r="N2659">
        <f t="shared" si="116"/>
        <v>1900</v>
      </c>
    </row>
    <row r="2660" spans="14:14" hidden="1" x14ac:dyDescent="0.3">
      <c r="N2660">
        <f t="shared" si="116"/>
        <v>1900</v>
      </c>
    </row>
    <row r="2661" spans="14:14" hidden="1" x14ac:dyDescent="0.3">
      <c r="N2661">
        <f t="shared" si="116"/>
        <v>1900</v>
      </c>
    </row>
    <row r="2662" spans="14:14" hidden="1" x14ac:dyDescent="0.3">
      <c r="N2662">
        <f t="shared" si="116"/>
        <v>1900</v>
      </c>
    </row>
    <row r="2663" spans="14:14" hidden="1" x14ac:dyDescent="0.3">
      <c r="N2663">
        <f t="shared" si="116"/>
        <v>1900</v>
      </c>
    </row>
    <row r="2664" spans="14:14" hidden="1" x14ac:dyDescent="0.3">
      <c r="N2664">
        <f t="shared" si="116"/>
        <v>1900</v>
      </c>
    </row>
    <row r="2665" spans="14:14" hidden="1" x14ac:dyDescent="0.3">
      <c r="N2665">
        <f t="shared" si="116"/>
        <v>1900</v>
      </c>
    </row>
    <row r="2666" spans="14:14" hidden="1" x14ac:dyDescent="0.3">
      <c r="N2666">
        <f t="shared" si="116"/>
        <v>1900</v>
      </c>
    </row>
    <row r="2667" spans="14:14" hidden="1" x14ac:dyDescent="0.3">
      <c r="N2667">
        <f t="shared" si="116"/>
        <v>1900</v>
      </c>
    </row>
    <row r="2668" spans="14:14" hidden="1" x14ac:dyDescent="0.3">
      <c r="N2668">
        <f t="shared" si="116"/>
        <v>1900</v>
      </c>
    </row>
    <row r="2669" spans="14:14" hidden="1" x14ac:dyDescent="0.3">
      <c r="N2669">
        <f t="shared" si="116"/>
        <v>1900</v>
      </c>
    </row>
    <row r="2670" spans="14:14" hidden="1" x14ac:dyDescent="0.3">
      <c r="N2670">
        <f t="shared" si="116"/>
        <v>1900</v>
      </c>
    </row>
    <row r="2671" spans="14:14" hidden="1" x14ac:dyDescent="0.3">
      <c r="N2671">
        <f t="shared" si="116"/>
        <v>1900</v>
      </c>
    </row>
    <row r="2672" spans="14:14" hidden="1" x14ac:dyDescent="0.3">
      <c r="N2672">
        <f t="shared" si="116"/>
        <v>1900</v>
      </c>
    </row>
    <row r="2673" spans="14:14" hidden="1" x14ac:dyDescent="0.3">
      <c r="N2673">
        <f t="shared" si="116"/>
        <v>1900</v>
      </c>
    </row>
    <row r="2674" spans="14:14" hidden="1" x14ac:dyDescent="0.3">
      <c r="N2674">
        <f t="shared" si="116"/>
        <v>1900</v>
      </c>
    </row>
    <row r="2675" spans="14:14" hidden="1" x14ac:dyDescent="0.3">
      <c r="N2675">
        <f t="shared" si="116"/>
        <v>1900</v>
      </c>
    </row>
    <row r="2676" spans="14:14" hidden="1" x14ac:dyDescent="0.3">
      <c r="N2676">
        <f t="shared" si="116"/>
        <v>1900</v>
      </c>
    </row>
    <row r="2677" spans="14:14" hidden="1" x14ac:dyDescent="0.3">
      <c r="N2677">
        <f t="shared" si="116"/>
        <v>1900</v>
      </c>
    </row>
    <row r="2678" spans="14:14" hidden="1" x14ac:dyDescent="0.3">
      <c r="N2678">
        <f t="shared" si="116"/>
        <v>1900</v>
      </c>
    </row>
    <row r="2679" spans="14:14" hidden="1" x14ac:dyDescent="0.3">
      <c r="N2679">
        <f t="shared" si="116"/>
        <v>1900</v>
      </c>
    </row>
    <row r="2680" spans="14:14" hidden="1" x14ac:dyDescent="0.3">
      <c r="N2680">
        <f t="shared" si="116"/>
        <v>1900</v>
      </c>
    </row>
    <row r="2681" spans="14:14" hidden="1" x14ac:dyDescent="0.3">
      <c r="N2681">
        <f t="shared" si="116"/>
        <v>1900</v>
      </c>
    </row>
    <row r="2682" spans="14:14" hidden="1" x14ac:dyDescent="0.3">
      <c r="N2682">
        <f t="shared" si="116"/>
        <v>1900</v>
      </c>
    </row>
    <row r="2683" spans="14:14" hidden="1" x14ac:dyDescent="0.3">
      <c r="N2683">
        <f t="shared" si="116"/>
        <v>1900</v>
      </c>
    </row>
    <row r="2684" spans="14:14" hidden="1" x14ac:dyDescent="0.3">
      <c r="N2684">
        <f t="shared" si="116"/>
        <v>1900</v>
      </c>
    </row>
    <row r="2685" spans="14:14" hidden="1" x14ac:dyDescent="0.3">
      <c r="N2685">
        <f t="shared" si="116"/>
        <v>1900</v>
      </c>
    </row>
    <row r="2686" spans="14:14" hidden="1" x14ac:dyDescent="0.3">
      <c r="N2686">
        <f t="shared" si="116"/>
        <v>1900</v>
      </c>
    </row>
    <row r="2687" spans="14:14" hidden="1" x14ac:dyDescent="0.3">
      <c r="N2687">
        <f t="shared" si="116"/>
        <v>1900</v>
      </c>
    </row>
    <row r="2688" spans="14:14" hidden="1" x14ac:dyDescent="0.3">
      <c r="N2688">
        <f t="shared" si="116"/>
        <v>1900</v>
      </c>
    </row>
    <row r="2689" spans="14:14" hidden="1" x14ac:dyDescent="0.3">
      <c r="N2689">
        <f t="shared" si="116"/>
        <v>1900</v>
      </c>
    </row>
    <row r="2690" spans="14:14" hidden="1" x14ac:dyDescent="0.3">
      <c r="N2690">
        <f t="shared" si="116"/>
        <v>1900</v>
      </c>
    </row>
    <row r="2691" spans="14:14" hidden="1" x14ac:dyDescent="0.3">
      <c r="N2691">
        <f t="shared" ref="N2691:N2754" si="117">YEAR(B2691)</f>
        <v>1900</v>
      </c>
    </row>
    <row r="2692" spans="14:14" hidden="1" x14ac:dyDescent="0.3">
      <c r="N2692">
        <f t="shared" si="117"/>
        <v>1900</v>
      </c>
    </row>
    <row r="2693" spans="14:14" hidden="1" x14ac:dyDescent="0.3">
      <c r="N2693">
        <f t="shared" si="117"/>
        <v>1900</v>
      </c>
    </row>
    <row r="2694" spans="14:14" hidden="1" x14ac:dyDescent="0.3">
      <c r="N2694">
        <f t="shared" si="117"/>
        <v>1900</v>
      </c>
    </row>
    <row r="2695" spans="14:14" hidden="1" x14ac:dyDescent="0.3">
      <c r="N2695">
        <f t="shared" si="117"/>
        <v>1900</v>
      </c>
    </row>
    <row r="2696" spans="14:14" hidden="1" x14ac:dyDescent="0.3">
      <c r="N2696">
        <f t="shared" si="117"/>
        <v>1900</v>
      </c>
    </row>
    <row r="2697" spans="14:14" hidden="1" x14ac:dyDescent="0.3">
      <c r="N2697">
        <f t="shared" si="117"/>
        <v>1900</v>
      </c>
    </row>
    <row r="2698" spans="14:14" hidden="1" x14ac:dyDescent="0.3">
      <c r="N2698">
        <f t="shared" si="117"/>
        <v>1900</v>
      </c>
    </row>
    <row r="2699" spans="14:14" hidden="1" x14ac:dyDescent="0.3">
      <c r="N2699">
        <f t="shared" si="117"/>
        <v>1900</v>
      </c>
    </row>
    <row r="2700" spans="14:14" hidden="1" x14ac:dyDescent="0.3">
      <c r="N2700">
        <f t="shared" si="117"/>
        <v>1900</v>
      </c>
    </row>
    <row r="2701" spans="14:14" hidden="1" x14ac:dyDescent="0.3">
      <c r="N2701">
        <f t="shared" si="117"/>
        <v>1900</v>
      </c>
    </row>
    <row r="2702" spans="14:14" hidden="1" x14ac:dyDescent="0.3">
      <c r="N2702">
        <f t="shared" si="117"/>
        <v>1900</v>
      </c>
    </row>
    <row r="2703" spans="14:14" hidden="1" x14ac:dyDescent="0.3">
      <c r="N2703">
        <f t="shared" si="117"/>
        <v>1900</v>
      </c>
    </row>
    <row r="2704" spans="14:14" hidden="1" x14ac:dyDescent="0.3">
      <c r="N2704">
        <f t="shared" si="117"/>
        <v>1900</v>
      </c>
    </row>
    <row r="2705" spans="14:14" hidden="1" x14ac:dyDescent="0.3">
      <c r="N2705">
        <f t="shared" si="117"/>
        <v>1900</v>
      </c>
    </row>
    <row r="2706" spans="14:14" hidden="1" x14ac:dyDescent="0.3">
      <c r="N2706">
        <f t="shared" si="117"/>
        <v>1900</v>
      </c>
    </row>
    <row r="2707" spans="14:14" hidden="1" x14ac:dyDescent="0.3">
      <c r="N2707">
        <f t="shared" si="117"/>
        <v>1900</v>
      </c>
    </row>
    <row r="2708" spans="14:14" hidden="1" x14ac:dyDescent="0.3">
      <c r="N2708">
        <f t="shared" si="117"/>
        <v>1900</v>
      </c>
    </row>
    <row r="2709" spans="14:14" hidden="1" x14ac:dyDescent="0.3">
      <c r="N2709">
        <f t="shared" si="117"/>
        <v>1900</v>
      </c>
    </row>
    <row r="2710" spans="14:14" hidden="1" x14ac:dyDescent="0.3">
      <c r="N2710">
        <f t="shared" si="117"/>
        <v>1900</v>
      </c>
    </row>
    <row r="2711" spans="14:14" hidden="1" x14ac:dyDescent="0.3">
      <c r="N2711">
        <f t="shared" si="117"/>
        <v>1900</v>
      </c>
    </row>
    <row r="2712" spans="14:14" hidden="1" x14ac:dyDescent="0.3">
      <c r="N2712">
        <f t="shared" si="117"/>
        <v>1900</v>
      </c>
    </row>
    <row r="2713" spans="14:14" hidden="1" x14ac:dyDescent="0.3">
      <c r="N2713">
        <f t="shared" si="117"/>
        <v>1900</v>
      </c>
    </row>
    <row r="2714" spans="14:14" hidden="1" x14ac:dyDescent="0.3">
      <c r="N2714">
        <f t="shared" si="117"/>
        <v>1900</v>
      </c>
    </row>
    <row r="2715" spans="14:14" hidden="1" x14ac:dyDescent="0.3">
      <c r="N2715">
        <f t="shared" si="117"/>
        <v>1900</v>
      </c>
    </row>
    <row r="2716" spans="14:14" hidden="1" x14ac:dyDescent="0.3">
      <c r="N2716">
        <f t="shared" si="117"/>
        <v>1900</v>
      </c>
    </row>
    <row r="2717" spans="14:14" hidden="1" x14ac:dyDescent="0.3">
      <c r="N2717">
        <f t="shared" si="117"/>
        <v>1900</v>
      </c>
    </row>
    <row r="2718" spans="14:14" hidden="1" x14ac:dyDescent="0.3">
      <c r="N2718">
        <f t="shared" si="117"/>
        <v>1900</v>
      </c>
    </row>
    <row r="2719" spans="14:14" hidden="1" x14ac:dyDescent="0.3">
      <c r="N2719">
        <f t="shared" si="117"/>
        <v>1900</v>
      </c>
    </row>
    <row r="2720" spans="14:14" hidden="1" x14ac:dyDescent="0.3">
      <c r="N2720">
        <f t="shared" si="117"/>
        <v>1900</v>
      </c>
    </row>
    <row r="2721" spans="14:14" hidden="1" x14ac:dyDescent="0.3">
      <c r="N2721">
        <f t="shared" si="117"/>
        <v>1900</v>
      </c>
    </row>
    <row r="2722" spans="14:14" hidden="1" x14ac:dyDescent="0.3">
      <c r="N2722">
        <f t="shared" si="117"/>
        <v>1900</v>
      </c>
    </row>
    <row r="2723" spans="14:14" hidden="1" x14ac:dyDescent="0.3">
      <c r="N2723">
        <f t="shared" si="117"/>
        <v>1900</v>
      </c>
    </row>
    <row r="2724" spans="14:14" hidden="1" x14ac:dyDescent="0.3">
      <c r="N2724">
        <f t="shared" si="117"/>
        <v>1900</v>
      </c>
    </row>
    <row r="2725" spans="14:14" hidden="1" x14ac:dyDescent="0.3">
      <c r="N2725">
        <f t="shared" si="117"/>
        <v>1900</v>
      </c>
    </row>
    <row r="2726" spans="14:14" hidden="1" x14ac:dyDescent="0.3">
      <c r="N2726">
        <f t="shared" si="117"/>
        <v>1900</v>
      </c>
    </row>
    <row r="2727" spans="14:14" hidden="1" x14ac:dyDescent="0.3">
      <c r="N2727">
        <f t="shared" si="117"/>
        <v>1900</v>
      </c>
    </row>
    <row r="2728" spans="14:14" hidden="1" x14ac:dyDescent="0.3">
      <c r="N2728">
        <f t="shared" si="117"/>
        <v>1900</v>
      </c>
    </row>
    <row r="2729" spans="14:14" hidden="1" x14ac:dyDescent="0.3">
      <c r="N2729">
        <f t="shared" si="117"/>
        <v>1900</v>
      </c>
    </row>
    <row r="2730" spans="14:14" hidden="1" x14ac:dyDescent="0.3">
      <c r="N2730">
        <f t="shared" si="117"/>
        <v>1900</v>
      </c>
    </row>
    <row r="2731" spans="14:14" hidden="1" x14ac:dyDescent="0.3">
      <c r="N2731">
        <f t="shared" si="117"/>
        <v>1900</v>
      </c>
    </row>
    <row r="2732" spans="14:14" hidden="1" x14ac:dyDescent="0.3">
      <c r="N2732">
        <f t="shared" si="117"/>
        <v>1900</v>
      </c>
    </row>
    <row r="2733" spans="14:14" hidden="1" x14ac:dyDescent="0.3">
      <c r="N2733">
        <f t="shared" si="117"/>
        <v>1900</v>
      </c>
    </row>
    <row r="2734" spans="14:14" hidden="1" x14ac:dyDescent="0.3">
      <c r="N2734">
        <f t="shared" si="117"/>
        <v>1900</v>
      </c>
    </row>
    <row r="2735" spans="14:14" hidden="1" x14ac:dyDescent="0.3">
      <c r="N2735">
        <f t="shared" si="117"/>
        <v>1900</v>
      </c>
    </row>
    <row r="2736" spans="14:14" hidden="1" x14ac:dyDescent="0.3">
      <c r="N2736">
        <f t="shared" si="117"/>
        <v>1900</v>
      </c>
    </row>
    <row r="2737" spans="14:14" hidden="1" x14ac:dyDescent="0.3">
      <c r="N2737">
        <f t="shared" si="117"/>
        <v>1900</v>
      </c>
    </row>
    <row r="2738" spans="14:14" hidden="1" x14ac:dyDescent="0.3">
      <c r="N2738">
        <f t="shared" si="117"/>
        <v>1900</v>
      </c>
    </row>
    <row r="2739" spans="14:14" hidden="1" x14ac:dyDescent="0.3">
      <c r="N2739">
        <f t="shared" si="117"/>
        <v>1900</v>
      </c>
    </row>
    <row r="2740" spans="14:14" hidden="1" x14ac:dyDescent="0.3">
      <c r="N2740">
        <f t="shared" si="117"/>
        <v>1900</v>
      </c>
    </row>
    <row r="2741" spans="14:14" hidden="1" x14ac:dyDescent="0.3">
      <c r="N2741">
        <f t="shared" si="117"/>
        <v>1900</v>
      </c>
    </row>
    <row r="2742" spans="14:14" hidden="1" x14ac:dyDescent="0.3">
      <c r="N2742">
        <f t="shared" si="117"/>
        <v>1900</v>
      </c>
    </row>
    <row r="2743" spans="14:14" hidden="1" x14ac:dyDescent="0.3">
      <c r="N2743">
        <f t="shared" si="117"/>
        <v>1900</v>
      </c>
    </row>
    <row r="2744" spans="14:14" hidden="1" x14ac:dyDescent="0.3">
      <c r="N2744">
        <f t="shared" si="117"/>
        <v>1900</v>
      </c>
    </row>
    <row r="2745" spans="14:14" hidden="1" x14ac:dyDescent="0.3">
      <c r="N2745">
        <f t="shared" si="117"/>
        <v>1900</v>
      </c>
    </row>
    <row r="2746" spans="14:14" hidden="1" x14ac:dyDescent="0.3">
      <c r="N2746">
        <f t="shared" si="117"/>
        <v>1900</v>
      </c>
    </row>
    <row r="2747" spans="14:14" hidden="1" x14ac:dyDescent="0.3">
      <c r="N2747">
        <f t="shared" si="117"/>
        <v>1900</v>
      </c>
    </row>
    <row r="2748" spans="14:14" hidden="1" x14ac:dyDescent="0.3">
      <c r="N2748">
        <f t="shared" si="117"/>
        <v>1900</v>
      </c>
    </row>
    <row r="2749" spans="14:14" hidden="1" x14ac:dyDescent="0.3">
      <c r="N2749">
        <f t="shared" si="117"/>
        <v>1900</v>
      </c>
    </row>
    <row r="2750" spans="14:14" hidden="1" x14ac:dyDescent="0.3">
      <c r="N2750">
        <f t="shared" si="117"/>
        <v>1900</v>
      </c>
    </row>
    <row r="2751" spans="14:14" hidden="1" x14ac:dyDescent="0.3">
      <c r="N2751">
        <f t="shared" si="117"/>
        <v>1900</v>
      </c>
    </row>
    <row r="2752" spans="14:14" hidden="1" x14ac:dyDescent="0.3">
      <c r="N2752">
        <f t="shared" si="117"/>
        <v>1900</v>
      </c>
    </row>
    <row r="2753" spans="14:14" hidden="1" x14ac:dyDescent="0.3">
      <c r="N2753">
        <f t="shared" si="117"/>
        <v>1900</v>
      </c>
    </row>
    <row r="2754" spans="14:14" hidden="1" x14ac:dyDescent="0.3">
      <c r="N2754">
        <f t="shared" si="117"/>
        <v>1900</v>
      </c>
    </row>
    <row r="2755" spans="14:14" hidden="1" x14ac:dyDescent="0.3">
      <c r="N2755">
        <f t="shared" ref="N2755:N2818" si="118">YEAR(B2755)</f>
        <v>1900</v>
      </c>
    </row>
    <row r="2756" spans="14:14" hidden="1" x14ac:dyDescent="0.3">
      <c r="N2756">
        <f t="shared" si="118"/>
        <v>1900</v>
      </c>
    </row>
    <row r="2757" spans="14:14" hidden="1" x14ac:dyDescent="0.3">
      <c r="N2757">
        <f t="shared" si="118"/>
        <v>1900</v>
      </c>
    </row>
    <row r="2758" spans="14:14" hidden="1" x14ac:dyDescent="0.3">
      <c r="N2758">
        <f t="shared" si="118"/>
        <v>1900</v>
      </c>
    </row>
    <row r="2759" spans="14:14" hidden="1" x14ac:dyDescent="0.3">
      <c r="N2759">
        <f t="shared" si="118"/>
        <v>1900</v>
      </c>
    </row>
    <row r="2760" spans="14:14" hidden="1" x14ac:dyDescent="0.3">
      <c r="N2760">
        <f t="shared" si="118"/>
        <v>1900</v>
      </c>
    </row>
    <row r="2761" spans="14:14" hidden="1" x14ac:dyDescent="0.3">
      <c r="N2761">
        <f t="shared" si="118"/>
        <v>1900</v>
      </c>
    </row>
    <row r="2762" spans="14:14" hidden="1" x14ac:dyDescent="0.3">
      <c r="N2762">
        <f t="shared" si="118"/>
        <v>1900</v>
      </c>
    </row>
    <row r="2763" spans="14:14" hidden="1" x14ac:dyDescent="0.3">
      <c r="N2763">
        <f t="shared" si="118"/>
        <v>1900</v>
      </c>
    </row>
    <row r="2764" spans="14:14" hidden="1" x14ac:dyDescent="0.3">
      <c r="N2764">
        <f t="shared" si="118"/>
        <v>1900</v>
      </c>
    </row>
    <row r="2765" spans="14:14" hidden="1" x14ac:dyDescent="0.3">
      <c r="N2765">
        <f t="shared" si="118"/>
        <v>1900</v>
      </c>
    </row>
    <row r="2766" spans="14:14" hidden="1" x14ac:dyDescent="0.3">
      <c r="N2766">
        <f t="shared" si="118"/>
        <v>1900</v>
      </c>
    </row>
    <row r="2767" spans="14:14" hidden="1" x14ac:dyDescent="0.3">
      <c r="N2767">
        <f t="shared" si="118"/>
        <v>1900</v>
      </c>
    </row>
    <row r="2768" spans="14:14" hidden="1" x14ac:dyDescent="0.3">
      <c r="N2768">
        <f t="shared" si="118"/>
        <v>1900</v>
      </c>
    </row>
    <row r="2769" spans="14:14" hidden="1" x14ac:dyDescent="0.3">
      <c r="N2769">
        <f t="shared" si="118"/>
        <v>1900</v>
      </c>
    </row>
    <row r="2770" spans="14:14" hidden="1" x14ac:dyDescent="0.3">
      <c r="N2770">
        <f t="shared" si="118"/>
        <v>1900</v>
      </c>
    </row>
    <row r="2771" spans="14:14" hidden="1" x14ac:dyDescent="0.3">
      <c r="N2771">
        <f t="shared" si="118"/>
        <v>1900</v>
      </c>
    </row>
    <row r="2772" spans="14:14" hidden="1" x14ac:dyDescent="0.3">
      <c r="N2772">
        <f t="shared" si="118"/>
        <v>1900</v>
      </c>
    </row>
    <row r="2773" spans="14:14" hidden="1" x14ac:dyDescent="0.3">
      <c r="N2773">
        <f t="shared" si="118"/>
        <v>1900</v>
      </c>
    </row>
    <row r="2774" spans="14:14" hidden="1" x14ac:dyDescent="0.3">
      <c r="N2774">
        <f t="shared" si="118"/>
        <v>1900</v>
      </c>
    </row>
    <row r="2775" spans="14:14" hidden="1" x14ac:dyDescent="0.3">
      <c r="N2775">
        <f t="shared" si="118"/>
        <v>1900</v>
      </c>
    </row>
    <row r="2776" spans="14:14" hidden="1" x14ac:dyDescent="0.3">
      <c r="N2776">
        <f t="shared" si="118"/>
        <v>1900</v>
      </c>
    </row>
    <row r="2777" spans="14:14" hidden="1" x14ac:dyDescent="0.3">
      <c r="N2777">
        <f t="shared" si="118"/>
        <v>1900</v>
      </c>
    </row>
    <row r="2778" spans="14:14" hidden="1" x14ac:dyDescent="0.3">
      <c r="N2778">
        <f t="shared" si="118"/>
        <v>1900</v>
      </c>
    </row>
    <row r="2779" spans="14:14" hidden="1" x14ac:dyDescent="0.3">
      <c r="N2779">
        <f t="shared" si="118"/>
        <v>1900</v>
      </c>
    </row>
    <row r="2780" spans="14:14" hidden="1" x14ac:dyDescent="0.3">
      <c r="N2780">
        <f t="shared" si="118"/>
        <v>1900</v>
      </c>
    </row>
    <row r="2781" spans="14:14" hidden="1" x14ac:dyDescent="0.3">
      <c r="N2781">
        <f t="shared" si="118"/>
        <v>1900</v>
      </c>
    </row>
    <row r="2782" spans="14:14" hidden="1" x14ac:dyDescent="0.3">
      <c r="N2782">
        <f t="shared" si="118"/>
        <v>1900</v>
      </c>
    </row>
    <row r="2783" spans="14:14" hidden="1" x14ac:dyDescent="0.3">
      <c r="N2783">
        <f t="shared" si="118"/>
        <v>1900</v>
      </c>
    </row>
    <row r="2784" spans="14:14" hidden="1" x14ac:dyDescent="0.3">
      <c r="N2784">
        <f t="shared" si="118"/>
        <v>1900</v>
      </c>
    </row>
    <row r="2785" spans="14:14" hidden="1" x14ac:dyDescent="0.3">
      <c r="N2785">
        <f t="shared" si="118"/>
        <v>1900</v>
      </c>
    </row>
    <row r="2786" spans="14:14" hidden="1" x14ac:dyDescent="0.3">
      <c r="N2786">
        <f t="shared" si="118"/>
        <v>1900</v>
      </c>
    </row>
    <row r="2787" spans="14:14" hidden="1" x14ac:dyDescent="0.3">
      <c r="N2787">
        <f t="shared" si="118"/>
        <v>1900</v>
      </c>
    </row>
    <row r="2788" spans="14:14" hidden="1" x14ac:dyDescent="0.3">
      <c r="N2788">
        <f t="shared" si="118"/>
        <v>1900</v>
      </c>
    </row>
    <row r="2789" spans="14:14" hidden="1" x14ac:dyDescent="0.3">
      <c r="N2789">
        <f t="shared" si="118"/>
        <v>1900</v>
      </c>
    </row>
    <row r="2790" spans="14:14" hidden="1" x14ac:dyDescent="0.3">
      <c r="N2790">
        <f t="shared" si="118"/>
        <v>1900</v>
      </c>
    </row>
    <row r="2791" spans="14:14" hidden="1" x14ac:dyDescent="0.3">
      <c r="N2791">
        <f t="shared" si="118"/>
        <v>1900</v>
      </c>
    </row>
    <row r="2792" spans="14:14" hidden="1" x14ac:dyDescent="0.3">
      <c r="N2792">
        <f t="shared" si="118"/>
        <v>1900</v>
      </c>
    </row>
    <row r="2793" spans="14:14" hidden="1" x14ac:dyDescent="0.3">
      <c r="N2793">
        <f t="shared" si="118"/>
        <v>1900</v>
      </c>
    </row>
    <row r="2794" spans="14:14" hidden="1" x14ac:dyDescent="0.3">
      <c r="N2794">
        <f t="shared" si="118"/>
        <v>1900</v>
      </c>
    </row>
    <row r="2795" spans="14:14" hidden="1" x14ac:dyDescent="0.3">
      <c r="N2795">
        <f t="shared" si="118"/>
        <v>1900</v>
      </c>
    </row>
    <row r="2796" spans="14:14" hidden="1" x14ac:dyDescent="0.3">
      <c r="N2796">
        <f t="shared" si="118"/>
        <v>1900</v>
      </c>
    </row>
    <row r="2797" spans="14:14" hidden="1" x14ac:dyDescent="0.3">
      <c r="N2797">
        <f t="shared" si="118"/>
        <v>1900</v>
      </c>
    </row>
    <row r="2798" spans="14:14" hidden="1" x14ac:dyDescent="0.3">
      <c r="N2798">
        <f t="shared" si="118"/>
        <v>1900</v>
      </c>
    </row>
    <row r="2799" spans="14:14" hidden="1" x14ac:dyDescent="0.3">
      <c r="N2799">
        <f t="shared" si="118"/>
        <v>1900</v>
      </c>
    </row>
    <row r="2800" spans="14:14" hidden="1" x14ac:dyDescent="0.3">
      <c r="N2800">
        <f t="shared" si="118"/>
        <v>1900</v>
      </c>
    </row>
    <row r="2801" spans="14:14" hidden="1" x14ac:dyDescent="0.3">
      <c r="N2801">
        <f t="shared" si="118"/>
        <v>1900</v>
      </c>
    </row>
    <row r="2802" spans="14:14" hidden="1" x14ac:dyDescent="0.3">
      <c r="N2802">
        <f t="shared" si="118"/>
        <v>1900</v>
      </c>
    </row>
    <row r="2803" spans="14:14" hidden="1" x14ac:dyDescent="0.3">
      <c r="N2803">
        <f t="shared" si="118"/>
        <v>1900</v>
      </c>
    </row>
    <row r="2804" spans="14:14" hidden="1" x14ac:dyDescent="0.3">
      <c r="N2804">
        <f t="shared" si="118"/>
        <v>1900</v>
      </c>
    </row>
    <row r="2805" spans="14:14" hidden="1" x14ac:dyDescent="0.3">
      <c r="N2805">
        <f t="shared" si="118"/>
        <v>1900</v>
      </c>
    </row>
    <row r="2806" spans="14:14" hidden="1" x14ac:dyDescent="0.3">
      <c r="N2806">
        <f t="shared" si="118"/>
        <v>1900</v>
      </c>
    </row>
    <row r="2807" spans="14:14" hidden="1" x14ac:dyDescent="0.3">
      <c r="N2807">
        <f t="shared" si="118"/>
        <v>1900</v>
      </c>
    </row>
    <row r="2808" spans="14:14" hidden="1" x14ac:dyDescent="0.3">
      <c r="N2808">
        <f t="shared" si="118"/>
        <v>1900</v>
      </c>
    </row>
    <row r="2809" spans="14:14" hidden="1" x14ac:dyDescent="0.3">
      <c r="N2809">
        <f t="shared" si="118"/>
        <v>1900</v>
      </c>
    </row>
    <row r="2810" spans="14:14" hidden="1" x14ac:dyDescent="0.3">
      <c r="N2810">
        <f t="shared" si="118"/>
        <v>1900</v>
      </c>
    </row>
    <row r="2811" spans="14:14" hidden="1" x14ac:dyDescent="0.3">
      <c r="N2811">
        <f t="shared" si="118"/>
        <v>1900</v>
      </c>
    </row>
    <row r="2812" spans="14:14" hidden="1" x14ac:dyDescent="0.3">
      <c r="N2812">
        <f t="shared" si="118"/>
        <v>1900</v>
      </c>
    </row>
    <row r="2813" spans="14:14" hidden="1" x14ac:dyDescent="0.3">
      <c r="N2813">
        <f t="shared" si="118"/>
        <v>1900</v>
      </c>
    </row>
    <row r="2814" spans="14:14" hidden="1" x14ac:dyDescent="0.3">
      <c r="N2814">
        <f t="shared" si="118"/>
        <v>1900</v>
      </c>
    </row>
    <row r="2815" spans="14:14" hidden="1" x14ac:dyDescent="0.3">
      <c r="N2815">
        <f t="shared" si="118"/>
        <v>1900</v>
      </c>
    </row>
    <row r="2816" spans="14:14" hidden="1" x14ac:dyDescent="0.3">
      <c r="N2816">
        <f t="shared" si="118"/>
        <v>1900</v>
      </c>
    </row>
    <row r="2817" spans="14:14" hidden="1" x14ac:dyDescent="0.3">
      <c r="N2817">
        <f t="shared" si="118"/>
        <v>1900</v>
      </c>
    </row>
    <row r="2818" spans="14:14" hidden="1" x14ac:dyDescent="0.3">
      <c r="N2818">
        <f t="shared" si="118"/>
        <v>1900</v>
      </c>
    </row>
    <row r="2819" spans="14:14" hidden="1" x14ac:dyDescent="0.3">
      <c r="N2819">
        <f t="shared" ref="N2819:N2882" si="119">YEAR(B2819)</f>
        <v>1900</v>
      </c>
    </row>
    <row r="2820" spans="14:14" hidden="1" x14ac:dyDescent="0.3">
      <c r="N2820">
        <f t="shared" si="119"/>
        <v>1900</v>
      </c>
    </row>
    <row r="2821" spans="14:14" hidden="1" x14ac:dyDescent="0.3">
      <c r="N2821">
        <f t="shared" si="119"/>
        <v>1900</v>
      </c>
    </row>
    <row r="2822" spans="14:14" hidden="1" x14ac:dyDescent="0.3">
      <c r="N2822">
        <f t="shared" si="119"/>
        <v>1900</v>
      </c>
    </row>
    <row r="2823" spans="14:14" hidden="1" x14ac:dyDescent="0.3">
      <c r="N2823">
        <f t="shared" si="119"/>
        <v>1900</v>
      </c>
    </row>
    <row r="2824" spans="14:14" hidden="1" x14ac:dyDescent="0.3">
      <c r="N2824">
        <f t="shared" si="119"/>
        <v>1900</v>
      </c>
    </row>
    <row r="2825" spans="14:14" hidden="1" x14ac:dyDescent="0.3">
      <c r="N2825">
        <f t="shared" si="119"/>
        <v>1900</v>
      </c>
    </row>
    <row r="2826" spans="14:14" hidden="1" x14ac:dyDescent="0.3">
      <c r="N2826">
        <f t="shared" si="119"/>
        <v>1900</v>
      </c>
    </row>
    <row r="2827" spans="14:14" hidden="1" x14ac:dyDescent="0.3">
      <c r="N2827">
        <f t="shared" si="119"/>
        <v>1900</v>
      </c>
    </row>
    <row r="2828" spans="14:14" hidden="1" x14ac:dyDescent="0.3">
      <c r="N2828">
        <f t="shared" si="119"/>
        <v>1900</v>
      </c>
    </row>
    <row r="2829" spans="14:14" hidden="1" x14ac:dyDescent="0.3">
      <c r="N2829">
        <f t="shared" si="119"/>
        <v>1900</v>
      </c>
    </row>
    <row r="2830" spans="14:14" hidden="1" x14ac:dyDescent="0.3">
      <c r="N2830">
        <f t="shared" si="119"/>
        <v>1900</v>
      </c>
    </row>
    <row r="2831" spans="14:14" hidden="1" x14ac:dyDescent="0.3">
      <c r="N2831">
        <f t="shared" si="119"/>
        <v>1900</v>
      </c>
    </row>
    <row r="2832" spans="14:14" hidden="1" x14ac:dyDescent="0.3">
      <c r="N2832">
        <f t="shared" si="119"/>
        <v>1900</v>
      </c>
    </row>
    <row r="2833" spans="14:14" hidden="1" x14ac:dyDescent="0.3">
      <c r="N2833">
        <f t="shared" si="119"/>
        <v>1900</v>
      </c>
    </row>
    <row r="2834" spans="14:14" hidden="1" x14ac:dyDescent="0.3">
      <c r="N2834">
        <f t="shared" si="119"/>
        <v>1900</v>
      </c>
    </row>
    <row r="2835" spans="14:14" hidden="1" x14ac:dyDescent="0.3">
      <c r="N2835">
        <f t="shared" si="119"/>
        <v>1900</v>
      </c>
    </row>
    <row r="2836" spans="14:14" hidden="1" x14ac:dyDescent="0.3">
      <c r="N2836">
        <f t="shared" si="119"/>
        <v>1900</v>
      </c>
    </row>
    <row r="2837" spans="14:14" hidden="1" x14ac:dyDescent="0.3">
      <c r="N2837">
        <f t="shared" si="119"/>
        <v>1900</v>
      </c>
    </row>
    <row r="2838" spans="14:14" hidden="1" x14ac:dyDescent="0.3">
      <c r="N2838">
        <f t="shared" si="119"/>
        <v>1900</v>
      </c>
    </row>
    <row r="2839" spans="14:14" hidden="1" x14ac:dyDescent="0.3">
      <c r="N2839">
        <f t="shared" si="119"/>
        <v>1900</v>
      </c>
    </row>
    <row r="2840" spans="14:14" hidden="1" x14ac:dyDescent="0.3">
      <c r="N2840">
        <f t="shared" si="119"/>
        <v>1900</v>
      </c>
    </row>
    <row r="2841" spans="14:14" hidden="1" x14ac:dyDescent="0.3">
      <c r="N2841">
        <f t="shared" si="119"/>
        <v>1900</v>
      </c>
    </row>
    <row r="2842" spans="14:14" hidden="1" x14ac:dyDescent="0.3">
      <c r="N2842">
        <f t="shared" si="119"/>
        <v>1900</v>
      </c>
    </row>
    <row r="2843" spans="14:14" hidden="1" x14ac:dyDescent="0.3">
      <c r="N2843">
        <f t="shared" si="119"/>
        <v>1900</v>
      </c>
    </row>
    <row r="2844" spans="14:14" hidden="1" x14ac:dyDescent="0.3">
      <c r="N2844">
        <f t="shared" si="119"/>
        <v>1900</v>
      </c>
    </row>
    <row r="2845" spans="14:14" hidden="1" x14ac:dyDescent="0.3">
      <c r="N2845">
        <f t="shared" si="119"/>
        <v>1900</v>
      </c>
    </row>
    <row r="2846" spans="14:14" hidden="1" x14ac:dyDescent="0.3">
      <c r="N2846">
        <f t="shared" si="119"/>
        <v>1900</v>
      </c>
    </row>
    <row r="2847" spans="14:14" hidden="1" x14ac:dyDescent="0.3">
      <c r="N2847">
        <f t="shared" si="119"/>
        <v>1900</v>
      </c>
    </row>
    <row r="2848" spans="14:14" hidden="1" x14ac:dyDescent="0.3">
      <c r="N2848">
        <f t="shared" si="119"/>
        <v>1900</v>
      </c>
    </row>
    <row r="2849" spans="14:14" hidden="1" x14ac:dyDescent="0.3">
      <c r="N2849">
        <f t="shared" si="119"/>
        <v>1900</v>
      </c>
    </row>
    <row r="2850" spans="14:14" hidden="1" x14ac:dyDescent="0.3">
      <c r="N2850">
        <f t="shared" si="119"/>
        <v>1900</v>
      </c>
    </row>
    <row r="2851" spans="14:14" hidden="1" x14ac:dyDescent="0.3">
      <c r="N2851">
        <f t="shared" si="119"/>
        <v>1900</v>
      </c>
    </row>
    <row r="2852" spans="14:14" hidden="1" x14ac:dyDescent="0.3">
      <c r="N2852">
        <f t="shared" si="119"/>
        <v>1900</v>
      </c>
    </row>
    <row r="2853" spans="14:14" hidden="1" x14ac:dyDescent="0.3">
      <c r="N2853">
        <f t="shared" si="119"/>
        <v>1900</v>
      </c>
    </row>
    <row r="2854" spans="14:14" hidden="1" x14ac:dyDescent="0.3">
      <c r="N2854">
        <f t="shared" si="119"/>
        <v>1900</v>
      </c>
    </row>
    <row r="2855" spans="14:14" hidden="1" x14ac:dyDescent="0.3">
      <c r="N2855">
        <f t="shared" si="119"/>
        <v>1900</v>
      </c>
    </row>
    <row r="2856" spans="14:14" hidden="1" x14ac:dyDescent="0.3">
      <c r="N2856">
        <f t="shared" si="119"/>
        <v>1900</v>
      </c>
    </row>
    <row r="2857" spans="14:14" hidden="1" x14ac:dyDescent="0.3">
      <c r="N2857">
        <f t="shared" si="119"/>
        <v>1900</v>
      </c>
    </row>
    <row r="2858" spans="14:14" hidden="1" x14ac:dyDescent="0.3">
      <c r="N2858">
        <f t="shared" si="119"/>
        <v>1900</v>
      </c>
    </row>
    <row r="2859" spans="14:14" hidden="1" x14ac:dyDescent="0.3">
      <c r="N2859">
        <f t="shared" si="119"/>
        <v>1900</v>
      </c>
    </row>
    <row r="2860" spans="14:14" hidden="1" x14ac:dyDescent="0.3">
      <c r="N2860">
        <f t="shared" si="119"/>
        <v>1900</v>
      </c>
    </row>
    <row r="2861" spans="14:14" hidden="1" x14ac:dyDescent="0.3">
      <c r="N2861">
        <f t="shared" si="119"/>
        <v>1900</v>
      </c>
    </row>
    <row r="2862" spans="14:14" hidden="1" x14ac:dyDescent="0.3">
      <c r="N2862">
        <f t="shared" si="119"/>
        <v>1900</v>
      </c>
    </row>
    <row r="2863" spans="14:14" hidden="1" x14ac:dyDescent="0.3">
      <c r="N2863">
        <f t="shared" si="119"/>
        <v>1900</v>
      </c>
    </row>
    <row r="2864" spans="14:14" hidden="1" x14ac:dyDescent="0.3">
      <c r="N2864">
        <f t="shared" si="119"/>
        <v>1900</v>
      </c>
    </row>
    <row r="2865" spans="14:14" hidden="1" x14ac:dyDescent="0.3">
      <c r="N2865">
        <f t="shared" si="119"/>
        <v>1900</v>
      </c>
    </row>
    <row r="2866" spans="14:14" hidden="1" x14ac:dyDescent="0.3">
      <c r="N2866">
        <f t="shared" si="119"/>
        <v>1900</v>
      </c>
    </row>
    <row r="2867" spans="14:14" hidden="1" x14ac:dyDescent="0.3">
      <c r="N2867">
        <f t="shared" si="119"/>
        <v>1900</v>
      </c>
    </row>
    <row r="2868" spans="14:14" hidden="1" x14ac:dyDescent="0.3">
      <c r="N2868">
        <f t="shared" si="119"/>
        <v>1900</v>
      </c>
    </row>
    <row r="2869" spans="14:14" hidden="1" x14ac:dyDescent="0.3">
      <c r="N2869">
        <f t="shared" si="119"/>
        <v>1900</v>
      </c>
    </row>
    <row r="2870" spans="14:14" hidden="1" x14ac:dyDescent="0.3">
      <c r="N2870">
        <f t="shared" si="119"/>
        <v>1900</v>
      </c>
    </row>
    <row r="2871" spans="14:14" hidden="1" x14ac:dyDescent="0.3">
      <c r="N2871">
        <f t="shared" si="119"/>
        <v>1900</v>
      </c>
    </row>
    <row r="2872" spans="14:14" hidden="1" x14ac:dyDescent="0.3">
      <c r="N2872">
        <f t="shared" si="119"/>
        <v>1900</v>
      </c>
    </row>
    <row r="2873" spans="14:14" hidden="1" x14ac:dyDescent="0.3">
      <c r="N2873">
        <f t="shared" si="119"/>
        <v>1900</v>
      </c>
    </row>
    <row r="2874" spans="14:14" hidden="1" x14ac:dyDescent="0.3">
      <c r="N2874">
        <f t="shared" si="119"/>
        <v>1900</v>
      </c>
    </row>
    <row r="2875" spans="14:14" hidden="1" x14ac:dyDescent="0.3">
      <c r="N2875">
        <f t="shared" si="119"/>
        <v>1900</v>
      </c>
    </row>
    <row r="2876" spans="14:14" hidden="1" x14ac:dyDescent="0.3">
      <c r="N2876">
        <f t="shared" si="119"/>
        <v>1900</v>
      </c>
    </row>
    <row r="2877" spans="14:14" hidden="1" x14ac:dyDescent="0.3">
      <c r="N2877">
        <f t="shared" si="119"/>
        <v>1900</v>
      </c>
    </row>
    <row r="2878" spans="14:14" hidden="1" x14ac:dyDescent="0.3">
      <c r="N2878">
        <f t="shared" si="119"/>
        <v>1900</v>
      </c>
    </row>
    <row r="2879" spans="14:14" hidden="1" x14ac:dyDescent="0.3">
      <c r="N2879">
        <f t="shared" si="119"/>
        <v>1900</v>
      </c>
    </row>
    <row r="2880" spans="14:14" hidden="1" x14ac:dyDescent="0.3">
      <c r="N2880">
        <f t="shared" si="119"/>
        <v>1900</v>
      </c>
    </row>
    <row r="2881" spans="14:14" hidden="1" x14ac:dyDescent="0.3">
      <c r="N2881">
        <f t="shared" si="119"/>
        <v>1900</v>
      </c>
    </row>
    <row r="2882" spans="14:14" hidden="1" x14ac:dyDescent="0.3">
      <c r="N2882">
        <f t="shared" si="119"/>
        <v>1900</v>
      </c>
    </row>
    <row r="2883" spans="14:14" hidden="1" x14ac:dyDescent="0.3">
      <c r="N2883">
        <f t="shared" ref="N2883:N2946" si="120">YEAR(B2883)</f>
        <v>1900</v>
      </c>
    </row>
    <row r="2884" spans="14:14" hidden="1" x14ac:dyDescent="0.3">
      <c r="N2884">
        <f t="shared" si="120"/>
        <v>1900</v>
      </c>
    </row>
    <row r="2885" spans="14:14" hidden="1" x14ac:dyDescent="0.3">
      <c r="N2885">
        <f t="shared" si="120"/>
        <v>1900</v>
      </c>
    </row>
    <row r="2886" spans="14:14" hidden="1" x14ac:dyDescent="0.3">
      <c r="N2886">
        <f t="shared" si="120"/>
        <v>1900</v>
      </c>
    </row>
    <row r="2887" spans="14:14" hidden="1" x14ac:dyDescent="0.3">
      <c r="N2887">
        <f t="shared" si="120"/>
        <v>1900</v>
      </c>
    </row>
    <row r="2888" spans="14:14" hidden="1" x14ac:dyDescent="0.3">
      <c r="N2888">
        <f t="shared" si="120"/>
        <v>1900</v>
      </c>
    </row>
    <row r="2889" spans="14:14" hidden="1" x14ac:dyDescent="0.3">
      <c r="N2889">
        <f t="shared" si="120"/>
        <v>1900</v>
      </c>
    </row>
    <row r="2890" spans="14:14" hidden="1" x14ac:dyDescent="0.3">
      <c r="N2890">
        <f t="shared" si="120"/>
        <v>1900</v>
      </c>
    </row>
    <row r="2891" spans="14:14" hidden="1" x14ac:dyDescent="0.3">
      <c r="N2891">
        <f t="shared" si="120"/>
        <v>1900</v>
      </c>
    </row>
    <row r="2892" spans="14:14" hidden="1" x14ac:dyDescent="0.3">
      <c r="N2892">
        <f t="shared" si="120"/>
        <v>1900</v>
      </c>
    </row>
    <row r="2893" spans="14:14" hidden="1" x14ac:dyDescent="0.3">
      <c r="N2893">
        <f t="shared" si="120"/>
        <v>1900</v>
      </c>
    </row>
    <row r="2894" spans="14:14" hidden="1" x14ac:dyDescent="0.3">
      <c r="N2894">
        <f t="shared" si="120"/>
        <v>1900</v>
      </c>
    </row>
    <row r="2895" spans="14:14" hidden="1" x14ac:dyDescent="0.3">
      <c r="N2895">
        <f t="shared" si="120"/>
        <v>1900</v>
      </c>
    </row>
    <row r="2896" spans="14:14" hidden="1" x14ac:dyDescent="0.3">
      <c r="N2896">
        <f t="shared" si="120"/>
        <v>1900</v>
      </c>
    </row>
    <row r="2897" spans="14:14" hidden="1" x14ac:dyDescent="0.3">
      <c r="N2897">
        <f t="shared" si="120"/>
        <v>1900</v>
      </c>
    </row>
    <row r="2898" spans="14:14" hidden="1" x14ac:dyDescent="0.3">
      <c r="N2898">
        <f t="shared" si="120"/>
        <v>1900</v>
      </c>
    </row>
    <row r="2899" spans="14:14" hidden="1" x14ac:dyDescent="0.3">
      <c r="N2899">
        <f t="shared" si="120"/>
        <v>1900</v>
      </c>
    </row>
    <row r="2900" spans="14:14" hidden="1" x14ac:dyDescent="0.3">
      <c r="N2900">
        <f t="shared" si="120"/>
        <v>1900</v>
      </c>
    </row>
    <row r="2901" spans="14:14" hidden="1" x14ac:dyDescent="0.3">
      <c r="N2901">
        <f t="shared" si="120"/>
        <v>1900</v>
      </c>
    </row>
    <row r="2902" spans="14:14" hidden="1" x14ac:dyDescent="0.3">
      <c r="N2902">
        <f t="shared" si="120"/>
        <v>1900</v>
      </c>
    </row>
    <row r="2903" spans="14:14" hidden="1" x14ac:dyDescent="0.3">
      <c r="N2903">
        <f t="shared" si="120"/>
        <v>1900</v>
      </c>
    </row>
    <row r="2904" spans="14:14" hidden="1" x14ac:dyDescent="0.3">
      <c r="N2904">
        <f t="shared" si="120"/>
        <v>1900</v>
      </c>
    </row>
    <row r="2905" spans="14:14" hidden="1" x14ac:dyDescent="0.3">
      <c r="N2905">
        <f t="shared" si="120"/>
        <v>1900</v>
      </c>
    </row>
    <row r="2906" spans="14:14" hidden="1" x14ac:dyDescent="0.3">
      <c r="N2906">
        <f t="shared" si="120"/>
        <v>1900</v>
      </c>
    </row>
    <row r="2907" spans="14:14" hidden="1" x14ac:dyDescent="0.3">
      <c r="N2907">
        <f t="shared" si="120"/>
        <v>1900</v>
      </c>
    </row>
    <row r="2908" spans="14:14" hidden="1" x14ac:dyDescent="0.3">
      <c r="N2908">
        <f t="shared" si="120"/>
        <v>1900</v>
      </c>
    </row>
    <row r="2909" spans="14:14" hidden="1" x14ac:dyDescent="0.3">
      <c r="N2909">
        <f t="shared" si="120"/>
        <v>1900</v>
      </c>
    </row>
    <row r="2910" spans="14:14" hidden="1" x14ac:dyDescent="0.3">
      <c r="N2910">
        <f t="shared" si="120"/>
        <v>1900</v>
      </c>
    </row>
    <row r="2911" spans="14:14" hidden="1" x14ac:dyDescent="0.3">
      <c r="N2911">
        <f t="shared" si="120"/>
        <v>1900</v>
      </c>
    </row>
    <row r="2912" spans="14:14" hidden="1" x14ac:dyDescent="0.3">
      <c r="N2912">
        <f t="shared" si="120"/>
        <v>1900</v>
      </c>
    </row>
    <row r="2913" spans="14:14" hidden="1" x14ac:dyDescent="0.3">
      <c r="N2913">
        <f t="shared" si="120"/>
        <v>1900</v>
      </c>
    </row>
    <row r="2914" spans="14:14" hidden="1" x14ac:dyDescent="0.3">
      <c r="N2914">
        <f t="shared" si="120"/>
        <v>1900</v>
      </c>
    </row>
    <row r="2915" spans="14:14" hidden="1" x14ac:dyDescent="0.3">
      <c r="N2915">
        <f t="shared" si="120"/>
        <v>1900</v>
      </c>
    </row>
    <row r="2916" spans="14:14" hidden="1" x14ac:dyDescent="0.3">
      <c r="N2916">
        <f t="shared" si="120"/>
        <v>1900</v>
      </c>
    </row>
    <row r="2917" spans="14:14" hidden="1" x14ac:dyDescent="0.3">
      <c r="N2917">
        <f t="shared" si="120"/>
        <v>1900</v>
      </c>
    </row>
    <row r="2918" spans="14:14" hidden="1" x14ac:dyDescent="0.3">
      <c r="N2918">
        <f t="shared" si="120"/>
        <v>1900</v>
      </c>
    </row>
    <row r="2919" spans="14:14" hidden="1" x14ac:dyDescent="0.3">
      <c r="N2919">
        <f t="shared" si="120"/>
        <v>1900</v>
      </c>
    </row>
    <row r="2920" spans="14:14" hidden="1" x14ac:dyDescent="0.3">
      <c r="N2920">
        <f t="shared" si="120"/>
        <v>1900</v>
      </c>
    </row>
    <row r="2921" spans="14:14" hidden="1" x14ac:dyDescent="0.3">
      <c r="N2921">
        <f t="shared" si="120"/>
        <v>1900</v>
      </c>
    </row>
    <row r="2922" spans="14:14" hidden="1" x14ac:dyDescent="0.3">
      <c r="N2922">
        <f t="shared" si="120"/>
        <v>1900</v>
      </c>
    </row>
    <row r="2923" spans="14:14" hidden="1" x14ac:dyDescent="0.3">
      <c r="N2923">
        <f t="shared" si="120"/>
        <v>1900</v>
      </c>
    </row>
    <row r="2924" spans="14:14" hidden="1" x14ac:dyDescent="0.3">
      <c r="N2924">
        <f t="shared" si="120"/>
        <v>1900</v>
      </c>
    </row>
    <row r="2925" spans="14:14" hidden="1" x14ac:dyDescent="0.3">
      <c r="N2925">
        <f t="shared" si="120"/>
        <v>1900</v>
      </c>
    </row>
    <row r="2926" spans="14:14" hidden="1" x14ac:dyDescent="0.3">
      <c r="N2926">
        <f t="shared" si="120"/>
        <v>1900</v>
      </c>
    </row>
    <row r="2927" spans="14:14" hidden="1" x14ac:dyDescent="0.3">
      <c r="N2927">
        <f t="shared" si="120"/>
        <v>1900</v>
      </c>
    </row>
    <row r="2928" spans="14:14" hidden="1" x14ac:dyDescent="0.3">
      <c r="N2928">
        <f t="shared" si="120"/>
        <v>1900</v>
      </c>
    </row>
    <row r="2929" spans="14:14" hidden="1" x14ac:dyDescent="0.3">
      <c r="N2929">
        <f t="shared" si="120"/>
        <v>1900</v>
      </c>
    </row>
    <row r="2930" spans="14:14" hidden="1" x14ac:dyDescent="0.3">
      <c r="N2930">
        <f t="shared" si="120"/>
        <v>1900</v>
      </c>
    </row>
    <row r="2931" spans="14:14" hidden="1" x14ac:dyDescent="0.3">
      <c r="N2931">
        <f t="shared" si="120"/>
        <v>1900</v>
      </c>
    </row>
    <row r="2932" spans="14:14" hidden="1" x14ac:dyDescent="0.3">
      <c r="N2932">
        <f t="shared" si="120"/>
        <v>1900</v>
      </c>
    </row>
    <row r="2933" spans="14:14" hidden="1" x14ac:dyDescent="0.3">
      <c r="N2933">
        <f t="shared" si="120"/>
        <v>1900</v>
      </c>
    </row>
    <row r="2934" spans="14:14" hidden="1" x14ac:dyDescent="0.3">
      <c r="N2934">
        <f t="shared" si="120"/>
        <v>1900</v>
      </c>
    </row>
    <row r="2935" spans="14:14" hidden="1" x14ac:dyDescent="0.3">
      <c r="N2935">
        <f t="shared" si="120"/>
        <v>1900</v>
      </c>
    </row>
    <row r="2936" spans="14:14" hidden="1" x14ac:dyDescent="0.3">
      <c r="N2936">
        <f t="shared" si="120"/>
        <v>1900</v>
      </c>
    </row>
    <row r="2937" spans="14:14" hidden="1" x14ac:dyDescent="0.3">
      <c r="N2937">
        <f t="shared" si="120"/>
        <v>1900</v>
      </c>
    </row>
    <row r="2938" spans="14:14" hidden="1" x14ac:dyDescent="0.3">
      <c r="N2938">
        <f t="shared" si="120"/>
        <v>1900</v>
      </c>
    </row>
    <row r="2939" spans="14:14" hidden="1" x14ac:dyDescent="0.3">
      <c r="N2939">
        <f t="shared" si="120"/>
        <v>1900</v>
      </c>
    </row>
    <row r="2940" spans="14:14" hidden="1" x14ac:dyDescent="0.3">
      <c r="N2940">
        <f t="shared" si="120"/>
        <v>1900</v>
      </c>
    </row>
    <row r="2941" spans="14:14" hidden="1" x14ac:dyDescent="0.3">
      <c r="N2941">
        <f t="shared" si="120"/>
        <v>1900</v>
      </c>
    </row>
    <row r="2942" spans="14:14" hidden="1" x14ac:dyDescent="0.3">
      <c r="N2942">
        <f t="shared" si="120"/>
        <v>1900</v>
      </c>
    </row>
    <row r="2943" spans="14:14" hidden="1" x14ac:dyDescent="0.3">
      <c r="N2943">
        <f t="shared" si="120"/>
        <v>1900</v>
      </c>
    </row>
    <row r="2944" spans="14:14" hidden="1" x14ac:dyDescent="0.3">
      <c r="N2944">
        <f t="shared" si="120"/>
        <v>1900</v>
      </c>
    </row>
    <row r="2945" spans="14:14" hidden="1" x14ac:dyDescent="0.3">
      <c r="N2945">
        <f t="shared" si="120"/>
        <v>1900</v>
      </c>
    </row>
    <row r="2946" spans="14:14" hidden="1" x14ac:dyDescent="0.3">
      <c r="N2946">
        <f t="shared" si="120"/>
        <v>1900</v>
      </c>
    </row>
    <row r="2947" spans="14:14" hidden="1" x14ac:dyDescent="0.3">
      <c r="N2947">
        <f t="shared" ref="N2947:N3010" si="121">YEAR(B2947)</f>
        <v>1900</v>
      </c>
    </row>
    <row r="2948" spans="14:14" hidden="1" x14ac:dyDescent="0.3">
      <c r="N2948">
        <f t="shared" si="121"/>
        <v>1900</v>
      </c>
    </row>
    <row r="2949" spans="14:14" hidden="1" x14ac:dyDescent="0.3">
      <c r="N2949">
        <f t="shared" si="121"/>
        <v>1900</v>
      </c>
    </row>
    <row r="2950" spans="14:14" hidden="1" x14ac:dyDescent="0.3">
      <c r="N2950">
        <f t="shared" si="121"/>
        <v>1900</v>
      </c>
    </row>
    <row r="2951" spans="14:14" hidden="1" x14ac:dyDescent="0.3">
      <c r="N2951">
        <f t="shared" si="121"/>
        <v>1900</v>
      </c>
    </row>
    <row r="2952" spans="14:14" hidden="1" x14ac:dyDescent="0.3">
      <c r="N2952">
        <f t="shared" si="121"/>
        <v>1900</v>
      </c>
    </row>
    <row r="2953" spans="14:14" hidden="1" x14ac:dyDescent="0.3">
      <c r="N2953">
        <f t="shared" si="121"/>
        <v>1900</v>
      </c>
    </row>
    <row r="2954" spans="14:14" hidden="1" x14ac:dyDescent="0.3">
      <c r="N2954">
        <f t="shared" si="121"/>
        <v>1900</v>
      </c>
    </row>
    <row r="2955" spans="14:14" hidden="1" x14ac:dyDescent="0.3">
      <c r="N2955">
        <f t="shared" si="121"/>
        <v>1900</v>
      </c>
    </row>
    <row r="2956" spans="14:14" hidden="1" x14ac:dyDescent="0.3">
      <c r="N2956">
        <f t="shared" si="121"/>
        <v>1900</v>
      </c>
    </row>
    <row r="2957" spans="14:14" hidden="1" x14ac:dyDescent="0.3">
      <c r="N2957">
        <f t="shared" si="121"/>
        <v>1900</v>
      </c>
    </row>
    <row r="2958" spans="14:14" hidden="1" x14ac:dyDescent="0.3">
      <c r="N2958">
        <f t="shared" si="121"/>
        <v>1900</v>
      </c>
    </row>
    <row r="2959" spans="14:14" hidden="1" x14ac:dyDescent="0.3">
      <c r="N2959">
        <f t="shared" si="121"/>
        <v>1900</v>
      </c>
    </row>
    <row r="2960" spans="14:14" hidden="1" x14ac:dyDescent="0.3">
      <c r="N2960">
        <f t="shared" si="121"/>
        <v>1900</v>
      </c>
    </row>
    <row r="2961" spans="14:14" hidden="1" x14ac:dyDescent="0.3">
      <c r="N2961">
        <f t="shared" si="121"/>
        <v>1900</v>
      </c>
    </row>
    <row r="2962" spans="14:14" hidden="1" x14ac:dyDescent="0.3">
      <c r="N2962">
        <f t="shared" si="121"/>
        <v>1900</v>
      </c>
    </row>
    <row r="2963" spans="14:14" hidden="1" x14ac:dyDescent="0.3">
      <c r="N2963">
        <f t="shared" si="121"/>
        <v>1900</v>
      </c>
    </row>
    <row r="2964" spans="14:14" hidden="1" x14ac:dyDescent="0.3">
      <c r="N2964">
        <f t="shared" si="121"/>
        <v>1900</v>
      </c>
    </row>
    <row r="2965" spans="14:14" hidden="1" x14ac:dyDescent="0.3">
      <c r="N2965">
        <f t="shared" si="121"/>
        <v>1900</v>
      </c>
    </row>
    <row r="2966" spans="14:14" hidden="1" x14ac:dyDescent="0.3">
      <c r="N2966">
        <f t="shared" si="121"/>
        <v>1900</v>
      </c>
    </row>
    <row r="2967" spans="14:14" hidden="1" x14ac:dyDescent="0.3">
      <c r="N2967">
        <f t="shared" si="121"/>
        <v>1900</v>
      </c>
    </row>
    <row r="2968" spans="14:14" hidden="1" x14ac:dyDescent="0.3">
      <c r="N2968">
        <f t="shared" si="121"/>
        <v>1900</v>
      </c>
    </row>
    <row r="2969" spans="14:14" hidden="1" x14ac:dyDescent="0.3">
      <c r="N2969">
        <f t="shared" si="121"/>
        <v>1900</v>
      </c>
    </row>
    <row r="2970" spans="14:14" hidden="1" x14ac:dyDescent="0.3">
      <c r="N2970">
        <f t="shared" si="121"/>
        <v>1900</v>
      </c>
    </row>
    <row r="2971" spans="14:14" hidden="1" x14ac:dyDescent="0.3">
      <c r="N2971">
        <f t="shared" si="121"/>
        <v>1900</v>
      </c>
    </row>
    <row r="2972" spans="14:14" hidden="1" x14ac:dyDescent="0.3">
      <c r="N2972">
        <f t="shared" si="121"/>
        <v>1900</v>
      </c>
    </row>
    <row r="2973" spans="14:14" hidden="1" x14ac:dyDescent="0.3">
      <c r="N2973">
        <f t="shared" si="121"/>
        <v>1900</v>
      </c>
    </row>
    <row r="2974" spans="14:14" hidden="1" x14ac:dyDescent="0.3">
      <c r="N2974">
        <f t="shared" si="121"/>
        <v>1900</v>
      </c>
    </row>
    <row r="2975" spans="14:14" hidden="1" x14ac:dyDescent="0.3">
      <c r="N2975">
        <f t="shared" si="121"/>
        <v>1900</v>
      </c>
    </row>
    <row r="2976" spans="14:14" hidden="1" x14ac:dyDescent="0.3">
      <c r="N2976">
        <f t="shared" si="121"/>
        <v>1900</v>
      </c>
    </row>
    <row r="2977" spans="14:14" hidden="1" x14ac:dyDescent="0.3">
      <c r="N2977">
        <f t="shared" si="121"/>
        <v>1900</v>
      </c>
    </row>
    <row r="2978" spans="14:14" hidden="1" x14ac:dyDescent="0.3">
      <c r="N2978">
        <f t="shared" si="121"/>
        <v>1900</v>
      </c>
    </row>
    <row r="2979" spans="14:14" hidden="1" x14ac:dyDescent="0.3">
      <c r="N2979">
        <f t="shared" si="121"/>
        <v>1900</v>
      </c>
    </row>
    <row r="2980" spans="14:14" hidden="1" x14ac:dyDescent="0.3">
      <c r="N2980">
        <f t="shared" si="121"/>
        <v>1900</v>
      </c>
    </row>
    <row r="2981" spans="14:14" hidden="1" x14ac:dyDescent="0.3">
      <c r="N2981">
        <f t="shared" si="121"/>
        <v>1900</v>
      </c>
    </row>
    <row r="2982" spans="14:14" hidden="1" x14ac:dyDescent="0.3">
      <c r="N2982">
        <f t="shared" si="121"/>
        <v>1900</v>
      </c>
    </row>
    <row r="2983" spans="14:14" hidden="1" x14ac:dyDescent="0.3">
      <c r="N2983">
        <f t="shared" si="121"/>
        <v>1900</v>
      </c>
    </row>
    <row r="2984" spans="14:14" hidden="1" x14ac:dyDescent="0.3">
      <c r="N2984">
        <f t="shared" si="121"/>
        <v>1900</v>
      </c>
    </row>
    <row r="2985" spans="14:14" hidden="1" x14ac:dyDescent="0.3">
      <c r="N2985">
        <f t="shared" si="121"/>
        <v>1900</v>
      </c>
    </row>
    <row r="2986" spans="14:14" hidden="1" x14ac:dyDescent="0.3">
      <c r="N2986">
        <f t="shared" si="121"/>
        <v>1900</v>
      </c>
    </row>
    <row r="2987" spans="14:14" hidden="1" x14ac:dyDescent="0.3">
      <c r="N2987">
        <f t="shared" si="121"/>
        <v>1900</v>
      </c>
    </row>
    <row r="2988" spans="14:14" hidden="1" x14ac:dyDescent="0.3">
      <c r="N2988">
        <f t="shared" si="121"/>
        <v>1900</v>
      </c>
    </row>
    <row r="2989" spans="14:14" hidden="1" x14ac:dyDescent="0.3">
      <c r="N2989">
        <f t="shared" si="121"/>
        <v>1900</v>
      </c>
    </row>
    <row r="2990" spans="14:14" hidden="1" x14ac:dyDescent="0.3">
      <c r="N2990">
        <f t="shared" si="121"/>
        <v>1900</v>
      </c>
    </row>
    <row r="2991" spans="14:14" hidden="1" x14ac:dyDescent="0.3">
      <c r="N2991">
        <f t="shared" si="121"/>
        <v>1900</v>
      </c>
    </row>
    <row r="2992" spans="14:14" hidden="1" x14ac:dyDescent="0.3">
      <c r="N2992">
        <f t="shared" si="121"/>
        <v>1900</v>
      </c>
    </row>
    <row r="2993" spans="14:14" hidden="1" x14ac:dyDescent="0.3">
      <c r="N2993">
        <f t="shared" si="121"/>
        <v>1900</v>
      </c>
    </row>
    <row r="2994" spans="14:14" hidden="1" x14ac:dyDescent="0.3">
      <c r="N2994">
        <f t="shared" si="121"/>
        <v>1900</v>
      </c>
    </row>
    <row r="2995" spans="14:14" hidden="1" x14ac:dyDescent="0.3">
      <c r="N2995">
        <f t="shared" si="121"/>
        <v>1900</v>
      </c>
    </row>
    <row r="2996" spans="14:14" hidden="1" x14ac:dyDescent="0.3">
      <c r="N2996">
        <f t="shared" si="121"/>
        <v>1900</v>
      </c>
    </row>
    <row r="2997" spans="14:14" hidden="1" x14ac:dyDescent="0.3">
      <c r="N2997">
        <f t="shared" si="121"/>
        <v>1900</v>
      </c>
    </row>
    <row r="2998" spans="14:14" hidden="1" x14ac:dyDescent="0.3">
      <c r="N2998">
        <f t="shared" si="121"/>
        <v>1900</v>
      </c>
    </row>
    <row r="2999" spans="14:14" hidden="1" x14ac:dyDescent="0.3">
      <c r="N2999">
        <f t="shared" si="121"/>
        <v>1900</v>
      </c>
    </row>
    <row r="3000" spans="14:14" hidden="1" x14ac:dyDescent="0.3">
      <c r="N3000">
        <f t="shared" si="121"/>
        <v>1900</v>
      </c>
    </row>
    <row r="3001" spans="14:14" hidden="1" x14ac:dyDescent="0.3">
      <c r="N3001">
        <f t="shared" si="121"/>
        <v>1900</v>
      </c>
    </row>
    <row r="3002" spans="14:14" hidden="1" x14ac:dyDescent="0.3">
      <c r="N3002">
        <f t="shared" si="121"/>
        <v>1900</v>
      </c>
    </row>
    <row r="3003" spans="14:14" hidden="1" x14ac:dyDescent="0.3">
      <c r="N3003">
        <f t="shared" si="121"/>
        <v>1900</v>
      </c>
    </row>
    <row r="3004" spans="14:14" hidden="1" x14ac:dyDescent="0.3">
      <c r="N3004">
        <f t="shared" si="121"/>
        <v>1900</v>
      </c>
    </row>
    <row r="3005" spans="14:14" hidden="1" x14ac:dyDescent="0.3">
      <c r="N3005">
        <f t="shared" si="121"/>
        <v>1900</v>
      </c>
    </row>
    <row r="3006" spans="14:14" hidden="1" x14ac:dyDescent="0.3">
      <c r="N3006">
        <f t="shared" si="121"/>
        <v>1900</v>
      </c>
    </row>
    <row r="3007" spans="14:14" hidden="1" x14ac:dyDescent="0.3">
      <c r="N3007">
        <f t="shared" si="121"/>
        <v>1900</v>
      </c>
    </row>
    <row r="3008" spans="14:14" hidden="1" x14ac:dyDescent="0.3">
      <c r="N3008">
        <f t="shared" si="121"/>
        <v>1900</v>
      </c>
    </row>
    <row r="3009" spans="14:14" hidden="1" x14ac:dyDescent="0.3">
      <c r="N3009">
        <f t="shared" si="121"/>
        <v>1900</v>
      </c>
    </row>
    <row r="3010" spans="14:14" hidden="1" x14ac:dyDescent="0.3">
      <c r="N3010">
        <f t="shared" si="121"/>
        <v>1900</v>
      </c>
    </row>
    <row r="3011" spans="14:14" hidden="1" x14ac:dyDescent="0.3">
      <c r="N3011">
        <f t="shared" ref="N3011:N3074" si="122">YEAR(B3011)</f>
        <v>1900</v>
      </c>
    </row>
    <row r="3012" spans="14:14" hidden="1" x14ac:dyDescent="0.3">
      <c r="N3012">
        <f t="shared" si="122"/>
        <v>1900</v>
      </c>
    </row>
    <row r="3013" spans="14:14" hidden="1" x14ac:dyDescent="0.3">
      <c r="N3013">
        <f t="shared" si="122"/>
        <v>1900</v>
      </c>
    </row>
    <row r="3014" spans="14:14" hidden="1" x14ac:dyDescent="0.3">
      <c r="N3014">
        <f t="shared" si="122"/>
        <v>1900</v>
      </c>
    </row>
    <row r="3015" spans="14:14" hidden="1" x14ac:dyDescent="0.3">
      <c r="N3015">
        <f t="shared" si="122"/>
        <v>1900</v>
      </c>
    </row>
    <row r="3016" spans="14:14" hidden="1" x14ac:dyDescent="0.3">
      <c r="N3016">
        <f t="shared" si="122"/>
        <v>1900</v>
      </c>
    </row>
    <row r="3017" spans="14:14" hidden="1" x14ac:dyDescent="0.3">
      <c r="N3017">
        <f t="shared" si="122"/>
        <v>1900</v>
      </c>
    </row>
    <row r="3018" spans="14:14" hidden="1" x14ac:dyDescent="0.3">
      <c r="N3018">
        <f t="shared" si="122"/>
        <v>1900</v>
      </c>
    </row>
    <row r="3019" spans="14:14" hidden="1" x14ac:dyDescent="0.3">
      <c r="N3019">
        <f t="shared" si="122"/>
        <v>1900</v>
      </c>
    </row>
    <row r="3020" spans="14:14" hidden="1" x14ac:dyDescent="0.3">
      <c r="N3020">
        <f t="shared" si="122"/>
        <v>1900</v>
      </c>
    </row>
    <row r="3021" spans="14:14" hidden="1" x14ac:dyDescent="0.3">
      <c r="N3021">
        <f t="shared" si="122"/>
        <v>1900</v>
      </c>
    </row>
    <row r="3022" spans="14:14" hidden="1" x14ac:dyDescent="0.3">
      <c r="N3022">
        <f t="shared" si="122"/>
        <v>1900</v>
      </c>
    </row>
    <row r="3023" spans="14:14" hidden="1" x14ac:dyDescent="0.3">
      <c r="N3023">
        <f t="shared" si="122"/>
        <v>1900</v>
      </c>
    </row>
    <row r="3024" spans="14:14" hidden="1" x14ac:dyDescent="0.3">
      <c r="N3024">
        <f t="shared" si="122"/>
        <v>1900</v>
      </c>
    </row>
    <row r="3025" spans="14:14" hidden="1" x14ac:dyDescent="0.3">
      <c r="N3025">
        <f t="shared" si="122"/>
        <v>1900</v>
      </c>
    </row>
    <row r="3026" spans="14:14" hidden="1" x14ac:dyDescent="0.3">
      <c r="N3026">
        <f t="shared" si="122"/>
        <v>1900</v>
      </c>
    </row>
    <row r="3027" spans="14:14" hidden="1" x14ac:dyDescent="0.3">
      <c r="N3027">
        <f t="shared" si="122"/>
        <v>1900</v>
      </c>
    </row>
    <row r="3028" spans="14:14" hidden="1" x14ac:dyDescent="0.3">
      <c r="N3028">
        <f t="shared" si="122"/>
        <v>1900</v>
      </c>
    </row>
    <row r="3029" spans="14:14" hidden="1" x14ac:dyDescent="0.3">
      <c r="N3029">
        <f t="shared" si="122"/>
        <v>1900</v>
      </c>
    </row>
    <row r="3030" spans="14:14" hidden="1" x14ac:dyDescent="0.3">
      <c r="N3030">
        <f t="shared" si="122"/>
        <v>1900</v>
      </c>
    </row>
    <row r="3031" spans="14:14" hidden="1" x14ac:dyDescent="0.3">
      <c r="N3031">
        <f t="shared" si="122"/>
        <v>1900</v>
      </c>
    </row>
    <row r="3032" spans="14:14" hidden="1" x14ac:dyDescent="0.3">
      <c r="N3032">
        <f t="shared" si="122"/>
        <v>1900</v>
      </c>
    </row>
    <row r="3033" spans="14:14" hidden="1" x14ac:dyDescent="0.3">
      <c r="N3033">
        <f t="shared" si="122"/>
        <v>1900</v>
      </c>
    </row>
    <row r="3034" spans="14:14" hidden="1" x14ac:dyDescent="0.3">
      <c r="N3034">
        <f t="shared" si="122"/>
        <v>1900</v>
      </c>
    </row>
    <row r="3035" spans="14:14" hidden="1" x14ac:dyDescent="0.3">
      <c r="N3035">
        <f t="shared" si="122"/>
        <v>1900</v>
      </c>
    </row>
    <row r="3036" spans="14:14" hidden="1" x14ac:dyDescent="0.3">
      <c r="N3036">
        <f t="shared" si="122"/>
        <v>1900</v>
      </c>
    </row>
    <row r="3037" spans="14:14" hidden="1" x14ac:dyDescent="0.3">
      <c r="N3037">
        <f t="shared" si="122"/>
        <v>1900</v>
      </c>
    </row>
    <row r="3038" spans="14:14" hidden="1" x14ac:dyDescent="0.3">
      <c r="N3038">
        <f t="shared" si="122"/>
        <v>1900</v>
      </c>
    </row>
    <row r="3039" spans="14:14" hidden="1" x14ac:dyDescent="0.3">
      <c r="N3039">
        <f t="shared" si="122"/>
        <v>1900</v>
      </c>
    </row>
    <row r="3040" spans="14:14" hidden="1" x14ac:dyDescent="0.3">
      <c r="N3040">
        <f t="shared" si="122"/>
        <v>1900</v>
      </c>
    </row>
    <row r="3041" spans="14:14" hidden="1" x14ac:dyDescent="0.3">
      <c r="N3041">
        <f t="shared" si="122"/>
        <v>1900</v>
      </c>
    </row>
    <row r="3042" spans="14:14" hidden="1" x14ac:dyDescent="0.3">
      <c r="N3042">
        <f t="shared" si="122"/>
        <v>1900</v>
      </c>
    </row>
    <row r="3043" spans="14:14" hidden="1" x14ac:dyDescent="0.3">
      <c r="N3043">
        <f t="shared" si="122"/>
        <v>1900</v>
      </c>
    </row>
    <row r="3044" spans="14:14" hidden="1" x14ac:dyDescent="0.3">
      <c r="N3044">
        <f t="shared" si="122"/>
        <v>1900</v>
      </c>
    </row>
    <row r="3045" spans="14:14" hidden="1" x14ac:dyDescent="0.3">
      <c r="N3045">
        <f t="shared" si="122"/>
        <v>1900</v>
      </c>
    </row>
    <row r="3046" spans="14:14" hidden="1" x14ac:dyDescent="0.3">
      <c r="N3046">
        <f t="shared" si="122"/>
        <v>1900</v>
      </c>
    </row>
    <row r="3047" spans="14:14" hidden="1" x14ac:dyDescent="0.3">
      <c r="N3047">
        <f t="shared" si="122"/>
        <v>1900</v>
      </c>
    </row>
    <row r="3048" spans="14:14" hidden="1" x14ac:dyDescent="0.3">
      <c r="N3048">
        <f t="shared" si="122"/>
        <v>1900</v>
      </c>
    </row>
    <row r="3049" spans="14:14" hidden="1" x14ac:dyDescent="0.3">
      <c r="N3049">
        <f t="shared" si="122"/>
        <v>1900</v>
      </c>
    </row>
    <row r="3050" spans="14:14" hidden="1" x14ac:dyDescent="0.3">
      <c r="N3050">
        <f t="shared" si="122"/>
        <v>1900</v>
      </c>
    </row>
    <row r="3051" spans="14:14" hidden="1" x14ac:dyDescent="0.3">
      <c r="N3051">
        <f t="shared" si="122"/>
        <v>1900</v>
      </c>
    </row>
    <row r="3052" spans="14:14" hidden="1" x14ac:dyDescent="0.3">
      <c r="N3052">
        <f t="shared" si="122"/>
        <v>1900</v>
      </c>
    </row>
    <row r="3053" spans="14:14" hidden="1" x14ac:dyDescent="0.3">
      <c r="N3053">
        <f t="shared" si="122"/>
        <v>1900</v>
      </c>
    </row>
    <row r="3054" spans="14:14" hidden="1" x14ac:dyDescent="0.3">
      <c r="N3054">
        <f t="shared" si="122"/>
        <v>1900</v>
      </c>
    </row>
    <row r="3055" spans="14:14" hidden="1" x14ac:dyDescent="0.3">
      <c r="N3055">
        <f t="shared" si="122"/>
        <v>1900</v>
      </c>
    </row>
    <row r="3056" spans="14:14" hidden="1" x14ac:dyDescent="0.3">
      <c r="N3056">
        <f t="shared" si="122"/>
        <v>1900</v>
      </c>
    </row>
    <row r="3057" spans="14:14" hidden="1" x14ac:dyDescent="0.3">
      <c r="N3057">
        <f t="shared" si="122"/>
        <v>1900</v>
      </c>
    </row>
    <row r="3058" spans="14:14" hidden="1" x14ac:dyDescent="0.3">
      <c r="N3058">
        <f t="shared" si="122"/>
        <v>1900</v>
      </c>
    </row>
    <row r="3059" spans="14:14" hidden="1" x14ac:dyDescent="0.3">
      <c r="N3059">
        <f t="shared" si="122"/>
        <v>1900</v>
      </c>
    </row>
    <row r="3060" spans="14:14" hidden="1" x14ac:dyDescent="0.3">
      <c r="N3060">
        <f t="shared" si="122"/>
        <v>1900</v>
      </c>
    </row>
    <row r="3061" spans="14:14" hidden="1" x14ac:dyDescent="0.3">
      <c r="N3061">
        <f t="shared" si="122"/>
        <v>1900</v>
      </c>
    </row>
    <row r="3062" spans="14:14" hidden="1" x14ac:dyDescent="0.3">
      <c r="N3062">
        <f t="shared" si="122"/>
        <v>1900</v>
      </c>
    </row>
    <row r="3063" spans="14:14" hidden="1" x14ac:dyDescent="0.3">
      <c r="N3063">
        <f t="shared" si="122"/>
        <v>1900</v>
      </c>
    </row>
    <row r="3064" spans="14:14" hidden="1" x14ac:dyDescent="0.3">
      <c r="N3064">
        <f t="shared" si="122"/>
        <v>1900</v>
      </c>
    </row>
    <row r="3065" spans="14:14" hidden="1" x14ac:dyDescent="0.3">
      <c r="N3065">
        <f t="shared" si="122"/>
        <v>1900</v>
      </c>
    </row>
    <row r="3066" spans="14:14" hidden="1" x14ac:dyDescent="0.3">
      <c r="N3066">
        <f t="shared" si="122"/>
        <v>1900</v>
      </c>
    </row>
    <row r="3067" spans="14:14" hidden="1" x14ac:dyDescent="0.3">
      <c r="N3067">
        <f t="shared" si="122"/>
        <v>1900</v>
      </c>
    </row>
    <row r="3068" spans="14:14" hidden="1" x14ac:dyDescent="0.3">
      <c r="N3068">
        <f t="shared" si="122"/>
        <v>1900</v>
      </c>
    </row>
    <row r="3069" spans="14:14" hidden="1" x14ac:dyDescent="0.3">
      <c r="N3069">
        <f t="shared" si="122"/>
        <v>1900</v>
      </c>
    </row>
    <row r="3070" spans="14:14" hidden="1" x14ac:dyDescent="0.3">
      <c r="N3070">
        <f t="shared" si="122"/>
        <v>1900</v>
      </c>
    </row>
    <row r="3071" spans="14:14" hidden="1" x14ac:dyDescent="0.3">
      <c r="N3071">
        <f t="shared" si="122"/>
        <v>1900</v>
      </c>
    </row>
    <row r="3072" spans="14:14" hidden="1" x14ac:dyDescent="0.3">
      <c r="N3072">
        <f t="shared" si="122"/>
        <v>1900</v>
      </c>
    </row>
    <row r="3073" spans="14:14" hidden="1" x14ac:dyDescent="0.3">
      <c r="N3073">
        <f t="shared" si="122"/>
        <v>1900</v>
      </c>
    </row>
    <row r="3074" spans="14:14" hidden="1" x14ac:dyDescent="0.3">
      <c r="N3074">
        <f t="shared" si="122"/>
        <v>1900</v>
      </c>
    </row>
    <row r="3075" spans="14:14" hidden="1" x14ac:dyDescent="0.3">
      <c r="N3075">
        <f t="shared" ref="N3075:N3138" si="123">YEAR(B3075)</f>
        <v>1900</v>
      </c>
    </row>
    <row r="3076" spans="14:14" hidden="1" x14ac:dyDescent="0.3">
      <c r="N3076">
        <f t="shared" si="123"/>
        <v>1900</v>
      </c>
    </row>
    <row r="3077" spans="14:14" hidden="1" x14ac:dyDescent="0.3">
      <c r="N3077">
        <f t="shared" si="123"/>
        <v>1900</v>
      </c>
    </row>
    <row r="3078" spans="14:14" hidden="1" x14ac:dyDescent="0.3">
      <c r="N3078">
        <f t="shared" si="123"/>
        <v>1900</v>
      </c>
    </row>
    <row r="3079" spans="14:14" hidden="1" x14ac:dyDescent="0.3">
      <c r="N3079">
        <f t="shared" si="123"/>
        <v>1900</v>
      </c>
    </row>
    <row r="3080" spans="14:14" hidden="1" x14ac:dyDescent="0.3">
      <c r="N3080">
        <f t="shared" si="123"/>
        <v>1900</v>
      </c>
    </row>
    <row r="3081" spans="14:14" hidden="1" x14ac:dyDescent="0.3">
      <c r="N3081">
        <f t="shared" si="123"/>
        <v>1900</v>
      </c>
    </row>
    <row r="3082" spans="14:14" hidden="1" x14ac:dyDescent="0.3">
      <c r="N3082">
        <f t="shared" si="123"/>
        <v>1900</v>
      </c>
    </row>
    <row r="3083" spans="14:14" hidden="1" x14ac:dyDescent="0.3">
      <c r="N3083">
        <f t="shared" si="123"/>
        <v>1900</v>
      </c>
    </row>
    <row r="3084" spans="14:14" hidden="1" x14ac:dyDescent="0.3">
      <c r="N3084">
        <f t="shared" si="123"/>
        <v>1900</v>
      </c>
    </row>
    <row r="3085" spans="14:14" hidden="1" x14ac:dyDescent="0.3">
      <c r="N3085">
        <f t="shared" si="123"/>
        <v>1900</v>
      </c>
    </row>
    <row r="3086" spans="14:14" hidden="1" x14ac:dyDescent="0.3">
      <c r="N3086">
        <f t="shared" si="123"/>
        <v>1900</v>
      </c>
    </row>
    <row r="3087" spans="14:14" hidden="1" x14ac:dyDescent="0.3">
      <c r="N3087">
        <f t="shared" si="123"/>
        <v>1900</v>
      </c>
    </row>
    <row r="3088" spans="14:14" hidden="1" x14ac:dyDescent="0.3">
      <c r="N3088">
        <f t="shared" si="123"/>
        <v>1900</v>
      </c>
    </row>
    <row r="3089" spans="14:14" hidden="1" x14ac:dyDescent="0.3">
      <c r="N3089">
        <f t="shared" si="123"/>
        <v>1900</v>
      </c>
    </row>
    <row r="3090" spans="14:14" hidden="1" x14ac:dyDescent="0.3">
      <c r="N3090">
        <f t="shared" si="123"/>
        <v>1900</v>
      </c>
    </row>
    <row r="3091" spans="14:14" hidden="1" x14ac:dyDescent="0.3">
      <c r="N3091">
        <f t="shared" si="123"/>
        <v>1900</v>
      </c>
    </row>
    <row r="3092" spans="14:14" hidden="1" x14ac:dyDescent="0.3">
      <c r="N3092">
        <f t="shared" si="123"/>
        <v>1900</v>
      </c>
    </row>
    <row r="3093" spans="14:14" hidden="1" x14ac:dyDescent="0.3">
      <c r="N3093">
        <f t="shared" si="123"/>
        <v>1900</v>
      </c>
    </row>
    <row r="3094" spans="14:14" hidden="1" x14ac:dyDescent="0.3">
      <c r="N3094">
        <f t="shared" si="123"/>
        <v>1900</v>
      </c>
    </row>
    <row r="3095" spans="14:14" hidden="1" x14ac:dyDescent="0.3">
      <c r="N3095">
        <f t="shared" si="123"/>
        <v>1900</v>
      </c>
    </row>
    <row r="3096" spans="14:14" hidden="1" x14ac:dyDescent="0.3">
      <c r="N3096">
        <f t="shared" si="123"/>
        <v>1900</v>
      </c>
    </row>
    <row r="3097" spans="14:14" hidden="1" x14ac:dyDescent="0.3">
      <c r="N3097">
        <f t="shared" si="123"/>
        <v>1900</v>
      </c>
    </row>
    <row r="3098" spans="14:14" hidden="1" x14ac:dyDescent="0.3">
      <c r="N3098">
        <f t="shared" si="123"/>
        <v>1900</v>
      </c>
    </row>
    <row r="3099" spans="14:14" hidden="1" x14ac:dyDescent="0.3">
      <c r="N3099">
        <f t="shared" si="123"/>
        <v>1900</v>
      </c>
    </row>
    <row r="3100" spans="14:14" hidden="1" x14ac:dyDescent="0.3">
      <c r="N3100">
        <f t="shared" si="123"/>
        <v>1900</v>
      </c>
    </row>
    <row r="3101" spans="14:14" hidden="1" x14ac:dyDescent="0.3">
      <c r="N3101">
        <f t="shared" si="123"/>
        <v>1900</v>
      </c>
    </row>
    <row r="3102" spans="14:14" hidden="1" x14ac:dyDescent="0.3">
      <c r="N3102">
        <f t="shared" si="123"/>
        <v>1900</v>
      </c>
    </row>
    <row r="3103" spans="14:14" hidden="1" x14ac:dyDescent="0.3">
      <c r="N3103">
        <f t="shared" si="123"/>
        <v>1900</v>
      </c>
    </row>
    <row r="3104" spans="14:14" hidden="1" x14ac:dyDescent="0.3">
      <c r="N3104">
        <f t="shared" si="123"/>
        <v>1900</v>
      </c>
    </row>
    <row r="3105" spans="14:14" hidden="1" x14ac:dyDescent="0.3">
      <c r="N3105">
        <f t="shared" si="123"/>
        <v>1900</v>
      </c>
    </row>
    <row r="3106" spans="14:14" hidden="1" x14ac:dyDescent="0.3">
      <c r="N3106">
        <f t="shared" si="123"/>
        <v>1900</v>
      </c>
    </row>
    <row r="3107" spans="14:14" hidden="1" x14ac:dyDescent="0.3">
      <c r="N3107">
        <f t="shared" si="123"/>
        <v>1900</v>
      </c>
    </row>
    <row r="3108" spans="14:14" hidden="1" x14ac:dyDescent="0.3">
      <c r="N3108">
        <f t="shared" si="123"/>
        <v>1900</v>
      </c>
    </row>
    <row r="3109" spans="14:14" hidden="1" x14ac:dyDescent="0.3">
      <c r="N3109">
        <f t="shared" si="123"/>
        <v>1900</v>
      </c>
    </row>
    <row r="3110" spans="14:14" hidden="1" x14ac:dyDescent="0.3">
      <c r="N3110">
        <f t="shared" si="123"/>
        <v>1900</v>
      </c>
    </row>
    <row r="3111" spans="14:14" hidden="1" x14ac:dyDescent="0.3">
      <c r="N3111">
        <f t="shared" si="123"/>
        <v>1900</v>
      </c>
    </row>
    <row r="3112" spans="14:14" hidden="1" x14ac:dyDescent="0.3">
      <c r="N3112">
        <f t="shared" si="123"/>
        <v>1900</v>
      </c>
    </row>
    <row r="3113" spans="14:14" hidden="1" x14ac:dyDescent="0.3">
      <c r="N3113">
        <f t="shared" si="123"/>
        <v>1900</v>
      </c>
    </row>
    <row r="3114" spans="14:14" hidden="1" x14ac:dyDescent="0.3">
      <c r="N3114">
        <f t="shared" si="123"/>
        <v>1900</v>
      </c>
    </row>
    <row r="3115" spans="14:14" hidden="1" x14ac:dyDescent="0.3">
      <c r="N3115">
        <f t="shared" si="123"/>
        <v>1900</v>
      </c>
    </row>
    <row r="3116" spans="14:14" hidden="1" x14ac:dyDescent="0.3">
      <c r="N3116">
        <f t="shared" si="123"/>
        <v>1900</v>
      </c>
    </row>
    <row r="3117" spans="14:14" hidden="1" x14ac:dyDescent="0.3">
      <c r="N3117">
        <f t="shared" si="123"/>
        <v>1900</v>
      </c>
    </row>
    <row r="3118" spans="14:14" hidden="1" x14ac:dyDescent="0.3">
      <c r="N3118">
        <f t="shared" si="123"/>
        <v>1900</v>
      </c>
    </row>
    <row r="3119" spans="14:14" hidden="1" x14ac:dyDescent="0.3">
      <c r="N3119">
        <f t="shared" si="123"/>
        <v>1900</v>
      </c>
    </row>
    <row r="3120" spans="14:14" hidden="1" x14ac:dyDescent="0.3">
      <c r="N3120">
        <f t="shared" si="123"/>
        <v>1900</v>
      </c>
    </row>
    <row r="3121" spans="14:14" hidden="1" x14ac:dyDescent="0.3">
      <c r="N3121">
        <f t="shared" si="123"/>
        <v>1900</v>
      </c>
    </row>
    <row r="3122" spans="14:14" hidden="1" x14ac:dyDescent="0.3">
      <c r="N3122">
        <f t="shared" si="123"/>
        <v>1900</v>
      </c>
    </row>
    <row r="3123" spans="14:14" hidden="1" x14ac:dyDescent="0.3">
      <c r="N3123">
        <f t="shared" si="123"/>
        <v>1900</v>
      </c>
    </row>
    <row r="3124" spans="14:14" hidden="1" x14ac:dyDescent="0.3">
      <c r="N3124">
        <f t="shared" si="123"/>
        <v>1900</v>
      </c>
    </row>
    <row r="3125" spans="14:14" hidden="1" x14ac:dyDescent="0.3">
      <c r="N3125">
        <f t="shared" si="123"/>
        <v>1900</v>
      </c>
    </row>
    <row r="3126" spans="14:14" hidden="1" x14ac:dyDescent="0.3">
      <c r="N3126">
        <f t="shared" si="123"/>
        <v>1900</v>
      </c>
    </row>
    <row r="3127" spans="14:14" hidden="1" x14ac:dyDescent="0.3">
      <c r="N3127">
        <f t="shared" si="123"/>
        <v>1900</v>
      </c>
    </row>
    <row r="3128" spans="14:14" hidden="1" x14ac:dyDescent="0.3">
      <c r="N3128">
        <f t="shared" si="123"/>
        <v>1900</v>
      </c>
    </row>
    <row r="3129" spans="14:14" hidden="1" x14ac:dyDescent="0.3">
      <c r="N3129">
        <f t="shared" si="123"/>
        <v>1900</v>
      </c>
    </row>
    <row r="3130" spans="14:14" hidden="1" x14ac:dyDescent="0.3">
      <c r="N3130">
        <f t="shared" si="123"/>
        <v>1900</v>
      </c>
    </row>
    <row r="3131" spans="14:14" hidden="1" x14ac:dyDescent="0.3">
      <c r="N3131">
        <f t="shared" si="123"/>
        <v>1900</v>
      </c>
    </row>
    <row r="3132" spans="14:14" hidden="1" x14ac:dyDescent="0.3">
      <c r="N3132">
        <f t="shared" si="123"/>
        <v>1900</v>
      </c>
    </row>
    <row r="3133" spans="14:14" hidden="1" x14ac:dyDescent="0.3">
      <c r="N3133">
        <f t="shared" si="123"/>
        <v>1900</v>
      </c>
    </row>
    <row r="3134" spans="14:14" hidden="1" x14ac:dyDescent="0.3">
      <c r="N3134">
        <f t="shared" si="123"/>
        <v>1900</v>
      </c>
    </row>
    <row r="3135" spans="14:14" hidden="1" x14ac:dyDescent="0.3">
      <c r="N3135">
        <f t="shared" si="123"/>
        <v>1900</v>
      </c>
    </row>
    <row r="3136" spans="14:14" hidden="1" x14ac:dyDescent="0.3">
      <c r="N3136">
        <f t="shared" si="123"/>
        <v>1900</v>
      </c>
    </row>
    <row r="3137" spans="14:14" hidden="1" x14ac:dyDescent="0.3">
      <c r="N3137">
        <f t="shared" si="123"/>
        <v>1900</v>
      </c>
    </row>
    <row r="3138" spans="14:14" hidden="1" x14ac:dyDescent="0.3">
      <c r="N3138">
        <f t="shared" si="123"/>
        <v>1900</v>
      </c>
    </row>
    <row r="3139" spans="14:14" hidden="1" x14ac:dyDescent="0.3">
      <c r="N3139">
        <f t="shared" ref="N3139:N3202" si="124">YEAR(B3139)</f>
        <v>1900</v>
      </c>
    </row>
    <row r="3140" spans="14:14" hidden="1" x14ac:dyDescent="0.3">
      <c r="N3140">
        <f t="shared" si="124"/>
        <v>1900</v>
      </c>
    </row>
    <row r="3141" spans="14:14" hidden="1" x14ac:dyDescent="0.3">
      <c r="N3141">
        <f t="shared" si="124"/>
        <v>1900</v>
      </c>
    </row>
    <row r="3142" spans="14:14" hidden="1" x14ac:dyDescent="0.3">
      <c r="N3142">
        <f t="shared" si="124"/>
        <v>1900</v>
      </c>
    </row>
    <row r="3143" spans="14:14" hidden="1" x14ac:dyDescent="0.3">
      <c r="N3143">
        <f t="shared" si="124"/>
        <v>1900</v>
      </c>
    </row>
    <row r="3144" spans="14:14" hidden="1" x14ac:dyDescent="0.3">
      <c r="N3144">
        <f t="shared" si="124"/>
        <v>1900</v>
      </c>
    </row>
    <row r="3145" spans="14:14" hidden="1" x14ac:dyDescent="0.3">
      <c r="N3145">
        <f t="shared" si="124"/>
        <v>1900</v>
      </c>
    </row>
    <row r="3146" spans="14:14" hidden="1" x14ac:dyDescent="0.3">
      <c r="N3146">
        <f t="shared" si="124"/>
        <v>1900</v>
      </c>
    </row>
    <row r="3147" spans="14:14" hidden="1" x14ac:dyDescent="0.3">
      <c r="N3147">
        <f t="shared" si="124"/>
        <v>1900</v>
      </c>
    </row>
    <row r="3148" spans="14:14" hidden="1" x14ac:dyDescent="0.3">
      <c r="N3148">
        <f t="shared" si="124"/>
        <v>1900</v>
      </c>
    </row>
    <row r="3149" spans="14:14" hidden="1" x14ac:dyDescent="0.3">
      <c r="N3149">
        <f t="shared" si="124"/>
        <v>1900</v>
      </c>
    </row>
    <row r="3150" spans="14:14" hidden="1" x14ac:dyDescent="0.3">
      <c r="N3150">
        <f t="shared" si="124"/>
        <v>1900</v>
      </c>
    </row>
    <row r="3151" spans="14:14" hidden="1" x14ac:dyDescent="0.3">
      <c r="N3151">
        <f t="shared" si="124"/>
        <v>1900</v>
      </c>
    </row>
    <row r="3152" spans="14:14" hidden="1" x14ac:dyDescent="0.3">
      <c r="N3152">
        <f t="shared" si="124"/>
        <v>1900</v>
      </c>
    </row>
    <row r="3153" spans="14:14" hidden="1" x14ac:dyDescent="0.3">
      <c r="N3153">
        <f t="shared" si="124"/>
        <v>1900</v>
      </c>
    </row>
    <row r="3154" spans="14:14" hidden="1" x14ac:dyDescent="0.3">
      <c r="N3154">
        <f t="shared" si="124"/>
        <v>1900</v>
      </c>
    </row>
    <row r="3155" spans="14:14" hidden="1" x14ac:dyDescent="0.3">
      <c r="N3155">
        <f t="shared" si="124"/>
        <v>1900</v>
      </c>
    </row>
    <row r="3156" spans="14:14" hidden="1" x14ac:dyDescent="0.3">
      <c r="N3156">
        <f t="shared" si="124"/>
        <v>1900</v>
      </c>
    </row>
    <row r="3157" spans="14:14" hidden="1" x14ac:dyDescent="0.3">
      <c r="N3157">
        <f t="shared" si="124"/>
        <v>1900</v>
      </c>
    </row>
    <row r="3158" spans="14:14" hidden="1" x14ac:dyDescent="0.3">
      <c r="N3158">
        <f t="shared" si="124"/>
        <v>1900</v>
      </c>
    </row>
    <row r="3159" spans="14:14" hidden="1" x14ac:dyDescent="0.3">
      <c r="N3159">
        <f t="shared" si="124"/>
        <v>1900</v>
      </c>
    </row>
    <row r="3160" spans="14:14" hidden="1" x14ac:dyDescent="0.3">
      <c r="N3160">
        <f t="shared" si="124"/>
        <v>1900</v>
      </c>
    </row>
    <row r="3161" spans="14:14" hidden="1" x14ac:dyDescent="0.3">
      <c r="N3161">
        <f t="shared" si="124"/>
        <v>1900</v>
      </c>
    </row>
    <row r="3162" spans="14:14" hidden="1" x14ac:dyDescent="0.3">
      <c r="N3162">
        <f t="shared" si="124"/>
        <v>1900</v>
      </c>
    </row>
    <row r="3163" spans="14:14" hidden="1" x14ac:dyDescent="0.3">
      <c r="N3163">
        <f t="shared" si="124"/>
        <v>1900</v>
      </c>
    </row>
    <row r="3164" spans="14:14" hidden="1" x14ac:dyDescent="0.3">
      <c r="N3164">
        <f t="shared" si="124"/>
        <v>1900</v>
      </c>
    </row>
    <row r="3165" spans="14:14" hidden="1" x14ac:dyDescent="0.3">
      <c r="N3165">
        <f t="shared" si="124"/>
        <v>1900</v>
      </c>
    </row>
    <row r="3166" spans="14:14" hidden="1" x14ac:dyDescent="0.3">
      <c r="N3166">
        <f t="shared" si="124"/>
        <v>1900</v>
      </c>
    </row>
    <row r="3167" spans="14:14" hidden="1" x14ac:dyDescent="0.3">
      <c r="N3167">
        <f t="shared" si="124"/>
        <v>1900</v>
      </c>
    </row>
    <row r="3168" spans="14:14" hidden="1" x14ac:dyDescent="0.3">
      <c r="N3168">
        <f t="shared" si="124"/>
        <v>1900</v>
      </c>
    </row>
    <row r="3169" spans="14:14" hidden="1" x14ac:dyDescent="0.3">
      <c r="N3169">
        <f t="shared" si="124"/>
        <v>1900</v>
      </c>
    </row>
    <row r="3170" spans="14:14" hidden="1" x14ac:dyDescent="0.3">
      <c r="N3170">
        <f t="shared" si="124"/>
        <v>1900</v>
      </c>
    </row>
    <row r="3171" spans="14:14" hidden="1" x14ac:dyDescent="0.3">
      <c r="N3171">
        <f t="shared" si="124"/>
        <v>1900</v>
      </c>
    </row>
    <row r="3172" spans="14:14" hidden="1" x14ac:dyDescent="0.3">
      <c r="N3172">
        <f t="shared" si="124"/>
        <v>1900</v>
      </c>
    </row>
    <row r="3173" spans="14:14" hidden="1" x14ac:dyDescent="0.3">
      <c r="N3173">
        <f t="shared" si="124"/>
        <v>1900</v>
      </c>
    </row>
    <row r="3174" spans="14:14" hidden="1" x14ac:dyDescent="0.3">
      <c r="N3174">
        <f t="shared" si="124"/>
        <v>1900</v>
      </c>
    </row>
    <row r="3175" spans="14:14" hidden="1" x14ac:dyDescent="0.3">
      <c r="N3175">
        <f t="shared" si="124"/>
        <v>1900</v>
      </c>
    </row>
    <row r="3176" spans="14:14" hidden="1" x14ac:dyDescent="0.3">
      <c r="N3176">
        <f t="shared" si="124"/>
        <v>1900</v>
      </c>
    </row>
    <row r="3177" spans="14:14" hidden="1" x14ac:dyDescent="0.3">
      <c r="N3177">
        <f t="shared" si="124"/>
        <v>1900</v>
      </c>
    </row>
    <row r="3178" spans="14:14" hidden="1" x14ac:dyDescent="0.3">
      <c r="N3178">
        <f t="shared" si="124"/>
        <v>1900</v>
      </c>
    </row>
    <row r="3179" spans="14:14" hidden="1" x14ac:dyDescent="0.3">
      <c r="N3179">
        <f t="shared" si="124"/>
        <v>1900</v>
      </c>
    </row>
    <row r="3180" spans="14:14" hidden="1" x14ac:dyDescent="0.3">
      <c r="N3180">
        <f t="shared" si="124"/>
        <v>1900</v>
      </c>
    </row>
    <row r="3181" spans="14:14" hidden="1" x14ac:dyDescent="0.3">
      <c r="N3181">
        <f t="shared" si="124"/>
        <v>1900</v>
      </c>
    </row>
    <row r="3182" spans="14:14" hidden="1" x14ac:dyDescent="0.3">
      <c r="N3182">
        <f t="shared" si="124"/>
        <v>1900</v>
      </c>
    </row>
    <row r="3183" spans="14:14" hidden="1" x14ac:dyDescent="0.3">
      <c r="N3183">
        <f t="shared" si="124"/>
        <v>1900</v>
      </c>
    </row>
    <row r="3184" spans="14:14" hidden="1" x14ac:dyDescent="0.3">
      <c r="N3184">
        <f t="shared" si="124"/>
        <v>1900</v>
      </c>
    </row>
    <row r="3185" spans="14:14" hidden="1" x14ac:dyDescent="0.3">
      <c r="N3185">
        <f t="shared" si="124"/>
        <v>1900</v>
      </c>
    </row>
    <row r="3186" spans="14:14" hidden="1" x14ac:dyDescent="0.3">
      <c r="N3186">
        <f t="shared" si="124"/>
        <v>1900</v>
      </c>
    </row>
    <row r="3187" spans="14:14" hidden="1" x14ac:dyDescent="0.3">
      <c r="N3187">
        <f t="shared" si="124"/>
        <v>1900</v>
      </c>
    </row>
    <row r="3188" spans="14:14" hidden="1" x14ac:dyDescent="0.3">
      <c r="N3188">
        <f t="shared" si="124"/>
        <v>1900</v>
      </c>
    </row>
    <row r="3189" spans="14:14" hidden="1" x14ac:dyDescent="0.3">
      <c r="N3189">
        <f t="shared" si="124"/>
        <v>1900</v>
      </c>
    </row>
    <row r="3190" spans="14:14" hidden="1" x14ac:dyDescent="0.3">
      <c r="N3190">
        <f t="shared" si="124"/>
        <v>1900</v>
      </c>
    </row>
    <row r="3191" spans="14:14" hidden="1" x14ac:dyDescent="0.3">
      <c r="N3191">
        <f t="shared" si="124"/>
        <v>1900</v>
      </c>
    </row>
    <row r="3192" spans="14:14" hidden="1" x14ac:dyDescent="0.3">
      <c r="N3192">
        <f t="shared" si="124"/>
        <v>1900</v>
      </c>
    </row>
    <row r="3193" spans="14:14" hidden="1" x14ac:dyDescent="0.3">
      <c r="N3193">
        <f t="shared" si="124"/>
        <v>1900</v>
      </c>
    </row>
    <row r="3194" spans="14:14" hidden="1" x14ac:dyDescent="0.3">
      <c r="N3194">
        <f t="shared" si="124"/>
        <v>1900</v>
      </c>
    </row>
    <row r="3195" spans="14:14" hidden="1" x14ac:dyDescent="0.3">
      <c r="N3195">
        <f t="shared" si="124"/>
        <v>1900</v>
      </c>
    </row>
    <row r="3196" spans="14:14" hidden="1" x14ac:dyDescent="0.3">
      <c r="N3196">
        <f t="shared" si="124"/>
        <v>1900</v>
      </c>
    </row>
    <row r="3197" spans="14:14" hidden="1" x14ac:dyDescent="0.3">
      <c r="N3197">
        <f t="shared" si="124"/>
        <v>1900</v>
      </c>
    </row>
    <row r="3198" spans="14:14" hidden="1" x14ac:dyDescent="0.3">
      <c r="N3198">
        <f t="shared" si="124"/>
        <v>1900</v>
      </c>
    </row>
    <row r="3199" spans="14:14" hidden="1" x14ac:dyDescent="0.3">
      <c r="N3199">
        <f t="shared" si="124"/>
        <v>1900</v>
      </c>
    </row>
    <row r="3200" spans="14:14" hidden="1" x14ac:dyDescent="0.3">
      <c r="N3200">
        <f t="shared" si="124"/>
        <v>1900</v>
      </c>
    </row>
    <row r="3201" spans="14:14" hidden="1" x14ac:dyDescent="0.3">
      <c r="N3201">
        <f t="shared" si="124"/>
        <v>1900</v>
      </c>
    </row>
    <row r="3202" spans="14:14" hidden="1" x14ac:dyDescent="0.3">
      <c r="N3202">
        <f t="shared" si="124"/>
        <v>1900</v>
      </c>
    </row>
    <row r="3203" spans="14:14" hidden="1" x14ac:dyDescent="0.3">
      <c r="N3203">
        <f t="shared" ref="N3203:N3266" si="125">YEAR(B3203)</f>
        <v>1900</v>
      </c>
    </row>
    <row r="3204" spans="14:14" hidden="1" x14ac:dyDescent="0.3">
      <c r="N3204">
        <f t="shared" si="125"/>
        <v>1900</v>
      </c>
    </row>
    <row r="3205" spans="14:14" hidden="1" x14ac:dyDescent="0.3">
      <c r="N3205">
        <f t="shared" si="125"/>
        <v>1900</v>
      </c>
    </row>
    <row r="3206" spans="14:14" hidden="1" x14ac:dyDescent="0.3">
      <c r="N3206">
        <f t="shared" si="125"/>
        <v>1900</v>
      </c>
    </row>
    <row r="3207" spans="14:14" hidden="1" x14ac:dyDescent="0.3">
      <c r="N3207">
        <f t="shared" si="125"/>
        <v>1900</v>
      </c>
    </row>
    <row r="3208" spans="14:14" hidden="1" x14ac:dyDescent="0.3">
      <c r="N3208">
        <f t="shared" si="125"/>
        <v>1900</v>
      </c>
    </row>
    <row r="3209" spans="14:14" hidden="1" x14ac:dyDescent="0.3">
      <c r="N3209">
        <f t="shared" si="125"/>
        <v>1900</v>
      </c>
    </row>
    <row r="3210" spans="14:14" hidden="1" x14ac:dyDescent="0.3">
      <c r="N3210">
        <f t="shared" si="125"/>
        <v>1900</v>
      </c>
    </row>
    <row r="3211" spans="14:14" hidden="1" x14ac:dyDescent="0.3">
      <c r="N3211">
        <f t="shared" si="125"/>
        <v>1900</v>
      </c>
    </row>
    <row r="3212" spans="14:14" hidden="1" x14ac:dyDescent="0.3">
      <c r="N3212">
        <f t="shared" si="125"/>
        <v>1900</v>
      </c>
    </row>
    <row r="3213" spans="14:14" hidden="1" x14ac:dyDescent="0.3">
      <c r="N3213">
        <f t="shared" si="125"/>
        <v>1900</v>
      </c>
    </row>
    <row r="3214" spans="14:14" hidden="1" x14ac:dyDescent="0.3">
      <c r="N3214">
        <f t="shared" si="125"/>
        <v>1900</v>
      </c>
    </row>
    <row r="3215" spans="14:14" hidden="1" x14ac:dyDescent="0.3">
      <c r="N3215">
        <f t="shared" si="125"/>
        <v>1900</v>
      </c>
    </row>
    <row r="3216" spans="14:14" hidden="1" x14ac:dyDescent="0.3">
      <c r="N3216">
        <f t="shared" si="125"/>
        <v>1900</v>
      </c>
    </row>
    <row r="3217" spans="14:14" hidden="1" x14ac:dyDescent="0.3">
      <c r="N3217">
        <f t="shared" si="125"/>
        <v>1900</v>
      </c>
    </row>
    <row r="3218" spans="14:14" hidden="1" x14ac:dyDescent="0.3">
      <c r="N3218">
        <f t="shared" si="125"/>
        <v>1900</v>
      </c>
    </row>
    <row r="3219" spans="14:14" hidden="1" x14ac:dyDescent="0.3">
      <c r="N3219">
        <f t="shared" si="125"/>
        <v>1900</v>
      </c>
    </row>
    <row r="3220" spans="14:14" hidden="1" x14ac:dyDescent="0.3">
      <c r="N3220">
        <f t="shared" si="125"/>
        <v>1900</v>
      </c>
    </row>
    <row r="3221" spans="14:14" hidden="1" x14ac:dyDescent="0.3">
      <c r="N3221">
        <f t="shared" si="125"/>
        <v>1900</v>
      </c>
    </row>
    <row r="3222" spans="14:14" hidden="1" x14ac:dyDescent="0.3">
      <c r="N3222">
        <f t="shared" si="125"/>
        <v>1900</v>
      </c>
    </row>
    <row r="3223" spans="14:14" hidden="1" x14ac:dyDescent="0.3">
      <c r="N3223">
        <f t="shared" si="125"/>
        <v>1900</v>
      </c>
    </row>
    <row r="3224" spans="14:14" hidden="1" x14ac:dyDescent="0.3">
      <c r="N3224">
        <f t="shared" si="125"/>
        <v>1900</v>
      </c>
    </row>
    <row r="3225" spans="14:14" hidden="1" x14ac:dyDescent="0.3">
      <c r="N3225">
        <f t="shared" si="125"/>
        <v>1900</v>
      </c>
    </row>
    <row r="3226" spans="14:14" hidden="1" x14ac:dyDescent="0.3">
      <c r="N3226">
        <f t="shared" si="125"/>
        <v>1900</v>
      </c>
    </row>
    <row r="3227" spans="14:14" hidden="1" x14ac:dyDescent="0.3">
      <c r="N3227">
        <f t="shared" si="125"/>
        <v>1900</v>
      </c>
    </row>
    <row r="3228" spans="14:14" hidden="1" x14ac:dyDescent="0.3">
      <c r="N3228">
        <f t="shared" si="125"/>
        <v>1900</v>
      </c>
    </row>
    <row r="3229" spans="14:14" hidden="1" x14ac:dyDescent="0.3">
      <c r="N3229">
        <f t="shared" si="125"/>
        <v>1900</v>
      </c>
    </row>
    <row r="3230" spans="14:14" hidden="1" x14ac:dyDescent="0.3">
      <c r="N3230">
        <f t="shared" si="125"/>
        <v>1900</v>
      </c>
    </row>
    <row r="3231" spans="14:14" hidden="1" x14ac:dyDescent="0.3">
      <c r="N3231">
        <f t="shared" si="125"/>
        <v>1900</v>
      </c>
    </row>
    <row r="3232" spans="14:14" hidden="1" x14ac:dyDescent="0.3">
      <c r="N3232">
        <f t="shared" si="125"/>
        <v>1900</v>
      </c>
    </row>
    <row r="3233" spans="14:14" hidden="1" x14ac:dyDescent="0.3">
      <c r="N3233">
        <f t="shared" si="125"/>
        <v>1900</v>
      </c>
    </row>
    <row r="3234" spans="14:14" hidden="1" x14ac:dyDescent="0.3">
      <c r="N3234">
        <f t="shared" si="125"/>
        <v>1900</v>
      </c>
    </row>
    <row r="3235" spans="14:14" hidden="1" x14ac:dyDescent="0.3">
      <c r="N3235">
        <f t="shared" si="125"/>
        <v>1900</v>
      </c>
    </row>
    <row r="3236" spans="14:14" hidden="1" x14ac:dyDescent="0.3">
      <c r="N3236">
        <f t="shared" si="125"/>
        <v>1900</v>
      </c>
    </row>
    <row r="3237" spans="14:14" hidden="1" x14ac:dyDescent="0.3">
      <c r="N3237">
        <f t="shared" si="125"/>
        <v>1900</v>
      </c>
    </row>
    <row r="3238" spans="14:14" hidden="1" x14ac:dyDescent="0.3">
      <c r="N3238">
        <f t="shared" si="125"/>
        <v>1900</v>
      </c>
    </row>
    <row r="3239" spans="14:14" hidden="1" x14ac:dyDescent="0.3">
      <c r="N3239">
        <f t="shared" si="125"/>
        <v>1900</v>
      </c>
    </row>
    <row r="3240" spans="14:14" hidden="1" x14ac:dyDescent="0.3">
      <c r="N3240">
        <f t="shared" si="125"/>
        <v>1900</v>
      </c>
    </row>
    <row r="3241" spans="14:14" hidden="1" x14ac:dyDescent="0.3">
      <c r="N3241">
        <f t="shared" si="125"/>
        <v>1900</v>
      </c>
    </row>
    <row r="3242" spans="14:14" hidden="1" x14ac:dyDescent="0.3">
      <c r="N3242">
        <f t="shared" si="125"/>
        <v>1900</v>
      </c>
    </row>
    <row r="3243" spans="14:14" hidden="1" x14ac:dyDescent="0.3">
      <c r="N3243">
        <f t="shared" si="125"/>
        <v>1900</v>
      </c>
    </row>
    <row r="3244" spans="14:14" hidden="1" x14ac:dyDescent="0.3">
      <c r="N3244">
        <f t="shared" si="125"/>
        <v>1900</v>
      </c>
    </row>
    <row r="3245" spans="14:14" hidden="1" x14ac:dyDescent="0.3">
      <c r="N3245">
        <f t="shared" si="125"/>
        <v>1900</v>
      </c>
    </row>
    <row r="3246" spans="14:14" hidden="1" x14ac:dyDescent="0.3">
      <c r="N3246">
        <f t="shared" si="125"/>
        <v>1900</v>
      </c>
    </row>
    <row r="3247" spans="14:14" hidden="1" x14ac:dyDescent="0.3">
      <c r="N3247">
        <f t="shared" si="125"/>
        <v>1900</v>
      </c>
    </row>
    <row r="3248" spans="14:14" hidden="1" x14ac:dyDescent="0.3">
      <c r="N3248">
        <f t="shared" si="125"/>
        <v>1900</v>
      </c>
    </row>
    <row r="3249" spans="14:14" hidden="1" x14ac:dyDescent="0.3">
      <c r="N3249">
        <f t="shared" si="125"/>
        <v>1900</v>
      </c>
    </row>
    <row r="3250" spans="14:14" hidden="1" x14ac:dyDescent="0.3">
      <c r="N3250">
        <f t="shared" si="125"/>
        <v>1900</v>
      </c>
    </row>
    <row r="3251" spans="14:14" hidden="1" x14ac:dyDescent="0.3">
      <c r="N3251">
        <f t="shared" si="125"/>
        <v>1900</v>
      </c>
    </row>
    <row r="3252" spans="14:14" hidden="1" x14ac:dyDescent="0.3">
      <c r="N3252">
        <f t="shared" si="125"/>
        <v>1900</v>
      </c>
    </row>
    <row r="3253" spans="14:14" hidden="1" x14ac:dyDescent="0.3">
      <c r="N3253">
        <f t="shared" si="125"/>
        <v>1900</v>
      </c>
    </row>
    <row r="3254" spans="14:14" hidden="1" x14ac:dyDescent="0.3">
      <c r="N3254">
        <f t="shared" si="125"/>
        <v>1900</v>
      </c>
    </row>
    <row r="3255" spans="14:14" hidden="1" x14ac:dyDescent="0.3">
      <c r="N3255">
        <f t="shared" si="125"/>
        <v>1900</v>
      </c>
    </row>
    <row r="3256" spans="14:14" hidden="1" x14ac:dyDescent="0.3">
      <c r="N3256">
        <f t="shared" si="125"/>
        <v>1900</v>
      </c>
    </row>
    <row r="3257" spans="14:14" hidden="1" x14ac:dyDescent="0.3">
      <c r="N3257">
        <f t="shared" si="125"/>
        <v>1900</v>
      </c>
    </row>
    <row r="3258" spans="14:14" hidden="1" x14ac:dyDescent="0.3">
      <c r="N3258">
        <f t="shared" si="125"/>
        <v>1900</v>
      </c>
    </row>
    <row r="3259" spans="14:14" hidden="1" x14ac:dyDescent="0.3">
      <c r="N3259">
        <f t="shared" si="125"/>
        <v>1900</v>
      </c>
    </row>
    <row r="3260" spans="14:14" hidden="1" x14ac:dyDescent="0.3">
      <c r="N3260">
        <f t="shared" si="125"/>
        <v>1900</v>
      </c>
    </row>
    <row r="3261" spans="14:14" hidden="1" x14ac:dyDescent="0.3">
      <c r="N3261">
        <f t="shared" si="125"/>
        <v>1900</v>
      </c>
    </row>
    <row r="3262" spans="14:14" hidden="1" x14ac:dyDescent="0.3">
      <c r="N3262">
        <f t="shared" si="125"/>
        <v>1900</v>
      </c>
    </row>
    <row r="3263" spans="14:14" hidden="1" x14ac:dyDescent="0.3">
      <c r="N3263">
        <f t="shared" si="125"/>
        <v>1900</v>
      </c>
    </row>
    <row r="3264" spans="14:14" hidden="1" x14ac:dyDescent="0.3">
      <c r="N3264">
        <f t="shared" si="125"/>
        <v>1900</v>
      </c>
    </row>
    <row r="3265" spans="14:14" hidden="1" x14ac:dyDescent="0.3">
      <c r="N3265">
        <f t="shared" si="125"/>
        <v>1900</v>
      </c>
    </row>
    <row r="3266" spans="14:14" hidden="1" x14ac:dyDescent="0.3">
      <c r="N3266">
        <f t="shared" si="125"/>
        <v>1900</v>
      </c>
    </row>
    <row r="3267" spans="14:14" hidden="1" x14ac:dyDescent="0.3">
      <c r="N3267">
        <f t="shared" ref="N3267:N3285" si="126">YEAR(B3267)</f>
        <v>1900</v>
      </c>
    </row>
    <row r="3268" spans="14:14" hidden="1" x14ac:dyDescent="0.3">
      <c r="N3268">
        <f t="shared" si="126"/>
        <v>1900</v>
      </c>
    </row>
    <row r="3269" spans="14:14" hidden="1" x14ac:dyDescent="0.3">
      <c r="N3269">
        <f t="shared" si="126"/>
        <v>1900</v>
      </c>
    </row>
    <row r="3270" spans="14:14" hidden="1" x14ac:dyDescent="0.3">
      <c r="N3270">
        <f t="shared" si="126"/>
        <v>1900</v>
      </c>
    </row>
    <row r="3271" spans="14:14" hidden="1" x14ac:dyDescent="0.3">
      <c r="N3271">
        <f t="shared" si="126"/>
        <v>1900</v>
      </c>
    </row>
    <row r="3272" spans="14:14" hidden="1" x14ac:dyDescent="0.3">
      <c r="N3272">
        <f t="shared" si="126"/>
        <v>1900</v>
      </c>
    </row>
    <row r="3273" spans="14:14" hidden="1" x14ac:dyDescent="0.3">
      <c r="N3273">
        <f t="shared" si="126"/>
        <v>1900</v>
      </c>
    </row>
    <row r="3274" spans="14:14" hidden="1" x14ac:dyDescent="0.3">
      <c r="N3274">
        <f t="shared" si="126"/>
        <v>1900</v>
      </c>
    </row>
    <row r="3275" spans="14:14" hidden="1" x14ac:dyDescent="0.3">
      <c r="N3275">
        <f t="shared" si="126"/>
        <v>1900</v>
      </c>
    </row>
    <row r="3276" spans="14:14" hidden="1" x14ac:dyDescent="0.3">
      <c r="N3276">
        <f t="shared" si="126"/>
        <v>1900</v>
      </c>
    </row>
    <row r="3277" spans="14:14" hidden="1" x14ac:dyDescent="0.3">
      <c r="N3277">
        <f t="shared" si="126"/>
        <v>1900</v>
      </c>
    </row>
    <row r="3278" spans="14:14" hidden="1" x14ac:dyDescent="0.3">
      <c r="N3278">
        <f t="shared" si="126"/>
        <v>1900</v>
      </c>
    </row>
    <row r="3279" spans="14:14" hidden="1" x14ac:dyDescent="0.3">
      <c r="N3279">
        <f t="shared" si="126"/>
        <v>1900</v>
      </c>
    </row>
    <row r="3280" spans="14:14" hidden="1" x14ac:dyDescent="0.3">
      <c r="N3280">
        <f t="shared" si="126"/>
        <v>1900</v>
      </c>
    </row>
    <row r="3281" spans="14:14" hidden="1" x14ac:dyDescent="0.3">
      <c r="N3281">
        <f t="shared" si="126"/>
        <v>1900</v>
      </c>
    </row>
    <row r="3282" spans="14:14" hidden="1" x14ac:dyDescent="0.3">
      <c r="N3282">
        <f t="shared" si="126"/>
        <v>1900</v>
      </c>
    </row>
    <row r="3283" spans="14:14" hidden="1" x14ac:dyDescent="0.3">
      <c r="N3283">
        <f t="shared" si="126"/>
        <v>1900</v>
      </c>
    </row>
    <row r="3284" spans="14:14" hidden="1" x14ac:dyDescent="0.3">
      <c r="N3284">
        <f t="shared" si="126"/>
        <v>1900</v>
      </c>
    </row>
    <row r="3285" spans="14:14" hidden="1" x14ac:dyDescent="0.3">
      <c r="N3285">
        <f t="shared" si="126"/>
        <v>1900</v>
      </c>
    </row>
  </sheetData>
  <autoFilter ref="A1:M3285" xr:uid="{00000000-0009-0000-0000-000000000000}">
    <filterColumn colId="1">
      <filters>
        <dateGroupItem year="2023" month="4" dateTimeGrouping="month"/>
        <dateGroupItem year="2023" month="5" dateTimeGrouping="month"/>
        <dateGroupItem year="2023" month="6" dateTimeGrouping="month"/>
      </filters>
    </filterColumn>
    <sortState xmlns:xlrd2="http://schemas.microsoft.com/office/spreadsheetml/2017/richdata2" ref="A695:M825">
      <sortCondition ref="B1:B3285"/>
    </sortState>
  </autoFilter>
  <dataConsolidate/>
  <conditionalFormatting sqref="F1:F424 D1193:D1048576 F1193:F1048576 F426:F442 D1:D442">
    <cfRule type="cellIs" dxfId="611" priority="820" operator="equal">
      <formula>"VIEWCL II"</formula>
    </cfRule>
    <cfRule type="cellIs" dxfId="610" priority="821" operator="equal">
      <formula>"SIGMA"</formula>
    </cfRule>
    <cfRule type="cellIs" dxfId="609" priority="822" operator="equal">
      <formula>"BIOCLEAN"</formula>
    </cfRule>
    <cfRule type="cellIs" dxfId="608" priority="823" operator="equal">
      <formula>"TIMELESS"</formula>
    </cfRule>
    <cfRule type="cellIs" dxfId="607" priority="824" operator="equal">
      <formula>"PLT ONE"</formula>
    </cfRule>
    <cfRule type="cellIs" dxfId="606" priority="825" operator="equal">
      <formula>"ECLAZ ONE"</formula>
    </cfRule>
    <cfRule type="cellIs" dxfId="605" priority="826" operator="equal">
      <formula>"ECLAZ"</formula>
    </cfRule>
    <cfRule type="cellIs" dxfId="604" priority="827" operator="equal">
      <formula>"PLT XNII"</formula>
    </cfRule>
    <cfRule type="cellIs" dxfId="603" priority="828" operator="equal">
      <formula>"PLT XN"</formula>
    </cfRule>
  </conditionalFormatting>
  <conditionalFormatting sqref="F443:F449 D443:D449">
    <cfRule type="cellIs" dxfId="602" priority="811" operator="equal">
      <formula>"VIEWCL II"</formula>
    </cfRule>
    <cfRule type="cellIs" dxfId="601" priority="812" operator="equal">
      <formula>"SIGMA"</formula>
    </cfRule>
    <cfRule type="cellIs" dxfId="600" priority="813" operator="equal">
      <formula>"BIOCLEAN"</formula>
    </cfRule>
    <cfRule type="cellIs" dxfId="599" priority="814" operator="equal">
      <formula>"TIMELESS"</formula>
    </cfRule>
    <cfRule type="cellIs" dxfId="598" priority="815" operator="equal">
      <formula>"PLT ONE"</formula>
    </cfRule>
    <cfRule type="cellIs" dxfId="597" priority="816" operator="equal">
      <formula>"ECLAZ ONE"</formula>
    </cfRule>
    <cfRule type="cellIs" dxfId="596" priority="817" operator="equal">
      <formula>"ECLAZ"</formula>
    </cfRule>
    <cfRule type="cellIs" dxfId="595" priority="818" operator="equal">
      <formula>"PLT XNII"</formula>
    </cfRule>
    <cfRule type="cellIs" dxfId="594" priority="819" operator="equal">
      <formula>"PLT XN"</formula>
    </cfRule>
  </conditionalFormatting>
  <conditionalFormatting sqref="F450:F452 D373:D545 D728:D729 F455:F729 D548:D726">
    <cfRule type="cellIs" dxfId="593" priority="802" operator="equal">
      <formula>"VIEWCL II"</formula>
    </cfRule>
    <cfRule type="cellIs" dxfId="592" priority="803" operator="equal">
      <formula>"SIGMA"</formula>
    </cfRule>
    <cfRule type="cellIs" dxfId="591" priority="804" operator="equal">
      <formula>"BIOCLEAN"</formula>
    </cfRule>
    <cfRule type="cellIs" dxfId="590" priority="805" operator="equal">
      <formula>"TIMELESS"</formula>
    </cfRule>
    <cfRule type="cellIs" dxfId="589" priority="806" operator="equal">
      <formula>"PLT ONE"</formula>
    </cfRule>
    <cfRule type="cellIs" dxfId="588" priority="807" operator="equal">
      <formula>"ECLAZ ONE"</formula>
    </cfRule>
    <cfRule type="cellIs" dxfId="587" priority="808" operator="equal">
      <formula>"ECLAZ"</formula>
    </cfRule>
    <cfRule type="cellIs" dxfId="586" priority="809" operator="equal">
      <formula>"PLT XNII"</formula>
    </cfRule>
    <cfRule type="cellIs" dxfId="585" priority="810" operator="equal">
      <formula>"PLT XN"</formula>
    </cfRule>
  </conditionalFormatting>
  <conditionalFormatting sqref="D714">
    <cfRule type="cellIs" dxfId="584" priority="775" operator="equal">
      <formula>"VIEWCL II"</formula>
    </cfRule>
    <cfRule type="cellIs" dxfId="583" priority="776" operator="equal">
      <formula>"SIGMA"</formula>
    </cfRule>
    <cfRule type="cellIs" dxfId="582" priority="777" operator="equal">
      <formula>"BIOCLEAN"</formula>
    </cfRule>
    <cfRule type="cellIs" dxfId="581" priority="778" operator="equal">
      <formula>"TIMELESS"</formula>
    </cfRule>
    <cfRule type="cellIs" dxfId="580" priority="779" operator="equal">
      <formula>"PLT ONE"</formula>
    </cfRule>
    <cfRule type="cellIs" dxfId="579" priority="780" operator="equal">
      <formula>"ECLAZ ONE"</formula>
    </cfRule>
    <cfRule type="cellIs" dxfId="578" priority="781" operator="equal">
      <formula>"ECLAZ"</formula>
    </cfRule>
    <cfRule type="cellIs" dxfId="577" priority="782" operator="equal">
      <formula>"PLT XNII"</formula>
    </cfRule>
    <cfRule type="cellIs" dxfId="576" priority="783" operator="equal">
      <formula>"PLT XN"</formula>
    </cfRule>
  </conditionalFormatting>
  <conditionalFormatting sqref="D452">
    <cfRule type="cellIs" dxfId="575" priority="757" operator="equal">
      <formula>"VIEWCL II"</formula>
    </cfRule>
    <cfRule type="cellIs" dxfId="574" priority="758" operator="equal">
      <formula>"SIGMA"</formula>
    </cfRule>
    <cfRule type="cellIs" dxfId="573" priority="759" operator="equal">
      <formula>"BIOCLEAN"</formula>
    </cfRule>
    <cfRule type="cellIs" dxfId="572" priority="760" operator="equal">
      <formula>"TIMELESS"</formula>
    </cfRule>
    <cfRule type="cellIs" dxfId="571" priority="761" operator="equal">
      <formula>"PLT ONE"</formula>
    </cfRule>
    <cfRule type="cellIs" dxfId="570" priority="762" operator="equal">
      <formula>"ECLAZ ONE"</formula>
    </cfRule>
    <cfRule type="cellIs" dxfId="569" priority="763" operator="equal">
      <formula>"ECLAZ"</formula>
    </cfRule>
    <cfRule type="cellIs" dxfId="568" priority="764" operator="equal">
      <formula>"PLT XNII"</formula>
    </cfRule>
    <cfRule type="cellIs" dxfId="567" priority="765" operator="equal">
      <formula>"PLT XN"</formula>
    </cfRule>
  </conditionalFormatting>
  <conditionalFormatting sqref="D635:D636">
    <cfRule type="cellIs" dxfId="566" priority="748" operator="equal">
      <formula>"VIEWCL II"</formula>
    </cfRule>
    <cfRule type="cellIs" dxfId="565" priority="749" operator="equal">
      <formula>"SIGMA"</formula>
    </cfRule>
    <cfRule type="cellIs" dxfId="564" priority="750" operator="equal">
      <formula>"BIOCLEAN"</formula>
    </cfRule>
    <cfRule type="cellIs" dxfId="563" priority="751" operator="equal">
      <formula>"TIMELESS"</formula>
    </cfRule>
    <cfRule type="cellIs" dxfId="562" priority="752" operator="equal">
      <formula>"PLT ONE"</formula>
    </cfRule>
    <cfRule type="cellIs" dxfId="561" priority="753" operator="equal">
      <formula>"ECLAZ ONE"</formula>
    </cfRule>
    <cfRule type="cellIs" dxfId="560" priority="754" operator="equal">
      <formula>"ECLAZ"</formula>
    </cfRule>
    <cfRule type="cellIs" dxfId="559" priority="755" operator="equal">
      <formula>"PLT XNII"</formula>
    </cfRule>
    <cfRule type="cellIs" dxfId="558" priority="756" operator="equal">
      <formula>"PLT XN"</formula>
    </cfRule>
  </conditionalFormatting>
  <conditionalFormatting sqref="D647:D648">
    <cfRule type="cellIs" dxfId="557" priority="739" operator="equal">
      <formula>"VIEWCL II"</formula>
    </cfRule>
    <cfRule type="cellIs" dxfId="556" priority="740" operator="equal">
      <formula>"SIGMA"</formula>
    </cfRule>
    <cfRule type="cellIs" dxfId="555" priority="741" operator="equal">
      <formula>"BIOCLEAN"</formula>
    </cfRule>
    <cfRule type="cellIs" dxfId="554" priority="742" operator="equal">
      <formula>"TIMELESS"</formula>
    </cfRule>
    <cfRule type="cellIs" dxfId="553" priority="743" operator="equal">
      <formula>"PLT ONE"</formula>
    </cfRule>
    <cfRule type="cellIs" dxfId="552" priority="744" operator="equal">
      <formula>"ECLAZ ONE"</formula>
    </cfRule>
    <cfRule type="cellIs" dxfId="551" priority="745" operator="equal">
      <formula>"ECLAZ"</formula>
    </cfRule>
    <cfRule type="cellIs" dxfId="550" priority="746" operator="equal">
      <formula>"PLT XNII"</formula>
    </cfRule>
    <cfRule type="cellIs" dxfId="549" priority="747" operator="equal">
      <formula>"PLT XN"</formula>
    </cfRule>
  </conditionalFormatting>
  <conditionalFormatting sqref="D619:D622">
    <cfRule type="cellIs" dxfId="548" priority="730" operator="equal">
      <formula>"VIEWCL II"</formula>
    </cfRule>
    <cfRule type="cellIs" dxfId="547" priority="731" operator="equal">
      <formula>"SIGMA"</formula>
    </cfRule>
    <cfRule type="cellIs" dxfId="546" priority="732" operator="equal">
      <formula>"BIOCLEAN"</formula>
    </cfRule>
    <cfRule type="cellIs" dxfId="545" priority="733" operator="equal">
      <formula>"TIMELESS"</formula>
    </cfRule>
    <cfRule type="cellIs" dxfId="544" priority="734" operator="equal">
      <formula>"PLT ONE"</formula>
    </cfRule>
    <cfRule type="cellIs" dxfId="543" priority="735" operator="equal">
      <formula>"ECLAZ ONE"</formula>
    </cfRule>
    <cfRule type="cellIs" dxfId="542" priority="736" operator="equal">
      <formula>"ECLAZ"</formula>
    </cfRule>
    <cfRule type="cellIs" dxfId="541" priority="737" operator="equal">
      <formula>"PLT XNII"</formula>
    </cfRule>
    <cfRule type="cellIs" dxfId="540" priority="738" operator="equal">
      <formula>"PLT XN"</formula>
    </cfRule>
  </conditionalFormatting>
  <conditionalFormatting sqref="F425">
    <cfRule type="cellIs" dxfId="539" priority="721" operator="equal">
      <formula>"VIEWCL II"</formula>
    </cfRule>
    <cfRule type="cellIs" dxfId="538" priority="722" operator="equal">
      <formula>"SIGMA"</formula>
    </cfRule>
    <cfRule type="cellIs" dxfId="537" priority="723" operator="equal">
      <formula>"BIOCLEAN"</formula>
    </cfRule>
    <cfRule type="cellIs" dxfId="536" priority="724" operator="equal">
      <formula>"TIMELESS"</formula>
    </cfRule>
    <cfRule type="cellIs" dxfId="535" priority="725" operator="equal">
      <formula>"PLT ONE"</formula>
    </cfRule>
    <cfRule type="cellIs" dxfId="534" priority="726" operator="equal">
      <formula>"ECLAZ ONE"</formula>
    </cfRule>
    <cfRule type="cellIs" dxfId="533" priority="727" operator="equal">
      <formula>"ECLAZ"</formula>
    </cfRule>
    <cfRule type="cellIs" dxfId="532" priority="728" operator="equal">
      <formula>"PLT XNII"</formula>
    </cfRule>
    <cfRule type="cellIs" dxfId="531" priority="729" operator="equal">
      <formula>"PLT XN"</formula>
    </cfRule>
  </conditionalFormatting>
  <conditionalFormatting sqref="D442">
    <cfRule type="cellIs" dxfId="530" priority="712" operator="equal">
      <formula>"VIEWCL II"</formula>
    </cfRule>
    <cfRule type="cellIs" dxfId="529" priority="713" operator="equal">
      <formula>"SIGMA"</formula>
    </cfRule>
    <cfRule type="cellIs" dxfId="528" priority="714" operator="equal">
      <formula>"BIOCLEAN"</formula>
    </cfRule>
    <cfRule type="cellIs" dxfId="527" priority="715" operator="equal">
      <formula>"TIMELESS"</formula>
    </cfRule>
    <cfRule type="cellIs" dxfId="526" priority="716" operator="equal">
      <formula>"PLT ONE"</formula>
    </cfRule>
    <cfRule type="cellIs" dxfId="525" priority="717" operator="equal">
      <formula>"ECLAZ ONE"</formula>
    </cfRule>
    <cfRule type="cellIs" dxfId="524" priority="718" operator="equal">
      <formula>"ECLAZ"</formula>
    </cfRule>
    <cfRule type="cellIs" dxfId="523" priority="719" operator="equal">
      <formula>"PLT XNII"</formula>
    </cfRule>
    <cfRule type="cellIs" dxfId="522" priority="720" operator="equal">
      <formula>"PLT XN"</formula>
    </cfRule>
  </conditionalFormatting>
  <conditionalFormatting sqref="F454">
    <cfRule type="cellIs" dxfId="521" priority="703" operator="equal">
      <formula>"VIEWCL II"</formula>
    </cfRule>
    <cfRule type="cellIs" dxfId="520" priority="704" operator="equal">
      <formula>"SIGMA"</formula>
    </cfRule>
    <cfRule type="cellIs" dxfId="519" priority="705" operator="equal">
      <formula>"BIOCLEAN"</formula>
    </cfRule>
    <cfRule type="cellIs" dxfId="518" priority="706" operator="equal">
      <formula>"TIMELESS"</formula>
    </cfRule>
    <cfRule type="cellIs" dxfId="517" priority="707" operator="equal">
      <formula>"PLT ONE"</formula>
    </cfRule>
    <cfRule type="cellIs" dxfId="516" priority="708" operator="equal">
      <formula>"ECLAZ ONE"</formula>
    </cfRule>
    <cfRule type="cellIs" dxfId="515" priority="709" operator="equal">
      <formula>"ECLAZ"</formula>
    </cfRule>
    <cfRule type="cellIs" dxfId="514" priority="710" operator="equal">
      <formula>"PLT XNII"</formula>
    </cfRule>
    <cfRule type="cellIs" dxfId="513" priority="711" operator="equal">
      <formula>"PLT XN"</formula>
    </cfRule>
  </conditionalFormatting>
  <conditionalFormatting sqref="F453">
    <cfRule type="cellIs" dxfId="512" priority="694" operator="equal">
      <formula>"VIEWCL II"</formula>
    </cfRule>
    <cfRule type="cellIs" dxfId="511" priority="695" operator="equal">
      <formula>"SIGMA"</formula>
    </cfRule>
    <cfRule type="cellIs" dxfId="510" priority="696" operator="equal">
      <formula>"BIOCLEAN"</formula>
    </cfRule>
    <cfRule type="cellIs" dxfId="509" priority="697" operator="equal">
      <formula>"TIMELESS"</formula>
    </cfRule>
    <cfRule type="cellIs" dxfId="508" priority="698" operator="equal">
      <formula>"PLT ONE"</formula>
    </cfRule>
    <cfRule type="cellIs" dxfId="507" priority="699" operator="equal">
      <formula>"ECLAZ ONE"</formula>
    </cfRule>
    <cfRule type="cellIs" dxfId="506" priority="700" operator="equal">
      <formula>"ECLAZ"</formula>
    </cfRule>
    <cfRule type="cellIs" dxfId="505" priority="701" operator="equal">
      <formula>"PLT XNII"</formula>
    </cfRule>
    <cfRule type="cellIs" dxfId="504" priority="702" operator="equal">
      <formula>"PLT XN"</formula>
    </cfRule>
  </conditionalFormatting>
  <conditionalFormatting sqref="D546:D547">
    <cfRule type="cellIs" dxfId="503" priority="676" operator="equal">
      <formula>"VIEWCL II"</formula>
    </cfRule>
    <cfRule type="cellIs" dxfId="502" priority="677" operator="equal">
      <formula>"SIGMA"</formula>
    </cfRule>
    <cfRule type="cellIs" dxfId="501" priority="678" operator="equal">
      <formula>"BIOCLEAN"</formula>
    </cfRule>
    <cfRule type="cellIs" dxfId="500" priority="679" operator="equal">
      <formula>"TIMELESS"</formula>
    </cfRule>
    <cfRule type="cellIs" dxfId="499" priority="680" operator="equal">
      <formula>"PLT ONE"</formula>
    </cfRule>
    <cfRule type="cellIs" dxfId="498" priority="681" operator="equal">
      <formula>"ECLAZ ONE"</formula>
    </cfRule>
    <cfRule type="cellIs" dxfId="497" priority="682" operator="equal">
      <formula>"ECLAZ"</formula>
    </cfRule>
    <cfRule type="cellIs" dxfId="496" priority="683" operator="equal">
      <formula>"PLT XNII"</formula>
    </cfRule>
    <cfRule type="cellIs" dxfId="495" priority="684" operator="equal">
      <formula>"PLT XN"</formula>
    </cfRule>
  </conditionalFormatting>
  <conditionalFormatting sqref="F730:F736 D730:D735">
    <cfRule type="cellIs" dxfId="494" priority="667" operator="equal">
      <formula>"VIEWCL II"</formula>
    </cfRule>
    <cfRule type="cellIs" dxfId="493" priority="668" operator="equal">
      <formula>"SIGMA"</formula>
    </cfRule>
    <cfRule type="cellIs" dxfId="492" priority="669" operator="equal">
      <formula>"BIOCLEAN"</formula>
    </cfRule>
    <cfRule type="cellIs" dxfId="491" priority="670" operator="equal">
      <formula>"TIMELESS"</formula>
    </cfRule>
    <cfRule type="cellIs" dxfId="490" priority="671" operator="equal">
      <formula>"PLT ONE"</formula>
    </cfRule>
    <cfRule type="cellIs" dxfId="489" priority="672" operator="equal">
      <formula>"ECLAZ ONE"</formula>
    </cfRule>
    <cfRule type="cellIs" dxfId="488" priority="673" operator="equal">
      <formula>"ECLAZ"</formula>
    </cfRule>
    <cfRule type="cellIs" dxfId="487" priority="674" operator="equal">
      <formula>"PLT XNII"</formula>
    </cfRule>
    <cfRule type="cellIs" dxfId="486" priority="675" operator="equal">
      <formula>"PLT XN"</formula>
    </cfRule>
  </conditionalFormatting>
  <conditionalFormatting sqref="F737:F785 D1192 F814 F816:F1192">
    <cfRule type="cellIs" dxfId="485" priority="658" operator="equal">
      <formula>"VIEWCL II"</formula>
    </cfRule>
    <cfRule type="cellIs" dxfId="484" priority="659" operator="equal">
      <formula>"SIGMA"</formula>
    </cfRule>
    <cfRule type="cellIs" dxfId="483" priority="660" operator="equal">
      <formula>"BIOCLEAN"</formula>
    </cfRule>
    <cfRule type="cellIs" dxfId="482" priority="661" operator="equal">
      <formula>"TIMELESS"</formula>
    </cfRule>
    <cfRule type="cellIs" dxfId="481" priority="662" operator="equal">
      <formula>"PLT ONE"</formula>
    </cfRule>
    <cfRule type="cellIs" dxfId="480" priority="663" operator="equal">
      <formula>"ECLAZ ONE"</formula>
    </cfRule>
    <cfRule type="cellIs" dxfId="479" priority="664" operator="equal">
      <formula>"ECLAZ"</formula>
    </cfRule>
    <cfRule type="cellIs" dxfId="478" priority="665" operator="equal">
      <formula>"PLT XNII"</formula>
    </cfRule>
    <cfRule type="cellIs" dxfId="477" priority="666" operator="equal">
      <formula>"PLT XN"</formula>
    </cfRule>
  </conditionalFormatting>
  <conditionalFormatting sqref="D736">
    <cfRule type="cellIs" dxfId="476" priority="640" operator="equal">
      <formula>"VIEWCL II"</formula>
    </cfRule>
    <cfRule type="cellIs" dxfId="475" priority="641" operator="equal">
      <formula>"SIGMA"</formula>
    </cfRule>
    <cfRule type="cellIs" dxfId="474" priority="642" operator="equal">
      <formula>"BIOCLEAN"</formula>
    </cfRule>
    <cfRule type="cellIs" dxfId="473" priority="643" operator="equal">
      <formula>"TIMELESS"</formula>
    </cfRule>
    <cfRule type="cellIs" dxfId="472" priority="644" operator="equal">
      <formula>"PLT ONE"</formula>
    </cfRule>
    <cfRule type="cellIs" dxfId="471" priority="645" operator="equal">
      <formula>"ECLAZ ONE"</formula>
    </cfRule>
    <cfRule type="cellIs" dxfId="470" priority="646" operator="equal">
      <formula>"ECLAZ"</formula>
    </cfRule>
    <cfRule type="cellIs" dxfId="469" priority="647" operator="equal">
      <formula>"PLT XNII"</formula>
    </cfRule>
    <cfRule type="cellIs" dxfId="468" priority="648" operator="equal">
      <formula>"PLT XN"</formula>
    </cfRule>
  </conditionalFormatting>
  <conditionalFormatting sqref="D1108:D1113 D1115:D1120 D1122:D1127 D1129:D1134 D1136:D1141 D1143:D1148 D1150:D1155 D1157:D1162 D1164:D1169 D1171:D1176 D1178:D1183 D1185:D1190">
    <cfRule type="cellIs" dxfId="467" priority="577" operator="equal">
      <formula>"VIEWCL II"</formula>
    </cfRule>
    <cfRule type="cellIs" dxfId="466" priority="578" operator="equal">
      <formula>"SIGMA"</formula>
    </cfRule>
    <cfRule type="cellIs" dxfId="465" priority="579" operator="equal">
      <formula>"BIOCLEAN"</formula>
    </cfRule>
    <cfRule type="cellIs" dxfId="464" priority="580" operator="equal">
      <formula>"TIMELESS"</formula>
    </cfRule>
    <cfRule type="cellIs" dxfId="463" priority="581" operator="equal">
      <formula>"PLT ONE"</formula>
    </cfRule>
    <cfRule type="cellIs" dxfId="462" priority="582" operator="equal">
      <formula>"ECLAZ ONE"</formula>
    </cfRule>
    <cfRule type="cellIs" dxfId="461" priority="583" operator="equal">
      <formula>"ECLAZ"</formula>
    </cfRule>
    <cfRule type="cellIs" dxfId="460" priority="584" operator="equal">
      <formula>"PLT XNII"</formula>
    </cfRule>
    <cfRule type="cellIs" dxfId="459" priority="585" operator="equal">
      <formula>"PLT XN"</formula>
    </cfRule>
  </conditionalFormatting>
  <conditionalFormatting sqref="D1114 D1121 D1128 D1135 D1142 D1149 D1156 D1163 D1170 D1177 D1184 D1191">
    <cfRule type="cellIs" dxfId="458" priority="568" operator="equal">
      <formula>"VIEWCL II"</formula>
    </cfRule>
    <cfRule type="cellIs" dxfId="457" priority="569" operator="equal">
      <formula>"SIGMA"</formula>
    </cfRule>
    <cfRule type="cellIs" dxfId="456" priority="570" operator="equal">
      <formula>"BIOCLEAN"</formula>
    </cfRule>
    <cfRule type="cellIs" dxfId="455" priority="571" operator="equal">
      <formula>"TIMELESS"</formula>
    </cfRule>
    <cfRule type="cellIs" dxfId="454" priority="572" operator="equal">
      <formula>"PLT ONE"</formula>
    </cfRule>
    <cfRule type="cellIs" dxfId="453" priority="573" operator="equal">
      <formula>"ECLAZ ONE"</formula>
    </cfRule>
    <cfRule type="cellIs" dxfId="452" priority="574" operator="equal">
      <formula>"ECLAZ"</formula>
    </cfRule>
    <cfRule type="cellIs" dxfId="451" priority="575" operator="equal">
      <formula>"PLT XNII"</formula>
    </cfRule>
    <cfRule type="cellIs" dxfId="450" priority="576" operator="equal">
      <formula>"PLT XN"</formula>
    </cfRule>
  </conditionalFormatting>
  <conditionalFormatting sqref="D727">
    <cfRule type="cellIs" dxfId="449" priority="559" operator="equal">
      <formula>"VIEWCL II"</formula>
    </cfRule>
    <cfRule type="cellIs" dxfId="448" priority="560" operator="equal">
      <formula>"SIGMA"</formula>
    </cfRule>
    <cfRule type="cellIs" dxfId="447" priority="561" operator="equal">
      <formula>"BIOCLEAN"</formula>
    </cfRule>
    <cfRule type="cellIs" dxfId="446" priority="562" operator="equal">
      <formula>"TIMELESS"</formula>
    </cfRule>
    <cfRule type="cellIs" dxfId="445" priority="563" operator="equal">
      <formula>"PLT ONE"</formula>
    </cfRule>
    <cfRule type="cellIs" dxfId="444" priority="564" operator="equal">
      <formula>"ECLAZ ONE"</formula>
    </cfRule>
    <cfRule type="cellIs" dxfId="443" priority="565" operator="equal">
      <formula>"ECLAZ"</formula>
    </cfRule>
    <cfRule type="cellIs" dxfId="442" priority="566" operator="equal">
      <formula>"PLT XNII"</formula>
    </cfRule>
    <cfRule type="cellIs" dxfId="441" priority="567" operator="equal">
      <formula>"PLT XN"</formula>
    </cfRule>
  </conditionalFormatting>
  <conditionalFormatting sqref="D744:D749 D751 D758:D762 D765:D770 D816:D819 D828:D833 D835:D840 D842 D849:D851 D856:D861 D863:D868 D870:D872 D877:D882 D898:D903 D905:D910 D926 D933:D938 D955:D959 D961:D964 D1003:D1006 D1038:D1039 D1052:D1057 D1094:D1095 D1101:D1106 D884:D887 D947:D949 D975:D976 D996:D997 D1024:D1025 D875 D1059:D1064 D891:D892 D1045:D1050 D1080:D1081 D753:D755 D844:D847 D928:D931 D737:D742 D772:D777 D779:D784 D821:D826">
    <cfRule type="cellIs" dxfId="440" priority="532" operator="equal">
      <formula>"VIEWCL II"</formula>
    </cfRule>
    <cfRule type="cellIs" dxfId="439" priority="533" operator="equal">
      <formula>"SIGMA"</formula>
    </cfRule>
    <cfRule type="cellIs" dxfId="438" priority="534" operator="equal">
      <formula>"BIOCLEAN"</formula>
    </cfRule>
    <cfRule type="cellIs" dxfId="437" priority="535" operator="equal">
      <formula>"TIMELESS"</formula>
    </cfRule>
    <cfRule type="cellIs" dxfId="436" priority="536" operator="equal">
      <formula>"PLT ONE"</formula>
    </cfRule>
    <cfRule type="cellIs" dxfId="435" priority="537" operator="equal">
      <formula>"ECLAZ ONE"</formula>
    </cfRule>
    <cfRule type="cellIs" dxfId="434" priority="538" operator="equal">
      <formula>"ECLAZ"</formula>
    </cfRule>
    <cfRule type="cellIs" dxfId="433" priority="539" operator="equal">
      <formula>"PLT XNII"</formula>
    </cfRule>
    <cfRule type="cellIs" dxfId="432" priority="540" operator="equal">
      <formula>"PLT XN"</formula>
    </cfRule>
  </conditionalFormatting>
  <conditionalFormatting sqref="D743 D750 D771 D778 D785 D820 D827 D834 D841 D848 D862 D869 D876 D883 D904 D932 D939 D960 D1051 D1058 D1065 D1107">
    <cfRule type="cellIs" dxfId="431" priority="523" operator="equal">
      <formula>"VIEWCL II"</formula>
    </cfRule>
    <cfRule type="cellIs" dxfId="430" priority="524" operator="equal">
      <formula>"SIGMA"</formula>
    </cfRule>
    <cfRule type="cellIs" dxfId="429" priority="525" operator="equal">
      <formula>"BIOCLEAN"</formula>
    </cfRule>
    <cfRule type="cellIs" dxfId="428" priority="526" operator="equal">
      <formula>"TIMELESS"</formula>
    </cfRule>
    <cfRule type="cellIs" dxfId="427" priority="527" operator="equal">
      <formula>"PLT ONE"</formula>
    </cfRule>
    <cfRule type="cellIs" dxfId="426" priority="528" operator="equal">
      <formula>"ECLAZ ONE"</formula>
    </cfRule>
    <cfRule type="cellIs" dxfId="425" priority="529" operator="equal">
      <formula>"ECLAZ"</formula>
    </cfRule>
    <cfRule type="cellIs" dxfId="424" priority="530" operator="equal">
      <formula>"PLT XNII"</formula>
    </cfRule>
    <cfRule type="cellIs" dxfId="423" priority="531" operator="equal">
      <formula>"PLT XN"</formula>
    </cfRule>
  </conditionalFormatting>
  <conditionalFormatting sqref="D916:D918">
    <cfRule type="cellIs" dxfId="422" priority="298" operator="equal">
      <formula>"VIEWCL II"</formula>
    </cfRule>
    <cfRule type="cellIs" dxfId="421" priority="299" operator="equal">
      <formula>"SIGMA"</formula>
    </cfRule>
    <cfRule type="cellIs" dxfId="420" priority="300" operator="equal">
      <formula>"BIOCLEAN"</formula>
    </cfRule>
    <cfRule type="cellIs" dxfId="419" priority="301" operator="equal">
      <formula>"TIMELESS"</formula>
    </cfRule>
    <cfRule type="cellIs" dxfId="418" priority="302" operator="equal">
      <formula>"PLT ONE"</formula>
    </cfRule>
    <cfRule type="cellIs" dxfId="417" priority="303" operator="equal">
      <formula>"ECLAZ ONE"</formula>
    </cfRule>
    <cfRule type="cellIs" dxfId="416" priority="304" operator="equal">
      <formula>"ECLAZ"</formula>
    </cfRule>
    <cfRule type="cellIs" dxfId="415" priority="305" operator="equal">
      <formula>"PLT XNII"</formula>
    </cfRule>
    <cfRule type="cellIs" dxfId="414" priority="306" operator="equal">
      <formula>"PLT XN"</formula>
    </cfRule>
  </conditionalFormatting>
  <conditionalFormatting sqref="D919:D924">
    <cfRule type="cellIs" dxfId="413" priority="451" operator="equal">
      <formula>"VIEWCL II"</formula>
    </cfRule>
    <cfRule type="cellIs" dxfId="412" priority="452" operator="equal">
      <formula>"SIGMA"</formula>
    </cfRule>
    <cfRule type="cellIs" dxfId="411" priority="453" operator="equal">
      <formula>"BIOCLEAN"</formula>
    </cfRule>
    <cfRule type="cellIs" dxfId="410" priority="454" operator="equal">
      <formula>"TIMELESS"</formula>
    </cfRule>
    <cfRule type="cellIs" dxfId="409" priority="455" operator="equal">
      <formula>"PLT ONE"</formula>
    </cfRule>
    <cfRule type="cellIs" dxfId="408" priority="456" operator="equal">
      <formula>"ECLAZ ONE"</formula>
    </cfRule>
    <cfRule type="cellIs" dxfId="407" priority="457" operator="equal">
      <formula>"ECLAZ"</formula>
    </cfRule>
    <cfRule type="cellIs" dxfId="406" priority="458" operator="equal">
      <formula>"PLT XNII"</formula>
    </cfRule>
    <cfRule type="cellIs" dxfId="405" priority="459" operator="equal">
      <formula>"PLT XN"</formula>
    </cfRule>
  </conditionalFormatting>
  <conditionalFormatting sqref="D925">
    <cfRule type="cellIs" dxfId="404" priority="442" operator="equal">
      <formula>"VIEWCL II"</formula>
    </cfRule>
    <cfRule type="cellIs" dxfId="403" priority="443" operator="equal">
      <formula>"SIGMA"</formula>
    </cfRule>
    <cfRule type="cellIs" dxfId="402" priority="444" operator="equal">
      <formula>"BIOCLEAN"</formula>
    </cfRule>
    <cfRule type="cellIs" dxfId="401" priority="445" operator="equal">
      <formula>"TIMELESS"</formula>
    </cfRule>
    <cfRule type="cellIs" dxfId="400" priority="446" operator="equal">
      <formula>"PLT ONE"</formula>
    </cfRule>
    <cfRule type="cellIs" dxfId="399" priority="447" operator="equal">
      <formula>"ECLAZ ONE"</formula>
    </cfRule>
    <cfRule type="cellIs" dxfId="398" priority="448" operator="equal">
      <formula>"ECLAZ"</formula>
    </cfRule>
    <cfRule type="cellIs" dxfId="397" priority="449" operator="equal">
      <formula>"PLT XNII"</formula>
    </cfRule>
    <cfRule type="cellIs" dxfId="396" priority="450" operator="equal">
      <formula>"PLT XN"</formula>
    </cfRule>
  </conditionalFormatting>
  <conditionalFormatting sqref="D940:D945">
    <cfRule type="cellIs" dxfId="395" priority="433" operator="equal">
      <formula>"VIEWCL II"</formula>
    </cfRule>
    <cfRule type="cellIs" dxfId="394" priority="434" operator="equal">
      <formula>"SIGMA"</formula>
    </cfRule>
    <cfRule type="cellIs" dxfId="393" priority="435" operator="equal">
      <formula>"BIOCLEAN"</formula>
    </cfRule>
    <cfRule type="cellIs" dxfId="392" priority="436" operator="equal">
      <formula>"TIMELESS"</formula>
    </cfRule>
    <cfRule type="cellIs" dxfId="391" priority="437" operator="equal">
      <formula>"PLT ONE"</formula>
    </cfRule>
    <cfRule type="cellIs" dxfId="390" priority="438" operator="equal">
      <formula>"ECLAZ ONE"</formula>
    </cfRule>
    <cfRule type="cellIs" dxfId="389" priority="439" operator="equal">
      <formula>"ECLAZ"</formula>
    </cfRule>
    <cfRule type="cellIs" dxfId="388" priority="440" operator="equal">
      <formula>"PLT XNII"</formula>
    </cfRule>
    <cfRule type="cellIs" dxfId="387" priority="441" operator="equal">
      <formula>"PLT XN"</formula>
    </cfRule>
  </conditionalFormatting>
  <conditionalFormatting sqref="D946">
    <cfRule type="cellIs" dxfId="386" priority="424" operator="equal">
      <formula>"VIEWCL II"</formula>
    </cfRule>
    <cfRule type="cellIs" dxfId="385" priority="425" operator="equal">
      <formula>"SIGMA"</formula>
    </cfRule>
    <cfRule type="cellIs" dxfId="384" priority="426" operator="equal">
      <formula>"BIOCLEAN"</formula>
    </cfRule>
    <cfRule type="cellIs" dxfId="383" priority="427" operator="equal">
      <formula>"TIMELESS"</formula>
    </cfRule>
    <cfRule type="cellIs" dxfId="382" priority="428" operator="equal">
      <formula>"PLT ONE"</formula>
    </cfRule>
    <cfRule type="cellIs" dxfId="381" priority="429" operator="equal">
      <formula>"ECLAZ ONE"</formula>
    </cfRule>
    <cfRule type="cellIs" dxfId="380" priority="430" operator="equal">
      <formula>"ECLAZ"</formula>
    </cfRule>
    <cfRule type="cellIs" dxfId="379" priority="431" operator="equal">
      <formula>"PLT XNII"</formula>
    </cfRule>
    <cfRule type="cellIs" dxfId="378" priority="432" operator="equal">
      <formula>"PLT XN"</formula>
    </cfRule>
  </conditionalFormatting>
  <conditionalFormatting sqref="D968:D973">
    <cfRule type="cellIs" dxfId="377" priority="415" operator="equal">
      <formula>"VIEWCL II"</formula>
    </cfRule>
    <cfRule type="cellIs" dxfId="376" priority="416" operator="equal">
      <formula>"SIGMA"</formula>
    </cfRule>
    <cfRule type="cellIs" dxfId="375" priority="417" operator="equal">
      <formula>"BIOCLEAN"</formula>
    </cfRule>
    <cfRule type="cellIs" dxfId="374" priority="418" operator="equal">
      <formula>"TIMELESS"</formula>
    </cfRule>
    <cfRule type="cellIs" dxfId="373" priority="419" operator="equal">
      <formula>"PLT ONE"</formula>
    </cfRule>
    <cfRule type="cellIs" dxfId="372" priority="420" operator="equal">
      <formula>"ECLAZ ONE"</formula>
    </cfRule>
    <cfRule type="cellIs" dxfId="371" priority="421" operator="equal">
      <formula>"ECLAZ"</formula>
    </cfRule>
    <cfRule type="cellIs" dxfId="370" priority="422" operator="equal">
      <formula>"PLT XNII"</formula>
    </cfRule>
    <cfRule type="cellIs" dxfId="369" priority="423" operator="equal">
      <formula>"PLT XN"</formula>
    </cfRule>
  </conditionalFormatting>
  <conditionalFormatting sqref="D974">
    <cfRule type="cellIs" dxfId="368" priority="406" operator="equal">
      <formula>"VIEWCL II"</formula>
    </cfRule>
    <cfRule type="cellIs" dxfId="367" priority="407" operator="equal">
      <formula>"SIGMA"</formula>
    </cfRule>
    <cfRule type="cellIs" dxfId="366" priority="408" operator="equal">
      <formula>"BIOCLEAN"</formula>
    </cfRule>
    <cfRule type="cellIs" dxfId="365" priority="409" operator="equal">
      <formula>"TIMELESS"</formula>
    </cfRule>
    <cfRule type="cellIs" dxfId="364" priority="410" operator="equal">
      <formula>"PLT ONE"</formula>
    </cfRule>
    <cfRule type="cellIs" dxfId="363" priority="411" operator="equal">
      <formula>"ECLAZ ONE"</formula>
    </cfRule>
    <cfRule type="cellIs" dxfId="362" priority="412" operator="equal">
      <formula>"ECLAZ"</formula>
    </cfRule>
    <cfRule type="cellIs" dxfId="361" priority="413" operator="equal">
      <formula>"PLT XNII"</formula>
    </cfRule>
    <cfRule type="cellIs" dxfId="360" priority="414" operator="equal">
      <formula>"PLT XN"</formula>
    </cfRule>
  </conditionalFormatting>
  <conditionalFormatting sqref="D989:D994">
    <cfRule type="cellIs" dxfId="359" priority="397" operator="equal">
      <formula>"VIEWCL II"</formula>
    </cfRule>
    <cfRule type="cellIs" dxfId="358" priority="398" operator="equal">
      <formula>"SIGMA"</formula>
    </cfRule>
    <cfRule type="cellIs" dxfId="357" priority="399" operator="equal">
      <formula>"BIOCLEAN"</formula>
    </cfRule>
    <cfRule type="cellIs" dxfId="356" priority="400" operator="equal">
      <formula>"TIMELESS"</formula>
    </cfRule>
    <cfRule type="cellIs" dxfId="355" priority="401" operator="equal">
      <formula>"PLT ONE"</formula>
    </cfRule>
    <cfRule type="cellIs" dxfId="354" priority="402" operator="equal">
      <formula>"ECLAZ ONE"</formula>
    </cfRule>
    <cfRule type="cellIs" dxfId="353" priority="403" operator="equal">
      <formula>"ECLAZ"</formula>
    </cfRule>
    <cfRule type="cellIs" dxfId="352" priority="404" operator="equal">
      <formula>"PLT XNII"</formula>
    </cfRule>
    <cfRule type="cellIs" dxfId="351" priority="405" operator="equal">
      <formula>"PLT XN"</formula>
    </cfRule>
  </conditionalFormatting>
  <conditionalFormatting sqref="D995">
    <cfRule type="cellIs" dxfId="350" priority="388" operator="equal">
      <formula>"VIEWCL II"</formula>
    </cfRule>
    <cfRule type="cellIs" dxfId="349" priority="389" operator="equal">
      <formula>"SIGMA"</formula>
    </cfRule>
    <cfRule type="cellIs" dxfId="348" priority="390" operator="equal">
      <formula>"BIOCLEAN"</formula>
    </cfRule>
    <cfRule type="cellIs" dxfId="347" priority="391" operator="equal">
      <formula>"TIMELESS"</formula>
    </cfRule>
    <cfRule type="cellIs" dxfId="346" priority="392" operator="equal">
      <formula>"PLT ONE"</formula>
    </cfRule>
    <cfRule type="cellIs" dxfId="345" priority="393" operator="equal">
      <formula>"ECLAZ ONE"</formula>
    </cfRule>
    <cfRule type="cellIs" dxfId="344" priority="394" operator="equal">
      <formula>"ECLAZ"</formula>
    </cfRule>
    <cfRule type="cellIs" dxfId="343" priority="395" operator="equal">
      <formula>"PLT XNII"</formula>
    </cfRule>
    <cfRule type="cellIs" dxfId="342" priority="396" operator="equal">
      <formula>"PLT XN"</formula>
    </cfRule>
  </conditionalFormatting>
  <conditionalFormatting sqref="D1010:D1015">
    <cfRule type="cellIs" dxfId="341" priority="379" operator="equal">
      <formula>"VIEWCL II"</formula>
    </cfRule>
    <cfRule type="cellIs" dxfId="340" priority="380" operator="equal">
      <formula>"SIGMA"</formula>
    </cfRule>
    <cfRule type="cellIs" dxfId="339" priority="381" operator="equal">
      <formula>"BIOCLEAN"</formula>
    </cfRule>
    <cfRule type="cellIs" dxfId="338" priority="382" operator="equal">
      <formula>"TIMELESS"</formula>
    </cfRule>
    <cfRule type="cellIs" dxfId="337" priority="383" operator="equal">
      <formula>"PLT ONE"</formula>
    </cfRule>
    <cfRule type="cellIs" dxfId="336" priority="384" operator="equal">
      <formula>"ECLAZ ONE"</formula>
    </cfRule>
    <cfRule type="cellIs" dxfId="335" priority="385" operator="equal">
      <formula>"ECLAZ"</formula>
    </cfRule>
    <cfRule type="cellIs" dxfId="334" priority="386" operator="equal">
      <formula>"PLT XNII"</formula>
    </cfRule>
    <cfRule type="cellIs" dxfId="333" priority="387" operator="equal">
      <formula>"PLT XN"</formula>
    </cfRule>
  </conditionalFormatting>
  <conditionalFormatting sqref="D1016">
    <cfRule type="cellIs" dxfId="332" priority="370" operator="equal">
      <formula>"VIEWCL II"</formula>
    </cfRule>
    <cfRule type="cellIs" dxfId="331" priority="371" operator="equal">
      <formula>"SIGMA"</formula>
    </cfRule>
    <cfRule type="cellIs" dxfId="330" priority="372" operator="equal">
      <formula>"BIOCLEAN"</formula>
    </cfRule>
    <cfRule type="cellIs" dxfId="329" priority="373" operator="equal">
      <formula>"TIMELESS"</formula>
    </cfRule>
    <cfRule type="cellIs" dxfId="328" priority="374" operator="equal">
      <formula>"PLT ONE"</formula>
    </cfRule>
    <cfRule type="cellIs" dxfId="327" priority="375" operator="equal">
      <formula>"ECLAZ ONE"</formula>
    </cfRule>
    <cfRule type="cellIs" dxfId="326" priority="376" operator="equal">
      <formula>"ECLAZ"</formula>
    </cfRule>
    <cfRule type="cellIs" dxfId="325" priority="377" operator="equal">
      <formula>"PLT XNII"</formula>
    </cfRule>
    <cfRule type="cellIs" dxfId="324" priority="378" operator="equal">
      <formula>"PLT XN"</formula>
    </cfRule>
  </conditionalFormatting>
  <conditionalFormatting sqref="D1031:D1036">
    <cfRule type="cellIs" dxfId="323" priority="361" operator="equal">
      <formula>"VIEWCL II"</formula>
    </cfRule>
    <cfRule type="cellIs" dxfId="322" priority="362" operator="equal">
      <formula>"SIGMA"</formula>
    </cfRule>
    <cfRule type="cellIs" dxfId="321" priority="363" operator="equal">
      <formula>"BIOCLEAN"</formula>
    </cfRule>
    <cfRule type="cellIs" dxfId="320" priority="364" operator="equal">
      <formula>"TIMELESS"</formula>
    </cfRule>
    <cfRule type="cellIs" dxfId="319" priority="365" operator="equal">
      <formula>"PLT ONE"</formula>
    </cfRule>
    <cfRule type="cellIs" dxfId="318" priority="366" operator="equal">
      <formula>"ECLAZ ONE"</formula>
    </cfRule>
    <cfRule type="cellIs" dxfId="317" priority="367" operator="equal">
      <formula>"ECLAZ"</formula>
    </cfRule>
    <cfRule type="cellIs" dxfId="316" priority="368" operator="equal">
      <formula>"PLT XNII"</formula>
    </cfRule>
    <cfRule type="cellIs" dxfId="315" priority="369" operator="equal">
      <formula>"PLT XN"</formula>
    </cfRule>
  </conditionalFormatting>
  <conditionalFormatting sqref="D1037">
    <cfRule type="cellIs" dxfId="314" priority="352" operator="equal">
      <formula>"VIEWCL II"</formula>
    </cfRule>
    <cfRule type="cellIs" dxfId="313" priority="353" operator="equal">
      <formula>"SIGMA"</formula>
    </cfRule>
    <cfRule type="cellIs" dxfId="312" priority="354" operator="equal">
      <formula>"BIOCLEAN"</formula>
    </cfRule>
    <cfRule type="cellIs" dxfId="311" priority="355" operator="equal">
      <formula>"TIMELESS"</formula>
    </cfRule>
    <cfRule type="cellIs" dxfId="310" priority="356" operator="equal">
      <formula>"PLT ONE"</formula>
    </cfRule>
    <cfRule type="cellIs" dxfId="309" priority="357" operator="equal">
      <formula>"ECLAZ ONE"</formula>
    </cfRule>
    <cfRule type="cellIs" dxfId="308" priority="358" operator="equal">
      <formula>"ECLAZ"</formula>
    </cfRule>
    <cfRule type="cellIs" dxfId="307" priority="359" operator="equal">
      <formula>"PLT XNII"</formula>
    </cfRule>
    <cfRule type="cellIs" dxfId="306" priority="360" operator="equal">
      <formula>"PLT XN"</formula>
    </cfRule>
  </conditionalFormatting>
  <conditionalFormatting sqref="D1066:D1071">
    <cfRule type="cellIs" dxfId="305" priority="343" operator="equal">
      <formula>"VIEWCL II"</formula>
    </cfRule>
    <cfRule type="cellIs" dxfId="304" priority="344" operator="equal">
      <formula>"SIGMA"</formula>
    </cfRule>
    <cfRule type="cellIs" dxfId="303" priority="345" operator="equal">
      <formula>"BIOCLEAN"</formula>
    </cfRule>
    <cfRule type="cellIs" dxfId="302" priority="346" operator="equal">
      <formula>"TIMELESS"</formula>
    </cfRule>
    <cfRule type="cellIs" dxfId="301" priority="347" operator="equal">
      <formula>"PLT ONE"</formula>
    </cfRule>
    <cfRule type="cellIs" dxfId="300" priority="348" operator="equal">
      <formula>"ECLAZ ONE"</formula>
    </cfRule>
    <cfRule type="cellIs" dxfId="299" priority="349" operator="equal">
      <formula>"ECLAZ"</formula>
    </cfRule>
    <cfRule type="cellIs" dxfId="298" priority="350" operator="equal">
      <formula>"PLT XNII"</formula>
    </cfRule>
    <cfRule type="cellIs" dxfId="297" priority="351" operator="equal">
      <formula>"PLT XN"</formula>
    </cfRule>
  </conditionalFormatting>
  <conditionalFormatting sqref="D1072">
    <cfRule type="cellIs" dxfId="296" priority="334" operator="equal">
      <formula>"VIEWCL II"</formula>
    </cfRule>
    <cfRule type="cellIs" dxfId="295" priority="335" operator="equal">
      <formula>"SIGMA"</formula>
    </cfRule>
    <cfRule type="cellIs" dxfId="294" priority="336" operator="equal">
      <formula>"BIOCLEAN"</formula>
    </cfRule>
    <cfRule type="cellIs" dxfId="293" priority="337" operator="equal">
      <formula>"TIMELESS"</formula>
    </cfRule>
    <cfRule type="cellIs" dxfId="292" priority="338" operator="equal">
      <formula>"PLT ONE"</formula>
    </cfRule>
    <cfRule type="cellIs" dxfId="291" priority="339" operator="equal">
      <formula>"ECLAZ ONE"</formula>
    </cfRule>
    <cfRule type="cellIs" dxfId="290" priority="340" operator="equal">
      <formula>"ECLAZ"</formula>
    </cfRule>
    <cfRule type="cellIs" dxfId="289" priority="341" operator="equal">
      <formula>"PLT XNII"</formula>
    </cfRule>
    <cfRule type="cellIs" dxfId="288" priority="342" operator="equal">
      <formula>"PLT XN"</formula>
    </cfRule>
  </conditionalFormatting>
  <conditionalFormatting sqref="D1087:D1092">
    <cfRule type="cellIs" dxfId="287" priority="325" operator="equal">
      <formula>"VIEWCL II"</formula>
    </cfRule>
    <cfRule type="cellIs" dxfId="286" priority="326" operator="equal">
      <formula>"SIGMA"</formula>
    </cfRule>
    <cfRule type="cellIs" dxfId="285" priority="327" operator="equal">
      <formula>"BIOCLEAN"</formula>
    </cfRule>
    <cfRule type="cellIs" dxfId="284" priority="328" operator="equal">
      <formula>"TIMELESS"</formula>
    </cfRule>
    <cfRule type="cellIs" dxfId="283" priority="329" operator="equal">
      <formula>"PLT ONE"</formula>
    </cfRule>
    <cfRule type="cellIs" dxfId="282" priority="330" operator="equal">
      <formula>"ECLAZ ONE"</formula>
    </cfRule>
    <cfRule type="cellIs" dxfId="281" priority="331" operator="equal">
      <formula>"ECLAZ"</formula>
    </cfRule>
    <cfRule type="cellIs" dxfId="280" priority="332" operator="equal">
      <formula>"PLT XNII"</formula>
    </cfRule>
    <cfRule type="cellIs" dxfId="279" priority="333" operator="equal">
      <formula>"PLT XN"</formula>
    </cfRule>
  </conditionalFormatting>
  <conditionalFormatting sqref="D1093">
    <cfRule type="cellIs" dxfId="278" priority="316" operator="equal">
      <formula>"VIEWCL II"</formula>
    </cfRule>
    <cfRule type="cellIs" dxfId="277" priority="317" operator="equal">
      <formula>"SIGMA"</formula>
    </cfRule>
    <cfRule type="cellIs" dxfId="276" priority="318" operator="equal">
      <formula>"BIOCLEAN"</formula>
    </cfRule>
    <cfRule type="cellIs" dxfId="275" priority="319" operator="equal">
      <formula>"TIMELESS"</formula>
    </cfRule>
    <cfRule type="cellIs" dxfId="274" priority="320" operator="equal">
      <formula>"PLT ONE"</formula>
    </cfRule>
    <cfRule type="cellIs" dxfId="273" priority="321" operator="equal">
      <formula>"ECLAZ ONE"</formula>
    </cfRule>
    <cfRule type="cellIs" dxfId="272" priority="322" operator="equal">
      <formula>"ECLAZ"</formula>
    </cfRule>
    <cfRule type="cellIs" dxfId="271" priority="323" operator="equal">
      <formula>"PLT XNII"</formula>
    </cfRule>
    <cfRule type="cellIs" dxfId="270" priority="324" operator="equal">
      <formula>"PLT XN"</formula>
    </cfRule>
  </conditionalFormatting>
  <conditionalFormatting sqref="D852:D855">
    <cfRule type="cellIs" dxfId="269" priority="307" operator="equal">
      <formula>"VIEWCL II"</formula>
    </cfRule>
    <cfRule type="cellIs" dxfId="268" priority="308" operator="equal">
      <formula>"SIGMA"</formula>
    </cfRule>
    <cfRule type="cellIs" dxfId="267" priority="309" operator="equal">
      <formula>"BIOCLEAN"</formula>
    </cfRule>
    <cfRule type="cellIs" dxfId="266" priority="310" operator="equal">
      <formula>"TIMELESS"</formula>
    </cfRule>
    <cfRule type="cellIs" dxfId="265" priority="311" operator="equal">
      <formula>"PLT ONE"</formula>
    </cfRule>
    <cfRule type="cellIs" dxfId="264" priority="312" operator="equal">
      <formula>"ECLAZ ONE"</formula>
    </cfRule>
    <cfRule type="cellIs" dxfId="263" priority="313" operator="equal">
      <formula>"ECLAZ"</formula>
    </cfRule>
    <cfRule type="cellIs" dxfId="262" priority="314" operator="equal">
      <formula>"PLT XNII"</formula>
    </cfRule>
    <cfRule type="cellIs" dxfId="261" priority="315" operator="equal">
      <formula>"PLT XN"</formula>
    </cfRule>
  </conditionalFormatting>
  <conditionalFormatting sqref="D814:D815">
    <cfRule type="cellIs" dxfId="260" priority="289" operator="equal">
      <formula>"VIEWCL II"</formula>
    </cfRule>
    <cfRule type="cellIs" dxfId="259" priority="290" operator="equal">
      <formula>"SIGMA"</formula>
    </cfRule>
    <cfRule type="cellIs" dxfId="258" priority="291" operator="equal">
      <formula>"BIOCLEAN"</formula>
    </cfRule>
    <cfRule type="cellIs" dxfId="257" priority="292" operator="equal">
      <formula>"TIMELESS"</formula>
    </cfRule>
    <cfRule type="cellIs" dxfId="256" priority="293" operator="equal">
      <formula>"PLT ONE"</formula>
    </cfRule>
    <cfRule type="cellIs" dxfId="255" priority="294" operator="equal">
      <formula>"ECLAZ ONE"</formula>
    </cfRule>
    <cfRule type="cellIs" dxfId="254" priority="295" operator="equal">
      <formula>"ECLAZ"</formula>
    </cfRule>
    <cfRule type="cellIs" dxfId="253" priority="296" operator="equal">
      <formula>"PLT XNII"</formula>
    </cfRule>
    <cfRule type="cellIs" dxfId="252" priority="297" operator="equal">
      <formula>"PLT XN"</formula>
    </cfRule>
  </conditionalFormatting>
  <conditionalFormatting sqref="D756">
    <cfRule type="cellIs" dxfId="251" priority="280" operator="equal">
      <formula>"VIEWCL II"</formula>
    </cfRule>
    <cfRule type="cellIs" dxfId="250" priority="281" operator="equal">
      <formula>"SIGMA"</formula>
    </cfRule>
    <cfRule type="cellIs" dxfId="249" priority="282" operator="equal">
      <formula>"BIOCLEAN"</formula>
    </cfRule>
    <cfRule type="cellIs" dxfId="248" priority="283" operator="equal">
      <formula>"TIMELESS"</formula>
    </cfRule>
    <cfRule type="cellIs" dxfId="247" priority="284" operator="equal">
      <formula>"PLT ONE"</formula>
    </cfRule>
    <cfRule type="cellIs" dxfId="246" priority="285" operator="equal">
      <formula>"ECLAZ ONE"</formula>
    </cfRule>
    <cfRule type="cellIs" dxfId="245" priority="286" operator="equal">
      <formula>"ECLAZ"</formula>
    </cfRule>
    <cfRule type="cellIs" dxfId="244" priority="287" operator="equal">
      <formula>"PLT XNII"</formula>
    </cfRule>
    <cfRule type="cellIs" dxfId="243" priority="288" operator="equal">
      <formula>"PLT XN"</formula>
    </cfRule>
  </conditionalFormatting>
  <conditionalFormatting sqref="D757">
    <cfRule type="cellIs" dxfId="242" priority="271" operator="equal">
      <formula>"VIEWCL II"</formula>
    </cfRule>
    <cfRule type="cellIs" dxfId="241" priority="272" operator="equal">
      <formula>"SIGMA"</formula>
    </cfRule>
    <cfRule type="cellIs" dxfId="240" priority="273" operator="equal">
      <formula>"BIOCLEAN"</formula>
    </cfRule>
    <cfRule type="cellIs" dxfId="239" priority="274" operator="equal">
      <formula>"TIMELESS"</formula>
    </cfRule>
    <cfRule type="cellIs" dxfId="238" priority="275" operator="equal">
      <formula>"PLT ONE"</formula>
    </cfRule>
    <cfRule type="cellIs" dxfId="237" priority="276" operator="equal">
      <formula>"ECLAZ ONE"</formula>
    </cfRule>
    <cfRule type="cellIs" dxfId="236" priority="277" operator="equal">
      <formula>"ECLAZ"</formula>
    </cfRule>
    <cfRule type="cellIs" dxfId="235" priority="278" operator="equal">
      <formula>"PLT XNII"</formula>
    </cfRule>
    <cfRule type="cellIs" dxfId="234" priority="279" operator="equal">
      <formula>"PLT XN"</formula>
    </cfRule>
  </conditionalFormatting>
  <conditionalFormatting sqref="D873:D874">
    <cfRule type="cellIs" dxfId="233" priority="262" operator="equal">
      <formula>"VIEWCL II"</formula>
    </cfRule>
    <cfRule type="cellIs" dxfId="232" priority="263" operator="equal">
      <formula>"SIGMA"</formula>
    </cfRule>
    <cfRule type="cellIs" dxfId="231" priority="264" operator="equal">
      <formula>"BIOCLEAN"</formula>
    </cfRule>
    <cfRule type="cellIs" dxfId="230" priority="265" operator="equal">
      <formula>"TIMELESS"</formula>
    </cfRule>
    <cfRule type="cellIs" dxfId="229" priority="266" operator="equal">
      <formula>"PLT ONE"</formula>
    </cfRule>
    <cfRule type="cellIs" dxfId="228" priority="267" operator="equal">
      <formula>"ECLAZ ONE"</formula>
    </cfRule>
    <cfRule type="cellIs" dxfId="227" priority="268" operator="equal">
      <formula>"ECLAZ"</formula>
    </cfRule>
    <cfRule type="cellIs" dxfId="226" priority="269" operator="equal">
      <formula>"PLT XNII"</formula>
    </cfRule>
    <cfRule type="cellIs" dxfId="225" priority="270" operator="equal">
      <formula>"PLT XN"</formula>
    </cfRule>
  </conditionalFormatting>
  <conditionalFormatting sqref="D893:D897 D888:D890">
    <cfRule type="cellIs" dxfId="224" priority="253" operator="equal">
      <formula>"VIEWCL II"</formula>
    </cfRule>
    <cfRule type="cellIs" dxfId="223" priority="254" operator="equal">
      <formula>"SIGMA"</formula>
    </cfRule>
    <cfRule type="cellIs" dxfId="222" priority="255" operator="equal">
      <formula>"BIOCLEAN"</formula>
    </cfRule>
    <cfRule type="cellIs" dxfId="221" priority="256" operator="equal">
      <formula>"TIMELESS"</formula>
    </cfRule>
    <cfRule type="cellIs" dxfId="220" priority="257" operator="equal">
      <formula>"PLT ONE"</formula>
    </cfRule>
    <cfRule type="cellIs" dxfId="219" priority="258" operator="equal">
      <formula>"ECLAZ ONE"</formula>
    </cfRule>
    <cfRule type="cellIs" dxfId="218" priority="259" operator="equal">
      <formula>"ECLAZ"</formula>
    </cfRule>
    <cfRule type="cellIs" dxfId="217" priority="260" operator="equal">
      <formula>"PLT XNII"</formula>
    </cfRule>
    <cfRule type="cellIs" dxfId="216" priority="261" operator="equal">
      <formula>"PLT XN"</formula>
    </cfRule>
  </conditionalFormatting>
  <conditionalFormatting sqref="D911:D914">
    <cfRule type="cellIs" dxfId="215" priority="244" operator="equal">
      <formula>"VIEWCL II"</formula>
    </cfRule>
    <cfRule type="cellIs" dxfId="214" priority="245" operator="equal">
      <formula>"SIGMA"</formula>
    </cfRule>
    <cfRule type="cellIs" dxfId="213" priority="246" operator="equal">
      <formula>"BIOCLEAN"</formula>
    </cfRule>
    <cfRule type="cellIs" dxfId="212" priority="247" operator="equal">
      <formula>"TIMELESS"</formula>
    </cfRule>
    <cfRule type="cellIs" dxfId="211" priority="248" operator="equal">
      <formula>"PLT ONE"</formula>
    </cfRule>
    <cfRule type="cellIs" dxfId="210" priority="249" operator="equal">
      <formula>"ECLAZ ONE"</formula>
    </cfRule>
    <cfRule type="cellIs" dxfId="209" priority="250" operator="equal">
      <formula>"ECLAZ"</formula>
    </cfRule>
    <cfRule type="cellIs" dxfId="208" priority="251" operator="equal">
      <formula>"PLT XNII"</formula>
    </cfRule>
    <cfRule type="cellIs" dxfId="207" priority="252" operator="equal">
      <formula>"PLT XN"</formula>
    </cfRule>
  </conditionalFormatting>
  <conditionalFormatting sqref="D950:D954">
    <cfRule type="cellIs" dxfId="206" priority="235" operator="equal">
      <formula>"VIEWCL II"</formula>
    </cfRule>
    <cfRule type="cellIs" dxfId="205" priority="236" operator="equal">
      <formula>"SIGMA"</formula>
    </cfRule>
    <cfRule type="cellIs" dxfId="204" priority="237" operator="equal">
      <formula>"BIOCLEAN"</formula>
    </cfRule>
    <cfRule type="cellIs" dxfId="203" priority="238" operator="equal">
      <formula>"TIMELESS"</formula>
    </cfRule>
    <cfRule type="cellIs" dxfId="202" priority="239" operator="equal">
      <formula>"PLT ONE"</formula>
    </cfRule>
    <cfRule type="cellIs" dxfId="201" priority="240" operator="equal">
      <formula>"ECLAZ ONE"</formula>
    </cfRule>
    <cfRule type="cellIs" dxfId="200" priority="241" operator="equal">
      <formula>"ECLAZ"</formula>
    </cfRule>
    <cfRule type="cellIs" dxfId="199" priority="242" operator="equal">
      <formula>"PLT XNII"</formula>
    </cfRule>
    <cfRule type="cellIs" dxfId="198" priority="243" operator="equal">
      <formula>"PLT XN"</formula>
    </cfRule>
  </conditionalFormatting>
  <conditionalFormatting sqref="D965:D967">
    <cfRule type="cellIs" dxfId="197" priority="226" operator="equal">
      <formula>"VIEWCL II"</formula>
    </cfRule>
    <cfRule type="cellIs" dxfId="196" priority="227" operator="equal">
      <formula>"SIGMA"</formula>
    </cfRule>
    <cfRule type="cellIs" dxfId="195" priority="228" operator="equal">
      <formula>"BIOCLEAN"</formula>
    </cfRule>
    <cfRule type="cellIs" dxfId="194" priority="229" operator="equal">
      <formula>"TIMELESS"</formula>
    </cfRule>
    <cfRule type="cellIs" dxfId="193" priority="230" operator="equal">
      <formula>"PLT ONE"</formula>
    </cfRule>
    <cfRule type="cellIs" dxfId="192" priority="231" operator="equal">
      <formula>"ECLAZ ONE"</formula>
    </cfRule>
    <cfRule type="cellIs" dxfId="191" priority="232" operator="equal">
      <formula>"ECLAZ"</formula>
    </cfRule>
    <cfRule type="cellIs" dxfId="190" priority="233" operator="equal">
      <formula>"PLT XNII"</formula>
    </cfRule>
    <cfRule type="cellIs" dxfId="189" priority="234" operator="equal">
      <formula>"PLT XN"</formula>
    </cfRule>
  </conditionalFormatting>
  <conditionalFormatting sqref="D978:D988">
    <cfRule type="cellIs" dxfId="188" priority="217" operator="equal">
      <formula>"VIEWCL II"</formula>
    </cfRule>
    <cfRule type="cellIs" dxfId="187" priority="218" operator="equal">
      <formula>"SIGMA"</formula>
    </cfRule>
    <cfRule type="cellIs" dxfId="186" priority="219" operator="equal">
      <formula>"BIOCLEAN"</formula>
    </cfRule>
    <cfRule type="cellIs" dxfId="185" priority="220" operator="equal">
      <formula>"TIMELESS"</formula>
    </cfRule>
    <cfRule type="cellIs" dxfId="184" priority="221" operator="equal">
      <formula>"PLT ONE"</formula>
    </cfRule>
    <cfRule type="cellIs" dxfId="183" priority="222" operator="equal">
      <formula>"ECLAZ ONE"</formula>
    </cfRule>
    <cfRule type="cellIs" dxfId="182" priority="223" operator="equal">
      <formula>"ECLAZ"</formula>
    </cfRule>
    <cfRule type="cellIs" dxfId="181" priority="224" operator="equal">
      <formula>"PLT XNII"</formula>
    </cfRule>
    <cfRule type="cellIs" dxfId="180" priority="225" operator="equal">
      <formula>"PLT XN"</formula>
    </cfRule>
  </conditionalFormatting>
  <conditionalFormatting sqref="D1007:D1009 D998:D1002">
    <cfRule type="cellIs" dxfId="179" priority="208" operator="equal">
      <formula>"VIEWCL II"</formula>
    </cfRule>
    <cfRule type="cellIs" dxfId="178" priority="209" operator="equal">
      <formula>"SIGMA"</formula>
    </cfRule>
    <cfRule type="cellIs" dxfId="177" priority="210" operator="equal">
      <formula>"BIOCLEAN"</formula>
    </cfRule>
    <cfRule type="cellIs" dxfId="176" priority="211" operator="equal">
      <formula>"TIMELESS"</formula>
    </cfRule>
    <cfRule type="cellIs" dxfId="175" priority="212" operator="equal">
      <formula>"PLT ONE"</formula>
    </cfRule>
    <cfRule type="cellIs" dxfId="174" priority="213" operator="equal">
      <formula>"ECLAZ ONE"</formula>
    </cfRule>
    <cfRule type="cellIs" dxfId="173" priority="214" operator="equal">
      <formula>"ECLAZ"</formula>
    </cfRule>
    <cfRule type="cellIs" dxfId="172" priority="215" operator="equal">
      <formula>"PLT XNII"</formula>
    </cfRule>
    <cfRule type="cellIs" dxfId="171" priority="216" operator="equal">
      <formula>"PLT XN"</formula>
    </cfRule>
  </conditionalFormatting>
  <conditionalFormatting sqref="D1018:D1023">
    <cfRule type="cellIs" dxfId="170" priority="199" operator="equal">
      <formula>"VIEWCL II"</formula>
    </cfRule>
    <cfRule type="cellIs" dxfId="169" priority="200" operator="equal">
      <formula>"SIGMA"</formula>
    </cfRule>
    <cfRule type="cellIs" dxfId="168" priority="201" operator="equal">
      <formula>"BIOCLEAN"</formula>
    </cfRule>
    <cfRule type="cellIs" dxfId="167" priority="202" operator="equal">
      <formula>"TIMELESS"</formula>
    </cfRule>
    <cfRule type="cellIs" dxfId="166" priority="203" operator="equal">
      <formula>"PLT ONE"</formula>
    </cfRule>
    <cfRule type="cellIs" dxfId="165" priority="204" operator="equal">
      <formula>"ECLAZ ONE"</formula>
    </cfRule>
    <cfRule type="cellIs" dxfId="164" priority="205" operator="equal">
      <formula>"ECLAZ"</formula>
    </cfRule>
    <cfRule type="cellIs" dxfId="163" priority="206" operator="equal">
      <formula>"PLT XNII"</formula>
    </cfRule>
    <cfRule type="cellIs" dxfId="162" priority="207" operator="equal">
      <formula>"PLT XN"</formula>
    </cfRule>
  </conditionalFormatting>
  <conditionalFormatting sqref="D1026:D1030">
    <cfRule type="cellIs" dxfId="161" priority="190" operator="equal">
      <formula>"VIEWCL II"</formula>
    </cfRule>
    <cfRule type="cellIs" dxfId="160" priority="191" operator="equal">
      <formula>"SIGMA"</formula>
    </cfRule>
    <cfRule type="cellIs" dxfId="159" priority="192" operator="equal">
      <formula>"BIOCLEAN"</formula>
    </cfRule>
    <cfRule type="cellIs" dxfId="158" priority="193" operator="equal">
      <formula>"TIMELESS"</formula>
    </cfRule>
    <cfRule type="cellIs" dxfId="157" priority="194" operator="equal">
      <formula>"PLT ONE"</formula>
    </cfRule>
    <cfRule type="cellIs" dxfId="156" priority="195" operator="equal">
      <formula>"ECLAZ ONE"</formula>
    </cfRule>
    <cfRule type="cellIs" dxfId="155" priority="196" operator="equal">
      <formula>"ECLAZ"</formula>
    </cfRule>
    <cfRule type="cellIs" dxfId="154" priority="197" operator="equal">
      <formula>"PLT XNII"</formula>
    </cfRule>
    <cfRule type="cellIs" dxfId="153" priority="198" operator="equal">
      <formula>"PLT XN"</formula>
    </cfRule>
  </conditionalFormatting>
  <conditionalFormatting sqref="D1040:D1044">
    <cfRule type="cellIs" dxfId="152" priority="181" operator="equal">
      <formula>"VIEWCL II"</formula>
    </cfRule>
    <cfRule type="cellIs" dxfId="151" priority="182" operator="equal">
      <formula>"SIGMA"</formula>
    </cfRule>
    <cfRule type="cellIs" dxfId="150" priority="183" operator="equal">
      <formula>"BIOCLEAN"</formula>
    </cfRule>
    <cfRule type="cellIs" dxfId="149" priority="184" operator="equal">
      <formula>"TIMELESS"</formula>
    </cfRule>
    <cfRule type="cellIs" dxfId="148" priority="185" operator="equal">
      <formula>"PLT ONE"</formula>
    </cfRule>
    <cfRule type="cellIs" dxfId="147" priority="186" operator="equal">
      <formula>"ECLAZ ONE"</formula>
    </cfRule>
    <cfRule type="cellIs" dxfId="146" priority="187" operator="equal">
      <formula>"ECLAZ"</formula>
    </cfRule>
    <cfRule type="cellIs" dxfId="145" priority="188" operator="equal">
      <formula>"PLT XNII"</formula>
    </cfRule>
    <cfRule type="cellIs" dxfId="144" priority="189" operator="equal">
      <formula>"PLT XN"</formula>
    </cfRule>
  </conditionalFormatting>
  <conditionalFormatting sqref="D1073:D1079">
    <cfRule type="cellIs" dxfId="143" priority="172" operator="equal">
      <formula>"VIEWCL II"</formula>
    </cfRule>
    <cfRule type="cellIs" dxfId="142" priority="173" operator="equal">
      <formula>"SIGMA"</formula>
    </cfRule>
    <cfRule type="cellIs" dxfId="141" priority="174" operator="equal">
      <formula>"BIOCLEAN"</formula>
    </cfRule>
    <cfRule type="cellIs" dxfId="140" priority="175" operator="equal">
      <formula>"TIMELESS"</formula>
    </cfRule>
    <cfRule type="cellIs" dxfId="139" priority="176" operator="equal">
      <formula>"PLT ONE"</formula>
    </cfRule>
    <cfRule type="cellIs" dxfId="138" priority="177" operator="equal">
      <formula>"ECLAZ ONE"</formula>
    </cfRule>
    <cfRule type="cellIs" dxfId="137" priority="178" operator="equal">
      <formula>"ECLAZ"</formula>
    </cfRule>
    <cfRule type="cellIs" dxfId="136" priority="179" operator="equal">
      <formula>"PLT XNII"</formula>
    </cfRule>
    <cfRule type="cellIs" dxfId="135" priority="180" operator="equal">
      <formula>"PLT XN"</formula>
    </cfRule>
  </conditionalFormatting>
  <conditionalFormatting sqref="D1082:D1086">
    <cfRule type="cellIs" dxfId="134" priority="163" operator="equal">
      <formula>"VIEWCL II"</formula>
    </cfRule>
    <cfRule type="cellIs" dxfId="133" priority="164" operator="equal">
      <formula>"SIGMA"</formula>
    </cfRule>
    <cfRule type="cellIs" dxfId="132" priority="165" operator="equal">
      <formula>"BIOCLEAN"</formula>
    </cfRule>
    <cfRule type="cellIs" dxfId="131" priority="166" operator="equal">
      <formula>"TIMELESS"</formula>
    </cfRule>
    <cfRule type="cellIs" dxfId="130" priority="167" operator="equal">
      <formula>"PLT ONE"</formula>
    </cfRule>
    <cfRule type="cellIs" dxfId="129" priority="168" operator="equal">
      <formula>"ECLAZ ONE"</formula>
    </cfRule>
    <cfRule type="cellIs" dxfId="128" priority="169" operator="equal">
      <formula>"ECLAZ"</formula>
    </cfRule>
    <cfRule type="cellIs" dxfId="127" priority="170" operator="equal">
      <formula>"PLT XNII"</formula>
    </cfRule>
    <cfRule type="cellIs" dxfId="126" priority="171" operator="equal">
      <formula>"PLT XN"</formula>
    </cfRule>
  </conditionalFormatting>
  <conditionalFormatting sqref="D1096:D1100">
    <cfRule type="cellIs" dxfId="125" priority="154" operator="equal">
      <formula>"VIEWCL II"</formula>
    </cfRule>
    <cfRule type="cellIs" dxfId="124" priority="155" operator="equal">
      <formula>"SIGMA"</formula>
    </cfRule>
    <cfRule type="cellIs" dxfId="123" priority="156" operator="equal">
      <formula>"BIOCLEAN"</formula>
    </cfRule>
    <cfRule type="cellIs" dxfId="122" priority="157" operator="equal">
      <formula>"TIMELESS"</formula>
    </cfRule>
    <cfRule type="cellIs" dxfId="121" priority="158" operator="equal">
      <formula>"PLT ONE"</formula>
    </cfRule>
    <cfRule type="cellIs" dxfId="120" priority="159" operator="equal">
      <formula>"ECLAZ ONE"</formula>
    </cfRule>
    <cfRule type="cellIs" dxfId="119" priority="160" operator="equal">
      <formula>"ECLAZ"</formula>
    </cfRule>
    <cfRule type="cellIs" dxfId="118" priority="161" operator="equal">
      <formula>"PLT XNII"</formula>
    </cfRule>
    <cfRule type="cellIs" dxfId="117" priority="162" operator="equal">
      <formula>"PLT XN"</formula>
    </cfRule>
  </conditionalFormatting>
  <conditionalFormatting sqref="D752">
    <cfRule type="cellIs" dxfId="116" priority="145" operator="equal">
      <formula>"VIEWCL II"</formula>
    </cfRule>
    <cfRule type="cellIs" dxfId="115" priority="146" operator="equal">
      <formula>"SIGMA"</formula>
    </cfRule>
    <cfRule type="cellIs" dxfId="114" priority="147" operator="equal">
      <formula>"BIOCLEAN"</formula>
    </cfRule>
    <cfRule type="cellIs" dxfId="113" priority="148" operator="equal">
      <formula>"TIMELESS"</formula>
    </cfRule>
    <cfRule type="cellIs" dxfId="112" priority="149" operator="equal">
      <formula>"PLT ONE"</formula>
    </cfRule>
    <cfRule type="cellIs" dxfId="111" priority="150" operator="equal">
      <formula>"ECLAZ ONE"</formula>
    </cfRule>
    <cfRule type="cellIs" dxfId="110" priority="151" operator="equal">
      <formula>"ECLAZ"</formula>
    </cfRule>
    <cfRule type="cellIs" dxfId="109" priority="152" operator="equal">
      <formula>"PLT XNII"</formula>
    </cfRule>
    <cfRule type="cellIs" dxfId="108" priority="153" operator="equal">
      <formula>"PLT XN"</formula>
    </cfRule>
  </conditionalFormatting>
  <conditionalFormatting sqref="D843">
    <cfRule type="cellIs" dxfId="107" priority="136" operator="equal">
      <formula>"VIEWCL II"</formula>
    </cfRule>
    <cfRule type="cellIs" dxfId="106" priority="137" operator="equal">
      <formula>"SIGMA"</formula>
    </cfRule>
    <cfRule type="cellIs" dxfId="105" priority="138" operator="equal">
      <formula>"BIOCLEAN"</formula>
    </cfRule>
    <cfRule type="cellIs" dxfId="104" priority="139" operator="equal">
      <formula>"TIMELESS"</formula>
    </cfRule>
    <cfRule type="cellIs" dxfId="103" priority="140" operator="equal">
      <formula>"PLT ONE"</formula>
    </cfRule>
    <cfRule type="cellIs" dxfId="102" priority="141" operator="equal">
      <formula>"ECLAZ ONE"</formula>
    </cfRule>
    <cfRule type="cellIs" dxfId="101" priority="142" operator="equal">
      <formula>"ECLAZ"</formula>
    </cfRule>
    <cfRule type="cellIs" dxfId="100" priority="143" operator="equal">
      <formula>"PLT XNII"</formula>
    </cfRule>
    <cfRule type="cellIs" dxfId="99" priority="144" operator="equal">
      <formula>"PLT XN"</formula>
    </cfRule>
  </conditionalFormatting>
  <conditionalFormatting sqref="D915">
    <cfRule type="cellIs" dxfId="98" priority="127" operator="equal">
      <formula>"VIEWCL II"</formula>
    </cfRule>
    <cfRule type="cellIs" dxfId="97" priority="128" operator="equal">
      <formula>"SIGMA"</formula>
    </cfRule>
    <cfRule type="cellIs" dxfId="96" priority="129" operator="equal">
      <formula>"BIOCLEAN"</formula>
    </cfRule>
    <cfRule type="cellIs" dxfId="95" priority="130" operator="equal">
      <formula>"TIMELESS"</formula>
    </cfRule>
    <cfRule type="cellIs" dxfId="94" priority="131" operator="equal">
      <formula>"PLT ONE"</formula>
    </cfRule>
    <cfRule type="cellIs" dxfId="93" priority="132" operator="equal">
      <formula>"ECLAZ ONE"</formula>
    </cfRule>
    <cfRule type="cellIs" dxfId="92" priority="133" operator="equal">
      <formula>"ECLAZ"</formula>
    </cfRule>
    <cfRule type="cellIs" dxfId="91" priority="134" operator="equal">
      <formula>"PLT XNII"</formula>
    </cfRule>
    <cfRule type="cellIs" dxfId="90" priority="135" operator="equal">
      <formula>"PLT XN"</formula>
    </cfRule>
  </conditionalFormatting>
  <conditionalFormatting sqref="D927">
    <cfRule type="cellIs" dxfId="89" priority="118" operator="equal">
      <formula>"VIEWCL II"</formula>
    </cfRule>
    <cfRule type="cellIs" dxfId="88" priority="119" operator="equal">
      <formula>"SIGMA"</formula>
    </cfRule>
    <cfRule type="cellIs" dxfId="87" priority="120" operator="equal">
      <formula>"BIOCLEAN"</formula>
    </cfRule>
    <cfRule type="cellIs" dxfId="86" priority="121" operator="equal">
      <formula>"TIMELESS"</formula>
    </cfRule>
    <cfRule type="cellIs" dxfId="85" priority="122" operator="equal">
      <formula>"PLT ONE"</formula>
    </cfRule>
    <cfRule type="cellIs" dxfId="84" priority="123" operator="equal">
      <formula>"ECLAZ ONE"</formula>
    </cfRule>
    <cfRule type="cellIs" dxfId="83" priority="124" operator="equal">
      <formula>"ECLAZ"</formula>
    </cfRule>
    <cfRule type="cellIs" dxfId="82" priority="125" operator="equal">
      <formula>"PLT XNII"</formula>
    </cfRule>
    <cfRule type="cellIs" dxfId="81" priority="126" operator="equal">
      <formula>"PLT XN"</formula>
    </cfRule>
  </conditionalFormatting>
  <conditionalFormatting sqref="D977">
    <cfRule type="cellIs" dxfId="80" priority="109" operator="equal">
      <formula>"VIEWCL II"</formula>
    </cfRule>
    <cfRule type="cellIs" dxfId="79" priority="110" operator="equal">
      <formula>"SIGMA"</formula>
    </cfRule>
    <cfRule type="cellIs" dxfId="78" priority="111" operator="equal">
      <formula>"BIOCLEAN"</formula>
    </cfRule>
    <cfRule type="cellIs" dxfId="77" priority="112" operator="equal">
      <formula>"TIMELESS"</formula>
    </cfRule>
    <cfRule type="cellIs" dxfId="76" priority="113" operator="equal">
      <formula>"PLT ONE"</formula>
    </cfRule>
    <cfRule type="cellIs" dxfId="75" priority="114" operator="equal">
      <formula>"ECLAZ ONE"</formula>
    </cfRule>
    <cfRule type="cellIs" dxfId="74" priority="115" operator="equal">
      <formula>"ECLAZ"</formula>
    </cfRule>
    <cfRule type="cellIs" dxfId="73" priority="116" operator="equal">
      <formula>"PLT XNII"</formula>
    </cfRule>
    <cfRule type="cellIs" dxfId="72" priority="117" operator="equal">
      <formula>"PLT XN"</formula>
    </cfRule>
  </conditionalFormatting>
  <conditionalFormatting sqref="D1017">
    <cfRule type="cellIs" dxfId="71" priority="100" operator="equal">
      <formula>"VIEWCL II"</formula>
    </cfRule>
    <cfRule type="cellIs" dxfId="70" priority="101" operator="equal">
      <formula>"SIGMA"</formula>
    </cfRule>
    <cfRule type="cellIs" dxfId="69" priority="102" operator="equal">
      <formula>"BIOCLEAN"</formula>
    </cfRule>
    <cfRule type="cellIs" dxfId="68" priority="103" operator="equal">
      <formula>"TIMELESS"</formula>
    </cfRule>
    <cfRule type="cellIs" dxfId="67" priority="104" operator="equal">
      <formula>"PLT ONE"</formula>
    </cfRule>
    <cfRule type="cellIs" dxfId="66" priority="105" operator="equal">
      <formula>"ECLAZ ONE"</formula>
    </cfRule>
    <cfRule type="cellIs" dxfId="65" priority="106" operator="equal">
      <formula>"ECLAZ"</formula>
    </cfRule>
    <cfRule type="cellIs" dxfId="64" priority="107" operator="equal">
      <formula>"PLT XNII"</formula>
    </cfRule>
    <cfRule type="cellIs" dxfId="63" priority="108" operator="equal">
      <formula>"PLT XN"</formula>
    </cfRule>
  </conditionalFormatting>
  <conditionalFormatting sqref="F786:F813">
    <cfRule type="cellIs" dxfId="62" priority="64" operator="equal">
      <formula>"VIEWCL II"</formula>
    </cfRule>
    <cfRule type="cellIs" dxfId="61" priority="65" operator="equal">
      <formula>"SIGMA"</formula>
    </cfRule>
    <cfRule type="cellIs" dxfId="60" priority="66" operator="equal">
      <formula>"BIOCLEAN"</formula>
    </cfRule>
    <cfRule type="cellIs" dxfId="59" priority="67" operator="equal">
      <formula>"TIMELESS"</formula>
    </cfRule>
    <cfRule type="cellIs" dxfId="58" priority="68" operator="equal">
      <formula>"PLT ONE"</formula>
    </cfRule>
    <cfRule type="cellIs" dxfId="57" priority="69" operator="equal">
      <formula>"ECLAZ ONE"</formula>
    </cfRule>
    <cfRule type="cellIs" dxfId="56" priority="70" operator="equal">
      <formula>"ECLAZ"</formula>
    </cfRule>
    <cfRule type="cellIs" dxfId="55" priority="71" operator="equal">
      <formula>"PLT XNII"</formula>
    </cfRule>
    <cfRule type="cellIs" dxfId="54" priority="72" operator="equal">
      <formula>"PLT XN"</formula>
    </cfRule>
  </conditionalFormatting>
  <conditionalFormatting sqref="D793:D798 D800:D805 D807 D786:D791 D812">
    <cfRule type="cellIs" dxfId="53" priority="55" operator="equal">
      <formula>"VIEWCL II"</formula>
    </cfRule>
    <cfRule type="cellIs" dxfId="52" priority="56" operator="equal">
      <formula>"SIGMA"</formula>
    </cfRule>
    <cfRule type="cellIs" dxfId="51" priority="57" operator="equal">
      <formula>"BIOCLEAN"</formula>
    </cfRule>
    <cfRule type="cellIs" dxfId="50" priority="58" operator="equal">
      <formula>"TIMELESS"</formula>
    </cfRule>
    <cfRule type="cellIs" dxfId="49" priority="59" operator="equal">
      <formula>"PLT ONE"</formula>
    </cfRule>
    <cfRule type="cellIs" dxfId="48" priority="60" operator="equal">
      <formula>"ECLAZ ONE"</formula>
    </cfRule>
    <cfRule type="cellIs" dxfId="47" priority="61" operator="equal">
      <formula>"ECLAZ"</formula>
    </cfRule>
    <cfRule type="cellIs" dxfId="46" priority="62" operator="equal">
      <formula>"PLT XNII"</formula>
    </cfRule>
    <cfRule type="cellIs" dxfId="45" priority="63" operator="equal">
      <formula>"PLT XN"</formula>
    </cfRule>
  </conditionalFormatting>
  <conditionalFormatting sqref="D792 D799 D806 D813">
    <cfRule type="cellIs" dxfId="44" priority="46" operator="equal">
      <formula>"VIEWCL II"</formula>
    </cfRule>
    <cfRule type="cellIs" dxfId="43" priority="47" operator="equal">
      <formula>"SIGMA"</formula>
    </cfRule>
    <cfRule type="cellIs" dxfId="42" priority="48" operator="equal">
      <formula>"BIOCLEAN"</formula>
    </cfRule>
    <cfRule type="cellIs" dxfId="41" priority="49" operator="equal">
      <formula>"TIMELESS"</formula>
    </cfRule>
    <cfRule type="cellIs" dxfId="40" priority="50" operator="equal">
      <formula>"PLT ONE"</formula>
    </cfRule>
    <cfRule type="cellIs" dxfId="39" priority="51" operator="equal">
      <formula>"ECLAZ ONE"</formula>
    </cfRule>
    <cfRule type="cellIs" dxfId="38" priority="52" operator="equal">
      <formula>"ECLAZ"</formula>
    </cfRule>
    <cfRule type="cellIs" dxfId="37" priority="53" operator="equal">
      <formula>"PLT XNII"</formula>
    </cfRule>
    <cfRule type="cellIs" dxfId="36" priority="54" operator="equal">
      <formula>"PLT XN"</formula>
    </cfRule>
  </conditionalFormatting>
  <conditionalFormatting sqref="D763:D764">
    <cfRule type="cellIs" dxfId="35" priority="37" operator="equal">
      <formula>"VIEWCL II"</formula>
    </cfRule>
    <cfRule type="cellIs" dxfId="34" priority="38" operator="equal">
      <formula>"SIGMA"</formula>
    </cfRule>
    <cfRule type="cellIs" dxfId="33" priority="39" operator="equal">
      <formula>"BIOCLEAN"</formula>
    </cfRule>
    <cfRule type="cellIs" dxfId="32" priority="40" operator="equal">
      <formula>"TIMELESS"</formula>
    </cfRule>
    <cfRule type="cellIs" dxfId="31" priority="41" operator="equal">
      <formula>"PLT ONE"</formula>
    </cfRule>
    <cfRule type="cellIs" dxfId="30" priority="42" operator="equal">
      <formula>"ECLAZ ONE"</formula>
    </cfRule>
    <cfRule type="cellIs" dxfId="29" priority="43" operator="equal">
      <formula>"ECLAZ"</formula>
    </cfRule>
    <cfRule type="cellIs" dxfId="28" priority="44" operator="equal">
      <formula>"PLT XNII"</formula>
    </cfRule>
    <cfRule type="cellIs" dxfId="27" priority="45" operator="equal">
      <formula>"PLT XN"</formula>
    </cfRule>
  </conditionalFormatting>
  <conditionalFormatting sqref="D808">
    <cfRule type="cellIs" dxfId="26" priority="28" operator="equal">
      <formula>"VIEWCL II"</formula>
    </cfRule>
    <cfRule type="cellIs" dxfId="25" priority="29" operator="equal">
      <formula>"SIGMA"</formula>
    </cfRule>
    <cfRule type="cellIs" dxfId="24" priority="30" operator="equal">
      <formula>"BIOCLEAN"</formula>
    </cfRule>
    <cfRule type="cellIs" dxfId="23" priority="31" operator="equal">
      <formula>"TIMELESS"</formula>
    </cfRule>
    <cfRule type="cellIs" dxfId="22" priority="32" operator="equal">
      <formula>"PLT ONE"</formula>
    </cfRule>
    <cfRule type="cellIs" dxfId="21" priority="33" operator="equal">
      <formula>"ECLAZ ONE"</formula>
    </cfRule>
    <cfRule type="cellIs" dxfId="20" priority="34" operator="equal">
      <formula>"ECLAZ"</formula>
    </cfRule>
    <cfRule type="cellIs" dxfId="19" priority="35" operator="equal">
      <formula>"PLT XNII"</formula>
    </cfRule>
    <cfRule type="cellIs" dxfId="18" priority="36" operator="equal">
      <formula>"PLT XN"</formula>
    </cfRule>
  </conditionalFormatting>
  <conditionalFormatting sqref="D809:D811">
    <cfRule type="cellIs" dxfId="17" priority="10" operator="equal">
      <formula>"VIEWCL II"</formula>
    </cfRule>
    <cfRule type="cellIs" dxfId="16" priority="11" operator="equal">
      <formula>"SIGMA"</formula>
    </cfRule>
    <cfRule type="cellIs" dxfId="15" priority="12" operator="equal">
      <formula>"BIOCLEAN"</formula>
    </cfRule>
    <cfRule type="cellIs" dxfId="14" priority="13" operator="equal">
      <formula>"TIMELESS"</formula>
    </cfRule>
    <cfRule type="cellIs" dxfId="13" priority="14" operator="equal">
      <formula>"PLT ONE"</formula>
    </cfRule>
    <cfRule type="cellIs" dxfId="12" priority="15" operator="equal">
      <formula>"ECLAZ ONE"</formula>
    </cfRule>
    <cfRule type="cellIs" dxfId="11" priority="16" operator="equal">
      <formula>"ECLAZ"</formula>
    </cfRule>
    <cfRule type="cellIs" dxfId="10" priority="17" operator="equal">
      <formula>"PLT XNII"</formula>
    </cfRule>
    <cfRule type="cellIs" dxfId="9" priority="18" operator="equal">
      <formula>"PLT XN"</formula>
    </cfRule>
  </conditionalFormatting>
  <conditionalFormatting sqref="F815">
    <cfRule type="cellIs" dxfId="8" priority="1" operator="equal">
      <formula>"VIEWCL II"</formula>
    </cfRule>
    <cfRule type="cellIs" dxfId="7" priority="2" operator="equal">
      <formula>"SIGMA"</formula>
    </cfRule>
    <cfRule type="cellIs" dxfId="6" priority="3" operator="equal">
      <formula>"BIOCLEAN"</formula>
    </cfRule>
    <cfRule type="cellIs" dxfId="5" priority="4" operator="equal">
      <formula>"TIMELESS"</formula>
    </cfRule>
    <cfRule type="cellIs" dxfId="4" priority="5" operator="equal">
      <formula>"PLT ONE"</formula>
    </cfRule>
    <cfRule type="cellIs" dxfId="3" priority="6" operator="equal">
      <formula>"ECLAZ ONE"</formula>
    </cfRule>
    <cfRule type="cellIs" dxfId="2" priority="7" operator="equal">
      <formula>"ECLAZ"</formula>
    </cfRule>
    <cfRule type="cellIs" dxfId="1" priority="8" operator="equal">
      <formula>"PLT XNII"</formula>
    </cfRule>
    <cfRule type="cellIs" dxfId="0" priority="9" operator="equal">
      <formula>"PLT XN"</formula>
    </cfRule>
  </conditionalFormatting>
  <dataValidations count="1">
    <dataValidation type="list" allowBlank="1" showInputMessage="1" showErrorMessage="1" sqref="D1192:D1048576 E1108:E1048576 F736:G814 F816:G1048576" xr:uid="{00000000-0002-0000-0000-000000000000}">
      <formula1>#REF!</formula1>
    </dataValidation>
  </dataValidations>
  <pageMargins left="0.25" right="0.25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FBAE-6E6D-4A8A-AFE1-3E95185172B7}">
  <sheetPr codeName="Tabelle5"/>
  <dimension ref="A1:C21"/>
  <sheetViews>
    <sheetView workbookViewId="0">
      <selection activeCell="D6" sqref="D6"/>
    </sheetView>
  </sheetViews>
  <sheetFormatPr baseColWidth="10" defaultRowHeight="14.4" x14ac:dyDescent="0.3"/>
  <cols>
    <col min="1" max="1" width="18.44140625" bestFit="1" customWidth="1"/>
    <col min="2" max="2" width="16.44140625" customWidth="1"/>
    <col min="3" max="3" width="22.88671875" customWidth="1"/>
  </cols>
  <sheetData>
    <row r="1" spans="1:3" x14ac:dyDescent="0.3">
      <c r="A1" t="s">
        <v>135</v>
      </c>
      <c r="B1" t="s">
        <v>121</v>
      </c>
      <c r="C1" t="s">
        <v>122</v>
      </c>
    </row>
    <row r="2" spans="1:3" ht="30.75" customHeight="1" x14ac:dyDescent="0.3">
      <c r="A2" s="127">
        <v>44927</v>
      </c>
      <c r="B2" t="s">
        <v>9</v>
      </c>
      <c r="C2" t="s">
        <v>123</v>
      </c>
    </row>
    <row r="3" spans="1:3" x14ac:dyDescent="0.3">
      <c r="A3" s="127">
        <v>45023</v>
      </c>
      <c r="B3" t="s">
        <v>7</v>
      </c>
      <c r="C3" t="s">
        <v>124</v>
      </c>
    </row>
    <row r="4" spans="1:3" ht="30.75" customHeight="1" x14ac:dyDescent="0.3">
      <c r="A4" s="127">
        <v>45026</v>
      </c>
      <c r="B4" t="s">
        <v>3</v>
      </c>
      <c r="C4" t="s">
        <v>125</v>
      </c>
    </row>
    <row r="5" spans="1:3" ht="45.75" customHeight="1" x14ac:dyDescent="0.3">
      <c r="A5" s="127">
        <v>45047</v>
      </c>
      <c r="B5" t="s">
        <v>3</v>
      </c>
      <c r="C5" t="s">
        <v>126</v>
      </c>
    </row>
    <row r="6" spans="1:3" ht="45.75" customHeight="1" x14ac:dyDescent="0.3">
      <c r="A6" s="127">
        <v>45064</v>
      </c>
      <c r="B6" t="s">
        <v>127</v>
      </c>
      <c r="C6" t="s">
        <v>128</v>
      </c>
    </row>
    <row r="7" spans="1:3" ht="30.75" customHeight="1" x14ac:dyDescent="0.3">
      <c r="A7" s="127">
        <v>45075</v>
      </c>
      <c r="B7" t="s">
        <v>3</v>
      </c>
      <c r="C7" t="s">
        <v>129</v>
      </c>
    </row>
    <row r="8" spans="1:3" ht="54" customHeight="1" x14ac:dyDescent="0.3">
      <c r="A8" s="127">
        <v>45085</v>
      </c>
      <c r="B8" t="s">
        <v>127</v>
      </c>
      <c r="C8" t="s">
        <v>130</v>
      </c>
    </row>
    <row r="9" spans="1:3" x14ac:dyDescent="0.3">
      <c r="A9" s="127"/>
    </row>
    <row r="10" spans="1:3" x14ac:dyDescent="0.3">
      <c r="A10" s="127"/>
    </row>
    <row r="11" spans="1:3" x14ac:dyDescent="0.3">
      <c r="A11" s="127"/>
    </row>
    <row r="12" spans="1:3" x14ac:dyDescent="0.3">
      <c r="A12" s="127"/>
    </row>
    <row r="13" spans="1:3" x14ac:dyDescent="0.3">
      <c r="A13" s="127"/>
    </row>
    <row r="14" spans="1:3" ht="45.75" customHeight="1" x14ac:dyDescent="0.3">
      <c r="A14" s="127">
        <v>45202</v>
      </c>
      <c r="B14" t="s">
        <v>4</v>
      </c>
      <c r="C14" t="s">
        <v>131</v>
      </c>
    </row>
    <row r="15" spans="1:3" ht="15" customHeight="1" x14ac:dyDescent="0.3">
      <c r="A15" s="127" t="s">
        <v>136</v>
      </c>
      <c r="B15" t="s">
        <v>5</v>
      </c>
      <c r="C15" t="s">
        <v>132</v>
      </c>
    </row>
    <row r="16" spans="1:3" x14ac:dyDescent="0.3">
      <c r="A16" s="127"/>
    </row>
    <row r="17" spans="1:3" x14ac:dyDescent="0.3">
      <c r="A17" s="127"/>
    </row>
    <row r="18" spans="1:3" x14ac:dyDescent="0.3">
      <c r="A18" s="127"/>
    </row>
    <row r="19" spans="1:3" x14ac:dyDescent="0.3">
      <c r="A19" s="127"/>
    </row>
    <row r="20" spans="1:3" ht="45.75" customHeight="1" x14ac:dyDescent="0.3">
      <c r="A20" s="127" t="s">
        <v>137</v>
      </c>
      <c r="B20" t="s">
        <v>3</v>
      </c>
      <c r="C20" t="s">
        <v>133</v>
      </c>
    </row>
    <row r="21" spans="1:3" ht="45.75" customHeight="1" x14ac:dyDescent="0.3">
      <c r="A21" s="127" t="s">
        <v>138</v>
      </c>
      <c r="B21" t="s">
        <v>4</v>
      </c>
      <c r="C21" t="s">
        <v>134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B3"/>
  <sheetViews>
    <sheetView workbookViewId="0">
      <selection activeCell="B27" sqref="B27"/>
    </sheetView>
  </sheetViews>
  <sheetFormatPr baseColWidth="10" defaultColWidth="10.88671875" defaultRowHeight="14.4" x14ac:dyDescent="0.3"/>
  <cols>
    <col min="1" max="1" width="35.33203125" bestFit="1" customWidth="1"/>
  </cols>
  <sheetData>
    <row r="1" spans="1:2" x14ac:dyDescent="0.3">
      <c r="A1" t="s">
        <v>53</v>
      </c>
      <c r="B1" t="s">
        <v>65</v>
      </c>
    </row>
    <row r="2" spans="1:2" x14ac:dyDescent="0.3">
      <c r="B2" t="s">
        <v>54</v>
      </c>
    </row>
    <row r="3" spans="1:2" x14ac:dyDescent="0.3">
      <c r="B3" t="s">
        <v>52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>
    <pageSetUpPr fitToPage="1"/>
  </sheetPr>
  <dimension ref="A1:K21"/>
  <sheetViews>
    <sheetView zoomScale="145" zoomScaleNormal="145" workbookViewId="0">
      <selection activeCell="K2" sqref="K2:K10"/>
    </sheetView>
  </sheetViews>
  <sheetFormatPr baseColWidth="10" defaultColWidth="10.88671875" defaultRowHeight="14.4" x14ac:dyDescent="0.3"/>
  <cols>
    <col min="7" max="7" width="12.44140625" bestFit="1" customWidth="1"/>
    <col min="8" max="8" width="13.5546875" customWidth="1"/>
    <col min="11" max="11" width="14.88671875" style="100" customWidth="1"/>
  </cols>
  <sheetData>
    <row r="1" spans="1:11" ht="31.2" thickBot="1" x14ac:dyDescent="0.35">
      <c r="A1" s="30" t="s">
        <v>26</v>
      </c>
      <c r="B1" s="31" t="s">
        <v>20</v>
      </c>
      <c r="C1" s="31" t="s">
        <v>19</v>
      </c>
      <c r="D1" s="31" t="s">
        <v>23</v>
      </c>
      <c r="E1" s="31" t="s">
        <v>24</v>
      </c>
      <c r="F1" s="31" t="s">
        <v>21</v>
      </c>
      <c r="G1" s="32" t="str">
        <f>"∑ Budget (m²) "&amp;K1</f>
        <v>∑ Budget (m²) 2023</v>
      </c>
      <c r="H1" s="32" t="str">
        <f>"Planung (m²) "&amp;K1</f>
        <v>Planung (m²) 2023</v>
      </c>
      <c r="I1" s="32" t="s">
        <v>50</v>
      </c>
      <c r="J1" s="32" t="s">
        <v>25</v>
      </c>
      <c r="K1" s="117">
        <v>2023</v>
      </c>
    </row>
    <row r="2" spans="1:11" ht="15.6" x14ac:dyDescent="0.3">
      <c r="A2" s="78" t="s">
        <v>69</v>
      </c>
      <c r="B2" s="116">
        <v>12</v>
      </c>
      <c r="C2" s="82">
        <v>2.6</v>
      </c>
      <c r="D2" s="82">
        <v>3</v>
      </c>
      <c r="E2" s="82"/>
      <c r="F2" s="88">
        <v>1788.3064085902733</v>
      </c>
      <c r="G2" s="89">
        <v>4309000</v>
      </c>
      <c r="H2" s="89">
        <f>SUMIFS(Planung!H:H,Planung!D:D,Budget!A2,Planung!N:N,Budget!$K$1)</f>
        <v>4733647.0635384498</v>
      </c>
      <c r="I2" s="89"/>
      <c r="J2" s="88">
        <f>COUNTIFS(Planung!M:M,"ja",Planung!D:D,Budget!A2,Planung!N:N,Budget!$K$1)</f>
        <v>25</v>
      </c>
      <c r="K2" s="101">
        <f>+G2-H2</f>
        <v>-424647.06353844982</v>
      </c>
    </row>
    <row r="3" spans="1:11" ht="15.6" x14ac:dyDescent="0.3">
      <c r="A3" s="79" t="s">
        <v>66</v>
      </c>
      <c r="B3" s="116">
        <v>10</v>
      </c>
      <c r="C3" s="84">
        <v>3</v>
      </c>
      <c r="D3" s="84">
        <v>1</v>
      </c>
      <c r="E3" s="84"/>
      <c r="F3" s="90">
        <v>1539.4367650110278</v>
      </c>
      <c r="G3" s="90">
        <v>120000</v>
      </c>
      <c r="H3" s="89">
        <f>SUMIFS(Planung!H:H,Planung!D:D,Budget!A3,Planung!N:N,Budget!$K$1)</f>
        <v>69274.65442549625</v>
      </c>
      <c r="I3" s="91"/>
      <c r="J3" s="88">
        <f>COUNTIFS(Planung!M:M,"ja",Planung!D:D,Budget!A3,Planung!N:N,Budget!$K$1)</f>
        <v>1</v>
      </c>
      <c r="K3" s="101">
        <f>+G3-H3</f>
        <v>50725.34557450375</v>
      </c>
    </row>
    <row r="4" spans="1:11" ht="15.6" x14ac:dyDescent="0.3">
      <c r="A4" s="79" t="s">
        <v>11</v>
      </c>
      <c r="B4" s="116">
        <v>10</v>
      </c>
      <c r="C4" s="84">
        <v>4.5</v>
      </c>
      <c r="D4" s="84">
        <v>5</v>
      </c>
      <c r="E4" s="84"/>
      <c r="F4" s="90">
        <v>1540</v>
      </c>
      <c r="G4" s="88">
        <v>4460000</v>
      </c>
      <c r="H4" s="89">
        <f>SUMIFS(Planung!H:H,Planung!D:D,Budget!A4,Planung!N:N,Budget!$K$1)</f>
        <v>4303530</v>
      </c>
      <c r="I4" s="91"/>
      <c r="J4" s="88">
        <f>COUNTIFS(Planung!M:M,"ja",Planung!D:D,Budget!A4,Planung!N:N,Budget!$K$1)</f>
        <v>19</v>
      </c>
      <c r="K4" s="101">
        <f t="shared" ref="K4:K10" si="0">+G4-H4</f>
        <v>156470</v>
      </c>
    </row>
    <row r="5" spans="1:11" ht="15.6" x14ac:dyDescent="0.3">
      <c r="A5" s="79" t="s">
        <v>72</v>
      </c>
      <c r="B5" s="116"/>
      <c r="C5" s="28">
        <v>0</v>
      </c>
      <c r="D5" s="28"/>
      <c r="E5" s="28"/>
      <c r="F5" s="90">
        <v>0</v>
      </c>
      <c r="G5" s="88"/>
      <c r="H5" s="89">
        <f>SUMIFS(Planung!H:H,Planung!D:D,Budget!A5,Planung!N:N,Budget!$K$1)</f>
        <v>0</v>
      </c>
      <c r="I5" s="91"/>
      <c r="J5" s="88">
        <f>COUNTIFS(Planung!M:M,"ja",Planung!D:D,Budget!A5,Planung!N:N,Budget!$K$1)</f>
        <v>0</v>
      </c>
      <c r="K5" s="101">
        <f t="shared" si="0"/>
        <v>0</v>
      </c>
    </row>
    <row r="6" spans="1:11" ht="15.6" x14ac:dyDescent="0.3">
      <c r="A6" s="79" t="s">
        <v>65</v>
      </c>
      <c r="B6" s="116">
        <v>10</v>
      </c>
      <c r="C6" s="28">
        <v>9</v>
      </c>
      <c r="D6" s="28">
        <v>2</v>
      </c>
      <c r="E6" s="28">
        <v>0</v>
      </c>
      <c r="F6" s="90">
        <v>1481.3989138368222</v>
      </c>
      <c r="G6" s="88">
        <v>60000</v>
      </c>
      <c r="H6" s="89">
        <f>SUMIFS(Planung!H:H,Planung!D:D,Budget!A6,Planung!N:N,Budget!$K$1)</f>
        <v>0</v>
      </c>
      <c r="I6" s="91"/>
      <c r="J6" s="88">
        <f>COUNTIFS(Planung!M:M,"ja",Planung!D:D,Budget!A6,Planung!N:N,Budget!$K$1)</f>
        <v>0</v>
      </c>
      <c r="K6" s="101">
        <f>+G6-H6</f>
        <v>60000</v>
      </c>
    </row>
    <row r="7" spans="1:11" ht="15.6" x14ac:dyDescent="0.3">
      <c r="A7" s="79" t="s">
        <v>73</v>
      </c>
      <c r="B7" s="116"/>
      <c r="C7" s="84">
        <v>0</v>
      </c>
      <c r="D7" s="84"/>
      <c r="E7" s="84"/>
      <c r="F7" s="90">
        <v>0</v>
      </c>
      <c r="G7" s="88">
        <v>0</v>
      </c>
      <c r="H7" s="89">
        <f>SUMIFS(Planung!H:H,Planung!D:D,Budget!A7,Planung!N:N,Budget!$K$1)</f>
        <v>0</v>
      </c>
      <c r="I7" s="91"/>
      <c r="J7" s="88">
        <f>COUNTIFS(Planung!M:M,"ja",Planung!D:D,Budget!A7,Planung!N:N,Budget!$K$1)</f>
        <v>0</v>
      </c>
      <c r="K7" s="101">
        <f t="shared" si="0"/>
        <v>0</v>
      </c>
    </row>
    <row r="8" spans="1:11" ht="15.6" x14ac:dyDescent="0.3">
      <c r="A8" s="34" t="s">
        <v>18</v>
      </c>
      <c r="B8" s="116">
        <v>9</v>
      </c>
      <c r="C8" s="84">
        <v>3</v>
      </c>
      <c r="D8" s="84">
        <v>2</v>
      </c>
      <c r="E8" s="84"/>
      <c r="F8" s="90">
        <v>1200</v>
      </c>
      <c r="G8" s="92">
        <v>200000</v>
      </c>
      <c r="H8" s="89">
        <f>SUMIFS(Planung!H:H,Planung!D:D,Budget!A8,Planung!N:N,Budget!$K$1)</f>
        <v>144000</v>
      </c>
      <c r="I8" s="91"/>
      <c r="J8" s="88">
        <f>COUNTIFS(Planung!M:M,"ja",Planung!D:D,Budget!A8,Planung!N:N,Budget!$K$1)</f>
        <v>4</v>
      </c>
      <c r="K8" s="101">
        <f t="shared" si="0"/>
        <v>56000</v>
      </c>
    </row>
    <row r="9" spans="1:11" ht="15.6" x14ac:dyDescent="0.3">
      <c r="A9" s="34" t="s">
        <v>12</v>
      </c>
      <c r="B9" s="116">
        <v>10</v>
      </c>
      <c r="C9" s="84">
        <v>6</v>
      </c>
      <c r="D9" s="84">
        <v>4</v>
      </c>
      <c r="E9" s="84"/>
      <c r="F9" s="90">
        <v>1540</v>
      </c>
      <c r="G9" s="90">
        <v>1026000</v>
      </c>
      <c r="H9" s="89">
        <f>SUMIFS(Planung!H:H,Planung!D:D,Budget!A9,Planung!N:N,Budget!$K$1)</f>
        <v>1044120</v>
      </c>
      <c r="I9" s="91"/>
      <c r="J9" s="88">
        <f>COUNTIFS(Planung!M:M,"ja",Planung!D:D,Budget!A9,Planung!N:N,Budget!$K$1)</f>
        <v>11</v>
      </c>
      <c r="K9" s="101">
        <f t="shared" si="0"/>
        <v>-18120</v>
      </c>
    </row>
    <row r="10" spans="1:11" ht="15.6" x14ac:dyDescent="0.3">
      <c r="A10" s="34" t="s">
        <v>10</v>
      </c>
      <c r="B10" s="116">
        <v>3.3</v>
      </c>
      <c r="C10" s="28">
        <v>4</v>
      </c>
      <c r="D10" s="28">
        <v>2</v>
      </c>
      <c r="E10" s="28">
        <v>0</v>
      </c>
      <c r="F10" s="90">
        <v>492.18977500515717</v>
      </c>
      <c r="G10" s="88">
        <v>47000</v>
      </c>
      <c r="H10" s="89">
        <f>SUMIFS(Planung!H:H,Planung!D:D,Budget!A10,Planung!N:N,Budget!$K$1)</f>
        <v>33468.904700350693</v>
      </c>
      <c r="I10" s="91"/>
      <c r="J10" s="88">
        <f>COUNTIFS(Planung!M:M,"ja",Planung!D:D,Budget!A10,Planung!N:N,Budget!$K$1)</f>
        <v>1</v>
      </c>
      <c r="K10" s="101">
        <f t="shared" si="0"/>
        <v>13531.095299649307</v>
      </c>
    </row>
    <row r="11" spans="1:11" x14ac:dyDescent="0.3">
      <c r="A11" s="34" t="s">
        <v>29</v>
      </c>
      <c r="B11" s="83"/>
      <c r="C11" s="84"/>
      <c r="D11" s="84"/>
      <c r="E11" s="84"/>
      <c r="F11" s="92">
        <v>0</v>
      </c>
      <c r="G11" s="92"/>
      <c r="H11" s="89"/>
      <c r="I11" s="91"/>
      <c r="J11" s="91"/>
      <c r="K11" s="101"/>
    </row>
    <row r="12" spans="1:11" x14ac:dyDescent="0.3">
      <c r="A12" s="34" t="s">
        <v>30</v>
      </c>
      <c r="B12" s="83"/>
      <c r="C12" s="84"/>
      <c r="D12" s="84"/>
      <c r="E12" s="84"/>
      <c r="F12" s="90">
        <v>0</v>
      </c>
      <c r="G12" s="88"/>
      <c r="H12" s="89"/>
      <c r="I12" s="91"/>
      <c r="J12" s="91"/>
      <c r="K12" s="101"/>
    </row>
    <row r="13" spans="1:11" x14ac:dyDescent="0.3">
      <c r="A13" s="34" t="s">
        <v>13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</row>
    <row r="14" spans="1:11" x14ac:dyDescent="0.3">
      <c r="A14" s="34" t="s">
        <v>14</v>
      </c>
      <c r="B14" s="83">
        <v>0</v>
      </c>
      <c r="C14" s="84">
        <v>0</v>
      </c>
      <c r="D14" s="84">
        <v>0</v>
      </c>
      <c r="E14" s="84">
        <v>0</v>
      </c>
      <c r="F14" s="90">
        <v>0</v>
      </c>
      <c r="G14" s="92">
        <v>0</v>
      </c>
      <c r="H14" s="89">
        <v>0</v>
      </c>
      <c r="I14" s="91">
        <v>0</v>
      </c>
      <c r="J14" s="91">
        <v>0</v>
      </c>
      <c r="K14" s="101">
        <v>0</v>
      </c>
    </row>
    <row r="15" spans="1:11" x14ac:dyDescent="0.3">
      <c r="A15" s="34"/>
      <c r="B15" s="83"/>
      <c r="C15" s="84"/>
      <c r="D15" s="84"/>
      <c r="E15" s="84"/>
      <c r="F15" s="90"/>
      <c r="G15" s="90"/>
      <c r="H15" s="89"/>
      <c r="I15" s="91"/>
      <c r="J15" s="91"/>
      <c r="K15" s="101"/>
    </row>
    <row r="16" spans="1:11" x14ac:dyDescent="0.3">
      <c r="A16" s="34"/>
      <c r="B16" s="83"/>
      <c r="C16" s="84"/>
      <c r="D16" s="84"/>
      <c r="E16" s="84"/>
      <c r="F16" s="90"/>
      <c r="G16" s="88"/>
      <c r="H16" s="89"/>
      <c r="I16" s="91"/>
      <c r="J16" s="91"/>
      <c r="K16" s="101"/>
    </row>
    <row r="17" spans="1:11" x14ac:dyDescent="0.3">
      <c r="A17" s="34"/>
      <c r="B17" s="33"/>
      <c r="C17" s="28"/>
      <c r="D17" s="28"/>
      <c r="E17" s="28"/>
      <c r="F17" s="92"/>
      <c r="G17" s="92"/>
      <c r="H17" s="89"/>
      <c r="I17" s="26"/>
      <c r="J17" s="26"/>
      <c r="K17" s="101"/>
    </row>
    <row r="18" spans="1:11" x14ac:dyDescent="0.3">
      <c r="A18" s="34"/>
      <c r="B18" s="83"/>
      <c r="C18" s="84"/>
      <c r="D18" s="84"/>
      <c r="E18" s="84"/>
      <c r="F18" s="92"/>
      <c r="G18" s="92"/>
      <c r="H18" s="89"/>
      <c r="I18" s="26"/>
      <c r="J18" s="26"/>
      <c r="K18" s="101"/>
    </row>
    <row r="19" spans="1:11" x14ac:dyDescent="0.3">
      <c r="A19" s="34"/>
      <c r="B19" s="33"/>
      <c r="C19" s="28"/>
      <c r="D19" s="28"/>
      <c r="E19" s="28"/>
      <c r="F19" s="92"/>
      <c r="G19" s="92"/>
      <c r="H19" s="89"/>
      <c r="I19" s="26"/>
      <c r="J19" s="26"/>
      <c r="K19" s="101"/>
    </row>
    <row r="21" spans="1:11" x14ac:dyDescent="0.3">
      <c r="F21" s="91"/>
    </row>
  </sheetData>
  <autoFilter ref="A1:L19" xr:uid="{00000000-0009-0000-0000-000002000000}"/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K19"/>
  <sheetViews>
    <sheetView workbookViewId="0">
      <selection activeCell="D56" sqref="D56"/>
    </sheetView>
  </sheetViews>
  <sheetFormatPr baseColWidth="10" defaultColWidth="10.88671875" defaultRowHeight="14.4" x14ac:dyDescent="0.3"/>
  <cols>
    <col min="7" max="8" width="11.44140625" bestFit="1" customWidth="1"/>
    <col min="11" max="11" width="12" bestFit="1" customWidth="1"/>
  </cols>
  <sheetData>
    <row r="1" spans="1:11" ht="31.2" thickBot="1" x14ac:dyDescent="0.35">
      <c r="A1" s="30" t="s">
        <v>26</v>
      </c>
      <c r="B1" s="31" t="s">
        <v>20</v>
      </c>
      <c r="C1" s="31" t="s">
        <v>19</v>
      </c>
      <c r="D1" s="31" t="s">
        <v>23</v>
      </c>
      <c r="E1" s="31" t="s">
        <v>24</v>
      </c>
      <c r="F1" s="31" t="s">
        <v>21</v>
      </c>
      <c r="G1" s="32" t="s">
        <v>91</v>
      </c>
      <c r="H1" s="32" t="s">
        <v>92</v>
      </c>
      <c r="I1" s="32" t="s">
        <v>50</v>
      </c>
      <c r="J1" s="32" t="s">
        <v>25</v>
      </c>
      <c r="K1" s="100"/>
    </row>
    <row r="2" spans="1:11" x14ac:dyDescent="0.3">
      <c r="A2" s="78" t="s">
        <v>10</v>
      </c>
      <c r="B2" s="81">
        <v>3.3</v>
      </c>
      <c r="C2" s="82">
        <v>4</v>
      </c>
      <c r="D2" s="82">
        <v>2</v>
      </c>
      <c r="E2" s="82">
        <v>4</v>
      </c>
      <c r="F2" s="88">
        <v>781</v>
      </c>
      <c r="G2" s="89">
        <v>80000</v>
      </c>
      <c r="H2" s="89">
        <f ca="1">SUMIF(Planung!D:I,A2,Planung!H:H)+SUMIF(Planung!D:I,A2,Planung!I:I)</f>
        <v>270822.40570261993</v>
      </c>
      <c r="I2" s="89">
        <f>J2*1167</f>
        <v>316257</v>
      </c>
      <c r="J2" s="88">
        <f>COUNTIF(Planung!M:M,"ja")</f>
        <v>271</v>
      </c>
      <c r="K2" s="101">
        <f ca="1">+G2-H2</f>
        <v>-190822.40570261993</v>
      </c>
    </row>
    <row r="3" spans="1:11" x14ac:dyDescent="0.3">
      <c r="A3" s="79" t="s">
        <v>11</v>
      </c>
      <c r="B3" s="83">
        <v>10</v>
      </c>
      <c r="C3" s="84">
        <v>5.5</v>
      </c>
      <c r="D3" s="84">
        <v>5</v>
      </c>
      <c r="E3" s="84"/>
      <c r="F3" s="90">
        <v>1273</v>
      </c>
      <c r="G3" s="90">
        <v>3800000</v>
      </c>
      <c r="H3" s="89">
        <f ca="1">SUMIF(Planung!D:I,A3,Planung!H:H)+SUMIF(Planung!D:I,A3,Planung!I:I)</f>
        <v>12375395.587735172</v>
      </c>
      <c r="I3" s="91"/>
      <c r="J3" s="91"/>
      <c r="K3" s="101">
        <f ca="1">+G3-H3</f>
        <v>-8575395.5877351724</v>
      </c>
    </row>
    <row r="4" spans="1:11" x14ac:dyDescent="0.3">
      <c r="A4" s="79" t="s">
        <v>12</v>
      </c>
      <c r="B4" s="83">
        <v>9</v>
      </c>
      <c r="C4" s="84">
        <v>6</v>
      </c>
      <c r="D4" s="84">
        <v>4</v>
      </c>
      <c r="E4" s="84"/>
      <c r="F4" s="90">
        <v>1172</v>
      </c>
      <c r="G4" s="88">
        <v>1200000</v>
      </c>
      <c r="H4" s="89">
        <f ca="1">SUMIF(Planung!D:I,A4,Planung!H:H)+SUMIF(Planung!D:I,A4,Planung!I:I)</f>
        <v>2934563.3058751095</v>
      </c>
      <c r="I4" s="91"/>
      <c r="J4" s="91"/>
      <c r="K4" s="101">
        <f t="shared" ref="K4:K18" ca="1" si="0">+G4-H4</f>
        <v>-1734563.3058751095</v>
      </c>
    </row>
    <row r="5" spans="1:11" x14ac:dyDescent="0.3">
      <c r="A5" s="79" t="s">
        <v>14</v>
      </c>
      <c r="B5" s="33">
        <v>0</v>
      </c>
      <c r="C5" s="28">
        <v>0</v>
      </c>
      <c r="D5" s="28">
        <v>0</v>
      </c>
      <c r="E5" s="28">
        <v>0</v>
      </c>
      <c r="F5" s="90">
        <v>0</v>
      </c>
      <c r="G5" s="88">
        <v>0</v>
      </c>
      <c r="H5" s="89">
        <f ca="1">SUMIF(Planung!D:I,A5,Planung!H:H)+SUMIF(Planung!D:I,A5,Planung!I:I)</f>
        <v>0</v>
      </c>
      <c r="I5" s="91"/>
      <c r="J5" s="91"/>
      <c r="K5" s="101">
        <f t="shared" ca="1" si="0"/>
        <v>0</v>
      </c>
    </row>
    <row r="6" spans="1:11" x14ac:dyDescent="0.3">
      <c r="A6" s="79" t="s">
        <v>30</v>
      </c>
      <c r="B6" s="33">
        <v>0</v>
      </c>
      <c r="C6" s="28">
        <v>0</v>
      </c>
      <c r="D6" s="28">
        <v>0</v>
      </c>
      <c r="E6" s="28">
        <v>0</v>
      </c>
      <c r="F6" s="90">
        <v>0</v>
      </c>
      <c r="G6" s="88">
        <v>0</v>
      </c>
      <c r="H6" s="89">
        <f ca="1">SUMIF(Planung!D:I,A6,Planung!H:H)+SUMIF(Planung!D:I,A6,Planung!I:I)</f>
        <v>33620.160481497143</v>
      </c>
      <c r="I6" s="91"/>
      <c r="J6" s="91"/>
      <c r="K6" s="101">
        <f t="shared" ca="1" si="0"/>
        <v>-33620.160481497143</v>
      </c>
    </row>
    <row r="7" spans="1:11" x14ac:dyDescent="0.3">
      <c r="A7" s="79" t="s">
        <v>66</v>
      </c>
      <c r="B7" s="83">
        <v>10</v>
      </c>
      <c r="C7" s="84">
        <v>3</v>
      </c>
      <c r="D7" s="84">
        <v>1</v>
      </c>
      <c r="E7" s="84"/>
      <c r="F7" s="90">
        <v>1303</v>
      </c>
      <c r="G7" s="88">
        <v>400000</v>
      </c>
      <c r="H7" s="89">
        <f ca="1">SUMIF(Planung!D:I,A7,Planung!H:H)+SUMIF(Planung!D:I,A7,Planung!I:I)</f>
        <v>878775.16873496876</v>
      </c>
      <c r="I7" s="91"/>
      <c r="J7" s="91"/>
      <c r="K7" s="101">
        <f t="shared" ca="1" si="0"/>
        <v>-478775.16873496876</v>
      </c>
    </row>
    <row r="8" spans="1:11" x14ac:dyDescent="0.3">
      <c r="A8" s="34" t="s">
        <v>67</v>
      </c>
      <c r="B8" s="83" t="s">
        <v>87</v>
      </c>
      <c r="C8" s="84" t="s">
        <v>87</v>
      </c>
      <c r="D8" s="84"/>
      <c r="E8" s="84"/>
      <c r="F8" s="90">
        <v>1376</v>
      </c>
      <c r="G8" s="92">
        <v>0</v>
      </c>
      <c r="H8" s="89">
        <f ca="1">SUMIF(Planung!D:I,A8,Planung!H:H)+SUMIF(Planung!D:I,A8,Planung!I:I)</f>
        <v>0</v>
      </c>
      <c r="I8" s="91"/>
      <c r="J8" s="91"/>
      <c r="K8" s="101">
        <f t="shared" ca="1" si="0"/>
        <v>0</v>
      </c>
    </row>
    <row r="9" spans="1:11" x14ac:dyDescent="0.3">
      <c r="A9" s="34" t="s">
        <v>17</v>
      </c>
      <c r="B9" s="83">
        <v>12</v>
      </c>
      <c r="C9" s="84">
        <v>2</v>
      </c>
      <c r="D9" s="84"/>
      <c r="E9" s="84"/>
      <c r="F9" s="90">
        <v>1904</v>
      </c>
      <c r="G9" s="90">
        <v>0</v>
      </c>
      <c r="H9" s="89">
        <f ca="1">SUMIF(Planung!D:I,A9,Planung!H:H)+SUMIF(Planung!D:I,A9,Planung!I:I)</f>
        <v>0</v>
      </c>
      <c r="I9" s="91"/>
      <c r="J9" s="91"/>
      <c r="K9" s="101">
        <f t="shared" ca="1" si="0"/>
        <v>0</v>
      </c>
    </row>
    <row r="10" spans="1:11" x14ac:dyDescent="0.3">
      <c r="A10" s="34" t="s">
        <v>13</v>
      </c>
      <c r="B10" s="33">
        <v>0</v>
      </c>
      <c r="C10" s="28">
        <v>0</v>
      </c>
      <c r="D10" s="28">
        <v>0</v>
      </c>
      <c r="E10" s="28">
        <v>0</v>
      </c>
      <c r="F10" s="90">
        <v>0</v>
      </c>
      <c r="G10" s="88">
        <v>0</v>
      </c>
      <c r="H10" s="89">
        <f ca="1">SUMIF(Planung!D:I,A10,Planung!H:H)+SUMIF(Planung!D:I,A10,Planung!I:I)</f>
        <v>188164.43351343452</v>
      </c>
      <c r="I10" s="91"/>
      <c r="J10" s="91"/>
      <c r="K10" s="101">
        <f t="shared" ca="1" si="0"/>
        <v>-188164.43351343452</v>
      </c>
    </row>
    <row r="11" spans="1:11" x14ac:dyDescent="0.3">
      <c r="A11" s="34" t="s">
        <v>18</v>
      </c>
      <c r="B11" s="83">
        <v>6</v>
      </c>
      <c r="C11" s="84">
        <v>4</v>
      </c>
      <c r="D11" s="84">
        <v>2</v>
      </c>
      <c r="E11" s="84"/>
      <c r="F11" s="92">
        <v>781</v>
      </c>
      <c r="G11" s="92">
        <v>300000</v>
      </c>
      <c r="H11" s="89" t="e">
        <f ca="1">SUMIF(Planung!D:I,A11,Planung!H:H)+SUMIF(Planung!D:I,A11,Planung!I:I)</f>
        <v>#N/A</v>
      </c>
      <c r="I11" s="91"/>
      <c r="J11" s="91"/>
      <c r="K11" s="101" t="e">
        <f t="shared" ca="1" si="0"/>
        <v>#N/A</v>
      </c>
    </row>
    <row r="12" spans="1:11" x14ac:dyDescent="0.3">
      <c r="A12" s="34" t="s">
        <v>73</v>
      </c>
      <c r="B12" s="83">
        <v>10</v>
      </c>
      <c r="C12" s="84">
        <v>3</v>
      </c>
      <c r="D12" s="84"/>
      <c r="E12" s="84"/>
      <c r="F12" s="90">
        <v>1594</v>
      </c>
      <c r="G12" s="88">
        <v>0</v>
      </c>
      <c r="H12" s="89">
        <f ca="1">SUMIF(Planung!D:I,A12,Planung!H:H)+SUMIF(Planung!D:I,A12,Planung!I:I)</f>
        <v>0</v>
      </c>
      <c r="I12" s="91"/>
      <c r="J12" s="91"/>
      <c r="K12" s="101">
        <f t="shared" ca="1" si="0"/>
        <v>0</v>
      </c>
    </row>
    <row r="13" spans="1:11" x14ac:dyDescent="0.3">
      <c r="A13" s="34" t="s">
        <v>29</v>
      </c>
      <c r="B13" s="33">
        <v>0</v>
      </c>
      <c r="C13" s="28">
        <v>0</v>
      </c>
      <c r="D13" s="28">
        <v>0</v>
      </c>
      <c r="E13" s="28">
        <v>0</v>
      </c>
      <c r="F13" s="90">
        <v>0</v>
      </c>
      <c r="G13" s="90">
        <v>0</v>
      </c>
      <c r="H13" s="89">
        <f ca="1">SUMIF(Planung!D:I,A13,Planung!H:H)+SUMIF(Planung!D:I,A13,Planung!I:I)</f>
        <v>92440.078476785391</v>
      </c>
      <c r="I13" s="91"/>
      <c r="J13" s="91"/>
      <c r="K13" s="101">
        <f t="shared" ca="1" si="0"/>
        <v>-92440.078476785391</v>
      </c>
    </row>
    <row r="14" spans="1:11" x14ac:dyDescent="0.3">
      <c r="A14" s="34" t="s">
        <v>69</v>
      </c>
      <c r="B14" s="83">
        <v>12</v>
      </c>
      <c r="C14" s="84">
        <v>2.6</v>
      </c>
      <c r="D14" s="84">
        <v>3</v>
      </c>
      <c r="E14" s="84">
        <v>7</v>
      </c>
      <c r="F14" s="90">
        <v>1617</v>
      </c>
      <c r="G14" s="92">
        <v>4000000</v>
      </c>
      <c r="H14" s="89">
        <f ca="1">SUMIF(Planung!D:I,A14,Planung!H:H)+SUMIF(Planung!D:I,A14,Planung!I:I)</f>
        <v>13131724.466242395</v>
      </c>
      <c r="I14" s="91"/>
      <c r="J14" s="91"/>
      <c r="K14" s="101">
        <f t="shared" ca="1" si="0"/>
        <v>-9131724.4662423953</v>
      </c>
    </row>
    <row r="15" spans="1:11" x14ac:dyDescent="0.3">
      <c r="A15" s="34" t="s">
        <v>71</v>
      </c>
      <c r="B15" s="83">
        <v>12</v>
      </c>
      <c r="C15" s="84">
        <v>3</v>
      </c>
      <c r="D15" s="84"/>
      <c r="E15" s="84"/>
      <c r="F15" s="90">
        <v>1812</v>
      </c>
      <c r="G15" s="90">
        <v>0</v>
      </c>
      <c r="H15" s="89">
        <f ca="1">SUMIF(Planung!D:I,A15,Planung!H:H)+SUMIF(Planung!D:I,A15,Planung!I:I)</f>
        <v>0</v>
      </c>
      <c r="I15" s="91"/>
      <c r="J15" s="91"/>
      <c r="K15" s="101">
        <f t="shared" ca="1" si="0"/>
        <v>0</v>
      </c>
    </row>
    <row r="16" spans="1:11" x14ac:dyDescent="0.3">
      <c r="A16" s="34" t="s">
        <v>65</v>
      </c>
      <c r="B16" s="83">
        <v>10</v>
      </c>
      <c r="C16" s="84">
        <v>9</v>
      </c>
      <c r="D16" s="84">
        <v>2.5</v>
      </c>
      <c r="E16" s="84">
        <v>7</v>
      </c>
      <c r="F16" s="90">
        <v>1185</v>
      </c>
      <c r="G16" s="88">
        <v>410000</v>
      </c>
      <c r="H16" s="89">
        <f ca="1">SUMIF(Planung!D:I,A16,Planung!H:H)+SUMIF(Planung!D:I,A16,Planung!I:I)</f>
        <v>1035497.8407719391</v>
      </c>
      <c r="I16" s="91"/>
      <c r="J16" s="91"/>
      <c r="K16" s="101">
        <f t="shared" ca="1" si="0"/>
        <v>-625497.84077193914</v>
      </c>
    </row>
    <row r="17" spans="1:11" x14ac:dyDescent="0.3">
      <c r="A17" s="34" t="s">
        <v>51</v>
      </c>
      <c r="B17" s="33">
        <v>0</v>
      </c>
      <c r="C17" s="28">
        <v>0</v>
      </c>
      <c r="D17" s="28">
        <v>0</v>
      </c>
      <c r="E17" s="28">
        <v>0</v>
      </c>
      <c r="F17" s="92">
        <v>0</v>
      </c>
      <c r="G17" s="92">
        <v>0</v>
      </c>
      <c r="H17" s="89" t="e">
        <f ca="1">SUMIF(Planung!D:I,A17,Planung!H:H)+SUMIF(Planung!D:I,A17,Planung!I:I)</f>
        <v>#N/A</v>
      </c>
      <c r="I17" s="26"/>
      <c r="J17" s="26"/>
      <c r="K17" s="101" t="e">
        <f t="shared" ca="1" si="0"/>
        <v>#N/A</v>
      </c>
    </row>
    <row r="18" spans="1:11" x14ac:dyDescent="0.3">
      <c r="A18" s="34" t="s">
        <v>72</v>
      </c>
      <c r="B18" s="83">
        <v>2</v>
      </c>
      <c r="C18" s="84">
        <v>18</v>
      </c>
      <c r="D18" s="84"/>
      <c r="E18" s="84"/>
      <c r="F18" s="92">
        <v>307</v>
      </c>
      <c r="G18" s="92">
        <v>0</v>
      </c>
      <c r="H18" s="89">
        <f ca="1">SUMIF(Planung!D:I,A18,Planung!H:H)+SUMIF(Planung!D:I,A18,Planung!I:I)</f>
        <v>0</v>
      </c>
      <c r="I18" s="26"/>
      <c r="J18" s="26"/>
      <c r="K18" s="101">
        <f t="shared" ca="1" si="0"/>
        <v>0</v>
      </c>
    </row>
    <row r="19" spans="1:11" x14ac:dyDescent="0.3">
      <c r="A19" s="34"/>
      <c r="B19" s="33">
        <v>0</v>
      </c>
      <c r="C19" s="28">
        <v>0</v>
      </c>
      <c r="D19" s="28">
        <v>0</v>
      </c>
      <c r="E19" s="28">
        <v>0</v>
      </c>
      <c r="F19" s="92">
        <v>0</v>
      </c>
      <c r="G19" s="92">
        <v>0</v>
      </c>
      <c r="H19" s="89" t="e">
        <f ca="1">SUMIF(Planung!D:I,A19,Planung!H:H)+SUMIF(Planung!D:I,A19,Planung!I:I)</f>
        <v>#N/A</v>
      </c>
      <c r="I19" s="26"/>
      <c r="J19" s="26"/>
      <c r="K19" s="101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1">
    <tabColor rgb="FF00B050"/>
    <pageSetUpPr fitToPage="1"/>
  </sheetPr>
  <dimension ref="A3:HV48"/>
  <sheetViews>
    <sheetView zoomScale="70" zoomScaleNormal="70" zoomScaleSheetLayoutView="70" workbookViewId="0">
      <selection activeCell="B41" sqref="B41"/>
    </sheetView>
  </sheetViews>
  <sheetFormatPr baseColWidth="10" defaultColWidth="3.5546875" defaultRowHeight="13.2" x14ac:dyDescent="0.3"/>
  <cols>
    <col min="1" max="1" width="15.33203125" style="37" bestFit="1" customWidth="1"/>
    <col min="2" max="7" width="12" style="37" customWidth="1"/>
    <col min="8" max="14" width="12.6640625" style="37" customWidth="1"/>
    <col min="15" max="235" width="3.5546875" style="37"/>
    <col min="236" max="236" width="15.88671875" style="37" customWidth="1"/>
    <col min="237" max="237" width="6.6640625" style="37" customWidth="1"/>
    <col min="238" max="238" width="26.44140625" style="37" customWidth="1"/>
    <col min="239" max="239" width="15.44140625" style="37" bestFit="1" customWidth="1"/>
    <col min="240" max="240" width="8.44140625" style="37" customWidth="1"/>
    <col min="241" max="241" width="24.109375" style="37" customWidth="1"/>
    <col min="242" max="242" width="15.44140625" style="37" bestFit="1" customWidth="1"/>
    <col min="243" max="243" width="6.5546875" style="37" customWidth="1"/>
    <col min="244" max="244" width="19.5546875" style="37" customWidth="1"/>
    <col min="245" max="245" width="17.88671875" style="37" customWidth="1"/>
    <col min="246" max="246" width="6.5546875" style="37" customWidth="1"/>
    <col min="247" max="247" width="23.33203125" style="37" customWidth="1"/>
    <col min="248" max="248" width="17" style="37" bestFit="1" customWidth="1"/>
    <col min="249" max="249" width="6.5546875" style="37" customWidth="1"/>
    <col min="250" max="250" width="22.88671875" style="37" customWidth="1"/>
    <col min="251" max="251" width="17" style="37" bestFit="1" customWidth="1"/>
    <col min="252" max="252" width="8.88671875" style="37" customWidth="1"/>
    <col min="253" max="253" width="24.33203125" style="37" customWidth="1"/>
    <col min="254" max="254" width="31.33203125" style="37" customWidth="1"/>
    <col min="255" max="255" width="8.88671875" style="37" bestFit="1" customWidth="1"/>
    <col min="256" max="256" width="19" style="37" bestFit="1" customWidth="1"/>
    <col min="257" max="257" width="15.33203125" style="37" bestFit="1" customWidth="1"/>
    <col min="258" max="263" width="12" style="37" customWidth="1"/>
    <col min="264" max="270" width="12.6640625" style="37" customWidth="1"/>
    <col min="271" max="491" width="3.5546875" style="37"/>
    <col min="492" max="492" width="15.88671875" style="37" customWidth="1"/>
    <col min="493" max="493" width="6.6640625" style="37" customWidth="1"/>
    <col min="494" max="494" width="26.44140625" style="37" customWidth="1"/>
    <col min="495" max="495" width="15.44140625" style="37" bestFit="1" customWidth="1"/>
    <col min="496" max="496" width="8.44140625" style="37" customWidth="1"/>
    <col min="497" max="497" width="24.109375" style="37" customWidth="1"/>
    <col min="498" max="498" width="15.44140625" style="37" bestFit="1" customWidth="1"/>
    <col min="499" max="499" width="6.5546875" style="37" customWidth="1"/>
    <col min="500" max="500" width="19.5546875" style="37" customWidth="1"/>
    <col min="501" max="501" width="17.88671875" style="37" customWidth="1"/>
    <col min="502" max="502" width="6.5546875" style="37" customWidth="1"/>
    <col min="503" max="503" width="23.33203125" style="37" customWidth="1"/>
    <col min="504" max="504" width="17" style="37" bestFit="1" customWidth="1"/>
    <col min="505" max="505" width="6.5546875" style="37" customWidth="1"/>
    <col min="506" max="506" width="22.88671875" style="37" customWidth="1"/>
    <col min="507" max="507" width="17" style="37" bestFit="1" customWidth="1"/>
    <col min="508" max="508" width="8.88671875" style="37" customWidth="1"/>
    <col min="509" max="509" width="24.33203125" style="37" customWidth="1"/>
    <col min="510" max="510" width="31.33203125" style="37" customWidth="1"/>
    <col min="511" max="511" width="8.88671875" style="37" bestFit="1" customWidth="1"/>
    <col min="512" max="512" width="19" style="37" bestFit="1" customWidth="1"/>
    <col min="513" max="513" width="15.33203125" style="37" bestFit="1" customWidth="1"/>
    <col min="514" max="519" width="12" style="37" customWidth="1"/>
    <col min="520" max="526" width="12.6640625" style="37" customWidth="1"/>
    <col min="527" max="747" width="3.5546875" style="37"/>
    <col min="748" max="748" width="15.88671875" style="37" customWidth="1"/>
    <col min="749" max="749" width="6.6640625" style="37" customWidth="1"/>
    <col min="750" max="750" width="26.44140625" style="37" customWidth="1"/>
    <col min="751" max="751" width="15.44140625" style="37" bestFit="1" customWidth="1"/>
    <col min="752" max="752" width="8.44140625" style="37" customWidth="1"/>
    <col min="753" max="753" width="24.109375" style="37" customWidth="1"/>
    <col min="754" max="754" width="15.44140625" style="37" bestFit="1" customWidth="1"/>
    <col min="755" max="755" width="6.5546875" style="37" customWidth="1"/>
    <col min="756" max="756" width="19.5546875" style="37" customWidth="1"/>
    <col min="757" max="757" width="17.88671875" style="37" customWidth="1"/>
    <col min="758" max="758" width="6.5546875" style="37" customWidth="1"/>
    <col min="759" max="759" width="23.33203125" style="37" customWidth="1"/>
    <col min="760" max="760" width="17" style="37" bestFit="1" customWidth="1"/>
    <col min="761" max="761" width="6.5546875" style="37" customWidth="1"/>
    <col min="762" max="762" width="22.88671875" style="37" customWidth="1"/>
    <col min="763" max="763" width="17" style="37" bestFit="1" customWidth="1"/>
    <col min="764" max="764" width="8.88671875" style="37" customWidth="1"/>
    <col min="765" max="765" width="24.33203125" style="37" customWidth="1"/>
    <col min="766" max="766" width="31.33203125" style="37" customWidth="1"/>
    <col min="767" max="767" width="8.88671875" style="37" bestFit="1" customWidth="1"/>
    <col min="768" max="768" width="19" style="37" bestFit="1" customWidth="1"/>
    <col min="769" max="769" width="15.33203125" style="37" bestFit="1" customWidth="1"/>
    <col min="770" max="775" width="12" style="37" customWidth="1"/>
    <col min="776" max="782" width="12.6640625" style="37" customWidth="1"/>
    <col min="783" max="1003" width="3.5546875" style="37"/>
    <col min="1004" max="1004" width="15.88671875" style="37" customWidth="1"/>
    <col min="1005" max="1005" width="6.6640625" style="37" customWidth="1"/>
    <col min="1006" max="1006" width="26.44140625" style="37" customWidth="1"/>
    <col min="1007" max="1007" width="15.44140625" style="37" bestFit="1" customWidth="1"/>
    <col min="1008" max="1008" width="8.44140625" style="37" customWidth="1"/>
    <col min="1009" max="1009" width="24.109375" style="37" customWidth="1"/>
    <col min="1010" max="1010" width="15.44140625" style="37" bestFit="1" customWidth="1"/>
    <col min="1011" max="1011" width="6.5546875" style="37" customWidth="1"/>
    <col min="1012" max="1012" width="19.5546875" style="37" customWidth="1"/>
    <col min="1013" max="1013" width="17.88671875" style="37" customWidth="1"/>
    <col min="1014" max="1014" width="6.5546875" style="37" customWidth="1"/>
    <col min="1015" max="1015" width="23.33203125" style="37" customWidth="1"/>
    <col min="1016" max="1016" width="17" style="37" bestFit="1" customWidth="1"/>
    <col min="1017" max="1017" width="6.5546875" style="37" customWidth="1"/>
    <col min="1018" max="1018" width="22.88671875" style="37" customWidth="1"/>
    <col min="1019" max="1019" width="17" style="37" bestFit="1" customWidth="1"/>
    <col min="1020" max="1020" width="8.88671875" style="37" customWidth="1"/>
    <col min="1021" max="1021" width="24.33203125" style="37" customWidth="1"/>
    <col min="1022" max="1022" width="31.33203125" style="37" customWidth="1"/>
    <col min="1023" max="1023" width="8.88671875" style="37" bestFit="1" customWidth="1"/>
    <col min="1024" max="1024" width="19" style="37" bestFit="1" customWidth="1"/>
    <col min="1025" max="1025" width="15.33203125" style="37" bestFit="1" customWidth="1"/>
    <col min="1026" max="1031" width="12" style="37" customWidth="1"/>
    <col min="1032" max="1038" width="12.6640625" style="37" customWidth="1"/>
    <col min="1039" max="1259" width="3.5546875" style="37"/>
    <col min="1260" max="1260" width="15.88671875" style="37" customWidth="1"/>
    <col min="1261" max="1261" width="6.6640625" style="37" customWidth="1"/>
    <col min="1262" max="1262" width="26.44140625" style="37" customWidth="1"/>
    <col min="1263" max="1263" width="15.44140625" style="37" bestFit="1" customWidth="1"/>
    <col min="1264" max="1264" width="8.44140625" style="37" customWidth="1"/>
    <col min="1265" max="1265" width="24.109375" style="37" customWidth="1"/>
    <col min="1266" max="1266" width="15.44140625" style="37" bestFit="1" customWidth="1"/>
    <col min="1267" max="1267" width="6.5546875" style="37" customWidth="1"/>
    <col min="1268" max="1268" width="19.5546875" style="37" customWidth="1"/>
    <col min="1269" max="1269" width="17.88671875" style="37" customWidth="1"/>
    <col min="1270" max="1270" width="6.5546875" style="37" customWidth="1"/>
    <col min="1271" max="1271" width="23.33203125" style="37" customWidth="1"/>
    <col min="1272" max="1272" width="17" style="37" bestFit="1" customWidth="1"/>
    <col min="1273" max="1273" width="6.5546875" style="37" customWidth="1"/>
    <col min="1274" max="1274" width="22.88671875" style="37" customWidth="1"/>
    <col min="1275" max="1275" width="17" style="37" bestFit="1" customWidth="1"/>
    <col min="1276" max="1276" width="8.88671875" style="37" customWidth="1"/>
    <col min="1277" max="1277" width="24.33203125" style="37" customWidth="1"/>
    <col min="1278" max="1278" width="31.33203125" style="37" customWidth="1"/>
    <col min="1279" max="1279" width="8.88671875" style="37" bestFit="1" customWidth="1"/>
    <col min="1280" max="1280" width="19" style="37" bestFit="1" customWidth="1"/>
    <col min="1281" max="1281" width="15.33203125" style="37" bestFit="1" customWidth="1"/>
    <col min="1282" max="1287" width="12" style="37" customWidth="1"/>
    <col min="1288" max="1294" width="12.6640625" style="37" customWidth="1"/>
    <col min="1295" max="1515" width="3.5546875" style="37"/>
    <col min="1516" max="1516" width="15.88671875" style="37" customWidth="1"/>
    <col min="1517" max="1517" width="6.6640625" style="37" customWidth="1"/>
    <col min="1518" max="1518" width="26.44140625" style="37" customWidth="1"/>
    <col min="1519" max="1519" width="15.44140625" style="37" bestFit="1" customWidth="1"/>
    <col min="1520" max="1520" width="8.44140625" style="37" customWidth="1"/>
    <col min="1521" max="1521" width="24.109375" style="37" customWidth="1"/>
    <col min="1522" max="1522" width="15.44140625" style="37" bestFit="1" customWidth="1"/>
    <col min="1523" max="1523" width="6.5546875" style="37" customWidth="1"/>
    <col min="1524" max="1524" width="19.5546875" style="37" customWidth="1"/>
    <col min="1525" max="1525" width="17.88671875" style="37" customWidth="1"/>
    <col min="1526" max="1526" width="6.5546875" style="37" customWidth="1"/>
    <col min="1527" max="1527" width="23.33203125" style="37" customWidth="1"/>
    <col min="1528" max="1528" width="17" style="37" bestFit="1" customWidth="1"/>
    <col min="1529" max="1529" width="6.5546875" style="37" customWidth="1"/>
    <col min="1530" max="1530" width="22.88671875" style="37" customWidth="1"/>
    <col min="1531" max="1531" width="17" style="37" bestFit="1" customWidth="1"/>
    <col min="1532" max="1532" width="8.88671875" style="37" customWidth="1"/>
    <col min="1533" max="1533" width="24.33203125" style="37" customWidth="1"/>
    <col min="1534" max="1534" width="31.33203125" style="37" customWidth="1"/>
    <col min="1535" max="1535" width="8.88671875" style="37" bestFit="1" customWidth="1"/>
    <col min="1536" max="1536" width="19" style="37" bestFit="1" customWidth="1"/>
    <col min="1537" max="1537" width="15.33203125" style="37" bestFit="1" customWidth="1"/>
    <col min="1538" max="1543" width="12" style="37" customWidth="1"/>
    <col min="1544" max="1550" width="12.6640625" style="37" customWidth="1"/>
    <col min="1551" max="1771" width="3.5546875" style="37"/>
    <col min="1772" max="1772" width="15.88671875" style="37" customWidth="1"/>
    <col min="1773" max="1773" width="6.6640625" style="37" customWidth="1"/>
    <col min="1774" max="1774" width="26.44140625" style="37" customWidth="1"/>
    <col min="1775" max="1775" width="15.44140625" style="37" bestFit="1" customWidth="1"/>
    <col min="1776" max="1776" width="8.44140625" style="37" customWidth="1"/>
    <col min="1777" max="1777" width="24.109375" style="37" customWidth="1"/>
    <col min="1778" max="1778" width="15.44140625" style="37" bestFit="1" customWidth="1"/>
    <col min="1779" max="1779" width="6.5546875" style="37" customWidth="1"/>
    <col min="1780" max="1780" width="19.5546875" style="37" customWidth="1"/>
    <col min="1781" max="1781" width="17.88671875" style="37" customWidth="1"/>
    <col min="1782" max="1782" width="6.5546875" style="37" customWidth="1"/>
    <col min="1783" max="1783" width="23.33203125" style="37" customWidth="1"/>
    <col min="1784" max="1784" width="17" style="37" bestFit="1" customWidth="1"/>
    <col min="1785" max="1785" width="6.5546875" style="37" customWidth="1"/>
    <col min="1786" max="1786" width="22.88671875" style="37" customWidth="1"/>
    <col min="1787" max="1787" width="17" style="37" bestFit="1" customWidth="1"/>
    <col min="1788" max="1788" width="8.88671875" style="37" customWidth="1"/>
    <col min="1789" max="1789" width="24.33203125" style="37" customWidth="1"/>
    <col min="1790" max="1790" width="31.33203125" style="37" customWidth="1"/>
    <col min="1791" max="1791" width="8.88671875" style="37" bestFit="1" customWidth="1"/>
    <col min="1792" max="1792" width="19" style="37" bestFit="1" customWidth="1"/>
    <col min="1793" max="1793" width="15.33203125" style="37" bestFit="1" customWidth="1"/>
    <col min="1794" max="1799" width="12" style="37" customWidth="1"/>
    <col min="1800" max="1806" width="12.6640625" style="37" customWidth="1"/>
    <col min="1807" max="2027" width="3.5546875" style="37"/>
    <col min="2028" max="2028" width="15.88671875" style="37" customWidth="1"/>
    <col min="2029" max="2029" width="6.6640625" style="37" customWidth="1"/>
    <col min="2030" max="2030" width="26.44140625" style="37" customWidth="1"/>
    <col min="2031" max="2031" width="15.44140625" style="37" bestFit="1" customWidth="1"/>
    <col min="2032" max="2032" width="8.44140625" style="37" customWidth="1"/>
    <col min="2033" max="2033" width="24.109375" style="37" customWidth="1"/>
    <col min="2034" max="2034" width="15.44140625" style="37" bestFit="1" customWidth="1"/>
    <col min="2035" max="2035" width="6.5546875" style="37" customWidth="1"/>
    <col min="2036" max="2036" width="19.5546875" style="37" customWidth="1"/>
    <col min="2037" max="2037" width="17.88671875" style="37" customWidth="1"/>
    <col min="2038" max="2038" width="6.5546875" style="37" customWidth="1"/>
    <col min="2039" max="2039" width="23.33203125" style="37" customWidth="1"/>
    <col min="2040" max="2040" width="17" style="37" bestFit="1" customWidth="1"/>
    <col min="2041" max="2041" width="6.5546875" style="37" customWidth="1"/>
    <col min="2042" max="2042" width="22.88671875" style="37" customWidth="1"/>
    <col min="2043" max="2043" width="17" style="37" bestFit="1" customWidth="1"/>
    <col min="2044" max="2044" width="8.88671875" style="37" customWidth="1"/>
    <col min="2045" max="2045" width="24.33203125" style="37" customWidth="1"/>
    <col min="2046" max="2046" width="31.33203125" style="37" customWidth="1"/>
    <col min="2047" max="2047" width="8.88671875" style="37" bestFit="1" customWidth="1"/>
    <col min="2048" max="2048" width="19" style="37" bestFit="1" customWidth="1"/>
    <col min="2049" max="2049" width="15.33203125" style="37" bestFit="1" customWidth="1"/>
    <col min="2050" max="2055" width="12" style="37" customWidth="1"/>
    <col min="2056" max="2062" width="12.6640625" style="37" customWidth="1"/>
    <col min="2063" max="2283" width="3.5546875" style="37"/>
    <col min="2284" max="2284" width="15.88671875" style="37" customWidth="1"/>
    <col min="2285" max="2285" width="6.6640625" style="37" customWidth="1"/>
    <col min="2286" max="2286" width="26.44140625" style="37" customWidth="1"/>
    <col min="2287" max="2287" width="15.44140625" style="37" bestFit="1" customWidth="1"/>
    <col min="2288" max="2288" width="8.44140625" style="37" customWidth="1"/>
    <col min="2289" max="2289" width="24.109375" style="37" customWidth="1"/>
    <col min="2290" max="2290" width="15.44140625" style="37" bestFit="1" customWidth="1"/>
    <col min="2291" max="2291" width="6.5546875" style="37" customWidth="1"/>
    <col min="2292" max="2292" width="19.5546875" style="37" customWidth="1"/>
    <col min="2293" max="2293" width="17.88671875" style="37" customWidth="1"/>
    <col min="2294" max="2294" width="6.5546875" style="37" customWidth="1"/>
    <col min="2295" max="2295" width="23.33203125" style="37" customWidth="1"/>
    <col min="2296" max="2296" width="17" style="37" bestFit="1" customWidth="1"/>
    <col min="2297" max="2297" width="6.5546875" style="37" customWidth="1"/>
    <col min="2298" max="2298" width="22.88671875" style="37" customWidth="1"/>
    <col min="2299" max="2299" width="17" style="37" bestFit="1" customWidth="1"/>
    <col min="2300" max="2300" width="8.88671875" style="37" customWidth="1"/>
    <col min="2301" max="2301" width="24.33203125" style="37" customWidth="1"/>
    <col min="2302" max="2302" width="31.33203125" style="37" customWidth="1"/>
    <col min="2303" max="2303" width="8.88671875" style="37" bestFit="1" customWidth="1"/>
    <col min="2304" max="2304" width="19" style="37" bestFit="1" customWidth="1"/>
    <col min="2305" max="2305" width="15.33203125" style="37" bestFit="1" customWidth="1"/>
    <col min="2306" max="2311" width="12" style="37" customWidth="1"/>
    <col min="2312" max="2318" width="12.6640625" style="37" customWidth="1"/>
    <col min="2319" max="2539" width="3.5546875" style="37"/>
    <col min="2540" max="2540" width="15.88671875" style="37" customWidth="1"/>
    <col min="2541" max="2541" width="6.6640625" style="37" customWidth="1"/>
    <col min="2542" max="2542" width="26.44140625" style="37" customWidth="1"/>
    <col min="2543" max="2543" width="15.44140625" style="37" bestFit="1" customWidth="1"/>
    <col min="2544" max="2544" width="8.44140625" style="37" customWidth="1"/>
    <col min="2545" max="2545" width="24.109375" style="37" customWidth="1"/>
    <col min="2546" max="2546" width="15.44140625" style="37" bestFit="1" customWidth="1"/>
    <col min="2547" max="2547" width="6.5546875" style="37" customWidth="1"/>
    <col min="2548" max="2548" width="19.5546875" style="37" customWidth="1"/>
    <col min="2549" max="2549" width="17.88671875" style="37" customWidth="1"/>
    <col min="2550" max="2550" width="6.5546875" style="37" customWidth="1"/>
    <col min="2551" max="2551" width="23.33203125" style="37" customWidth="1"/>
    <col min="2552" max="2552" width="17" style="37" bestFit="1" customWidth="1"/>
    <col min="2553" max="2553" width="6.5546875" style="37" customWidth="1"/>
    <col min="2554" max="2554" width="22.88671875" style="37" customWidth="1"/>
    <col min="2555" max="2555" width="17" style="37" bestFit="1" customWidth="1"/>
    <col min="2556" max="2556" width="8.88671875" style="37" customWidth="1"/>
    <col min="2557" max="2557" width="24.33203125" style="37" customWidth="1"/>
    <col min="2558" max="2558" width="31.33203125" style="37" customWidth="1"/>
    <col min="2559" max="2559" width="8.88671875" style="37" bestFit="1" customWidth="1"/>
    <col min="2560" max="2560" width="19" style="37" bestFit="1" customWidth="1"/>
    <col min="2561" max="2561" width="15.33203125" style="37" bestFit="1" customWidth="1"/>
    <col min="2562" max="2567" width="12" style="37" customWidth="1"/>
    <col min="2568" max="2574" width="12.6640625" style="37" customWidth="1"/>
    <col min="2575" max="2795" width="3.5546875" style="37"/>
    <col min="2796" max="2796" width="15.88671875" style="37" customWidth="1"/>
    <col min="2797" max="2797" width="6.6640625" style="37" customWidth="1"/>
    <col min="2798" max="2798" width="26.44140625" style="37" customWidth="1"/>
    <col min="2799" max="2799" width="15.44140625" style="37" bestFit="1" customWidth="1"/>
    <col min="2800" max="2800" width="8.44140625" style="37" customWidth="1"/>
    <col min="2801" max="2801" width="24.109375" style="37" customWidth="1"/>
    <col min="2802" max="2802" width="15.44140625" style="37" bestFit="1" customWidth="1"/>
    <col min="2803" max="2803" width="6.5546875" style="37" customWidth="1"/>
    <col min="2804" max="2804" width="19.5546875" style="37" customWidth="1"/>
    <col min="2805" max="2805" width="17.88671875" style="37" customWidth="1"/>
    <col min="2806" max="2806" width="6.5546875" style="37" customWidth="1"/>
    <col min="2807" max="2807" width="23.33203125" style="37" customWidth="1"/>
    <col min="2808" max="2808" width="17" style="37" bestFit="1" customWidth="1"/>
    <col min="2809" max="2809" width="6.5546875" style="37" customWidth="1"/>
    <col min="2810" max="2810" width="22.88671875" style="37" customWidth="1"/>
    <col min="2811" max="2811" width="17" style="37" bestFit="1" customWidth="1"/>
    <col min="2812" max="2812" width="8.88671875" style="37" customWidth="1"/>
    <col min="2813" max="2813" width="24.33203125" style="37" customWidth="1"/>
    <col min="2814" max="2814" width="31.33203125" style="37" customWidth="1"/>
    <col min="2815" max="2815" width="8.88671875" style="37" bestFit="1" customWidth="1"/>
    <col min="2816" max="2816" width="19" style="37" bestFit="1" customWidth="1"/>
    <col min="2817" max="2817" width="15.33203125" style="37" bestFit="1" customWidth="1"/>
    <col min="2818" max="2823" width="12" style="37" customWidth="1"/>
    <col min="2824" max="2830" width="12.6640625" style="37" customWidth="1"/>
    <col min="2831" max="3051" width="3.5546875" style="37"/>
    <col min="3052" max="3052" width="15.88671875" style="37" customWidth="1"/>
    <col min="3053" max="3053" width="6.6640625" style="37" customWidth="1"/>
    <col min="3054" max="3054" width="26.44140625" style="37" customWidth="1"/>
    <col min="3055" max="3055" width="15.44140625" style="37" bestFit="1" customWidth="1"/>
    <col min="3056" max="3056" width="8.44140625" style="37" customWidth="1"/>
    <col min="3057" max="3057" width="24.109375" style="37" customWidth="1"/>
    <col min="3058" max="3058" width="15.44140625" style="37" bestFit="1" customWidth="1"/>
    <col min="3059" max="3059" width="6.5546875" style="37" customWidth="1"/>
    <col min="3060" max="3060" width="19.5546875" style="37" customWidth="1"/>
    <col min="3061" max="3061" width="17.88671875" style="37" customWidth="1"/>
    <col min="3062" max="3062" width="6.5546875" style="37" customWidth="1"/>
    <col min="3063" max="3063" width="23.33203125" style="37" customWidth="1"/>
    <col min="3064" max="3064" width="17" style="37" bestFit="1" customWidth="1"/>
    <col min="3065" max="3065" width="6.5546875" style="37" customWidth="1"/>
    <col min="3066" max="3066" width="22.88671875" style="37" customWidth="1"/>
    <col min="3067" max="3067" width="17" style="37" bestFit="1" customWidth="1"/>
    <col min="3068" max="3068" width="8.88671875" style="37" customWidth="1"/>
    <col min="3069" max="3069" width="24.33203125" style="37" customWidth="1"/>
    <col min="3070" max="3070" width="31.33203125" style="37" customWidth="1"/>
    <col min="3071" max="3071" width="8.88671875" style="37" bestFit="1" customWidth="1"/>
    <col min="3072" max="3072" width="19" style="37" bestFit="1" customWidth="1"/>
    <col min="3073" max="3073" width="15.33203125" style="37" bestFit="1" customWidth="1"/>
    <col min="3074" max="3079" width="12" style="37" customWidth="1"/>
    <col min="3080" max="3086" width="12.6640625" style="37" customWidth="1"/>
    <col min="3087" max="3307" width="3.5546875" style="37"/>
    <col min="3308" max="3308" width="15.88671875" style="37" customWidth="1"/>
    <col min="3309" max="3309" width="6.6640625" style="37" customWidth="1"/>
    <col min="3310" max="3310" width="26.44140625" style="37" customWidth="1"/>
    <col min="3311" max="3311" width="15.44140625" style="37" bestFit="1" customWidth="1"/>
    <col min="3312" max="3312" width="8.44140625" style="37" customWidth="1"/>
    <col min="3313" max="3313" width="24.109375" style="37" customWidth="1"/>
    <col min="3314" max="3314" width="15.44140625" style="37" bestFit="1" customWidth="1"/>
    <col min="3315" max="3315" width="6.5546875" style="37" customWidth="1"/>
    <col min="3316" max="3316" width="19.5546875" style="37" customWidth="1"/>
    <col min="3317" max="3317" width="17.88671875" style="37" customWidth="1"/>
    <col min="3318" max="3318" width="6.5546875" style="37" customWidth="1"/>
    <col min="3319" max="3319" width="23.33203125" style="37" customWidth="1"/>
    <col min="3320" max="3320" width="17" style="37" bestFit="1" customWidth="1"/>
    <col min="3321" max="3321" width="6.5546875" style="37" customWidth="1"/>
    <col min="3322" max="3322" width="22.88671875" style="37" customWidth="1"/>
    <col min="3323" max="3323" width="17" style="37" bestFit="1" customWidth="1"/>
    <col min="3324" max="3324" width="8.88671875" style="37" customWidth="1"/>
    <col min="3325" max="3325" width="24.33203125" style="37" customWidth="1"/>
    <col min="3326" max="3326" width="31.33203125" style="37" customWidth="1"/>
    <col min="3327" max="3327" width="8.88671875" style="37" bestFit="1" customWidth="1"/>
    <col min="3328" max="3328" width="19" style="37" bestFit="1" customWidth="1"/>
    <col min="3329" max="3329" width="15.33203125" style="37" bestFit="1" customWidth="1"/>
    <col min="3330" max="3335" width="12" style="37" customWidth="1"/>
    <col min="3336" max="3342" width="12.6640625" style="37" customWidth="1"/>
    <col min="3343" max="3563" width="3.5546875" style="37"/>
    <col min="3564" max="3564" width="15.88671875" style="37" customWidth="1"/>
    <col min="3565" max="3565" width="6.6640625" style="37" customWidth="1"/>
    <col min="3566" max="3566" width="26.44140625" style="37" customWidth="1"/>
    <col min="3567" max="3567" width="15.44140625" style="37" bestFit="1" customWidth="1"/>
    <col min="3568" max="3568" width="8.44140625" style="37" customWidth="1"/>
    <col min="3569" max="3569" width="24.109375" style="37" customWidth="1"/>
    <col min="3570" max="3570" width="15.44140625" style="37" bestFit="1" customWidth="1"/>
    <col min="3571" max="3571" width="6.5546875" style="37" customWidth="1"/>
    <col min="3572" max="3572" width="19.5546875" style="37" customWidth="1"/>
    <col min="3573" max="3573" width="17.88671875" style="37" customWidth="1"/>
    <col min="3574" max="3574" width="6.5546875" style="37" customWidth="1"/>
    <col min="3575" max="3575" width="23.33203125" style="37" customWidth="1"/>
    <col min="3576" max="3576" width="17" style="37" bestFit="1" customWidth="1"/>
    <col min="3577" max="3577" width="6.5546875" style="37" customWidth="1"/>
    <col min="3578" max="3578" width="22.88671875" style="37" customWidth="1"/>
    <col min="3579" max="3579" width="17" style="37" bestFit="1" customWidth="1"/>
    <col min="3580" max="3580" width="8.88671875" style="37" customWidth="1"/>
    <col min="3581" max="3581" width="24.33203125" style="37" customWidth="1"/>
    <col min="3582" max="3582" width="31.33203125" style="37" customWidth="1"/>
    <col min="3583" max="3583" width="8.88671875" style="37" bestFit="1" customWidth="1"/>
    <col min="3584" max="3584" width="19" style="37" bestFit="1" customWidth="1"/>
    <col min="3585" max="3585" width="15.33203125" style="37" bestFit="1" customWidth="1"/>
    <col min="3586" max="3591" width="12" style="37" customWidth="1"/>
    <col min="3592" max="3598" width="12.6640625" style="37" customWidth="1"/>
    <col min="3599" max="3819" width="3.5546875" style="37"/>
    <col min="3820" max="3820" width="15.88671875" style="37" customWidth="1"/>
    <col min="3821" max="3821" width="6.6640625" style="37" customWidth="1"/>
    <col min="3822" max="3822" width="26.44140625" style="37" customWidth="1"/>
    <col min="3823" max="3823" width="15.44140625" style="37" bestFit="1" customWidth="1"/>
    <col min="3824" max="3824" width="8.44140625" style="37" customWidth="1"/>
    <col min="3825" max="3825" width="24.109375" style="37" customWidth="1"/>
    <col min="3826" max="3826" width="15.44140625" style="37" bestFit="1" customWidth="1"/>
    <col min="3827" max="3827" width="6.5546875" style="37" customWidth="1"/>
    <col min="3828" max="3828" width="19.5546875" style="37" customWidth="1"/>
    <col min="3829" max="3829" width="17.88671875" style="37" customWidth="1"/>
    <col min="3830" max="3830" width="6.5546875" style="37" customWidth="1"/>
    <col min="3831" max="3831" width="23.33203125" style="37" customWidth="1"/>
    <col min="3832" max="3832" width="17" style="37" bestFit="1" customWidth="1"/>
    <col min="3833" max="3833" width="6.5546875" style="37" customWidth="1"/>
    <col min="3834" max="3834" width="22.88671875" style="37" customWidth="1"/>
    <col min="3835" max="3835" width="17" style="37" bestFit="1" customWidth="1"/>
    <col min="3836" max="3836" width="8.88671875" style="37" customWidth="1"/>
    <col min="3837" max="3837" width="24.33203125" style="37" customWidth="1"/>
    <col min="3838" max="3838" width="31.33203125" style="37" customWidth="1"/>
    <col min="3839" max="3839" width="8.88671875" style="37" bestFit="1" customWidth="1"/>
    <col min="3840" max="3840" width="19" style="37" bestFit="1" customWidth="1"/>
    <col min="3841" max="3841" width="15.33203125" style="37" bestFit="1" customWidth="1"/>
    <col min="3842" max="3847" width="12" style="37" customWidth="1"/>
    <col min="3848" max="3854" width="12.6640625" style="37" customWidth="1"/>
    <col min="3855" max="4075" width="3.5546875" style="37"/>
    <col min="4076" max="4076" width="15.88671875" style="37" customWidth="1"/>
    <col min="4077" max="4077" width="6.6640625" style="37" customWidth="1"/>
    <col min="4078" max="4078" width="26.44140625" style="37" customWidth="1"/>
    <col min="4079" max="4079" width="15.44140625" style="37" bestFit="1" customWidth="1"/>
    <col min="4080" max="4080" width="8.44140625" style="37" customWidth="1"/>
    <col min="4081" max="4081" width="24.109375" style="37" customWidth="1"/>
    <col min="4082" max="4082" width="15.44140625" style="37" bestFit="1" customWidth="1"/>
    <col min="4083" max="4083" width="6.5546875" style="37" customWidth="1"/>
    <col min="4084" max="4084" width="19.5546875" style="37" customWidth="1"/>
    <col min="4085" max="4085" width="17.88671875" style="37" customWidth="1"/>
    <col min="4086" max="4086" width="6.5546875" style="37" customWidth="1"/>
    <col min="4087" max="4087" width="23.33203125" style="37" customWidth="1"/>
    <col min="4088" max="4088" width="17" style="37" bestFit="1" customWidth="1"/>
    <col min="4089" max="4089" width="6.5546875" style="37" customWidth="1"/>
    <col min="4090" max="4090" width="22.88671875" style="37" customWidth="1"/>
    <col min="4091" max="4091" width="17" style="37" bestFit="1" customWidth="1"/>
    <col min="4092" max="4092" width="8.88671875" style="37" customWidth="1"/>
    <col min="4093" max="4093" width="24.33203125" style="37" customWidth="1"/>
    <col min="4094" max="4094" width="31.33203125" style="37" customWidth="1"/>
    <col min="4095" max="4095" width="8.88671875" style="37" bestFit="1" customWidth="1"/>
    <col min="4096" max="4096" width="19" style="37" bestFit="1" customWidth="1"/>
    <col min="4097" max="4097" width="15.33203125" style="37" bestFit="1" customWidth="1"/>
    <col min="4098" max="4103" width="12" style="37" customWidth="1"/>
    <col min="4104" max="4110" width="12.6640625" style="37" customWidth="1"/>
    <col min="4111" max="4331" width="3.5546875" style="37"/>
    <col min="4332" max="4332" width="15.88671875" style="37" customWidth="1"/>
    <col min="4333" max="4333" width="6.6640625" style="37" customWidth="1"/>
    <col min="4334" max="4334" width="26.44140625" style="37" customWidth="1"/>
    <col min="4335" max="4335" width="15.44140625" style="37" bestFit="1" customWidth="1"/>
    <col min="4336" max="4336" width="8.44140625" style="37" customWidth="1"/>
    <col min="4337" max="4337" width="24.109375" style="37" customWidth="1"/>
    <col min="4338" max="4338" width="15.44140625" style="37" bestFit="1" customWidth="1"/>
    <col min="4339" max="4339" width="6.5546875" style="37" customWidth="1"/>
    <col min="4340" max="4340" width="19.5546875" style="37" customWidth="1"/>
    <col min="4341" max="4341" width="17.88671875" style="37" customWidth="1"/>
    <col min="4342" max="4342" width="6.5546875" style="37" customWidth="1"/>
    <col min="4343" max="4343" width="23.33203125" style="37" customWidth="1"/>
    <col min="4344" max="4344" width="17" style="37" bestFit="1" customWidth="1"/>
    <col min="4345" max="4345" width="6.5546875" style="37" customWidth="1"/>
    <col min="4346" max="4346" width="22.88671875" style="37" customWidth="1"/>
    <col min="4347" max="4347" width="17" style="37" bestFit="1" customWidth="1"/>
    <col min="4348" max="4348" width="8.88671875" style="37" customWidth="1"/>
    <col min="4349" max="4349" width="24.33203125" style="37" customWidth="1"/>
    <col min="4350" max="4350" width="31.33203125" style="37" customWidth="1"/>
    <col min="4351" max="4351" width="8.88671875" style="37" bestFit="1" customWidth="1"/>
    <col min="4352" max="4352" width="19" style="37" bestFit="1" customWidth="1"/>
    <col min="4353" max="4353" width="15.33203125" style="37" bestFit="1" customWidth="1"/>
    <col min="4354" max="4359" width="12" style="37" customWidth="1"/>
    <col min="4360" max="4366" width="12.6640625" style="37" customWidth="1"/>
    <col min="4367" max="4587" width="3.5546875" style="37"/>
    <col min="4588" max="4588" width="15.88671875" style="37" customWidth="1"/>
    <col min="4589" max="4589" width="6.6640625" style="37" customWidth="1"/>
    <col min="4590" max="4590" width="26.44140625" style="37" customWidth="1"/>
    <col min="4591" max="4591" width="15.44140625" style="37" bestFit="1" customWidth="1"/>
    <col min="4592" max="4592" width="8.44140625" style="37" customWidth="1"/>
    <col min="4593" max="4593" width="24.109375" style="37" customWidth="1"/>
    <col min="4594" max="4594" width="15.44140625" style="37" bestFit="1" customWidth="1"/>
    <col min="4595" max="4595" width="6.5546875" style="37" customWidth="1"/>
    <col min="4596" max="4596" width="19.5546875" style="37" customWidth="1"/>
    <col min="4597" max="4597" width="17.88671875" style="37" customWidth="1"/>
    <col min="4598" max="4598" width="6.5546875" style="37" customWidth="1"/>
    <col min="4599" max="4599" width="23.33203125" style="37" customWidth="1"/>
    <col min="4600" max="4600" width="17" style="37" bestFit="1" customWidth="1"/>
    <col min="4601" max="4601" width="6.5546875" style="37" customWidth="1"/>
    <col min="4602" max="4602" width="22.88671875" style="37" customWidth="1"/>
    <col min="4603" max="4603" width="17" style="37" bestFit="1" customWidth="1"/>
    <col min="4604" max="4604" width="8.88671875" style="37" customWidth="1"/>
    <col min="4605" max="4605" width="24.33203125" style="37" customWidth="1"/>
    <col min="4606" max="4606" width="31.33203125" style="37" customWidth="1"/>
    <col min="4607" max="4607" width="8.88671875" style="37" bestFit="1" customWidth="1"/>
    <col min="4608" max="4608" width="19" style="37" bestFit="1" customWidth="1"/>
    <col min="4609" max="4609" width="15.33203125" style="37" bestFit="1" customWidth="1"/>
    <col min="4610" max="4615" width="12" style="37" customWidth="1"/>
    <col min="4616" max="4622" width="12.6640625" style="37" customWidth="1"/>
    <col min="4623" max="4843" width="3.5546875" style="37"/>
    <col min="4844" max="4844" width="15.88671875" style="37" customWidth="1"/>
    <col min="4845" max="4845" width="6.6640625" style="37" customWidth="1"/>
    <col min="4846" max="4846" width="26.44140625" style="37" customWidth="1"/>
    <col min="4847" max="4847" width="15.44140625" style="37" bestFit="1" customWidth="1"/>
    <col min="4848" max="4848" width="8.44140625" style="37" customWidth="1"/>
    <col min="4849" max="4849" width="24.109375" style="37" customWidth="1"/>
    <col min="4850" max="4850" width="15.44140625" style="37" bestFit="1" customWidth="1"/>
    <col min="4851" max="4851" width="6.5546875" style="37" customWidth="1"/>
    <col min="4852" max="4852" width="19.5546875" style="37" customWidth="1"/>
    <col min="4853" max="4853" width="17.88671875" style="37" customWidth="1"/>
    <col min="4854" max="4854" width="6.5546875" style="37" customWidth="1"/>
    <col min="4855" max="4855" width="23.33203125" style="37" customWidth="1"/>
    <col min="4856" max="4856" width="17" style="37" bestFit="1" customWidth="1"/>
    <col min="4857" max="4857" width="6.5546875" style="37" customWidth="1"/>
    <col min="4858" max="4858" width="22.88671875" style="37" customWidth="1"/>
    <col min="4859" max="4859" width="17" style="37" bestFit="1" customWidth="1"/>
    <col min="4860" max="4860" width="8.88671875" style="37" customWidth="1"/>
    <col min="4861" max="4861" width="24.33203125" style="37" customWidth="1"/>
    <col min="4862" max="4862" width="31.33203125" style="37" customWidth="1"/>
    <col min="4863" max="4863" width="8.88671875" style="37" bestFit="1" customWidth="1"/>
    <col min="4864" max="4864" width="19" style="37" bestFit="1" customWidth="1"/>
    <col min="4865" max="4865" width="15.33203125" style="37" bestFit="1" customWidth="1"/>
    <col min="4866" max="4871" width="12" style="37" customWidth="1"/>
    <col min="4872" max="4878" width="12.6640625" style="37" customWidth="1"/>
    <col min="4879" max="5099" width="3.5546875" style="37"/>
    <col min="5100" max="5100" width="15.88671875" style="37" customWidth="1"/>
    <col min="5101" max="5101" width="6.6640625" style="37" customWidth="1"/>
    <col min="5102" max="5102" width="26.44140625" style="37" customWidth="1"/>
    <col min="5103" max="5103" width="15.44140625" style="37" bestFit="1" customWidth="1"/>
    <col min="5104" max="5104" width="8.44140625" style="37" customWidth="1"/>
    <col min="5105" max="5105" width="24.109375" style="37" customWidth="1"/>
    <col min="5106" max="5106" width="15.44140625" style="37" bestFit="1" customWidth="1"/>
    <col min="5107" max="5107" width="6.5546875" style="37" customWidth="1"/>
    <col min="5108" max="5108" width="19.5546875" style="37" customWidth="1"/>
    <col min="5109" max="5109" width="17.88671875" style="37" customWidth="1"/>
    <col min="5110" max="5110" width="6.5546875" style="37" customWidth="1"/>
    <col min="5111" max="5111" width="23.33203125" style="37" customWidth="1"/>
    <col min="5112" max="5112" width="17" style="37" bestFit="1" customWidth="1"/>
    <col min="5113" max="5113" width="6.5546875" style="37" customWidth="1"/>
    <col min="5114" max="5114" width="22.88671875" style="37" customWidth="1"/>
    <col min="5115" max="5115" width="17" style="37" bestFit="1" customWidth="1"/>
    <col min="5116" max="5116" width="8.88671875" style="37" customWidth="1"/>
    <col min="5117" max="5117" width="24.33203125" style="37" customWidth="1"/>
    <col min="5118" max="5118" width="31.33203125" style="37" customWidth="1"/>
    <col min="5119" max="5119" width="8.88671875" style="37" bestFit="1" customWidth="1"/>
    <col min="5120" max="5120" width="19" style="37" bestFit="1" customWidth="1"/>
    <col min="5121" max="5121" width="15.33203125" style="37" bestFit="1" customWidth="1"/>
    <col min="5122" max="5127" width="12" style="37" customWidth="1"/>
    <col min="5128" max="5134" width="12.6640625" style="37" customWidth="1"/>
    <col min="5135" max="5355" width="3.5546875" style="37"/>
    <col min="5356" max="5356" width="15.88671875" style="37" customWidth="1"/>
    <col min="5357" max="5357" width="6.6640625" style="37" customWidth="1"/>
    <col min="5358" max="5358" width="26.44140625" style="37" customWidth="1"/>
    <col min="5359" max="5359" width="15.44140625" style="37" bestFit="1" customWidth="1"/>
    <col min="5360" max="5360" width="8.44140625" style="37" customWidth="1"/>
    <col min="5361" max="5361" width="24.109375" style="37" customWidth="1"/>
    <col min="5362" max="5362" width="15.44140625" style="37" bestFit="1" customWidth="1"/>
    <col min="5363" max="5363" width="6.5546875" style="37" customWidth="1"/>
    <col min="5364" max="5364" width="19.5546875" style="37" customWidth="1"/>
    <col min="5365" max="5365" width="17.88671875" style="37" customWidth="1"/>
    <col min="5366" max="5366" width="6.5546875" style="37" customWidth="1"/>
    <col min="5367" max="5367" width="23.33203125" style="37" customWidth="1"/>
    <col min="5368" max="5368" width="17" style="37" bestFit="1" customWidth="1"/>
    <col min="5369" max="5369" width="6.5546875" style="37" customWidth="1"/>
    <col min="5370" max="5370" width="22.88671875" style="37" customWidth="1"/>
    <col min="5371" max="5371" width="17" style="37" bestFit="1" customWidth="1"/>
    <col min="5372" max="5372" width="8.88671875" style="37" customWidth="1"/>
    <col min="5373" max="5373" width="24.33203125" style="37" customWidth="1"/>
    <col min="5374" max="5374" width="31.33203125" style="37" customWidth="1"/>
    <col min="5375" max="5375" width="8.88671875" style="37" bestFit="1" customWidth="1"/>
    <col min="5376" max="5376" width="19" style="37" bestFit="1" customWidth="1"/>
    <col min="5377" max="5377" width="15.33203125" style="37" bestFit="1" customWidth="1"/>
    <col min="5378" max="5383" width="12" style="37" customWidth="1"/>
    <col min="5384" max="5390" width="12.6640625" style="37" customWidth="1"/>
    <col min="5391" max="5611" width="3.5546875" style="37"/>
    <col min="5612" max="5612" width="15.88671875" style="37" customWidth="1"/>
    <col min="5613" max="5613" width="6.6640625" style="37" customWidth="1"/>
    <col min="5614" max="5614" width="26.44140625" style="37" customWidth="1"/>
    <col min="5615" max="5615" width="15.44140625" style="37" bestFit="1" customWidth="1"/>
    <col min="5616" max="5616" width="8.44140625" style="37" customWidth="1"/>
    <col min="5617" max="5617" width="24.109375" style="37" customWidth="1"/>
    <col min="5618" max="5618" width="15.44140625" style="37" bestFit="1" customWidth="1"/>
    <col min="5619" max="5619" width="6.5546875" style="37" customWidth="1"/>
    <col min="5620" max="5620" width="19.5546875" style="37" customWidth="1"/>
    <col min="5621" max="5621" width="17.88671875" style="37" customWidth="1"/>
    <col min="5622" max="5622" width="6.5546875" style="37" customWidth="1"/>
    <col min="5623" max="5623" width="23.33203125" style="37" customWidth="1"/>
    <col min="5624" max="5624" width="17" style="37" bestFit="1" customWidth="1"/>
    <col min="5625" max="5625" width="6.5546875" style="37" customWidth="1"/>
    <col min="5626" max="5626" width="22.88671875" style="37" customWidth="1"/>
    <col min="5627" max="5627" width="17" style="37" bestFit="1" customWidth="1"/>
    <col min="5628" max="5628" width="8.88671875" style="37" customWidth="1"/>
    <col min="5629" max="5629" width="24.33203125" style="37" customWidth="1"/>
    <col min="5630" max="5630" width="31.33203125" style="37" customWidth="1"/>
    <col min="5631" max="5631" width="8.88671875" style="37" bestFit="1" customWidth="1"/>
    <col min="5632" max="5632" width="19" style="37" bestFit="1" customWidth="1"/>
    <col min="5633" max="5633" width="15.33203125" style="37" bestFit="1" customWidth="1"/>
    <col min="5634" max="5639" width="12" style="37" customWidth="1"/>
    <col min="5640" max="5646" width="12.6640625" style="37" customWidth="1"/>
    <col min="5647" max="5867" width="3.5546875" style="37"/>
    <col min="5868" max="5868" width="15.88671875" style="37" customWidth="1"/>
    <col min="5869" max="5869" width="6.6640625" style="37" customWidth="1"/>
    <col min="5870" max="5870" width="26.44140625" style="37" customWidth="1"/>
    <col min="5871" max="5871" width="15.44140625" style="37" bestFit="1" customWidth="1"/>
    <col min="5872" max="5872" width="8.44140625" style="37" customWidth="1"/>
    <col min="5873" max="5873" width="24.109375" style="37" customWidth="1"/>
    <col min="5874" max="5874" width="15.44140625" style="37" bestFit="1" customWidth="1"/>
    <col min="5875" max="5875" width="6.5546875" style="37" customWidth="1"/>
    <col min="5876" max="5876" width="19.5546875" style="37" customWidth="1"/>
    <col min="5877" max="5877" width="17.88671875" style="37" customWidth="1"/>
    <col min="5878" max="5878" width="6.5546875" style="37" customWidth="1"/>
    <col min="5879" max="5879" width="23.33203125" style="37" customWidth="1"/>
    <col min="5880" max="5880" width="17" style="37" bestFit="1" customWidth="1"/>
    <col min="5881" max="5881" width="6.5546875" style="37" customWidth="1"/>
    <col min="5882" max="5882" width="22.88671875" style="37" customWidth="1"/>
    <col min="5883" max="5883" width="17" style="37" bestFit="1" customWidth="1"/>
    <col min="5884" max="5884" width="8.88671875" style="37" customWidth="1"/>
    <col min="5885" max="5885" width="24.33203125" style="37" customWidth="1"/>
    <col min="5886" max="5886" width="31.33203125" style="37" customWidth="1"/>
    <col min="5887" max="5887" width="8.88671875" style="37" bestFit="1" customWidth="1"/>
    <col min="5888" max="5888" width="19" style="37" bestFit="1" customWidth="1"/>
    <col min="5889" max="5889" width="15.33203125" style="37" bestFit="1" customWidth="1"/>
    <col min="5890" max="5895" width="12" style="37" customWidth="1"/>
    <col min="5896" max="5902" width="12.6640625" style="37" customWidth="1"/>
    <col min="5903" max="6123" width="3.5546875" style="37"/>
    <col min="6124" max="6124" width="15.88671875" style="37" customWidth="1"/>
    <col min="6125" max="6125" width="6.6640625" style="37" customWidth="1"/>
    <col min="6126" max="6126" width="26.44140625" style="37" customWidth="1"/>
    <col min="6127" max="6127" width="15.44140625" style="37" bestFit="1" customWidth="1"/>
    <col min="6128" max="6128" width="8.44140625" style="37" customWidth="1"/>
    <col min="6129" max="6129" width="24.109375" style="37" customWidth="1"/>
    <col min="6130" max="6130" width="15.44140625" style="37" bestFit="1" customWidth="1"/>
    <col min="6131" max="6131" width="6.5546875" style="37" customWidth="1"/>
    <col min="6132" max="6132" width="19.5546875" style="37" customWidth="1"/>
    <col min="6133" max="6133" width="17.88671875" style="37" customWidth="1"/>
    <col min="6134" max="6134" width="6.5546875" style="37" customWidth="1"/>
    <col min="6135" max="6135" width="23.33203125" style="37" customWidth="1"/>
    <col min="6136" max="6136" width="17" style="37" bestFit="1" customWidth="1"/>
    <col min="6137" max="6137" width="6.5546875" style="37" customWidth="1"/>
    <col min="6138" max="6138" width="22.88671875" style="37" customWidth="1"/>
    <col min="6139" max="6139" width="17" style="37" bestFit="1" customWidth="1"/>
    <col min="6140" max="6140" width="8.88671875" style="37" customWidth="1"/>
    <col min="6141" max="6141" width="24.33203125" style="37" customWidth="1"/>
    <col min="6142" max="6142" width="31.33203125" style="37" customWidth="1"/>
    <col min="6143" max="6143" width="8.88671875" style="37" bestFit="1" customWidth="1"/>
    <col min="6144" max="6144" width="19" style="37" bestFit="1" customWidth="1"/>
    <col min="6145" max="6145" width="15.33203125" style="37" bestFit="1" customWidth="1"/>
    <col min="6146" max="6151" width="12" style="37" customWidth="1"/>
    <col min="6152" max="6158" width="12.6640625" style="37" customWidth="1"/>
    <col min="6159" max="6379" width="3.5546875" style="37"/>
    <col min="6380" max="6380" width="15.88671875" style="37" customWidth="1"/>
    <col min="6381" max="6381" width="6.6640625" style="37" customWidth="1"/>
    <col min="6382" max="6382" width="26.44140625" style="37" customWidth="1"/>
    <col min="6383" max="6383" width="15.44140625" style="37" bestFit="1" customWidth="1"/>
    <col min="6384" max="6384" width="8.44140625" style="37" customWidth="1"/>
    <col min="6385" max="6385" width="24.109375" style="37" customWidth="1"/>
    <col min="6386" max="6386" width="15.44140625" style="37" bestFit="1" customWidth="1"/>
    <col min="6387" max="6387" width="6.5546875" style="37" customWidth="1"/>
    <col min="6388" max="6388" width="19.5546875" style="37" customWidth="1"/>
    <col min="6389" max="6389" width="17.88671875" style="37" customWidth="1"/>
    <col min="6390" max="6390" width="6.5546875" style="37" customWidth="1"/>
    <col min="6391" max="6391" width="23.33203125" style="37" customWidth="1"/>
    <col min="6392" max="6392" width="17" style="37" bestFit="1" customWidth="1"/>
    <col min="6393" max="6393" width="6.5546875" style="37" customWidth="1"/>
    <col min="6394" max="6394" width="22.88671875" style="37" customWidth="1"/>
    <col min="6395" max="6395" width="17" style="37" bestFit="1" customWidth="1"/>
    <col min="6396" max="6396" width="8.88671875" style="37" customWidth="1"/>
    <col min="6397" max="6397" width="24.33203125" style="37" customWidth="1"/>
    <col min="6398" max="6398" width="31.33203125" style="37" customWidth="1"/>
    <col min="6399" max="6399" width="8.88671875" style="37" bestFit="1" customWidth="1"/>
    <col min="6400" max="6400" width="19" style="37" bestFit="1" customWidth="1"/>
    <col min="6401" max="6401" width="15.33203125" style="37" bestFit="1" customWidth="1"/>
    <col min="6402" max="6407" width="12" style="37" customWidth="1"/>
    <col min="6408" max="6414" width="12.6640625" style="37" customWidth="1"/>
    <col min="6415" max="6635" width="3.5546875" style="37"/>
    <col min="6636" max="6636" width="15.88671875" style="37" customWidth="1"/>
    <col min="6637" max="6637" width="6.6640625" style="37" customWidth="1"/>
    <col min="6638" max="6638" width="26.44140625" style="37" customWidth="1"/>
    <col min="6639" max="6639" width="15.44140625" style="37" bestFit="1" customWidth="1"/>
    <col min="6640" max="6640" width="8.44140625" style="37" customWidth="1"/>
    <col min="6641" max="6641" width="24.109375" style="37" customWidth="1"/>
    <col min="6642" max="6642" width="15.44140625" style="37" bestFit="1" customWidth="1"/>
    <col min="6643" max="6643" width="6.5546875" style="37" customWidth="1"/>
    <col min="6644" max="6644" width="19.5546875" style="37" customWidth="1"/>
    <col min="6645" max="6645" width="17.88671875" style="37" customWidth="1"/>
    <col min="6646" max="6646" width="6.5546875" style="37" customWidth="1"/>
    <col min="6647" max="6647" width="23.33203125" style="37" customWidth="1"/>
    <col min="6648" max="6648" width="17" style="37" bestFit="1" customWidth="1"/>
    <col min="6649" max="6649" width="6.5546875" style="37" customWidth="1"/>
    <col min="6650" max="6650" width="22.88671875" style="37" customWidth="1"/>
    <col min="6651" max="6651" width="17" style="37" bestFit="1" customWidth="1"/>
    <col min="6652" max="6652" width="8.88671875" style="37" customWidth="1"/>
    <col min="6653" max="6653" width="24.33203125" style="37" customWidth="1"/>
    <col min="6654" max="6654" width="31.33203125" style="37" customWidth="1"/>
    <col min="6655" max="6655" width="8.88671875" style="37" bestFit="1" customWidth="1"/>
    <col min="6656" max="6656" width="19" style="37" bestFit="1" customWidth="1"/>
    <col min="6657" max="6657" width="15.33203125" style="37" bestFit="1" customWidth="1"/>
    <col min="6658" max="6663" width="12" style="37" customWidth="1"/>
    <col min="6664" max="6670" width="12.6640625" style="37" customWidth="1"/>
    <col min="6671" max="6891" width="3.5546875" style="37"/>
    <col min="6892" max="6892" width="15.88671875" style="37" customWidth="1"/>
    <col min="6893" max="6893" width="6.6640625" style="37" customWidth="1"/>
    <col min="6894" max="6894" width="26.44140625" style="37" customWidth="1"/>
    <col min="6895" max="6895" width="15.44140625" style="37" bestFit="1" customWidth="1"/>
    <col min="6896" max="6896" width="8.44140625" style="37" customWidth="1"/>
    <col min="6897" max="6897" width="24.109375" style="37" customWidth="1"/>
    <col min="6898" max="6898" width="15.44140625" style="37" bestFit="1" customWidth="1"/>
    <col min="6899" max="6899" width="6.5546875" style="37" customWidth="1"/>
    <col min="6900" max="6900" width="19.5546875" style="37" customWidth="1"/>
    <col min="6901" max="6901" width="17.88671875" style="37" customWidth="1"/>
    <col min="6902" max="6902" width="6.5546875" style="37" customWidth="1"/>
    <col min="6903" max="6903" width="23.33203125" style="37" customWidth="1"/>
    <col min="6904" max="6904" width="17" style="37" bestFit="1" customWidth="1"/>
    <col min="6905" max="6905" width="6.5546875" style="37" customWidth="1"/>
    <col min="6906" max="6906" width="22.88671875" style="37" customWidth="1"/>
    <col min="6907" max="6907" width="17" style="37" bestFit="1" customWidth="1"/>
    <col min="6908" max="6908" width="8.88671875" style="37" customWidth="1"/>
    <col min="6909" max="6909" width="24.33203125" style="37" customWidth="1"/>
    <col min="6910" max="6910" width="31.33203125" style="37" customWidth="1"/>
    <col min="6911" max="6911" width="8.88671875" style="37" bestFit="1" customWidth="1"/>
    <col min="6912" max="6912" width="19" style="37" bestFit="1" customWidth="1"/>
    <col min="6913" max="6913" width="15.33203125" style="37" bestFit="1" customWidth="1"/>
    <col min="6914" max="6919" width="12" style="37" customWidth="1"/>
    <col min="6920" max="6926" width="12.6640625" style="37" customWidth="1"/>
    <col min="6927" max="7147" width="3.5546875" style="37"/>
    <col min="7148" max="7148" width="15.88671875" style="37" customWidth="1"/>
    <col min="7149" max="7149" width="6.6640625" style="37" customWidth="1"/>
    <col min="7150" max="7150" width="26.44140625" style="37" customWidth="1"/>
    <col min="7151" max="7151" width="15.44140625" style="37" bestFit="1" customWidth="1"/>
    <col min="7152" max="7152" width="8.44140625" style="37" customWidth="1"/>
    <col min="7153" max="7153" width="24.109375" style="37" customWidth="1"/>
    <col min="7154" max="7154" width="15.44140625" style="37" bestFit="1" customWidth="1"/>
    <col min="7155" max="7155" width="6.5546875" style="37" customWidth="1"/>
    <col min="7156" max="7156" width="19.5546875" style="37" customWidth="1"/>
    <col min="7157" max="7157" width="17.88671875" style="37" customWidth="1"/>
    <col min="7158" max="7158" width="6.5546875" style="37" customWidth="1"/>
    <col min="7159" max="7159" width="23.33203125" style="37" customWidth="1"/>
    <col min="7160" max="7160" width="17" style="37" bestFit="1" customWidth="1"/>
    <col min="7161" max="7161" width="6.5546875" style="37" customWidth="1"/>
    <col min="7162" max="7162" width="22.88671875" style="37" customWidth="1"/>
    <col min="7163" max="7163" width="17" style="37" bestFit="1" customWidth="1"/>
    <col min="7164" max="7164" width="8.88671875" style="37" customWidth="1"/>
    <col min="7165" max="7165" width="24.33203125" style="37" customWidth="1"/>
    <col min="7166" max="7166" width="31.33203125" style="37" customWidth="1"/>
    <col min="7167" max="7167" width="8.88671875" style="37" bestFit="1" customWidth="1"/>
    <col min="7168" max="7168" width="19" style="37" bestFit="1" customWidth="1"/>
    <col min="7169" max="7169" width="15.33203125" style="37" bestFit="1" customWidth="1"/>
    <col min="7170" max="7175" width="12" style="37" customWidth="1"/>
    <col min="7176" max="7182" width="12.6640625" style="37" customWidth="1"/>
    <col min="7183" max="7403" width="3.5546875" style="37"/>
    <col min="7404" max="7404" width="15.88671875" style="37" customWidth="1"/>
    <col min="7405" max="7405" width="6.6640625" style="37" customWidth="1"/>
    <col min="7406" max="7406" width="26.44140625" style="37" customWidth="1"/>
    <col min="7407" max="7407" width="15.44140625" style="37" bestFit="1" customWidth="1"/>
    <col min="7408" max="7408" width="8.44140625" style="37" customWidth="1"/>
    <col min="7409" max="7409" width="24.109375" style="37" customWidth="1"/>
    <col min="7410" max="7410" width="15.44140625" style="37" bestFit="1" customWidth="1"/>
    <col min="7411" max="7411" width="6.5546875" style="37" customWidth="1"/>
    <col min="7412" max="7412" width="19.5546875" style="37" customWidth="1"/>
    <col min="7413" max="7413" width="17.88671875" style="37" customWidth="1"/>
    <col min="7414" max="7414" width="6.5546875" style="37" customWidth="1"/>
    <col min="7415" max="7415" width="23.33203125" style="37" customWidth="1"/>
    <col min="7416" max="7416" width="17" style="37" bestFit="1" customWidth="1"/>
    <col min="7417" max="7417" width="6.5546875" style="37" customWidth="1"/>
    <col min="7418" max="7418" width="22.88671875" style="37" customWidth="1"/>
    <col min="7419" max="7419" width="17" style="37" bestFit="1" customWidth="1"/>
    <col min="7420" max="7420" width="8.88671875" style="37" customWidth="1"/>
    <col min="7421" max="7421" width="24.33203125" style="37" customWidth="1"/>
    <col min="7422" max="7422" width="31.33203125" style="37" customWidth="1"/>
    <col min="7423" max="7423" width="8.88671875" style="37" bestFit="1" customWidth="1"/>
    <col min="7424" max="7424" width="19" style="37" bestFit="1" customWidth="1"/>
    <col min="7425" max="7425" width="15.33203125" style="37" bestFit="1" customWidth="1"/>
    <col min="7426" max="7431" width="12" style="37" customWidth="1"/>
    <col min="7432" max="7438" width="12.6640625" style="37" customWidth="1"/>
    <col min="7439" max="7659" width="3.5546875" style="37"/>
    <col min="7660" max="7660" width="15.88671875" style="37" customWidth="1"/>
    <col min="7661" max="7661" width="6.6640625" style="37" customWidth="1"/>
    <col min="7662" max="7662" width="26.44140625" style="37" customWidth="1"/>
    <col min="7663" max="7663" width="15.44140625" style="37" bestFit="1" customWidth="1"/>
    <col min="7664" max="7664" width="8.44140625" style="37" customWidth="1"/>
    <col min="7665" max="7665" width="24.109375" style="37" customWidth="1"/>
    <col min="7666" max="7666" width="15.44140625" style="37" bestFit="1" customWidth="1"/>
    <col min="7667" max="7667" width="6.5546875" style="37" customWidth="1"/>
    <col min="7668" max="7668" width="19.5546875" style="37" customWidth="1"/>
    <col min="7669" max="7669" width="17.88671875" style="37" customWidth="1"/>
    <col min="7670" max="7670" width="6.5546875" style="37" customWidth="1"/>
    <col min="7671" max="7671" width="23.33203125" style="37" customWidth="1"/>
    <col min="7672" max="7672" width="17" style="37" bestFit="1" customWidth="1"/>
    <col min="7673" max="7673" width="6.5546875" style="37" customWidth="1"/>
    <col min="7674" max="7674" width="22.88671875" style="37" customWidth="1"/>
    <col min="7675" max="7675" width="17" style="37" bestFit="1" customWidth="1"/>
    <col min="7676" max="7676" width="8.88671875" style="37" customWidth="1"/>
    <col min="7677" max="7677" width="24.33203125" style="37" customWidth="1"/>
    <col min="7678" max="7678" width="31.33203125" style="37" customWidth="1"/>
    <col min="7679" max="7679" width="8.88671875" style="37" bestFit="1" customWidth="1"/>
    <col min="7680" max="7680" width="19" style="37" bestFit="1" customWidth="1"/>
    <col min="7681" max="7681" width="15.33203125" style="37" bestFit="1" customWidth="1"/>
    <col min="7682" max="7687" width="12" style="37" customWidth="1"/>
    <col min="7688" max="7694" width="12.6640625" style="37" customWidth="1"/>
    <col min="7695" max="7915" width="3.5546875" style="37"/>
    <col min="7916" max="7916" width="15.88671875" style="37" customWidth="1"/>
    <col min="7917" max="7917" width="6.6640625" style="37" customWidth="1"/>
    <col min="7918" max="7918" width="26.44140625" style="37" customWidth="1"/>
    <col min="7919" max="7919" width="15.44140625" style="37" bestFit="1" customWidth="1"/>
    <col min="7920" max="7920" width="8.44140625" style="37" customWidth="1"/>
    <col min="7921" max="7921" width="24.109375" style="37" customWidth="1"/>
    <col min="7922" max="7922" width="15.44140625" style="37" bestFit="1" customWidth="1"/>
    <col min="7923" max="7923" width="6.5546875" style="37" customWidth="1"/>
    <col min="7924" max="7924" width="19.5546875" style="37" customWidth="1"/>
    <col min="7925" max="7925" width="17.88671875" style="37" customWidth="1"/>
    <col min="7926" max="7926" width="6.5546875" style="37" customWidth="1"/>
    <col min="7927" max="7927" width="23.33203125" style="37" customWidth="1"/>
    <col min="7928" max="7928" width="17" style="37" bestFit="1" customWidth="1"/>
    <col min="7929" max="7929" width="6.5546875" style="37" customWidth="1"/>
    <col min="7930" max="7930" width="22.88671875" style="37" customWidth="1"/>
    <col min="7931" max="7931" width="17" style="37" bestFit="1" customWidth="1"/>
    <col min="7932" max="7932" width="8.88671875" style="37" customWidth="1"/>
    <col min="7933" max="7933" width="24.33203125" style="37" customWidth="1"/>
    <col min="7934" max="7934" width="31.33203125" style="37" customWidth="1"/>
    <col min="7935" max="7935" width="8.88671875" style="37" bestFit="1" customWidth="1"/>
    <col min="7936" max="7936" width="19" style="37" bestFit="1" customWidth="1"/>
    <col min="7937" max="7937" width="15.33203125" style="37" bestFit="1" customWidth="1"/>
    <col min="7938" max="7943" width="12" style="37" customWidth="1"/>
    <col min="7944" max="7950" width="12.6640625" style="37" customWidth="1"/>
    <col min="7951" max="8171" width="3.5546875" style="37"/>
    <col min="8172" max="8172" width="15.88671875" style="37" customWidth="1"/>
    <col min="8173" max="8173" width="6.6640625" style="37" customWidth="1"/>
    <col min="8174" max="8174" width="26.44140625" style="37" customWidth="1"/>
    <col min="8175" max="8175" width="15.44140625" style="37" bestFit="1" customWidth="1"/>
    <col min="8176" max="8176" width="8.44140625" style="37" customWidth="1"/>
    <col min="8177" max="8177" width="24.109375" style="37" customWidth="1"/>
    <col min="8178" max="8178" width="15.44140625" style="37" bestFit="1" customWidth="1"/>
    <col min="8179" max="8179" width="6.5546875" style="37" customWidth="1"/>
    <col min="8180" max="8180" width="19.5546875" style="37" customWidth="1"/>
    <col min="8181" max="8181" width="17.88671875" style="37" customWidth="1"/>
    <col min="8182" max="8182" width="6.5546875" style="37" customWidth="1"/>
    <col min="8183" max="8183" width="23.33203125" style="37" customWidth="1"/>
    <col min="8184" max="8184" width="17" style="37" bestFit="1" customWidth="1"/>
    <col min="8185" max="8185" width="6.5546875" style="37" customWidth="1"/>
    <col min="8186" max="8186" width="22.88671875" style="37" customWidth="1"/>
    <col min="8187" max="8187" width="17" style="37" bestFit="1" customWidth="1"/>
    <col min="8188" max="8188" width="8.88671875" style="37" customWidth="1"/>
    <col min="8189" max="8189" width="24.33203125" style="37" customWidth="1"/>
    <col min="8190" max="8190" width="31.33203125" style="37" customWidth="1"/>
    <col min="8191" max="8191" width="8.88671875" style="37" bestFit="1" customWidth="1"/>
    <col min="8192" max="8192" width="19" style="37" bestFit="1" customWidth="1"/>
    <col min="8193" max="8193" width="15.33203125" style="37" bestFit="1" customWidth="1"/>
    <col min="8194" max="8199" width="12" style="37" customWidth="1"/>
    <col min="8200" max="8206" width="12.6640625" style="37" customWidth="1"/>
    <col min="8207" max="8427" width="3.5546875" style="37"/>
    <col min="8428" max="8428" width="15.88671875" style="37" customWidth="1"/>
    <col min="8429" max="8429" width="6.6640625" style="37" customWidth="1"/>
    <col min="8430" max="8430" width="26.44140625" style="37" customWidth="1"/>
    <col min="8431" max="8431" width="15.44140625" style="37" bestFit="1" customWidth="1"/>
    <col min="8432" max="8432" width="8.44140625" style="37" customWidth="1"/>
    <col min="8433" max="8433" width="24.109375" style="37" customWidth="1"/>
    <col min="8434" max="8434" width="15.44140625" style="37" bestFit="1" customWidth="1"/>
    <col min="8435" max="8435" width="6.5546875" style="37" customWidth="1"/>
    <col min="8436" max="8436" width="19.5546875" style="37" customWidth="1"/>
    <col min="8437" max="8437" width="17.88671875" style="37" customWidth="1"/>
    <col min="8438" max="8438" width="6.5546875" style="37" customWidth="1"/>
    <col min="8439" max="8439" width="23.33203125" style="37" customWidth="1"/>
    <col min="8440" max="8440" width="17" style="37" bestFit="1" customWidth="1"/>
    <col min="8441" max="8441" width="6.5546875" style="37" customWidth="1"/>
    <col min="8442" max="8442" width="22.88671875" style="37" customWidth="1"/>
    <col min="8443" max="8443" width="17" style="37" bestFit="1" customWidth="1"/>
    <col min="8444" max="8444" width="8.88671875" style="37" customWidth="1"/>
    <col min="8445" max="8445" width="24.33203125" style="37" customWidth="1"/>
    <col min="8446" max="8446" width="31.33203125" style="37" customWidth="1"/>
    <col min="8447" max="8447" width="8.88671875" style="37" bestFit="1" customWidth="1"/>
    <col min="8448" max="8448" width="19" style="37" bestFit="1" customWidth="1"/>
    <col min="8449" max="8449" width="15.33203125" style="37" bestFit="1" customWidth="1"/>
    <col min="8450" max="8455" width="12" style="37" customWidth="1"/>
    <col min="8456" max="8462" width="12.6640625" style="37" customWidth="1"/>
    <col min="8463" max="8683" width="3.5546875" style="37"/>
    <col min="8684" max="8684" width="15.88671875" style="37" customWidth="1"/>
    <col min="8685" max="8685" width="6.6640625" style="37" customWidth="1"/>
    <col min="8686" max="8686" width="26.44140625" style="37" customWidth="1"/>
    <col min="8687" max="8687" width="15.44140625" style="37" bestFit="1" customWidth="1"/>
    <col min="8688" max="8688" width="8.44140625" style="37" customWidth="1"/>
    <col min="8689" max="8689" width="24.109375" style="37" customWidth="1"/>
    <col min="8690" max="8690" width="15.44140625" style="37" bestFit="1" customWidth="1"/>
    <col min="8691" max="8691" width="6.5546875" style="37" customWidth="1"/>
    <col min="8692" max="8692" width="19.5546875" style="37" customWidth="1"/>
    <col min="8693" max="8693" width="17.88671875" style="37" customWidth="1"/>
    <col min="8694" max="8694" width="6.5546875" style="37" customWidth="1"/>
    <col min="8695" max="8695" width="23.33203125" style="37" customWidth="1"/>
    <col min="8696" max="8696" width="17" style="37" bestFit="1" customWidth="1"/>
    <col min="8697" max="8697" width="6.5546875" style="37" customWidth="1"/>
    <col min="8698" max="8698" width="22.88671875" style="37" customWidth="1"/>
    <col min="8699" max="8699" width="17" style="37" bestFit="1" customWidth="1"/>
    <col min="8700" max="8700" width="8.88671875" style="37" customWidth="1"/>
    <col min="8701" max="8701" width="24.33203125" style="37" customWidth="1"/>
    <col min="8702" max="8702" width="31.33203125" style="37" customWidth="1"/>
    <col min="8703" max="8703" width="8.88671875" style="37" bestFit="1" customWidth="1"/>
    <col min="8704" max="8704" width="19" style="37" bestFit="1" customWidth="1"/>
    <col min="8705" max="8705" width="15.33203125" style="37" bestFit="1" customWidth="1"/>
    <col min="8706" max="8711" width="12" style="37" customWidth="1"/>
    <col min="8712" max="8718" width="12.6640625" style="37" customWidth="1"/>
    <col min="8719" max="8939" width="3.5546875" style="37"/>
    <col min="8940" max="8940" width="15.88671875" style="37" customWidth="1"/>
    <col min="8941" max="8941" width="6.6640625" style="37" customWidth="1"/>
    <col min="8942" max="8942" width="26.44140625" style="37" customWidth="1"/>
    <col min="8943" max="8943" width="15.44140625" style="37" bestFit="1" customWidth="1"/>
    <col min="8944" max="8944" width="8.44140625" style="37" customWidth="1"/>
    <col min="8945" max="8945" width="24.109375" style="37" customWidth="1"/>
    <col min="8946" max="8946" width="15.44140625" style="37" bestFit="1" customWidth="1"/>
    <col min="8947" max="8947" width="6.5546875" style="37" customWidth="1"/>
    <col min="8948" max="8948" width="19.5546875" style="37" customWidth="1"/>
    <col min="8949" max="8949" width="17.88671875" style="37" customWidth="1"/>
    <col min="8950" max="8950" width="6.5546875" style="37" customWidth="1"/>
    <col min="8951" max="8951" width="23.33203125" style="37" customWidth="1"/>
    <col min="8952" max="8952" width="17" style="37" bestFit="1" customWidth="1"/>
    <col min="8953" max="8953" width="6.5546875" style="37" customWidth="1"/>
    <col min="8954" max="8954" width="22.88671875" style="37" customWidth="1"/>
    <col min="8955" max="8955" width="17" style="37" bestFit="1" customWidth="1"/>
    <col min="8956" max="8956" width="8.88671875" style="37" customWidth="1"/>
    <col min="8957" max="8957" width="24.33203125" style="37" customWidth="1"/>
    <col min="8958" max="8958" width="31.33203125" style="37" customWidth="1"/>
    <col min="8959" max="8959" width="8.88671875" style="37" bestFit="1" customWidth="1"/>
    <col min="8960" max="8960" width="19" style="37" bestFit="1" customWidth="1"/>
    <col min="8961" max="8961" width="15.33203125" style="37" bestFit="1" customWidth="1"/>
    <col min="8962" max="8967" width="12" style="37" customWidth="1"/>
    <col min="8968" max="8974" width="12.6640625" style="37" customWidth="1"/>
    <col min="8975" max="9195" width="3.5546875" style="37"/>
    <col min="9196" max="9196" width="15.88671875" style="37" customWidth="1"/>
    <col min="9197" max="9197" width="6.6640625" style="37" customWidth="1"/>
    <col min="9198" max="9198" width="26.44140625" style="37" customWidth="1"/>
    <col min="9199" max="9199" width="15.44140625" style="37" bestFit="1" customWidth="1"/>
    <col min="9200" max="9200" width="8.44140625" style="37" customWidth="1"/>
    <col min="9201" max="9201" width="24.109375" style="37" customWidth="1"/>
    <col min="9202" max="9202" width="15.44140625" style="37" bestFit="1" customWidth="1"/>
    <col min="9203" max="9203" width="6.5546875" style="37" customWidth="1"/>
    <col min="9204" max="9204" width="19.5546875" style="37" customWidth="1"/>
    <col min="9205" max="9205" width="17.88671875" style="37" customWidth="1"/>
    <col min="9206" max="9206" width="6.5546875" style="37" customWidth="1"/>
    <col min="9207" max="9207" width="23.33203125" style="37" customWidth="1"/>
    <col min="9208" max="9208" width="17" style="37" bestFit="1" customWidth="1"/>
    <col min="9209" max="9209" width="6.5546875" style="37" customWidth="1"/>
    <col min="9210" max="9210" width="22.88671875" style="37" customWidth="1"/>
    <col min="9211" max="9211" width="17" style="37" bestFit="1" customWidth="1"/>
    <col min="9212" max="9212" width="8.88671875" style="37" customWidth="1"/>
    <col min="9213" max="9213" width="24.33203125" style="37" customWidth="1"/>
    <col min="9214" max="9214" width="31.33203125" style="37" customWidth="1"/>
    <col min="9215" max="9215" width="8.88671875" style="37" bestFit="1" customWidth="1"/>
    <col min="9216" max="9216" width="19" style="37" bestFit="1" customWidth="1"/>
    <col min="9217" max="9217" width="15.33203125" style="37" bestFit="1" customWidth="1"/>
    <col min="9218" max="9223" width="12" style="37" customWidth="1"/>
    <col min="9224" max="9230" width="12.6640625" style="37" customWidth="1"/>
    <col min="9231" max="9451" width="3.5546875" style="37"/>
    <col min="9452" max="9452" width="15.88671875" style="37" customWidth="1"/>
    <col min="9453" max="9453" width="6.6640625" style="37" customWidth="1"/>
    <col min="9454" max="9454" width="26.44140625" style="37" customWidth="1"/>
    <col min="9455" max="9455" width="15.44140625" style="37" bestFit="1" customWidth="1"/>
    <col min="9456" max="9456" width="8.44140625" style="37" customWidth="1"/>
    <col min="9457" max="9457" width="24.109375" style="37" customWidth="1"/>
    <col min="9458" max="9458" width="15.44140625" style="37" bestFit="1" customWidth="1"/>
    <col min="9459" max="9459" width="6.5546875" style="37" customWidth="1"/>
    <col min="9460" max="9460" width="19.5546875" style="37" customWidth="1"/>
    <col min="9461" max="9461" width="17.88671875" style="37" customWidth="1"/>
    <col min="9462" max="9462" width="6.5546875" style="37" customWidth="1"/>
    <col min="9463" max="9463" width="23.33203125" style="37" customWidth="1"/>
    <col min="9464" max="9464" width="17" style="37" bestFit="1" customWidth="1"/>
    <col min="9465" max="9465" width="6.5546875" style="37" customWidth="1"/>
    <col min="9466" max="9466" width="22.88671875" style="37" customWidth="1"/>
    <col min="9467" max="9467" width="17" style="37" bestFit="1" customWidth="1"/>
    <col min="9468" max="9468" width="8.88671875" style="37" customWidth="1"/>
    <col min="9469" max="9469" width="24.33203125" style="37" customWidth="1"/>
    <col min="9470" max="9470" width="31.33203125" style="37" customWidth="1"/>
    <col min="9471" max="9471" width="8.88671875" style="37" bestFit="1" customWidth="1"/>
    <col min="9472" max="9472" width="19" style="37" bestFit="1" customWidth="1"/>
    <col min="9473" max="9473" width="15.33203125" style="37" bestFit="1" customWidth="1"/>
    <col min="9474" max="9479" width="12" style="37" customWidth="1"/>
    <col min="9480" max="9486" width="12.6640625" style="37" customWidth="1"/>
    <col min="9487" max="9707" width="3.5546875" style="37"/>
    <col min="9708" max="9708" width="15.88671875" style="37" customWidth="1"/>
    <col min="9709" max="9709" width="6.6640625" style="37" customWidth="1"/>
    <col min="9710" max="9710" width="26.44140625" style="37" customWidth="1"/>
    <col min="9711" max="9711" width="15.44140625" style="37" bestFit="1" customWidth="1"/>
    <col min="9712" max="9712" width="8.44140625" style="37" customWidth="1"/>
    <col min="9713" max="9713" width="24.109375" style="37" customWidth="1"/>
    <col min="9714" max="9714" width="15.44140625" style="37" bestFit="1" customWidth="1"/>
    <col min="9715" max="9715" width="6.5546875" style="37" customWidth="1"/>
    <col min="9716" max="9716" width="19.5546875" style="37" customWidth="1"/>
    <col min="9717" max="9717" width="17.88671875" style="37" customWidth="1"/>
    <col min="9718" max="9718" width="6.5546875" style="37" customWidth="1"/>
    <col min="9719" max="9719" width="23.33203125" style="37" customWidth="1"/>
    <col min="9720" max="9720" width="17" style="37" bestFit="1" customWidth="1"/>
    <col min="9721" max="9721" width="6.5546875" style="37" customWidth="1"/>
    <col min="9722" max="9722" width="22.88671875" style="37" customWidth="1"/>
    <col min="9723" max="9723" width="17" style="37" bestFit="1" customWidth="1"/>
    <col min="9724" max="9724" width="8.88671875" style="37" customWidth="1"/>
    <col min="9725" max="9725" width="24.33203125" style="37" customWidth="1"/>
    <col min="9726" max="9726" width="31.33203125" style="37" customWidth="1"/>
    <col min="9727" max="9727" width="8.88671875" style="37" bestFit="1" customWidth="1"/>
    <col min="9728" max="9728" width="19" style="37" bestFit="1" customWidth="1"/>
    <col min="9729" max="9729" width="15.33203125" style="37" bestFit="1" customWidth="1"/>
    <col min="9730" max="9735" width="12" style="37" customWidth="1"/>
    <col min="9736" max="9742" width="12.6640625" style="37" customWidth="1"/>
    <col min="9743" max="9963" width="3.5546875" style="37"/>
    <col min="9964" max="9964" width="15.88671875" style="37" customWidth="1"/>
    <col min="9965" max="9965" width="6.6640625" style="37" customWidth="1"/>
    <col min="9966" max="9966" width="26.44140625" style="37" customWidth="1"/>
    <col min="9967" max="9967" width="15.44140625" style="37" bestFit="1" customWidth="1"/>
    <col min="9968" max="9968" width="8.44140625" style="37" customWidth="1"/>
    <col min="9969" max="9969" width="24.109375" style="37" customWidth="1"/>
    <col min="9970" max="9970" width="15.44140625" style="37" bestFit="1" customWidth="1"/>
    <col min="9971" max="9971" width="6.5546875" style="37" customWidth="1"/>
    <col min="9972" max="9972" width="19.5546875" style="37" customWidth="1"/>
    <col min="9973" max="9973" width="17.88671875" style="37" customWidth="1"/>
    <col min="9974" max="9974" width="6.5546875" style="37" customWidth="1"/>
    <col min="9975" max="9975" width="23.33203125" style="37" customWidth="1"/>
    <col min="9976" max="9976" width="17" style="37" bestFit="1" customWidth="1"/>
    <col min="9977" max="9977" width="6.5546875" style="37" customWidth="1"/>
    <col min="9978" max="9978" width="22.88671875" style="37" customWidth="1"/>
    <col min="9979" max="9979" width="17" style="37" bestFit="1" customWidth="1"/>
    <col min="9980" max="9980" width="8.88671875" style="37" customWidth="1"/>
    <col min="9981" max="9981" width="24.33203125" style="37" customWidth="1"/>
    <col min="9982" max="9982" width="31.33203125" style="37" customWidth="1"/>
    <col min="9983" max="9983" width="8.88671875" style="37" bestFit="1" customWidth="1"/>
    <col min="9984" max="9984" width="19" style="37" bestFit="1" customWidth="1"/>
    <col min="9985" max="9985" width="15.33203125" style="37" bestFit="1" customWidth="1"/>
    <col min="9986" max="9991" width="12" style="37" customWidth="1"/>
    <col min="9992" max="9998" width="12.6640625" style="37" customWidth="1"/>
    <col min="9999" max="10219" width="3.5546875" style="37"/>
    <col min="10220" max="10220" width="15.88671875" style="37" customWidth="1"/>
    <col min="10221" max="10221" width="6.6640625" style="37" customWidth="1"/>
    <col min="10222" max="10222" width="26.44140625" style="37" customWidth="1"/>
    <col min="10223" max="10223" width="15.44140625" style="37" bestFit="1" customWidth="1"/>
    <col min="10224" max="10224" width="8.44140625" style="37" customWidth="1"/>
    <col min="10225" max="10225" width="24.109375" style="37" customWidth="1"/>
    <col min="10226" max="10226" width="15.44140625" style="37" bestFit="1" customWidth="1"/>
    <col min="10227" max="10227" width="6.5546875" style="37" customWidth="1"/>
    <col min="10228" max="10228" width="19.5546875" style="37" customWidth="1"/>
    <col min="10229" max="10229" width="17.88671875" style="37" customWidth="1"/>
    <col min="10230" max="10230" width="6.5546875" style="37" customWidth="1"/>
    <col min="10231" max="10231" width="23.33203125" style="37" customWidth="1"/>
    <col min="10232" max="10232" width="17" style="37" bestFit="1" customWidth="1"/>
    <col min="10233" max="10233" width="6.5546875" style="37" customWidth="1"/>
    <col min="10234" max="10234" width="22.88671875" style="37" customWidth="1"/>
    <col min="10235" max="10235" width="17" style="37" bestFit="1" customWidth="1"/>
    <col min="10236" max="10236" width="8.88671875" style="37" customWidth="1"/>
    <col min="10237" max="10237" width="24.33203125" style="37" customWidth="1"/>
    <col min="10238" max="10238" width="31.33203125" style="37" customWidth="1"/>
    <col min="10239" max="10239" width="8.88671875" style="37" bestFit="1" customWidth="1"/>
    <col min="10240" max="10240" width="19" style="37" bestFit="1" customWidth="1"/>
    <col min="10241" max="10241" width="15.33203125" style="37" bestFit="1" customWidth="1"/>
    <col min="10242" max="10247" width="12" style="37" customWidth="1"/>
    <col min="10248" max="10254" width="12.6640625" style="37" customWidth="1"/>
    <col min="10255" max="10475" width="3.5546875" style="37"/>
    <col min="10476" max="10476" width="15.88671875" style="37" customWidth="1"/>
    <col min="10477" max="10477" width="6.6640625" style="37" customWidth="1"/>
    <col min="10478" max="10478" width="26.44140625" style="37" customWidth="1"/>
    <col min="10479" max="10479" width="15.44140625" style="37" bestFit="1" customWidth="1"/>
    <col min="10480" max="10480" width="8.44140625" style="37" customWidth="1"/>
    <col min="10481" max="10481" width="24.109375" style="37" customWidth="1"/>
    <col min="10482" max="10482" width="15.44140625" style="37" bestFit="1" customWidth="1"/>
    <col min="10483" max="10483" width="6.5546875" style="37" customWidth="1"/>
    <col min="10484" max="10484" width="19.5546875" style="37" customWidth="1"/>
    <col min="10485" max="10485" width="17.88671875" style="37" customWidth="1"/>
    <col min="10486" max="10486" width="6.5546875" style="37" customWidth="1"/>
    <col min="10487" max="10487" width="23.33203125" style="37" customWidth="1"/>
    <col min="10488" max="10488" width="17" style="37" bestFit="1" customWidth="1"/>
    <col min="10489" max="10489" width="6.5546875" style="37" customWidth="1"/>
    <col min="10490" max="10490" width="22.88671875" style="37" customWidth="1"/>
    <col min="10491" max="10491" width="17" style="37" bestFit="1" customWidth="1"/>
    <col min="10492" max="10492" width="8.88671875" style="37" customWidth="1"/>
    <col min="10493" max="10493" width="24.33203125" style="37" customWidth="1"/>
    <col min="10494" max="10494" width="31.33203125" style="37" customWidth="1"/>
    <col min="10495" max="10495" width="8.88671875" style="37" bestFit="1" customWidth="1"/>
    <col min="10496" max="10496" width="19" style="37" bestFit="1" customWidth="1"/>
    <col min="10497" max="10497" width="15.33203125" style="37" bestFit="1" customWidth="1"/>
    <col min="10498" max="10503" width="12" style="37" customWidth="1"/>
    <col min="10504" max="10510" width="12.6640625" style="37" customWidth="1"/>
    <col min="10511" max="10731" width="3.5546875" style="37"/>
    <col min="10732" max="10732" width="15.88671875" style="37" customWidth="1"/>
    <col min="10733" max="10733" width="6.6640625" style="37" customWidth="1"/>
    <col min="10734" max="10734" width="26.44140625" style="37" customWidth="1"/>
    <col min="10735" max="10735" width="15.44140625" style="37" bestFit="1" customWidth="1"/>
    <col min="10736" max="10736" width="8.44140625" style="37" customWidth="1"/>
    <col min="10737" max="10737" width="24.109375" style="37" customWidth="1"/>
    <col min="10738" max="10738" width="15.44140625" style="37" bestFit="1" customWidth="1"/>
    <col min="10739" max="10739" width="6.5546875" style="37" customWidth="1"/>
    <col min="10740" max="10740" width="19.5546875" style="37" customWidth="1"/>
    <col min="10741" max="10741" width="17.88671875" style="37" customWidth="1"/>
    <col min="10742" max="10742" width="6.5546875" style="37" customWidth="1"/>
    <col min="10743" max="10743" width="23.33203125" style="37" customWidth="1"/>
    <col min="10744" max="10744" width="17" style="37" bestFit="1" customWidth="1"/>
    <col min="10745" max="10745" width="6.5546875" style="37" customWidth="1"/>
    <col min="10746" max="10746" width="22.88671875" style="37" customWidth="1"/>
    <col min="10747" max="10747" width="17" style="37" bestFit="1" customWidth="1"/>
    <col min="10748" max="10748" width="8.88671875" style="37" customWidth="1"/>
    <col min="10749" max="10749" width="24.33203125" style="37" customWidth="1"/>
    <col min="10750" max="10750" width="31.33203125" style="37" customWidth="1"/>
    <col min="10751" max="10751" width="8.88671875" style="37" bestFit="1" customWidth="1"/>
    <col min="10752" max="10752" width="19" style="37" bestFit="1" customWidth="1"/>
    <col min="10753" max="10753" width="15.33203125" style="37" bestFit="1" customWidth="1"/>
    <col min="10754" max="10759" width="12" style="37" customWidth="1"/>
    <col min="10760" max="10766" width="12.6640625" style="37" customWidth="1"/>
    <col min="10767" max="10987" width="3.5546875" style="37"/>
    <col min="10988" max="10988" width="15.88671875" style="37" customWidth="1"/>
    <col min="10989" max="10989" width="6.6640625" style="37" customWidth="1"/>
    <col min="10990" max="10990" width="26.44140625" style="37" customWidth="1"/>
    <col min="10991" max="10991" width="15.44140625" style="37" bestFit="1" customWidth="1"/>
    <col min="10992" max="10992" width="8.44140625" style="37" customWidth="1"/>
    <col min="10993" max="10993" width="24.109375" style="37" customWidth="1"/>
    <col min="10994" max="10994" width="15.44140625" style="37" bestFit="1" customWidth="1"/>
    <col min="10995" max="10995" width="6.5546875" style="37" customWidth="1"/>
    <col min="10996" max="10996" width="19.5546875" style="37" customWidth="1"/>
    <col min="10997" max="10997" width="17.88671875" style="37" customWidth="1"/>
    <col min="10998" max="10998" width="6.5546875" style="37" customWidth="1"/>
    <col min="10999" max="10999" width="23.33203125" style="37" customWidth="1"/>
    <col min="11000" max="11000" width="17" style="37" bestFit="1" customWidth="1"/>
    <col min="11001" max="11001" width="6.5546875" style="37" customWidth="1"/>
    <col min="11002" max="11002" width="22.88671875" style="37" customWidth="1"/>
    <col min="11003" max="11003" width="17" style="37" bestFit="1" customWidth="1"/>
    <col min="11004" max="11004" width="8.88671875" style="37" customWidth="1"/>
    <col min="11005" max="11005" width="24.33203125" style="37" customWidth="1"/>
    <col min="11006" max="11006" width="31.33203125" style="37" customWidth="1"/>
    <col min="11007" max="11007" width="8.88671875" style="37" bestFit="1" customWidth="1"/>
    <col min="11008" max="11008" width="19" style="37" bestFit="1" customWidth="1"/>
    <col min="11009" max="11009" width="15.33203125" style="37" bestFit="1" customWidth="1"/>
    <col min="11010" max="11015" width="12" style="37" customWidth="1"/>
    <col min="11016" max="11022" width="12.6640625" style="37" customWidth="1"/>
    <col min="11023" max="11243" width="3.5546875" style="37"/>
    <col min="11244" max="11244" width="15.88671875" style="37" customWidth="1"/>
    <col min="11245" max="11245" width="6.6640625" style="37" customWidth="1"/>
    <col min="11246" max="11246" width="26.44140625" style="37" customWidth="1"/>
    <col min="11247" max="11247" width="15.44140625" style="37" bestFit="1" customWidth="1"/>
    <col min="11248" max="11248" width="8.44140625" style="37" customWidth="1"/>
    <col min="11249" max="11249" width="24.109375" style="37" customWidth="1"/>
    <col min="11250" max="11250" width="15.44140625" style="37" bestFit="1" customWidth="1"/>
    <col min="11251" max="11251" width="6.5546875" style="37" customWidth="1"/>
    <col min="11252" max="11252" width="19.5546875" style="37" customWidth="1"/>
    <col min="11253" max="11253" width="17.88671875" style="37" customWidth="1"/>
    <col min="11254" max="11254" width="6.5546875" style="37" customWidth="1"/>
    <col min="11255" max="11255" width="23.33203125" style="37" customWidth="1"/>
    <col min="11256" max="11256" width="17" style="37" bestFit="1" customWidth="1"/>
    <col min="11257" max="11257" width="6.5546875" style="37" customWidth="1"/>
    <col min="11258" max="11258" width="22.88671875" style="37" customWidth="1"/>
    <col min="11259" max="11259" width="17" style="37" bestFit="1" customWidth="1"/>
    <col min="11260" max="11260" width="8.88671875" style="37" customWidth="1"/>
    <col min="11261" max="11261" width="24.33203125" style="37" customWidth="1"/>
    <col min="11262" max="11262" width="31.33203125" style="37" customWidth="1"/>
    <col min="11263" max="11263" width="8.88671875" style="37" bestFit="1" customWidth="1"/>
    <col min="11264" max="11264" width="19" style="37" bestFit="1" customWidth="1"/>
    <col min="11265" max="11265" width="15.33203125" style="37" bestFit="1" customWidth="1"/>
    <col min="11266" max="11271" width="12" style="37" customWidth="1"/>
    <col min="11272" max="11278" width="12.6640625" style="37" customWidth="1"/>
    <col min="11279" max="11499" width="3.5546875" style="37"/>
    <col min="11500" max="11500" width="15.88671875" style="37" customWidth="1"/>
    <col min="11501" max="11501" width="6.6640625" style="37" customWidth="1"/>
    <col min="11502" max="11502" width="26.44140625" style="37" customWidth="1"/>
    <col min="11503" max="11503" width="15.44140625" style="37" bestFit="1" customWidth="1"/>
    <col min="11504" max="11504" width="8.44140625" style="37" customWidth="1"/>
    <col min="11505" max="11505" width="24.109375" style="37" customWidth="1"/>
    <col min="11506" max="11506" width="15.44140625" style="37" bestFit="1" customWidth="1"/>
    <col min="11507" max="11507" width="6.5546875" style="37" customWidth="1"/>
    <col min="11508" max="11508" width="19.5546875" style="37" customWidth="1"/>
    <col min="11509" max="11509" width="17.88671875" style="37" customWidth="1"/>
    <col min="11510" max="11510" width="6.5546875" style="37" customWidth="1"/>
    <col min="11511" max="11511" width="23.33203125" style="37" customWidth="1"/>
    <col min="11512" max="11512" width="17" style="37" bestFit="1" customWidth="1"/>
    <col min="11513" max="11513" width="6.5546875" style="37" customWidth="1"/>
    <col min="11514" max="11514" width="22.88671875" style="37" customWidth="1"/>
    <col min="11515" max="11515" width="17" style="37" bestFit="1" customWidth="1"/>
    <col min="11516" max="11516" width="8.88671875" style="37" customWidth="1"/>
    <col min="11517" max="11517" width="24.33203125" style="37" customWidth="1"/>
    <col min="11518" max="11518" width="31.33203125" style="37" customWidth="1"/>
    <col min="11519" max="11519" width="8.88671875" style="37" bestFit="1" customWidth="1"/>
    <col min="11520" max="11520" width="19" style="37" bestFit="1" customWidth="1"/>
    <col min="11521" max="11521" width="15.33203125" style="37" bestFit="1" customWidth="1"/>
    <col min="11522" max="11527" width="12" style="37" customWidth="1"/>
    <col min="11528" max="11534" width="12.6640625" style="37" customWidth="1"/>
    <col min="11535" max="11755" width="3.5546875" style="37"/>
    <col min="11756" max="11756" width="15.88671875" style="37" customWidth="1"/>
    <col min="11757" max="11757" width="6.6640625" style="37" customWidth="1"/>
    <col min="11758" max="11758" width="26.44140625" style="37" customWidth="1"/>
    <col min="11759" max="11759" width="15.44140625" style="37" bestFit="1" customWidth="1"/>
    <col min="11760" max="11760" width="8.44140625" style="37" customWidth="1"/>
    <col min="11761" max="11761" width="24.109375" style="37" customWidth="1"/>
    <col min="11762" max="11762" width="15.44140625" style="37" bestFit="1" customWidth="1"/>
    <col min="11763" max="11763" width="6.5546875" style="37" customWidth="1"/>
    <col min="11764" max="11764" width="19.5546875" style="37" customWidth="1"/>
    <col min="11765" max="11765" width="17.88671875" style="37" customWidth="1"/>
    <col min="11766" max="11766" width="6.5546875" style="37" customWidth="1"/>
    <col min="11767" max="11767" width="23.33203125" style="37" customWidth="1"/>
    <col min="11768" max="11768" width="17" style="37" bestFit="1" customWidth="1"/>
    <col min="11769" max="11769" width="6.5546875" style="37" customWidth="1"/>
    <col min="11770" max="11770" width="22.88671875" style="37" customWidth="1"/>
    <col min="11771" max="11771" width="17" style="37" bestFit="1" customWidth="1"/>
    <col min="11772" max="11772" width="8.88671875" style="37" customWidth="1"/>
    <col min="11773" max="11773" width="24.33203125" style="37" customWidth="1"/>
    <col min="11774" max="11774" width="31.33203125" style="37" customWidth="1"/>
    <col min="11775" max="11775" width="8.88671875" style="37" bestFit="1" customWidth="1"/>
    <col min="11776" max="11776" width="19" style="37" bestFit="1" customWidth="1"/>
    <col min="11777" max="11777" width="15.33203125" style="37" bestFit="1" customWidth="1"/>
    <col min="11778" max="11783" width="12" style="37" customWidth="1"/>
    <col min="11784" max="11790" width="12.6640625" style="37" customWidth="1"/>
    <col min="11791" max="12011" width="3.5546875" style="37"/>
    <col min="12012" max="12012" width="15.88671875" style="37" customWidth="1"/>
    <col min="12013" max="12013" width="6.6640625" style="37" customWidth="1"/>
    <col min="12014" max="12014" width="26.44140625" style="37" customWidth="1"/>
    <col min="12015" max="12015" width="15.44140625" style="37" bestFit="1" customWidth="1"/>
    <col min="12016" max="12016" width="8.44140625" style="37" customWidth="1"/>
    <col min="12017" max="12017" width="24.109375" style="37" customWidth="1"/>
    <col min="12018" max="12018" width="15.44140625" style="37" bestFit="1" customWidth="1"/>
    <col min="12019" max="12019" width="6.5546875" style="37" customWidth="1"/>
    <col min="12020" max="12020" width="19.5546875" style="37" customWidth="1"/>
    <col min="12021" max="12021" width="17.88671875" style="37" customWidth="1"/>
    <col min="12022" max="12022" width="6.5546875" style="37" customWidth="1"/>
    <col min="12023" max="12023" width="23.33203125" style="37" customWidth="1"/>
    <col min="12024" max="12024" width="17" style="37" bestFit="1" customWidth="1"/>
    <col min="12025" max="12025" width="6.5546875" style="37" customWidth="1"/>
    <col min="12026" max="12026" width="22.88671875" style="37" customWidth="1"/>
    <col min="12027" max="12027" width="17" style="37" bestFit="1" customWidth="1"/>
    <col min="12028" max="12028" width="8.88671875" style="37" customWidth="1"/>
    <col min="12029" max="12029" width="24.33203125" style="37" customWidth="1"/>
    <col min="12030" max="12030" width="31.33203125" style="37" customWidth="1"/>
    <col min="12031" max="12031" width="8.88671875" style="37" bestFit="1" customWidth="1"/>
    <col min="12032" max="12032" width="19" style="37" bestFit="1" customWidth="1"/>
    <col min="12033" max="12033" width="15.33203125" style="37" bestFit="1" customWidth="1"/>
    <col min="12034" max="12039" width="12" style="37" customWidth="1"/>
    <col min="12040" max="12046" width="12.6640625" style="37" customWidth="1"/>
    <col min="12047" max="12267" width="3.5546875" style="37"/>
    <col min="12268" max="12268" width="15.88671875" style="37" customWidth="1"/>
    <col min="12269" max="12269" width="6.6640625" style="37" customWidth="1"/>
    <col min="12270" max="12270" width="26.44140625" style="37" customWidth="1"/>
    <col min="12271" max="12271" width="15.44140625" style="37" bestFit="1" customWidth="1"/>
    <col min="12272" max="12272" width="8.44140625" style="37" customWidth="1"/>
    <col min="12273" max="12273" width="24.109375" style="37" customWidth="1"/>
    <col min="12274" max="12274" width="15.44140625" style="37" bestFit="1" customWidth="1"/>
    <col min="12275" max="12275" width="6.5546875" style="37" customWidth="1"/>
    <col min="12276" max="12276" width="19.5546875" style="37" customWidth="1"/>
    <col min="12277" max="12277" width="17.88671875" style="37" customWidth="1"/>
    <col min="12278" max="12278" width="6.5546875" style="37" customWidth="1"/>
    <col min="12279" max="12279" width="23.33203125" style="37" customWidth="1"/>
    <col min="12280" max="12280" width="17" style="37" bestFit="1" customWidth="1"/>
    <col min="12281" max="12281" width="6.5546875" style="37" customWidth="1"/>
    <col min="12282" max="12282" width="22.88671875" style="37" customWidth="1"/>
    <col min="12283" max="12283" width="17" style="37" bestFit="1" customWidth="1"/>
    <col min="12284" max="12284" width="8.88671875" style="37" customWidth="1"/>
    <col min="12285" max="12285" width="24.33203125" style="37" customWidth="1"/>
    <col min="12286" max="12286" width="31.33203125" style="37" customWidth="1"/>
    <col min="12287" max="12287" width="8.88671875" style="37" bestFit="1" customWidth="1"/>
    <col min="12288" max="12288" width="19" style="37" bestFit="1" customWidth="1"/>
    <col min="12289" max="12289" width="15.33203125" style="37" bestFit="1" customWidth="1"/>
    <col min="12290" max="12295" width="12" style="37" customWidth="1"/>
    <col min="12296" max="12302" width="12.6640625" style="37" customWidth="1"/>
    <col min="12303" max="12523" width="3.5546875" style="37"/>
    <col min="12524" max="12524" width="15.88671875" style="37" customWidth="1"/>
    <col min="12525" max="12525" width="6.6640625" style="37" customWidth="1"/>
    <col min="12526" max="12526" width="26.44140625" style="37" customWidth="1"/>
    <col min="12527" max="12527" width="15.44140625" style="37" bestFit="1" customWidth="1"/>
    <col min="12528" max="12528" width="8.44140625" style="37" customWidth="1"/>
    <col min="12529" max="12529" width="24.109375" style="37" customWidth="1"/>
    <col min="12530" max="12530" width="15.44140625" style="37" bestFit="1" customWidth="1"/>
    <col min="12531" max="12531" width="6.5546875" style="37" customWidth="1"/>
    <col min="12532" max="12532" width="19.5546875" style="37" customWidth="1"/>
    <col min="12533" max="12533" width="17.88671875" style="37" customWidth="1"/>
    <col min="12534" max="12534" width="6.5546875" style="37" customWidth="1"/>
    <col min="12535" max="12535" width="23.33203125" style="37" customWidth="1"/>
    <col min="12536" max="12536" width="17" style="37" bestFit="1" customWidth="1"/>
    <col min="12537" max="12537" width="6.5546875" style="37" customWidth="1"/>
    <col min="12538" max="12538" width="22.88671875" style="37" customWidth="1"/>
    <col min="12539" max="12539" width="17" style="37" bestFit="1" customWidth="1"/>
    <col min="12540" max="12540" width="8.88671875" style="37" customWidth="1"/>
    <col min="12541" max="12541" width="24.33203125" style="37" customWidth="1"/>
    <col min="12542" max="12542" width="31.33203125" style="37" customWidth="1"/>
    <col min="12543" max="12543" width="8.88671875" style="37" bestFit="1" customWidth="1"/>
    <col min="12544" max="12544" width="19" style="37" bestFit="1" customWidth="1"/>
    <col min="12545" max="12545" width="15.33203125" style="37" bestFit="1" customWidth="1"/>
    <col min="12546" max="12551" width="12" style="37" customWidth="1"/>
    <col min="12552" max="12558" width="12.6640625" style="37" customWidth="1"/>
    <col min="12559" max="12779" width="3.5546875" style="37"/>
    <col min="12780" max="12780" width="15.88671875" style="37" customWidth="1"/>
    <col min="12781" max="12781" width="6.6640625" style="37" customWidth="1"/>
    <col min="12782" max="12782" width="26.44140625" style="37" customWidth="1"/>
    <col min="12783" max="12783" width="15.44140625" style="37" bestFit="1" customWidth="1"/>
    <col min="12784" max="12784" width="8.44140625" style="37" customWidth="1"/>
    <col min="12785" max="12785" width="24.109375" style="37" customWidth="1"/>
    <col min="12786" max="12786" width="15.44140625" style="37" bestFit="1" customWidth="1"/>
    <col min="12787" max="12787" width="6.5546875" style="37" customWidth="1"/>
    <col min="12788" max="12788" width="19.5546875" style="37" customWidth="1"/>
    <col min="12789" max="12789" width="17.88671875" style="37" customWidth="1"/>
    <col min="12790" max="12790" width="6.5546875" style="37" customWidth="1"/>
    <col min="12791" max="12791" width="23.33203125" style="37" customWidth="1"/>
    <col min="12792" max="12792" width="17" style="37" bestFit="1" customWidth="1"/>
    <col min="12793" max="12793" width="6.5546875" style="37" customWidth="1"/>
    <col min="12794" max="12794" width="22.88671875" style="37" customWidth="1"/>
    <col min="12795" max="12795" width="17" style="37" bestFit="1" customWidth="1"/>
    <col min="12796" max="12796" width="8.88671875" style="37" customWidth="1"/>
    <col min="12797" max="12797" width="24.33203125" style="37" customWidth="1"/>
    <col min="12798" max="12798" width="31.33203125" style="37" customWidth="1"/>
    <col min="12799" max="12799" width="8.88671875" style="37" bestFit="1" customWidth="1"/>
    <col min="12800" max="12800" width="19" style="37" bestFit="1" customWidth="1"/>
    <col min="12801" max="12801" width="15.33203125" style="37" bestFit="1" customWidth="1"/>
    <col min="12802" max="12807" width="12" style="37" customWidth="1"/>
    <col min="12808" max="12814" width="12.6640625" style="37" customWidth="1"/>
    <col min="12815" max="13035" width="3.5546875" style="37"/>
    <col min="13036" max="13036" width="15.88671875" style="37" customWidth="1"/>
    <col min="13037" max="13037" width="6.6640625" style="37" customWidth="1"/>
    <col min="13038" max="13038" width="26.44140625" style="37" customWidth="1"/>
    <col min="13039" max="13039" width="15.44140625" style="37" bestFit="1" customWidth="1"/>
    <col min="13040" max="13040" width="8.44140625" style="37" customWidth="1"/>
    <col min="13041" max="13041" width="24.109375" style="37" customWidth="1"/>
    <col min="13042" max="13042" width="15.44140625" style="37" bestFit="1" customWidth="1"/>
    <col min="13043" max="13043" width="6.5546875" style="37" customWidth="1"/>
    <col min="13044" max="13044" width="19.5546875" style="37" customWidth="1"/>
    <col min="13045" max="13045" width="17.88671875" style="37" customWidth="1"/>
    <col min="13046" max="13046" width="6.5546875" style="37" customWidth="1"/>
    <col min="13047" max="13047" width="23.33203125" style="37" customWidth="1"/>
    <col min="13048" max="13048" width="17" style="37" bestFit="1" customWidth="1"/>
    <col min="13049" max="13049" width="6.5546875" style="37" customWidth="1"/>
    <col min="13050" max="13050" width="22.88671875" style="37" customWidth="1"/>
    <col min="13051" max="13051" width="17" style="37" bestFit="1" customWidth="1"/>
    <col min="13052" max="13052" width="8.88671875" style="37" customWidth="1"/>
    <col min="13053" max="13053" width="24.33203125" style="37" customWidth="1"/>
    <col min="13054" max="13054" width="31.33203125" style="37" customWidth="1"/>
    <col min="13055" max="13055" width="8.88671875" style="37" bestFit="1" customWidth="1"/>
    <col min="13056" max="13056" width="19" style="37" bestFit="1" customWidth="1"/>
    <col min="13057" max="13057" width="15.33203125" style="37" bestFit="1" customWidth="1"/>
    <col min="13058" max="13063" width="12" style="37" customWidth="1"/>
    <col min="13064" max="13070" width="12.6640625" style="37" customWidth="1"/>
    <col min="13071" max="13291" width="3.5546875" style="37"/>
    <col min="13292" max="13292" width="15.88671875" style="37" customWidth="1"/>
    <col min="13293" max="13293" width="6.6640625" style="37" customWidth="1"/>
    <col min="13294" max="13294" width="26.44140625" style="37" customWidth="1"/>
    <col min="13295" max="13295" width="15.44140625" style="37" bestFit="1" customWidth="1"/>
    <col min="13296" max="13296" width="8.44140625" style="37" customWidth="1"/>
    <col min="13297" max="13297" width="24.109375" style="37" customWidth="1"/>
    <col min="13298" max="13298" width="15.44140625" style="37" bestFit="1" customWidth="1"/>
    <col min="13299" max="13299" width="6.5546875" style="37" customWidth="1"/>
    <col min="13300" max="13300" width="19.5546875" style="37" customWidth="1"/>
    <col min="13301" max="13301" width="17.88671875" style="37" customWidth="1"/>
    <col min="13302" max="13302" width="6.5546875" style="37" customWidth="1"/>
    <col min="13303" max="13303" width="23.33203125" style="37" customWidth="1"/>
    <col min="13304" max="13304" width="17" style="37" bestFit="1" customWidth="1"/>
    <col min="13305" max="13305" width="6.5546875" style="37" customWidth="1"/>
    <col min="13306" max="13306" width="22.88671875" style="37" customWidth="1"/>
    <col min="13307" max="13307" width="17" style="37" bestFit="1" customWidth="1"/>
    <col min="13308" max="13308" width="8.88671875" style="37" customWidth="1"/>
    <col min="13309" max="13309" width="24.33203125" style="37" customWidth="1"/>
    <col min="13310" max="13310" width="31.33203125" style="37" customWidth="1"/>
    <col min="13311" max="13311" width="8.88671875" style="37" bestFit="1" customWidth="1"/>
    <col min="13312" max="13312" width="19" style="37" bestFit="1" customWidth="1"/>
    <col min="13313" max="13313" width="15.33203125" style="37" bestFit="1" customWidth="1"/>
    <col min="13314" max="13319" width="12" style="37" customWidth="1"/>
    <col min="13320" max="13326" width="12.6640625" style="37" customWidth="1"/>
    <col min="13327" max="13547" width="3.5546875" style="37"/>
    <col min="13548" max="13548" width="15.88671875" style="37" customWidth="1"/>
    <col min="13549" max="13549" width="6.6640625" style="37" customWidth="1"/>
    <col min="13550" max="13550" width="26.44140625" style="37" customWidth="1"/>
    <col min="13551" max="13551" width="15.44140625" style="37" bestFit="1" customWidth="1"/>
    <col min="13552" max="13552" width="8.44140625" style="37" customWidth="1"/>
    <col min="13553" max="13553" width="24.109375" style="37" customWidth="1"/>
    <col min="13554" max="13554" width="15.44140625" style="37" bestFit="1" customWidth="1"/>
    <col min="13555" max="13555" width="6.5546875" style="37" customWidth="1"/>
    <col min="13556" max="13556" width="19.5546875" style="37" customWidth="1"/>
    <col min="13557" max="13557" width="17.88671875" style="37" customWidth="1"/>
    <col min="13558" max="13558" width="6.5546875" style="37" customWidth="1"/>
    <col min="13559" max="13559" width="23.33203125" style="37" customWidth="1"/>
    <col min="13560" max="13560" width="17" style="37" bestFit="1" customWidth="1"/>
    <col min="13561" max="13561" width="6.5546875" style="37" customWidth="1"/>
    <col min="13562" max="13562" width="22.88671875" style="37" customWidth="1"/>
    <col min="13563" max="13563" width="17" style="37" bestFit="1" customWidth="1"/>
    <col min="13564" max="13564" width="8.88671875" style="37" customWidth="1"/>
    <col min="13565" max="13565" width="24.33203125" style="37" customWidth="1"/>
    <col min="13566" max="13566" width="31.33203125" style="37" customWidth="1"/>
    <col min="13567" max="13567" width="8.88671875" style="37" bestFit="1" customWidth="1"/>
    <col min="13568" max="13568" width="19" style="37" bestFit="1" customWidth="1"/>
    <col min="13569" max="13569" width="15.33203125" style="37" bestFit="1" customWidth="1"/>
    <col min="13570" max="13575" width="12" style="37" customWidth="1"/>
    <col min="13576" max="13582" width="12.6640625" style="37" customWidth="1"/>
    <col min="13583" max="13803" width="3.5546875" style="37"/>
    <col min="13804" max="13804" width="15.88671875" style="37" customWidth="1"/>
    <col min="13805" max="13805" width="6.6640625" style="37" customWidth="1"/>
    <col min="13806" max="13806" width="26.44140625" style="37" customWidth="1"/>
    <col min="13807" max="13807" width="15.44140625" style="37" bestFit="1" customWidth="1"/>
    <col min="13808" max="13808" width="8.44140625" style="37" customWidth="1"/>
    <col min="13809" max="13809" width="24.109375" style="37" customWidth="1"/>
    <col min="13810" max="13810" width="15.44140625" style="37" bestFit="1" customWidth="1"/>
    <col min="13811" max="13811" width="6.5546875" style="37" customWidth="1"/>
    <col min="13812" max="13812" width="19.5546875" style="37" customWidth="1"/>
    <col min="13813" max="13813" width="17.88671875" style="37" customWidth="1"/>
    <col min="13814" max="13814" width="6.5546875" style="37" customWidth="1"/>
    <col min="13815" max="13815" width="23.33203125" style="37" customWidth="1"/>
    <col min="13816" max="13816" width="17" style="37" bestFit="1" customWidth="1"/>
    <col min="13817" max="13817" width="6.5546875" style="37" customWidth="1"/>
    <col min="13818" max="13818" width="22.88671875" style="37" customWidth="1"/>
    <col min="13819" max="13819" width="17" style="37" bestFit="1" customWidth="1"/>
    <col min="13820" max="13820" width="8.88671875" style="37" customWidth="1"/>
    <col min="13821" max="13821" width="24.33203125" style="37" customWidth="1"/>
    <col min="13822" max="13822" width="31.33203125" style="37" customWidth="1"/>
    <col min="13823" max="13823" width="8.88671875" style="37" bestFit="1" customWidth="1"/>
    <col min="13824" max="13824" width="19" style="37" bestFit="1" customWidth="1"/>
    <col min="13825" max="13825" width="15.33203125" style="37" bestFit="1" customWidth="1"/>
    <col min="13826" max="13831" width="12" style="37" customWidth="1"/>
    <col min="13832" max="13838" width="12.6640625" style="37" customWidth="1"/>
    <col min="13839" max="14059" width="3.5546875" style="37"/>
    <col min="14060" max="14060" width="15.88671875" style="37" customWidth="1"/>
    <col min="14061" max="14061" width="6.6640625" style="37" customWidth="1"/>
    <col min="14062" max="14062" width="26.44140625" style="37" customWidth="1"/>
    <col min="14063" max="14063" width="15.44140625" style="37" bestFit="1" customWidth="1"/>
    <col min="14064" max="14064" width="8.44140625" style="37" customWidth="1"/>
    <col min="14065" max="14065" width="24.109375" style="37" customWidth="1"/>
    <col min="14066" max="14066" width="15.44140625" style="37" bestFit="1" customWidth="1"/>
    <col min="14067" max="14067" width="6.5546875" style="37" customWidth="1"/>
    <col min="14068" max="14068" width="19.5546875" style="37" customWidth="1"/>
    <col min="14069" max="14069" width="17.88671875" style="37" customWidth="1"/>
    <col min="14070" max="14070" width="6.5546875" style="37" customWidth="1"/>
    <col min="14071" max="14071" width="23.33203125" style="37" customWidth="1"/>
    <col min="14072" max="14072" width="17" style="37" bestFit="1" customWidth="1"/>
    <col min="14073" max="14073" width="6.5546875" style="37" customWidth="1"/>
    <col min="14074" max="14074" width="22.88671875" style="37" customWidth="1"/>
    <col min="14075" max="14075" width="17" style="37" bestFit="1" customWidth="1"/>
    <col min="14076" max="14076" width="8.88671875" style="37" customWidth="1"/>
    <col min="14077" max="14077" width="24.33203125" style="37" customWidth="1"/>
    <col min="14078" max="14078" width="31.33203125" style="37" customWidth="1"/>
    <col min="14079" max="14079" width="8.88671875" style="37" bestFit="1" customWidth="1"/>
    <col min="14080" max="14080" width="19" style="37" bestFit="1" customWidth="1"/>
    <col min="14081" max="14081" width="15.33203125" style="37" bestFit="1" customWidth="1"/>
    <col min="14082" max="14087" width="12" style="37" customWidth="1"/>
    <col min="14088" max="14094" width="12.6640625" style="37" customWidth="1"/>
    <col min="14095" max="14315" width="3.5546875" style="37"/>
    <col min="14316" max="14316" width="15.88671875" style="37" customWidth="1"/>
    <col min="14317" max="14317" width="6.6640625" style="37" customWidth="1"/>
    <col min="14318" max="14318" width="26.44140625" style="37" customWidth="1"/>
    <col min="14319" max="14319" width="15.44140625" style="37" bestFit="1" customWidth="1"/>
    <col min="14320" max="14320" width="8.44140625" style="37" customWidth="1"/>
    <col min="14321" max="14321" width="24.109375" style="37" customWidth="1"/>
    <col min="14322" max="14322" width="15.44140625" style="37" bestFit="1" customWidth="1"/>
    <col min="14323" max="14323" width="6.5546875" style="37" customWidth="1"/>
    <col min="14324" max="14324" width="19.5546875" style="37" customWidth="1"/>
    <col min="14325" max="14325" width="17.88671875" style="37" customWidth="1"/>
    <col min="14326" max="14326" width="6.5546875" style="37" customWidth="1"/>
    <col min="14327" max="14327" width="23.33203125" style="37" customWidth="1"/>
    <col min="14328" max="14328" width="17" style="37" bestFit="1" customWidth="1"/>
    <col min="14329" max="14329" width="6.5546875" style="37" customWidth="1"/>
    <col min="14330" max="14330" width="22.88671875" style="37" customWidth="1"/>
    <col min="14331" max="14331" width="17" style="37" bestFit="1" customWidth="1"/>
    <col min="14332" max="14332" width="8.88671875" style="37" customWidth="1"/>
    <col min="14333" max="14333" width="24.33203125" style="37" customWidth="1"/>
    <col min="14334" max="14334" width="31.33203125" style="37" customWidth="1"/>
    <col min="14335" max="14335" width="8.88671875" style="37" bestFit="1" customWidth="1"/>
    <col min="14336" max="14336" width="19" style="37" bestFit="1" customWidth="1"/>
    <col min="14337" max="14337" width="15.33203125" style="37" bestFit="1" customWidth="1"/>
    <col min="14338" max="14343" width="12" style="37" customWidth="1"/>
    <col min="14344" max="14350" width="12.6640625" style="37" customWidth="1"/>
    <col min="14351" max="14571" width="3.5546875" style="37"/>
    <col min="14572" max="14572" width="15.88671875" style="37" customWidth="1"/>
    <col min="14573" max="14573" width="6.6640625" style="37" customWidth="1"/>
    <col min="14574" max="14574" width="26.44140625" style="37" customWidth="1"/>
    <col min="14575" max="14575" width="15.44140625" style="37" bestFit="1" customWidth="1"/>
    <col min="14576" max="14576" width="8.44140625" style="37" customWidth="1"/>
    <col min="14577" max="14577" width="24.109375" style="37" customWidth="1"/>
    <col min="14578" max="14578" width="15.44140625" style="37" bestFit="1" customWidth="1"/>
    <col min="14579" max="14579" width="6.5546875" style="37" customWidth="1"/>
    <col min="14580" max="14580" width="19.5546875" style="37" customWidth="1"/>
    <col min="14581" max="14581" width="17.88671875" style="37" customWidth="1"/>
    <col min="14582" max="14582" width="6.5546875" style="37" customWidth="1"/>
    <col min="14583" max="14583" width="23.33203125" style="37" customWidth="1"/>
    <col min="14584" max="14584" width="17" style="37" bestFit="1" customWidth="1"/>
    <col min="14585" max="14585" width="6.5546875" style="37" customWidth="1"/>
    <col min="14586" max="14586" width="22.88671875" style="37" customWidth="1"/>
    <col min="14587" max="14587" width="17" style="37" bestFit="1" customWidth="1"/>
    <col min="14588" max="14588" width="8.88671875" style="37" customWidth="1"/>
    <col min="14589" max="14589" width="24.33203125" style="37" customWidth="1"/>
    <col min="14590" max="14590" width="31.33203125" style="37" customWidth="1"/>
    <col min="14591" max="14591" width="8.88671875" style="37" bestFit="1" customWidth="1"/>
    <col min="14592" max="14592" width="19" style="37" bestFit="1" customWidth="1"/>
    <col min="14593" max="14593" width="15.33203125" style="37" bestFit="1" customWidth="1"/>
    <col min="14594" max="14599" width="12" style="37" customWidth="1"/>
    <col min="14600" max="14606" width="12.6640625" style="37" customWidth="1"/>
    <col min="14607" max="14827" width="3.5546875" style="37"/>
    <col min="14828" max="14828" width="15.88671875" style="37" customWidth="1"/>
    <col min="14829" max="14829" width="6.6640625" style="37" customWidth="1"/>
    <col min="14830" max="14830" width="26.44140625" style="37" customWidth="1"/>
    <col min="14831" max="14831" width="15.44140625" style="37" bestFit="1" customWidth="1"/>
    <col min="14832" max="14832" width="8.44140625" style="37" customWidth="1"/>
    <col min="14833" max="14833" width="24.109375" style="37" customWidth="1"/>
    <col min="14834" max="14834" width="15.44140625" style="37" bestFit="1" customWidth="1"/>
    <col min="14835" max="14835" width="6.5546875" style="37" customWidth="1"/>
    <col min="14836" max="14836" width="19.5546875" style="37" customWidth="1"/>
    <col min="14837" max="14837" width="17.88671875" style="37" customWidth="1"/>
    <col min="14838" max="14838" width="6.5546875" style="37" customWidth="1"/>
    <col min="14839" max="14839" width="23.33203125" style="37" customWidth="1"/>
    <col min="14840" max="14840" width="17" style="37" bestFit="1" customWidth="1"/>
    <col min="14841" max="14841" width="6.5546875" style="37" customWidth="1"/>
    <col min="14842" max="14842" width="22.88671875" style="37" customWidth="1"/>
    <col min="14843" max="14843" width="17" style="37" bestFit="1" customWidth="1"/>
    <col min="14844" max="14844" width="8.88671875" style="37" customWidth="1"/>
    <col min="14845" max="14845" width="24.33203125" style="37" customWidth="1"/>
    <col min="14846" max="14846" width="31.33203125" style="37" customWidth="1"/>
    <col min="14847" max="14847" width="8.88671875" style="37" bestFit="1" customWidth="1"/>
    <col min="14848" max="14848" width="19" style="37" bestFit="1" customWidth="1"/>
    <col min="14849" max="14849" width="15.33203125" style="37" bestFit="1" customWidth="1"/>
    <col min="14850" max="14855" width="12" style="37" customWidth="1"/>
    <col min="14856" max="14862" width="12.6640625" style="37" customWidth="1"/>
    <col min="14863" max="15083" width="3.5546875" style="37"/>
    <col min="15084" max="15084" width="15.88671875" style="37" customWidth="1"/>
    <col min="15085" max="15085" width="6.6640625" style="37" customWidth="1"/>
    <col min="15086" max="15086" width="26.44140625" style="37" customWidth="1"/>
    <col min="15087" max="15087" width="15.44140625" style="37" bestFit="1" customWidth="1"/>
    <col min="15088" max="15088" width="8.44140625" style="37" customWidth="1"/>
    <col min="15089" max="15089" width="24.109375" style="37" customWidth="1"/>
    <col min="15090" max="15090" width="15.44140625" style="37" bestFit="1" customWidth="1"/>
    <col min="15091" max="15091" width="6.5546875" style="37" customWidth="1"/>
    <col min="15092" max="15092" width="19.5546875" style="37" customWidth="1"/>
    <col min="15093" max="15093" width="17.88671875" style="37" customWidth="1"/>
    <col min="15094" max="15094" width="6.5546875" style="37" customWidth="1"/>
    <col min="15095" max="15095" width="23.33203125" style="37" customWidth="1"/>
    <col min="15096" max="15096" width="17" style="37" bestFit="1" customWidth="1"/>
    <col min="15097" max="15097" width="6.5546875" style="37" customWidth="1"/>
    <col min="15098" max="15098" width="22.88671875" style="37" customWidth="1"/>
    <col min="15099" max="15099" width="17" style="37" bestFit="1" customWidth="1"/>
    <col min="15100" max="15100" width="8.88671875" style="37" customWidth="1"/>
    <col min="15101" max="15101" width="24.33203125" style="37" customWidth="1"/>
    <col min="15102" max="15102" width="31.33203125" style="37" customWidth="1"/>
    <col min="15103" max="15103" width="8.88671875" style="37" bestFit="1" customWidth="1"/>
    <col min="15104" max="15104" width="19" style="37" bestFit="1" customWidth="1"/>
    <col min="15105" max="15105" width="15.33203125" style="37" bestFit="1" customWidth="1"/>
    <col min="15106" max="15111" width="12" style="37" customWidth="1"/>
    <col min="15112" max="15118" width="12.6640625" style="37" customWidth="1"/>
    <col min="15119" max="15339" width="3.5546875" style="37"/>
    <col min="15340" max="15340" width="15.88671875" style="37" customWidth="1"/>
    <col min="15341" max="15341" width="6.6640625" style="37" customWidth="1"/>
    <col min="15342" max="15342" width="26.44140625" style="37" customWidth="1"/>
    <col min="15343" max="15343" width="15.44140625" style="37" bestFit="1" customWidth="1"/>
    <col min="15344" max="15344" width="8.44140625" style="37" customWidth="1"/>
    <col min="15345" max="15345" width="24.109375" style="37" customWidth="1"/>
    <col min="15346" max="15346" width="15.44140625" style="37" bestFit="1" customWidth="1"/>
    <col min="15347" max="15347" width="6.5546875" style="37" customWidth="1"/>
    <col min="15348" max="15348" width="19.5546875" style="37" customWidth="1"/>
    <col min="15349" max="15349" width="17.88671875" style="37" customWidth="1"/>
    <col min="15350" max="15350" width="6.5546875" style="37" customWidth="1"/>
    <col min="15351" max="15351" width="23.33203125" style="37" customWidth="1"/>
    <col min="15352" max="15352" width="17" style="37" bestFit="1" customWidth="1"/>
    <col min="15353" max="15353" width="6.5546875" style="37" customWidth="1"/>
    <col min="15354" max="15354" width="22.88671875" style="37" customWidth="1"/>
    <col min="15355" max="15355" width="17" style="37" bestFit="1" customWidth="1"/>
    <col min="15356" max="15356" width="8.88671875" style="37" customWidth="1"/>
    <col min="15357" max="15357" width="24.33203125" style="37" customWidth="1"/>
    <col min="15358" max="15358" width="31.33203125" style="37" customWidth="1"/>
    <col min="15359" max="15359" width="8.88671875" style="37" bestFit="1" customWidth="1"/>
    <col min="15360" max="15360" width="19" style="37" bestFit="1" customWidth="1"/>
    <col min="15361" max="15361" width="15.33203125" style="37" bestFit="1" customWidth="1"/>
    <col min="15362" max="15367" width="12" style="37" customWidth="1"/>
    <col min="15368" max="15374" width="12.6640625" style="37" customWidth="1"/>
    <col min="15375" max="15595" width="3.5546875" style="37"/>
    <col min="15596" max="15596" width="15.88671875" style="37" customWidth="1"/>
    <col min="15597" max="15597" width="6.6640625" style="37" customWidth="1"/>
    <col min="15598" max="15598" width="26.44140625" style="37" customWidth="1"/>
    <col min="15599" max="15599" width="15.44140625" style="37" bestFit="1" customWidth="1"/>
    <col min="15600" max="15600" width="8.44140625" style="37" customWidth="1"/>
    <col min="15601" max="15601" width="24.109375" style="37" customWidth="1"/>
    <col min="15602" max="15602" width="15.44140625" style="37" bestFit="1" customWidth="1"/>
    <col min="15603" max="15603" width="6.5546875" style="37" customWidth="1"/>
    <col min="15604" max="15604" width="19.5546875" style="37" customWidth="1"/>
    <col min="15605" max="15605" width="17.88671875" style="37" customWidth="1"/>
    <col min="15606" max="15606" width="6.5546875" style="37" customWidth="1"/>
    <col min="15607" max="15607" width="23.33203125" style="37" customWidth="1"/>
    <col min="15608" max="15608" width="17" style="37" bestFit="1" customWidth="1"/>
    <col min="15609" max="15609" width="6.5546875" style="37" customWidth="1"/>
    <col min="15610" max="15610" width="22.88671875" style="37" customWidth="1"/>
    <col min="15611" max="15611" width="17" style="37" bestFit="1" customWidth="1"/>
    <col min="15612" max="15612" width="8.88671875" style="37" customWidth="1"/>
    <col min="15613" max="15613" width="24.33203125" style="37" customWidth="1"/>
    <col min="15614" max="15614" width="31.33203125" style="37" customWidth="1"/>
    <col min="15615" max="15615" width="8.88671875" style="37" bestFit="1" customWidth="1"/>
    <col min="15616" max="15616" width="19" style="37" bestFit="1" customWidth="1"/>
    <col min="15617" max="15617" width="15.33203125" style="37" bestFit="1" customWidth="1"/>
    <col min="15618" max="15623" width="12" style="37" customWidth="1"/>
    <col min="15624" max="15630" width="12.6640625" style="37" customWidth="1"/>
    <col min="15631" max="15851" width="3.5546875" style="37"/>
    <col min="15852" max="15852" width="15.88671875" style="37" customWidth="1"/>
    <col min="15853" max="15853" width="6.6640625" style="37" customWidth="1"/>
    <col min="15854" max="15854" width="26.44140625" style="37" customWidth="1"/>
    <col min="15855" max="15855" width="15.44140625" style="37" bestFit="1" customWidth="1"/>
    <col min="15856" max="15856" width="8.44140625" style="37" customWidth="1"/>
    <col min="15857" max="15857" width="24.109375" style="37" customWidth="1"/>
    <col min="15858" max="15858" width="15.44140625" style="37" bestFit="1" customWidth="1"/>
    <col min="15859" max="15859" width="6.5546875" style="37" customWidth="1"/>
    <col min="15860" max="15860" width="19.5546875" style="37" customWidth="1"/>
    <col min="15861" max="15861" width="17.88671875" style="37" customWidth="1"/>
    <col min="15862" max="15862" width="6.5546875" style="37" customWidth="1"/>
    <col min="15863" max="15863" width="23.33203125" style="37" customWidth="1"/>
    <col min="15864" max="15864" width="17" style="37" bestFit="1" customWidth="1"/>
    <col min="15865" max="15865" width="6.5546875" style="37" customWidth="1"/>
    <col min="15866" max="15866" width="22.88671875" style="37" customWidth="1"/>
    <col min="15867" max="15867" width="17" style="37" bestFit="1" customWidth="1"/>
    <col min="15868" max="15868" width="8.88671875" style="37" customWidth="1"/>
    <col min="15869" max="15869" width="24.33203125" style="37" customWidth="1"/>
    <col min="15870" max="15870" width="31.33203125" style="37" customWidth="1"/>
    <col min="15871" max="15871" width="8.88671875" style="37" bestFit="1" customWidth="1"/>
    <col min="15872" max="15872" width="19" style="37" bestFit="1" customWidth="1"/>
    <col min="15873" max="15873" width="15.33203125" style="37" bestFit="1" customWidth="1"/>
    <col min="15874" max="15879" width="12" style="37" customWidth="1"/>
    <col min="15880" max="15886" width="12.6640625" style="37" customWidth="1"/>
    <col min="15887" max="16107" width="3.5546875" style="37"/>
    <col min="16108" max="16108" width="15.88671875" style="37" customWidth="1"/>
    <col min="16109" max="16109" width="6.6640625" style="37" customWidth="1"/>
    <col min="16110" max="16110" width="26.44140625" style="37" customWidth="1"/>
    <col min="16111" max="16111" width="15.44140625" style="37" bestFit="1" customWidth="1"/>
    <col min="16112" max="16112" width="8.44140625" style="37" customWidth="1"/>
    <col min="16113" max="16113" width="24.109375" style="37" customWidth="1"/>
    <col min="16114" max="16114" width="15.44140625" style="37" bestFit="1" customWidth="1"/>
    <col min="16115" max="16115" width="6.5546875" style="37" customWidth="1"/>
    <col min="16116" max="16116" width="19.5546875" style="37" customWidth="1"/>
    <col min="16117" max="16117" width="17.88671875" style="37" customWidth="1"/>
    <col min="16118" max="16118" width="6.5546875" style="37" customWidth="1"/>
    <col min="16119" max="16119" width="23.33203125" style="37" customWidth="1"/>
    <col min="16120" max="16120" width="17" style="37" bestFit="1" customWidth="1"/>
    <col min="16121" max="16121" width="6.5546875" style="37" customWidth="1"/>
    <col min="16122" max="16122" width="22.88671875" style="37" customWidth="1"/>
    <col min="16123" max="16123" width="17" style="37" bestFit="1" customWidth="1"/>
    <col min="16124" max="16124" width="8.88671875" style="37" customWidth="1"/>
    <col min="16125" max="16125" width="24.33203125" style="37" customWidth="1"/>
    <col min="16126" max="16126" width="31.33203125" style="37" customWidth="1"/>
    <col min="16127" max="16127" width="8.88671875" style="37" bestFit="1" customWidth="1"/>
    <col min="16128" max="16128" width="19" style="37" bestFit="1" customWidth="1"/>
    <col min="16129" max="16129" width="15.33203125" style="37" bestFit="1" customWidth="1"/>
    <col min="16130" max="16135" width="12" style="37" customWidth="1"/>
    <col min="16136" max="16142" width="12.6640625" style="37" customWidth="1"/>
    <col min="16143" max="16384" width="3.5546875" style="37"/>
  </cols>
  <sheetData>
    <row r="3" spans="1:230" x14ac:dyDescent="0.3">
      <c r="A3" s="35"/>
      <c r="B3" s="48" t="s">
        <v>33</v>
      </c>
      <c r="C3" s="48" t="s">
        <v>34</v>
      </c>
      <c r="D3" s="48" t="s">
        <v>35</v>
      </c>
      <c r="E3" s="48" t="s">
        <v>36</v>
      </c>
      <c r="F3" s="48" t="s">
        <v>37</v>
      </c>
      <c r="G3" s="48" t="s">
        <v>38</v>
      </c>
      <c r="H3" s="36"/>
      <c r="I3" s="48" t="s">
        <v>33</v>
      </c>
      <c r="J3" s="48" t="s">
        <v>34</v>
      </c>
      <c r="K3" s="48" t="s">
        <v>35</v>
      </c>
      <c r="L3" s="48" t="s">
        <v>36</v>
      </c>
      <c r="M3" s="48" t="s">
        <v>37</v>
      </c>
      <c r="N3" s="48" t="s">
        <v>38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</row>
    <row r="4" spans="1:230" x14ac:dyDescent="0.3">
      <c r="A4" s="38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</row>
    <row r="5" spans="1:230" x14ac:dyDescent="0.3">
      <c r="A5" s="38"/>
      <c r="B5" s="37">
        <v>38641.502045759051</v>
      </c>
      <c r="C5" s="37">
        <v>123878.04057630154</v>
      </c>
      <c r="D5" s="37">
        <v>166496.30984157277</v>
      </c>
      <c r="E5" s="37">
        <v>209114.57910684403</v>
      </c>
      <c r="F5" s="37">
        <v>251732.84837211529</v>
      </c>
      <c r="G5" s="37">
        <v>336969.38690265774</v>
      </c>
      <c r="I5" s="37">
        <v>21907.115676844023</v>
      </c>
      <c r="J5" s="37">
        <v>87142.225079312542</v>
      </c>
      <c r="K5" s="37">
        <v>119759.7797805468</v>
      </c>
      <c r="L5" s="37">
        <v>152377.33448178106</v>
      </c>
      <c r="M5" s="37">
        <v>184994.88918301533</v>
      </c>
      <c r="N5" s="37">
        <v>250229.99858548382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</row>
    <row r="6" spans="1:230" ht="17.399999999999999" x14ac:dyDescent="0.3">
      <c r="A6" s="39"/>
      <c r="B6" s="41" t="s">
        <v>69</v>
      </c>
      <c r="C6" s="41" t="s">
        <v>69</v>
      </c>
      <c r="D6" s="49" t="s">
        <v>69</v>
      </c>
      <c r="E6" s="50" t="s">
        <v>69</v>
      </c>
      <c r="F6" s="50" t="s">
        <v>69</v>
      </c>
      <c r="G6" s="50" t="s">
        <v>69</v>
      </c>
      <c r="H6" s="39"/>
      <c r="I6" s="41" t="s">
        <v>65</v>
      </c>
      <c r="J6" s="41" t="s">
        <v>65</v>
      </c>
      <c r="K6" s="41" t="s">
        <v>65</v>
      </c>
      <c r="L6" s="49" t="s">
        <v>65</v>
      </c>
      <c r="M6" s="50" t="s">
        <v>65</v>
      </c>
      <c r="N6" s="50" t="s">
        <v>65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</row>
    <row r="7" spans="1:230" ht="17.399999999999999" x14ac:dyDescent="0.3">
      <c r="A7" s="40"/>
      <c r="B7" s="45"/>
      <c r="C7" s="41" t="s">
        <v>69</v>
      </c>
      <c r="D7" s="49" t="s">
        <v>69</v>
      </c>
      <c r="E7" s="50" t="s">
        <v>69</v>
      </c>
      <c r="F7" s="50" t="s">
        <v>69</v>
      </c>
      <c r="G7" s="50" t="s">
        <v>69</v>
      </c>
      <c r="H7" s="40"/>
      <c r="I7" s="45"/>
      <c r="J7" s="41" t="s">
        <v>65</v>
      </c>
      <c r="K7" s="41" t="s">
        <v>65</v>
      </c>
      <c r="L7" s="49" t="s">
        <v>65</v>
      </c>
      <c r="M7" s="50" t="s">
        <v>65</v>
      </c>
      <c r="N7" s="50" t="s">
        <v>65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</row>
    <row r="8" spans="1:230" ht="17.399999999999999" x14ac:dyDescent="0.3">
      <c r="A8" s="39"/>
      <c r="B8" s="39"/>
      <c r="C8" s="39"/>
      <c r="D8" s="49" t="s">
        <v>69</v>
      </c>
      <c r="E8" s="50" t="s">
        <v>69</v>
      </c>
      <c r="F8" s="50" t="s">
        <v>69</v>
      </c>
      <c r="G8" s="50" t="s">
        <v>69</v>
      </c>
      <c r="H8" s="39"/>
      <c r="I8" s="39"/>
      <c r="J8" s="39"/>
      <c r="K8" s="41" t="s">
        <v>65</v>
      </c>
      <c r="L8" s="49" t="s">
        <v>65</v>
      </c>
      <c r="M8" s="50" t="s">
        <v>65</v>
      </c>
      <c r="N8" s="50" t="s">
        <v>65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</row>
    <row r="9" spans="1:230" ht="17.399999999999999" x14ac:dyDescent="0.3">
      <c r="A9" s="39"/>
      <c r="B9" s="47"/>
      <c r="C9" s="39"/>
      <c r="D9" s="39"/>
      <c r="E9" s="50" t="s">
        <v>69</v>
      </c>
      <c r="F9" s="50" t="s">
        <v>69</v>
      </c>
      <c r="G9" s="50" t="s">
        <v>69</v>
      </c>
      <c r="H9" s="39"/>
      <c r="I9" s="47"/>
      <c r="J9" s="39"/>
      <c r="K9" s="39"/>
      <c r="L9" s="49" t="s">
        <v>65</v>
      </c>
      <c r="M9" s="50" t="s">
        <v>65</v>
      </c>
      <c r="N9" s="50" t="s">
        <v>65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</row>
    <row r="10" spans="1:230" ht="17.399999999999999" x14ac:dyDescent="0.3">
      <c r="A10" s="39"/>
      <c r="B10" s="47"/>
      <c r="C10" s="39"/>
      <c r="D10" s="39"/>
      <c r="E10" s="39"/>
      <c r="F10" s="50" t="s">
        <v>69</v>
      </c>
      <c r="G10" s="50" t="s">
        <v>69</v>
      </c>
      <c r="H10" s="39"/>
      <c r="I10" s="47"/>
      <c r="J10" s="39"/>
      <c r="K10" s="39"/>
      <c r="L10" s="39"/>
      <c r="M10" s="50" t="s">
        <v>65</v>
      </c>
      <c r="N10" s="50" t="s">
        <v>65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</row>
    <row r="11" spans="1:230" ht="17.399999999999999" x14ac:dyDescent="0.3">
      <c r="A11" s="39"/>
      <c r="B11" s="43"/>
      <c r="C11" s="39"/>
      <c r="D11" s="39"/>
      <c r="E11" s="39"/>
      <c r="F11" s="39"/>
      <c r="G11" s="50" t="s">
        <v>69</v>
      </c>
      <c r="H11" s="39"/>
      <c r="I11" s="43"/>
      <c r="J11" s="39"/>
      <c r="K11" s="39"/>
      <c r="L11" s="39"/>
      <c r="M11" s="39"/>
      <c r="N11" s="50" t="s">
        <v>65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</row>
    <row r="12" spans="1:230" ht="17.399999999999999" x14ac:dyDescent="0.3">
      <c r="A12" s="44"/>
      <c r="B12" s="53"/>
      <c r="C12" s="54"/>
      <c r="D12" s="39"/>
      <c r="E12" s="39"/>
      <c r="F12" s="39"/>
      <c r="G12" s="50" t="s">
        <v>69</v>
      </c>
      <c r="H12" s="39"/>
      <c r="I12" s="53"/>
      <c r="J12" s="54"/>
      <c r="K12" s="39"/>
      <c r="L12" s="39"/>
      <c r="M12" s="39"/>
      <c r="N12" s="50" t="s">
        <v>65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</row>
    <row r="13" spans="1:230" ht="17.399999999999999" x14ac:dyDescent="0.3">
      <c r="A13" s="39"/>
      <c r="B13" s="5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</row>
    <row r="14" spans="1:230" ht="17.399999999999999" x14ac:dyDescent="0.3">
      <c r="A14" s="39"/>
      <c r="B14" s="37">
        <v>38980.383180559649</v>
      </c>
      <c r="C14" s="37">
        <v>124894.68398070332</v>
      </c>
      <c r="D14" s="37">
        <v>167851.83438077514</v>
      </c>
      <c r="E14" s="37">
        <v>210808.98478084698</v>
      </c>
      <c r="F14" s="37">
        <v>253766.13518091882</v>
      </c>
      <c r="G14" s="37">
        <v>339680.43598106253</v>
      </c>
      <c r="I14" s="37">
        <v>11965.675398567742</v>
      </c>
      <c r="J14" s="37">
        <v>65991.480829849577</v>
      </c>
      <c r="K14" s="37">
        <v>93004.383545490477</v>
      </c>
      <c r="L14" s="37">
        <v>120017.2862611314</v>
      </c>
      <c r="M14" s="37">
        <v>147030.1889767723</v>
      </c>
      <c r="N14" s="37">
        <v>201055.99440805416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</row>
    <row r="15" spans="1:230" ht="17.399999999999999" x14ac:dyDescent="0.3">
      <c r="A15" s="39"/>
      <c r="B15" s="49" t="s">
        <v>71</v>
      </c>
      <c r="C15" s="50" t="s">
        <v>71</v>
      </c>
      <c r="D15" s="55" t="s">
        <v>71</v>
      </c>
      <c r="E15" s="55" t="s">
        <v>71</v>
      </c>
      <c r="F15" s="55" t="s">
        <v>71</v>
      </c>
      <c r="G15" s="55" t="s">
        <v>71</v>
      </c>
      <c r="H15" s="39"/>
      <c r="I15" s="41" t="s">
        <v>11</v>
      </c>
      <c r="J15" s="41" t="s">
        <v>11</v>
      </c>
      <c r="K15" s="41" t="s">
        <v>11</v>
      </c>
      <c r="L15" s="49" t="s">
        <v>11</v>
      </c>
      <c r="M15" s="41" t="s">
        <v>11</v>
      </c>
      <c r="N15" s="55" t="s">
        <v>11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</row>
    <row r="16" spans="1:230" ht="17.399999999999999" x14ac:dyDescent="0.3">
      <c r="A16" s="39"/>
      <c r="B16" s="45"/>
      <c r="C16" s="50" t="s">
        <v>71</v>
      </c>
      <c r="D16" s="55" t="s">
        <v>71</v>
      </c>
      <c r="E16" s="55" t="s">
        <v>71</v>
      </c>
      <c r="F16" s="55" t="s">
        <v>71</v>
      </c>
      <c r="G16" s="55" t="s">
        <v>71</v>
      </c>
      <c r="H16" s="39"/>
      <c r="I16" s="45"/>
      <c r="J16" s="41" t="s">
        <v>11</v>
      </c>
      <c r="K16" s="41" t="s">
        <v>11</v>
      </c>
      <c r="L16" s="49" t="s">
        <v>11</v>
      </c>
      <c r="M16" s="41" t="s">
        <v>11</v>
      </c>
      <c r="N16" s="55" t="s">
        <v>11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</row>
    <row r="17" spans="1:230" ht="17.399999999999999" x14ac:dyDescent="0.3">
      <c r="A17" s="39"/>
      <c r="B17" s="39"/>
      <c r="C17" s="39"/>
      <c r="D17" s="55" t="s">
        <v>71</v>
      </c>
      <c r="E17" s="55" t="s">
        <v>71</v>
      </c>
      <c r="F17" s="55" t="s">
        <v>71</v>
      </c>
      <c r="G17" s="55" t="s">
        <v>71</v>
      </c>
      <c r="H17" s="39"/>
      <c r="I17" s="39"/>
      <c r="J17" s="39"/>
      <c r="K17" s="41" t="s">
        <v>11</v>
      </c>
      <c r="L17" s="49" t="s">
        <v>11</v>
      </c>
      <c r="M17" s="41" t="s">
        <v>11</v>
      </c>
      <c r="N17" s="55" t="s">
        <v>11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</row>
    <row r="18" spans="1:230" ht="17.399999999999999" x14ac:dyDescent="0.3">
      <c r="A18" s="40"/>
      <c r="B18" s="47"/>
      <c r="C18" s="39"/>
      <c r="D18" s="39"/>
      <c r="E18" s="55" t="s">
        <v>71</v>
      </c>
      <c r="F18" s="55" t="s">
        <v>71</v>
      </c>
      <c r="G18" s="55" t="s">
        <v>71</v>
      </c>
      <c r="H18" s="39"/>
      <c r="I18" s="47"/>
      <c r="J18" s="39"/>
      <c r="K18" s="39"/>
      <c r="L18" s="49" t="s">
        <v>11</v>
      </c>
      <c r="M18" s="41" t="s">
        <v>11</v>
      </c>
      <c r="N18" s="55" t="s">
        <v>11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</row>
    <row r="19" spans="1:230" ht="17.399999999999999" x14ac:dyDescent="0.3">
      <c r="A19" s="39"/>
      <c r="B19" s="47"/>
      <c r="C19" s="39"/>
      <c r="D19" s="39"/>
      <c r="E19" s="39"/>
      <c r="F19" s="55" t="s">
        <v>71</v>
      </c>
      <c r="G19" s="55" t="s">
        <v>71</v>
      </c>
      <c r="H19" s="39"/>
      <c r="I19" s="47"/>
      <c r="J19" s="39"/>
      <c r="K19" s="39"/>
      <c r="L19" s="39"/>
      <c r="M19" s="41" t="s">
        <v>11</v>
      </c>
      <c r="N19" s="55" t="s">
        <v>11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</row>
    <row r="20" spans="1:230" ht="17.399999999999999" x14ac:dyDescent="0.3">
      <c r="A20" s="39"/>
      <c r="B20" s="43"/>
      <c r="C20" s="39"/>
      <c r="D20" s="39"/>
      <c r="E20" s="39"/>
      <c r="F20" s="39"/>
      <c r="G20" s="55" t="s">
        <v>71</v>
      </c>
      <c r="H20" s="39"/>
      <c r="I20" s="43"/>
      <c r="J20" s="39"/>
      <c r="K20" s="39"/>
      <c r="L20" s="39"/>
      <c r="M20" s="39"/>
      <c r="N20" s="55" t="s">
        <v>11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</row>
    <row r="21" spans="1:230" ht="17.399999999999999" x14ac:dyDescent="0.3">
      <c r="A21" s="39"/>
      <c r="B21" s="53"/>
      <c r="C21" s="54"/>
      <c r="D21" s="39"/>
      <c r="E21" s="39"/>
      <c r="F21" s="39"/>
      <c r="G21" s="55" t="s">
        <v>71</v>
      </c>
      <c r="H21" s="39"/>
      <c r="I21" s="53"/>
      <c r="J21" s="54"/>
      <c r="K21" s="39"/>
      <c r="L21" s="39"/>
      <c r="M21" s="39"/>
      <c r="N21" s="55" t="s">
        <v>11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</row>
    <row r="22" spans="1:230" ht="17.399999999999999" x14ac:dyDescent="0.3">
      <c r="A22" s="39"/>
      <c r="B22" s="47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</row>
    <row r="23" spans="1:230" ht="17.399999999999999" x14ac:dyDescent="0.3">
      <c r="A23" s="39"/>
      <c r="B23" s="37">
        <v>27773.11013684472</v>
      </c>
      <c r="C23" s="37">
        <v>98742.36260565609</v>
      </c>
      <c r="D23" s="37">
        <v>134226.98884006179</v>
      </c>
      <c r="E23" s="37">
        <v>169711.61507446747</v>
      </c>
      <c r="F23" s="37">
        <v>205196.24130887314</v>
      </c>
      <c r="G23" s="37">
        <v>276165.49377768458</v>
      </c>
      <c r="I23" s="37">
        <v>13642.575816817969</v>
      </c>
      <c r="J23" s="37">
        <v>71352.890377283169</v>
      </c>
      <c r="K23" s="37">
        <v>100208.04765751577</v>
      </c>
      <c r="L23" s="37">
        <v>129063.20493774836</v>
      </c>
      <c r="M23" s="37">
        <v>157918.36221798093</v>
      </c>
      <c r="N23" s="37">
        <v>215628.67677844616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</row>
    <row r="24" spans="1:230" ht="17.399999999999999" x14ac:dyDescent="0.3">
      <c r="A24" s="39"/>
      <c r="B24" s="41" t="s">
        <v>66</v>
      </c>
      <c r="C24" s="49" t="s">
        <v>66</v>
      </c>
      <c r="D24" s="50" t="s">
        <v>66</v>
      </c>
      <c r="E24" s="55" t="s">
        <v>66</v>
      </c>
      <c r="F24" s="55" t="s">
        <v>66</v>
      </c>
      <c r="G24" s="55" t="s">
        <v>66</v>
      </c>
      <c r="H24" s="39"/>
      <c r="I24" s="52" t="s">
        <v>12</v>
      </c>
      <c r="J24" s="52" t="s">
        <v>12</v>
      </c>
      <c r="K24" s="51" t="s">
        <v>12</v>
      </c>
      <c r="L24" s="56" t="s">
        <v>12</v>
      </c>
      <c r="M24" s="52" t="s">
        <v>12</v>
      </c>
      <c r="N24" s="57" t="s">
        <v>12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</row>
    <row r="25" spans="1:230" ht="17.399999999999999" x14ac:dyDescent="0.3">
      <c r="A25" s="39"/>
      <c r="B25" s="45"/>
      <c r="C25" s="49" t="s">
        <v>66</v>
      </c>
      <c r="D25" s="50" t="s">
        <v>66</v>
      </c>
      <c r="E25" s="55" t="s">
        <v>66</v>
      </c>
      <c r="F25" s="55" t="s">
        <v>66</v>
      </c>
      <c r="G25" s="55" t="s">
        <v>66</v>
      </c>
      <c r="H25" s="39"/>
      <c r="I25" s="58"/>
      <c r="J25" s="52" t="s">
        <v>12</v>
      </c>
      <c r="K25" s="51" t="s">
        <v>12</v>
      </c>
      <c r="L25" s="56" t="s">
        <v>12</v>
      </c>
      <c r="M25" s="52" t="s">
        <v>12</v>
      </c>
      <c r="N25" s="57" t="s">
        <v>12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</row>
    <row r="26" spans="1:230" ht="17.399999999999999" x14ac:dyDescent="0.3">
      <c r="A26" s="39"/>
      <c r="B26" s="39"/>
      <c r="C26" s="39"/>
      <c r="D26" s="50" t="s">
        <v>66</v>
      </c>
      <c r="E26" s="55" t="s">
        <v>66</v>
      </c>
      <c r="F26" s="55" t="s">
        <v>66</v>
      </c>
      <c r="G26" s="55" t="s">
        <v>66</v>
      </c>
      <c r="H26" s="39"/>
      <c r="I26" s="59"/>
      <c r="J26" s="59"/>
      <c r="K26" s="51" t="s">
        <v>12</v>
      </c>
      <c r="L26" s="56" t="s">
        <v>12</v>
      </c>
      <c r="M26" s="52" t="s">
        <v>12</v>
      </c>
      <c r="N26" s="57" t="s">
        <v>12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</row>
    <row r="27" spans="1:230" ht="17.399999999999999" x14ac:dyDescent="0.3">
      <c r="A27" s="39"/>
      <c r="B27" s="47"/>
      <c r="C27" s="39"/>
      <c r="D27" s="39"/>
      <c r="E27" s="55" t="s">
        <v>66</v>
      </c>
      <c r="F27" s="55" t="s">
        <v>66</v>
      </c>
      <c r="G27" s="55" t="s">
        <v>66</v>
      </c>
      <c r="H27" s="39"/>
      <c r="I27" s="60"/>
      <c r="J27" s="59"/>
      <c r="K27" s="59" t="s">
        <v>40</v>
      </c>
      <c r="L27" s="56" t="s">
        <v>12</v>
      </c>
      <c r="M27" s="52" t="s">
        <v>12</v>
      </c>
      <c r="N27" s="57" t="s">
        <v>12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</row>
    <row r="28" spans="1:230" ht="17.399999999999999" x14ac:dyDescent="0.3">
      <c r="A28" s="39"/>
      <c r="B28" s="47"/>
      <c r="C28" s="39"/>
      <c r="D28" s="39"/>
      <c r="E28" s="39"/>
      <c r="F28" s="55" t="s">
        <v>66</v>
      </c>
      <c r="G28" s="55" t="s">
        <v>66</v>
      </c>
      <c r="H28" s="39"/>
      <c r="I28" s="60"/>
      <c r="J28" s="59"/>
      <c r="K28" s="59"/>
      <c r="L28" s="59"/>
      <c r="M28" s="52" t="s">
        <v>12</v>
      </c>
      <c r="N28" s="57" t="s">
        <v>12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</row>
    <row r="29" spans="1:230" ht="17.399999999999999" x14ac:dyDescent="0.3">
      <c r="A29" s="46"/>
      <c r="B29" s="43"/>
      <c r="C29" s="39"/>
      <c r="D29" s="39"/>
      <c r="E29" s="39"/>
      <c r="F29" s="39"/>
      <c r="G29" s="55" t="s">
        <v>66</v>
      </c>
      <c r="H29" s="39"/>
      <c r="I29" s="61"/>
      <c r="J29" s="59"/>
      <c r="K29" s="59"/>
      <c r="L29" s="59"/>
      <c r="M29" s="59"/>
      <c r="N29" s="57" t="s">
        <v>12</v>
      </c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</row>
    <row r="30" spans="1:230" ht="17.399999999999999" x14ac:dyDescent="0.3">
      <c r="A30" s="42"/>
      <c r="B30" s="53"/>
      <c r="C30" s="54"/>
      <c r="D30" s="39"/>
      <c r="E30" s="39"/>
      <c r="F30" s="39"/>
      <c r="G30" s="55" t="s">
        <v>66</v>
      </c>
      <c r="H30" s="39"/>
      <c r="I30" s="62"/>
      <c r="J30" s="63"/>
      <c r="K30" s="59"/>
      <c r="L30" s="59"/>
      <c r="M30" s="59"/>
      <c r="N30" s="57" t="s">
        <v>12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</row>
    <row r="31" spans="1:230" ht="17.399999999999999" x14ac:dyDescent="0.3">
      <c r="A31" s="42"/>
      <c r="B31" s="47"/>
      <c r="C31" s="64"/>
      <c r="D31" s="39"/>
      <c r="E31" s="39"/>
      <c r="F31" s="39"/>
      <c r="G31" s="39"/>
      <c r="H31" s="39"/>
      <c r="I31" s="65"/>
      <c r="J31" s="65"/>
      <c r="K31" s="65"/>
      <c r="L31" s="65"/>
      <c r="M31" s="65"/>
      <c r="N31" s="65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</row>
    <row r="32" spans="1:230" ht="17.399999999999999" x14ac:dyDescent="0.3">
      <c r="A32" s="42"/>
      <c r="B32" s="37">
        <v>29096.55317046968</v>
      </c>
      <c r="C32" s="37">
        <v>103524.43024311635</v>
      </c>
      <c r="D32" s="37">
        <v>140738.36877943968</v>
      </c>
      <c r="E32" s="37">
        <v>177952.30731576303</v>
      </c>
      <c r="F32" s="37">
        <v>215166.24585208637</v>
      </c>
      <c r="G32" s="37">
        <v>289594.12292473303</v>
      </c>
      <c r="I32" s="37">
        <v>7387.072664771933</v>
      </c>
      <c r="J32" s="37">
        <v>29517.882341907483</v>
      </c>
      <c r="K32" s="37">
        <v>40583.287180475258</v>
      </c>
      <c r="L32" s="37">
        <v>51648.692019043032</v>
      </c>
      <c r="M32" s="37">
        <v>62714.096857610806</v>
      </c>
      <c r="N32" s="37">
        <v>84844.906534746347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</row>
    <row r="33" spans="1:230" ht="17.399999999999999" x14ac:dyDescent="0.3">
      <c r="A33" s="42"/>
      <c r="B33" s="41" t="s">
        <v>15</v>
      </c>
      <c r="C33" s="49" t="s">
        <v>15</v>
      </c>
      <c r="D33" s="50" t="s">
        <v>15</v>
      </c>
      <c r="E33" s="55" t="s">
        <v>15</v>
      </c>
      <c r="F33" s="55" t="s">
        <v>15</v>
      </c>
      <c r="G33" s="55" t="s">
        <v>15</v>
      </c>
      <c r="H33" s="39"/>
      <c r="I33" s="52" t="s">
        <v>39</v>
      </c>
      <c r="J33" s="52" t="s">
        <v>39</v>
      </c>
      <c r="K33" s="51" t="s">
        <v>39</v>
      </c>
      <c r="L33" s="56" t="s">
        <v>39</v>
      </c>
      <c r="M33" s="52" t="s">
        <v>39</v>
      </c>
      <c r="N33" s="57" t="s">
        <v>39</v>
      </c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</row>
    <row r="34" spans="1:230" ht="17.399999999999999" x14ac:dyDescent="0.3">
      <c r="A34" s="42"/>
      <c r="B34" s="45"/>
      <c r="C34" s="49" t="s">
        <v>15</v>
      </c>
      <c r="D34" s="50" t="s">
        <v>15</v>
      </c>
      <c r="E34" s="55" t="s">
        <v>15</v>
      </c>
      <c r="F34" s="55" t="s">
        <v>15</v>
      </c>
      <c r="G34" s="55" t="s">
        <v>15</v>
      </c>
      <c r="H34" s="39"/>
      <c r="I34" s="58"/>
      <c r="J34" s="52" t="s">
        <v>39</v>
      </c>
      <c r="K34" s="51" t="s">
        <v>39</v>
      </c>
      <c r="L34" s="56" t="s">
        <v>39</v>
      </c>
      <c r="M34" s="52" t="s">
        <v>39</v>
      </c>
      <c r="N34" s="57" t="s">
        <v>39</v>
      </c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</row>
    <row r="35" spans="1:230" ht="17.399999999999999" x14ac:dyDescent="0.3">
      <c r="A35" s="42"/>
      <c r="B35" s="39"/>
      <c r="C35" s="39"/>
      <c r="D35" s="50" t="s">
        <v>15</v>
      </c>
      <c r="E35" s="55" t="s">
        <v>15</v>
      </c>
      <c r="F35" s="55" t="s">
        <v>15</v>
      </c>
      <c r="G35" s="55" t="s">
        <v>15</v>
      </c>
      <c r="H35" s="39"/>
      <c r="I35" s="59"/>
      <c r="J35" s="59"/>
      <c r="K35" s="51" t="s">
        <v>39</v>
      </c>
      <c r="L35" s="56" t="s">
        <v>39</v>
      </c>
      <c r="M35" s="52" t="s">
        <v>39</v>
      </c>
      <c r="N35" s="57" t="s">
        <v>39</v>
      </c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</row>
    <row r="36" spans="1:230" ht="17.399999999999999" x14ac:dyDescent="0.3">
      <c r="A36" s="39"/>
      <c r="B36" s="47"/>
      <c r="C36" s="39"/>
      <c r="D36" s="39"/>
      <c r="E36" s="55" t="s">
        <v>15</v>
      </c>
      <c r="F36" s="55" t="s">
        <v>15</v>
      </c>
      <c r="G36" s="55" t="s">
        <v>15</v>
      </c>
      <c r="H36" s="39"/>
      <c r="I36" s="60"/>
      <c r="J36" s="59"/>
      <c r="K36" s="59" t="s">
        <v>40</v>
      </c>
      <c r="L36" s="56" t="s">
        <v>39</v>
      </c>
      <c r="M36" s="52" t="s">
        <v>39</v>
      </c>
      <c r="N36" s="57" t="s">
        <v>39</v>
      </c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</row>
    <row r="37" spans="1:230" ht="17.399999999999999" x14ac:dyDescent="0.3">
      <c r="A37" s="39"/>
      <c r="B37" s="47"/>
      <c r="C37" s="39"/>
      <c r="D37" s="39"/>
      <c r="E37" s="39"/>
      <c r="F37" s="55" t="s">
        <v>15</v>
      </c>
      <c r="G37" s="55" t="s">
        <v>15</v>
      </c>
      <c r="H37" s="39"/>
      <c r="I37" s="60"/>
      <c r="J37" s="59"/>
      <c r="K37" s="59"/>
      <c r="L37" s="59"/>
      <c r="M37" s="52" t="s">
        <v>39</v>
      </c>
      <c r="N37" s="57" t="s">
        <v>39</v>
      </c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</row>
    <row r="38" spans="1:230" ht="17.399999999999999" x14ac:dyDescent="0.3">
      <c r="A38" s="39"/>
      <c r="B38" s="43"/>
      <c r="C38" s="39"/>
      <c r="D38" s="39"/>
      <c r="E38" s="39"/>
      <c r="F38" s="39"/>
      <c r="G38" s="55" t="s">
        <v>15</v>
      </c>
      <c r="H38" s="39"/>
      <c r="I38" s="61"/>
      <c r="J38" s="59"/>
      <c r="K38" s="59"/>
      <c r="L38" s="59"/>
      <c r="M38" s="59"/>
      <c r="N38" s="57" t="s">
        <v>39</v>
      </c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</row>
    <row r="39" spans="1:230" ht="17.399999999999999" x14ac:dyDescent="0.3">
      <c r="B39" s="53"/>
      <c r="C39" s="54"/>
      <c r="D39" s="39"/>
      <c r="E39" s="39"/>
      <c r="F39" s="39"/>
      <c r="G39" s="55" t="s">
        <v>15</v>
      </c>
      <c r="H39" s="39"/>
      <c r="I39" s="62"/>
      <c r="J39" s="63"/>
      <c r="K39" s="59"/>
      <c r="L39" s="59"/>
      <c r="M39" s="59"/>
      <c r="N39" s="57" t="s">
        <v>39</v>
      </c>
    </row>
    <row r="40" spans="1:230" ht="17.399999999999999" x14ac:dyDescent="0.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</row>
    <row r="41" spans="1:230" ht="17.399999999999999" x14ac:dyDescent="0.3">
      <c r="B41" s="37">
        <v>31850.507445272029</v>
      </c>
      <c r="C41" s="37">
        <v>106487.44428703559</v>
      </c>
      <c r="D41" s="37">
        <v>143805.91270791736</v>
      </c>
      <c r="E41" s="37">
        <v>181124.38112879914</v>
      </c>
      <c r="F41" s="37">
        <v>218442.84954968092</v>
      </c>
      <c r="G41" s="37">
        <v>293079.7863914445</v>
      </c>
      <c r="H41" s="39"/>
      <c r="I41" s="45"/>
      <c r="J41" s="45"/>
      <c r="K41" s="45"/>
      <c r="L41" s="45"/>
      <c r="M41" s="45"/>
      <c r="N41" s="45"/>
    </row>
    <row r="42" spans="1:230" ht="17.399999999999999" x14ac:dyDescent="0.3">
      <c r="B42" s="41" t="s">
        <v>16</v>
      </c>
      <c r="C42" s="49" t="s">
        <v>16</v>
      </c>
      <c r="D42" s="50" t="s">
        <v>16</v>
      </c>
      <c r="E42" s="55" t="s">
        <v>16</v>
      </c>
      <c r="F42" s="55" t="s">
        <v>16</v>
      </c>
      <c r="G42" s="55" t="s">
        <v>16</v>
      </c>
      <c r="H42" s="47"/>
      <c r="I42" s="41" t="s">
        <v>41</v>
      </c>
      <c r="J42" s="41"/>
      <c r="K42" s="41"/>
      <c r="L42" s="41"/>
      <c r="M42" s="41"/>
      <c r="N42" s="41"/>
    </row>
    <row r="43" spans="1:230" ht="17.399999999999999" x14ac:dyDescent="0.3">
      <c r="B43" s="45"/>
      <c r="C43" s="49" t="s">
        <v>16</v>
      </c>
      <c r="D43" s="50" t="s">
        <v>16</v>
      </c>
      <c r="E43" s="55" t="s">
        <v>16</v>
      </c>
      <c r="F43" s="55" t="s">
        <v>16</v>
      </c>
      <c r="G43" s="55" t="s">
        <v>16</v>
      </c>
      <c r="H43" s="47"/>
      <c r="I43" s="66" t="s">
        <v>42</v>
      </c>
      <c r="J43" s="67"/>
      <c r="K43" s="49"/>
      <c r="L43" s="49"/>
      <c r="M43" s="49"/>
      <c r="N43" s="49"/>
    </row>
    <row r="44" spans="1:230" ht="17.399999999999999" x14ac:dyDescent="0.3">
      <c r="B44" s="39"/>
      <c r="C44" s="39"/>
      <c r="D44" s="50" t="s">
        <v>16</v>
      </c>
      <c r="E44" s="55" t="s">
        <v>16</v>
      </c>
      <c r="F44" s="55" t="s">
        <v>16</v>
      </c>
      <c r="G44" s="55" t="s">
        <v>16</v>
      </c>
      <c r="H44" s="47"/>
      <c r="I44" s="68" t="s">
        <v>43</v>
      </c>
      <c r="J44" s="69"/>
      <c r="K44" s="69"/>
      <c r="L44" s="50"/>
      <c r="M44" s="50"/>
      <c r="N44" s="50"/>
    </row>
    <row r="45" spans="1:230" ht="17.399999999999999" x14ac:dyDescent="0.3">
      <c r="B45" s="47"/>
      <c r="C45" s="39"/>
      <c r="D45" s="39"/>
      <c r="E45" s="55" t="s">
        <v>16</v>
      </c>
      <c r="F45" s="55" t="s">
        <v>16</v>
      </c>
      <c r="G45" s="55" t="s">
        <v>16</v>
      </c>
      <c r="H45" s="47"/>
      <c r="I45" s="70" t="s">
        <v>44</v>
      </c>
      <c r="J45" s="71"/>
      <c r="K45" s="71"/>
      <c r="L45" s="71"/>
      <c r="M45" s="55"/>
      <c r="N45" s="55"/>
    </row>
    <row r="46" spans="1:230" ht="17.399999999999999" x14ac:dyDescent="0.3">
      <c r="B46" s="47"/>
      <c r="C46" s="39"/>
      <c r="D46" s="39"/>
      <c r="E46" s="39"/>
      <c r="F46" s="55" t="s">
        <v>16</v>
      </c>
      <c r="G46" s="55" t="s">
        <v>16</v>
      </c>
      <c r="H46" s="47"/>
      <c r="I46" s="43"/>
      <c r="J46" s="39"/>
      <c r="K46" s="39"/>
      <c r="L46" s="39"/>
      <c r="M46" s="39"/>
      <c r="N46" s="45"/>
    </row>
    <row r="47" spans="1:230" ht="17.399999999999999" x14ac:dyDescent="0.3">
      <c r="B47" s="43"/>
      <c r="C47" s="39"/>
      <c r="D47" s="39"/>
      <c r="E47" s="39"/>
      <c r="F47" s="39"/>
      <c r="G47" s="55" t="s">
        <v>16</v>
      </c>
      <c r="H47" s="47"/>
      <c r="I47" s="53"/>
      <c r="J47" s="54"/>
      <c r="K47" s="39"/>
      <c r="L47" s="39"/>
      <c r="M47" s="39"/>
      <c r="N47" s="45"/>
    </row>
    <row r="48" spans="1:230" ht="17.399999999999999" x14ac:dyDescent="0.3">
      <c r="B48" s="53"/>
      <c r="C48" s="54"/>
      <c r="D48" s="39"/>
      <c r="E48" s="39"/>
      <c r="F48" s="39"/>
      <c r="G48" s="55" t="s">
        <v>16</v>
      </c>
    </row>
  </sheetData>
  <printOptions gridLines="1"/>
  <pageMargins left="0.25" right="0.25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Planung</vt:lpstr>
      <vt:lpstr>Tabelle1</vt:lpstr>
      <vt:lpstr>Ofen</vt:lpstr>
      <vt:lpstr>Budget</vt:lpstr>
      <vt:lpstr>Budget 2022</vt:lpstr>
      <vt:lpstr>2019 (3)</vt:lpstr>
      <vt:lpstr>Planung!Druckbereich</vt:lpstr>
    </vt:vector>
  </TitlesOfParts>
  <Company>SAINT-GOBAIN 1.8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Fuchs, Alexander</dc:creator>
  <cp:lastModifiedBy>Fuchs, Alexander</cp:lastModifiedBy>
  <cp:lastPrinted>2023-04-03T13:46:08Z</cp:lastPrinted>
  <dcterms:created xsi:type="dcterms:W3CDTF">2018-03-02T13:31:44Z</dcterms:created>
  <dcterms:modified xsi:type="dcterms:W3CDTF">2023-04-03T16:03:48Z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2020-12-02T11:33:41Z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4b005de2-988f-4d42-a48d-860f34b0c1ba</vt:lpwstr>
  </property>
  <property fmtid="{D5CDD505-2E9C-101B-9397-08002B2CF9AE}" pid="8" name="MSIP_Label_ced06422-c515-4a4e-a1f2-e6a0c0200eae_ContentBits">
    <vt:lpwstr>0</vt:lpwstr>
  </property>
</Properties>
</file>