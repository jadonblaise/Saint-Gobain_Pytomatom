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intgobain.sharepoint.com/sites/GA-Saint-Gobain-Glass-Deutschland/SOP/POZ/PPS/00 Produktionsprogramme/"/>
    </mc:Choice>
  </mc:AlternateContent>
  <xr:revisionPtr revIDLastSave="1288" documentId="13_ncr:1_{2B53DBDA-C388-4500-BE57-83ACCADA0F04}" xr6:coauthVersionLast="47" xr6:coauthVersionMax="47" xr10:uidLastSave="{A8E92246-3B3D-4344-BEFC-96829FEB5E1C}"/>
  <bookViews>
    <workbookView xWindow="28680" yWindow="-120" windowWidth="29040" windowHeight="16440" firstSheet="1" activeTab="1" xr2:uid="{00000000-000D-0000-FFFF-FFFF00000000}"/>
  </bookViews>
  <sheets>
    <sheet name="Stat_Dicke" sheetId="6" state="hidden" r:id="rId1"/>
    <sheet name="Planung" sheetId="1" r:id="rId2"/>
    <sheet name="Tabelle1" sheetId="5" state="hidden" r:id="rId3"/>
    <sheet name="Parameter der Planung" sheetId="2" r:id="rId4"/>
    <sheet name="Dickenspezifische Reihenfolgen" sheetId="4" r:id="rId5"/>
    <sheet name="Budget" sheetId="3" r:id="rId6"/>
  </sheets>
  <definedNames>
    <definedName name="_xlnm._FilterDatabase" localSheetId="1" hidden="1">Planung!$A$1:$AA$2605</definedName>
    <definedName name="_xlnm.Print_Area" localSheetId="1">Planung!$A$72:$O$134</definedName>
  </definedNames>
  <calcPr calcId="191028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66" i="1" l="1"/>
  <c r="N1766" i="1" s="1"/>
  <c r="L1767" i="1"/>
  <c r="N1767" i="1" s="1"/>
  <c r="L1768" i="1"/>
  <c r="N1768" i="1" s="1"/>
  <c r="L1769" i="1"/>
  <c r="N1769" i="1" s="1"/>
  <c r="L1770" i="1"/>
  <c r="N1770" i="1" s="1"/>
  <c r="L1771" i="1"/>
  <c r="N1771" i="1" s="1"/>
  <c r="L1772" i="1"/>
  <c r="N1772" i="1" s="1"/>
  <c r="L1773" i="1"/>
  <c r="N1773" i="1" s="1"/>
  <c r="L1774" i="1"/>
  <c r="N1774" i="1" s="1"/>
  <c r="L1775" i="1"/>
  <c r="N1775" i="1" s="1"/>
  <c r="L1776" i="1"/>
  <c r="N1776" i="1" s="1"/>
  <c r="L1777" i="1"/>
  <c r="N1777" i="1" s="1"/>
  <c r="L1778" i="1"/>
  <c r="N1778" i="1" s="1"/>
  <c r="L1779" i="1"/>
  <c r="N1779" i="1" s="1"/>
  <c r="L1780" i="1"/>
  <c r="N1780" i="1" s="1"/>
  <c r="L1781" i="1"/>
  <c r="N1781" i="1" s="1"/>
  <c r="L1782" i="1"/>
  <c r="N1782" i="1" s="1"/>
  <c r="L1783" i="1"/>
  <c r="N1783" i="1" s="1"/>
  <c r="L1784" i="1"/>
  <c r="N1784" i="1" s="1"/>
  <c r="L1785" i="1"/>
  <c r="N1785" i="1" s="1"/>
  <c r="L1786" i="1"/>
  <c r="N1786" i="1" s="1"/>
  <c r="L1787" i="1"/>
  <c r="N1787" i="1" s="1"/>
  <c r="L1788" i="1"/>
  <c r="N1788" i="1" s="1"/>
  <c r="L1789" i="1"/>
  <c r="N1789" i="1" s="1"/>
  <c r="L1790" i="1"/>
  <c r="N1790" i="1" s="1"/>
  <c r="L1791" i="1"/>
  <c r="N1791" i="1" s="1"/>
  <c r="L1792" i="1"/>
  <c r="N1792" i="1" s="1"/>
  <c r="L1793" i="1"/>
  <c r="N1793" i="1" s="1"/>
  <c r="L1794" i="1"/>
  <c r="N1794" i="1" s="1"/>
  <c r="L1795" i="1"/>
  <c r="N1795" i="1" s="1"/>
  <c r="L1796" i="1"/>
  <c r="N1796" i="1"/>
  <c r="L1797" i="1"/>
  <c r="N1797" i="1" s="1"/>
  <c r="L1798" i="1"/>
  <c r="N1798" i="1" s="1"/>
  <c r="L1799" i="1"/>
  <c r="N1799" i="1" s="1"/>
  <c r="L1800" i="1"/>
  <c r="N1800" i="1" s="1"/>
  <c r="L1801" i="1"/>
  <c r="N1801" i="1" s="1"/>
  <c r="L1802" i="1"/>
  <c r="N1802" i="1" s="1"/>
  <c r="L1803" i="1"/>
  <c r="N1803" i="1"/>
  <c r="L1804" i="1"/>
  <c r="N1804" i="1" s="1"/>
  <c r="L1805" i="1"/>
  <c r="N1805" i="1" s="1"/>
  <c r="L1806" i="1"/>
  <c r="N1806" i="1" s="1"/>
  <c r="L1807" i="1"/>
  <c r="N1807" i="1" s="1"/>
  <c r="L1808" i="1"/>
  <c r="N1808" i="1" s="1"/>
  <c r="L1809" i="1"/>
  <c r="N1809" i="1" s="1"/>
  <c r="L1810" i="1"/>
  <c r="N1810" i="1" s="1"/>
  <c r="L1811" i="1"/>
  <c r="N1811" i="1" s="1"/>
  <c r="L1812" i="1"/>
  <c r="N1812" i="1"/>
  <c r="L1813" i="1"/>
  <c r="N1813" i="1" s="1"/>
  <c r="L1814" i="1"/>
  <c r="N1814" i="1" s="1"/>
  <c r="AH1671" i="1"/>
  <c r="L1480" i="1"/>
  <c r="N1480" i="1" s="1"/>
  <c r="L1479" i="1"/>
  <c r="N1479" i="1" s="1"/>
  <c r="L1481" i="1"/>
  <c r="N1481" i="1" s="1"/>
  <c r="L1482" i="1"/>
  <c r="N1482" i="1" s="1"/>
  <c r="L1483" i="1"/>
  <c r="N1483" i="1" s="1"/>
  <c r="L1484" i="1"/>
  <c r="N1484" i="1" s="1"/>
  <c r="L1485" i="1"/>
  <c r="N1485" i="1" s="1"/>
  <c r="L1486" i="1"/>
  <c r="N1486" i="1" s="1"/>
  <c r="L1487" i="1"/>
  <c r="N1487" i="1" s="1"/>
  <c r="L1488" i="1"/>
  <c r="N1488" i="1" s="1"/>
  <c r="L1489" i="1"/>
  <c r="N1489" i="1" s="1"/>
  <c r="L1490" i="1"/>
  <c r="N1490" i="1" s="1"/>
  <c r="L1491" i="1"/>
  <c r="N1491" i="1" s="1"/>
  <c r="L1492" i="1"/>
  <c r="N1492" i="1" s="1"/>
  <c r="L1493" i="1"/>
  <c r="N1493" i="1" s="1"/>
  <c r="L1494" i="1"/>
  <c r="N1494" i="1" s="1"/>
  <c r="L1495" i="1"/>
  <c r="N1495" i="1" s="1"/>
  <c r="L1496" i="1"/>
  <c r="N1496" i="1" s="1"/>
  <c r="L1497" i="1"/>
  <c r="N1497" i="1" s="1"/>
  <c r="L1498" i="1"/>
  <c r="N1498" i="1" s="1"/>
  <c r="L1499" i="1"/>
  <c r="N1499" i="1" s="1"/>
  <c r="L1500" i="1"/>
  <c r="N1500" i="1" s="1"/>
  <c r="L1501" i="1"/>
  <c r="N1501" i="1" s="1"/>
  <c r="L1502" i="1"/>
  <c r="N1502" i="1" s="1"/>
  <c r="L1503" i="1"/>
  <c r="N1503" i="1" s="1"/>
  <c r="L1504" i="1"/>
  <c r="N1504" i="1" s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1" i="1"/>
  <c r="N1511" i="1" s="1"/>
  <c r="L1512" i="1"/>
  <c r="N1512" i="1" s="1"/>
  <c r="L1513" i="1"/>
  <c r="N1513" i="1" s="1"/>
  <c r="L1514" i="1"/>
  <c r="N1514" i="1" s="1"/>
  <c r="L1515" i="1"/>
  <c r="N1515" i="1" s="1"/>
  <c r="L1516" i="1"/>
  <c r="N1516" i="1" s="1"/>
  <c r="L1517" i="1"/>
  <c r="N1517" i="1" s="1"/>
  <c r="L1518" i="1"/>
  <c r="N1518" i="1" s="1"/>
  <c r="L1519" i="1"/>
  <c r="N1519" i="1" s="1"/>
  <c r="L1520" i="1"/>
  <c r="N1520" i="1" s="1"/>
  <c r="L1521" i="1"/>
  <c r="N1521" i="1" s="1"/>
  <c r="L1522" i="1"/>
  <c r="N1522" i="1" s="1"/>
  <c r="L1523" i="1"/>
  <c r="N1523" i="1" s="1"/>
  <c r="L1524" i="1"/>
  <c r="N1524" i="1" s="1"/>
  <c r="L1525" i="1"/>
  <c r="N1525" i="1" s="1"/>
  <c r="L1526" i="1"/>
  <c r="N1526" i="1" s="1"/>
  <c r="L1527" i="1"/>
  <c r="N1527" i="1" s="1"/>
  <c r="L1528" i="1"/>
  <c r="N1528" i="1" s="1"/>
  <c r="L1529" i="1"/>
  <c r="N1529" i="1" s="1"/>
  <c r="L1530" i="1"/>
  <c r="N1530" i="1" s="1"/>
  <c r="L1531" i="1"/>
  <c r="N1531" i="1" s="1"/>
  <c r="L1532" i="1"/>
  <c r="N1532" i="1" s="1"/>
  <c r="L1533" i="1"/>
  <c r="N1533" i="1" s="1"/>
  <c r="L1534" i="1"/>
  <c r="N1534" i="1" s="1"/>
  <c r="L1535" i="1"/>
  <c r="N1535" i="1" s="1"/>
  <c r="L1536" i="1"/>
  <c r="N1536" i="1" s="1"/>
  <c r="L1537" i="1"/>
  <c r="N1537" i="1" s="1"/>
  <c r="L1538" i="1"/>
  <c r="N1538" i="1" s="1"/>
  <c r="L1539" i="1"/>
  <c r="N1539" i="1" s="1"/>
  <c r="L1540" i="1"/>
  <c r="N1540" i="1" s="1"/>
  <c r="L1541" i="1"/>
  <c r="N1541" i="1" s="1"/>
  <c r="L1542" i="1"/>
  <c r="N1542" i="1" s="1"/>
  <c r="L1543" i="1"/>
  <c r="N1543" i="1" s="1"/>
  <c r="L1544" i="1"/>
  <c r="N1544" i="1" s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1" i="1"/>
  <c r="N1551" i="1" s="1"/>
  <c r="L1552" i="1"/>
  <c r="N1552" i="1" s="1"/>
  <c r="L1553" i="1"/>
  <c r="N1553" i="1" s="1"/>
  <c r="L1554" i="1"/>
  <c r="N1554" i="1" s="1"/>
  <c r="L1555" i="1"/>
  <c r="N1555" i="1" s="1"/>
  <c r="L1556" i="1"/>
  <c r="N1556" i="1" s="1"/>
  <c r="L1557" i="1"/>
  <c r="N1557" i="1" s="1"/>
  <c r="L1558" i="1"/>
  <c r="N1558" i="1" s="1"/>
  <c r="L1559" i="1"/>
  <c r="N1559" i="1" s="1"/>
  <c r="L1560" i="1"/>
  <c r="N1560" i="1" s="1"/>
  <c r="L1561" i="1"/>
  <c r="N1561" i="1" s="1"/>
  <c r="L1562" i="1"/>
  <c r="N1562" i="1" s="1"/>
  <c r="L1563" i="1"/>
  <c r="N1563" i="1" s="1"/>
  <c r="L1564" i="1"/>
  <c r="N1564" i="1" s="1"/>
  <c r="L1565" i="1"/>
  <c r="N1565" i="1" s="1"/>
  <c r="L1566" i="1"/>
  <c r="N1566" i="1" s="1"/>
  <c r="L1567" i="1"/>
  <c r="N1567" i="1" s="1"/>
  <c r="L1568" i="1"/>
  <c r="N1568" i="1" s="1"/>
  <c r="L1569" i="1"/>
  <c r="N1569" i="1" s="1"/>
  <c r="L1570" i="1"/>
  <c r="N1570" i="1" s="1"/>
  <c r="L1571" i="1"/>
  <c r="N1571" i="1" s="1"/>
  <c r="L1572" i="1"/>
  <c r="N1572" i="1" s="1"/>
  <c r="L1573" i="1"/>
  <c r="N1573" i="1" s="1"/>
  <c r="L1574" i="1"/>
  <c r="N1574" i="1" s="1"/>
  <c r="L1575" i="1"/>
  <c r="N1575" i="1" s="1"/>
  <c r="L1576" i="1"/>
  <c r="N1576" i="1" s="1"/>
  <c r="L1577" i="1"/>
  <c r="N1577" i="1" s="1"/>
  <c r="L1578" i="1"/>
  <c r="N1578" i="1" s="1"/>
  <c r="L1579" i="1"/>
  <c r="N1579" i="1" s="1"/>
  <c r="L1580" i="1"/>
  <c r="N1580" i="1" s="1"/>
  <c r="L1581" i="1"/>
  <c r="N1581" i="1" s="1"/>
  <c r="L1582" i="1"/>
  <c r="N1582" i="1" s="1"/>
  <c r="L1583" i="1"/>
  <c r="N1583" i="1" s="1"/>
  <c r="L1584" i="1"/>
  <c r="N1584" i="1" s="1"/>
  <c r="L1585" i="1"/>
  <c r="N1585" i="1" s="1"/>
  <c r="L1586" i="1"/>
  <c r="N1586" i="1" s="1"/>
  <c r="L1587" i="1"/>
  <c r="N1587" i="1" s="1"/>
  <c r="L1588" i="1"/>
  <c r="N1588" i="1" s="1"/>
  <c r="L1589" i="1"/>
  <c r="N1589" i="1" s="1"/>
  <c r="L1590" i="1"/>
  <c r="N1590" i="1" s="1"/>
  <c r="L1591" i="1"/>
  <c r="N1591" i="1" s="1"/>
  <c r="L1592" i="1"/>
  <c r="N1592" i="1" s="1"/>
  <c r="L1593" i="1"/>
  <c r="N1593" i="1" s="1"/>
  <c r="L1594" i="1"/>
  <c r="N1594" i="1" s="1"/>
  <c r="L1595" i="1"/>
  <c r="N1595" i="1" s="1"/>
  <c r="L1596" i="1"/>
  <c r="N1596" i="1" s="1"/>
  <c r="L1597" i="1"/>
  <c r="N1597" i="1" s="1"/>
  <c r="L1598" i="1"/>
  <c r="N1598" i="1" s="1"/>
  <c r="L1599" i="1"/>
  <c r="N1599" i="1" s="1"/>
  <c r="L1600" i="1"/>
  <c r="N1600" i="1" s="1"/>
  <c r="L1601" i="1"/>
  <c r="N1601" i="1" s="1"/>
  <c r="L1602" i="1"/>
  <c r="N1602" i="1" s="1"/>
  <c r="L1603" i="1"/>
  <c r="N1603" i="1" s="1"/>
  <c r="L1604" i="1"/>
  <c r="N1604" i="1" s="1"/>
  <c r="L1605" i="1"/>
  <c r="N1605" i="1" s="1"/>
  <c r="L1606" i="1"/>
  <c r="N1606" i="1" s="1"/>
  <c r="L1607" i="1"/>
  <c r="N1607" i="1" s="1"/>
  <c r="L1608" i="1"/>
  <c r="N1608" i="1" s="1"/>
  <c r="L1609" i="1"/>
  <c r="N1609" i="1" s="1"/>
  <c r="L1610" i="1"/>
  <c r="N1610" i="1" s="1"/>
  <c r="L1611" i="1"/>
  <c r="N1611" i="1" s="1"/>
  <c r="L1612" i="1"/>
  <c r="N1612" i="1" s="1"/>
  <c r="L1613" i="1"/>
  <c r="N1613" i="1" s="1"/>
  <c r="L1614" i="1"/>
  <c r="N1614" i="1" s="1"/>
  <c r="L1615" i="1"/>
  <c r="N1615" i="1" s="1"/>
  <c r="L1616" i="1"/>
  <c r="N1616" i="1" s="1"/>
  <c r="L1617" i="1"/>
  <c r="N1617" i="1" s="1"/>
  <c r="L1618" i="1"/>
  <c r="N1618" i="1" s="1"/>
  <c r="L1619" i="1"/>
  <c r="N1619" i="1" s="1"/>
  <c r="L1620" i="1"/>
  <c r="N1620" i="1" s="1"/>
  <c r="L1621" i="1"/>
  <c r="N1621" i="1" s="1"/>
  <c r="L1622" i="1"/>
  <c r="N1622" i="1" s="1"/>
  <c r="L1623" i="1"/>
  <c r="N1623" i="1" s="1"/>
  <c r="L1624" i="1"/>
  <c r="N1624" i="1" s="1"/>
  <c r="L1625" i="1"/>
  <c r="N1625" i="1" s="1"/>
  <c r="L1626" i="1"/>
  <c r="N1626" i="1" s="1"/>
  <c r="L1627" i="1"/>
  <c r="N1627" i="1" s="1"/>
  <c r="L1628" i="1"/>
  <c r="N1628" i="1" s="1"/>
  <c r="L1629" i="1"/>
  <c r="N1629" i="1" s="1"/>
  <c r="L1630" i="1"/>
  <c r="N1630" i="1" s="1"/>
  <c r="L1631" i="1"/>
  <c r="N1631" i="1" s="1"/>
  <c r="L1632" i="1"/>
  <c r="N1632" i="1" s="1"/>
  <c r="L1633" i="1"/>
  <c r="N1633" i="1" s="1"/>
  <c r="L1634" i="1"/>
  <c r="N1634" i="1" s="1"/>
  <c r="L1635" i="1"/>
  <c r="N1635" i="1" s="1"/>
  <c r="L1636" i="1"/>
  <c r="N1636" i="1" s="1"/>
  <c r="L1637" i="1"/>
  <c r="N1637" i="1" s="1"/>
  <c r="L1638" i="1"/>
  <c r="N1638" i="1" s="1"/>
  <c r="L1639" i="1"/>
  <c r="N1639" i="1" s="1"/>
  <c r="L1640" i="1"/>
  <c r="N1640" i="1" s="1"/>
  <c r="L1641" i="1"/>
  <c r="N1641" i="1" s="1"/>
  <c r="L1642" i="1"/>
  <c r="N1642" i="1" s="1"/>
  <c r="L1643" i="1"/>
  <c r="N1643" i="1" s="1"/>
  <c r="L1644" i="1"/>
  <c r="N1644" i="1" s="1"/>
  <c r="L1645" i="1"/>
  <c r="N1645" i="1" s="1"/>
  <c r="L1646" i="1"/>
  <c r="N1646" i="1" s="1"/>
  <c r="L1647" i="1"/>
  <c r="N1647" i="1" s="1"/>
  <c r="L1648" i="1"/>
  <c r="N1648" i="1" s="1"/>
  <c r="L1649" i="1"/>
  <c r="N1649" i="1" s="1"/>
  <c r="L1650" i="1"/>
  <c r="N1650" i="1" s="1"/>
  <c r="L1651" i="1"/>
  <c r="N1651" i="1" s="1"/>
  <c r="L1652" i="1"/>
  <c r="N1652" i="1" s="1"/>
  <c r="L1653" i="1"/>
  <c r="N1653" i="1" s="1"/>
  <c r="L1654" i="1"/>
  <c r="N1654" i="1" s="1"/>
  <c r="L1655" i="1"/>
  <c r="N1655" i="1" s="1"/>
  <c r="L1656" i="1"/>
  <c r="N1656" i="1" s="1"/>
  <c r="L1657" i="1"/>
  <c r="N1657" i="1" s="1"/>
  <c r="L1658" i="1"/>
  <c r="N1658" i="1" s="1"/>
  <c r="L1659" i="1"/>
  <c r="N1659" i="1" s="1"/>
  <c r="L1660" i="1"/>
  <c r="N1660" i="1" s="1"/>
  <c r="L1661" i="1"/>
  <c r="N1661" i="1" s="1"/>
  <c r="L1662" i="1"/>
  <c r="N1662" i="1" s="1"/>
  <c r="L1663" i="1"/>
  <c r="N1663" i="1" s="1"/>
  <c r="L1664" i="1"/>
  <c r="N1664" i="1" s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N1670" i="1" s="1"/>
  <c r="L1671" i="1"/>
  <c r="N1671" i="1" s="1"/>
  <c r="L1672" i="1"/>
  <c r="N1672" i="1" s="1"/>
  <c r="L1673" i="1"/>
  <c r="N1673" i="1" s="1"/>
  <c r="L1674" i="1"/>
  <c r="N1674" i="1" s="1"/>
  <c r="L1675" i="1"/>
  <c r="N1675" i="1" s="1"/>
  <c r="L1676" i="1"/>
  <c r="N1676" i="1" s="1"/>
  <c r="L1677" i="1"/>
  <c r="N1677" i="1" s="1"/>
  <c r="L1678" i="1"/>
  <c r="N1678" i="1" s="1"/>
  <c r="L1679" i="1"/>
  <c r="N1679" i="1" s="1"/>
  <c r="L1680" i="1"/>
  <c r="N1680" i="1" s="1"/>
  <c r="L1681" i="1"/>
  <c r="N1681" i="1" s="1"/>
  <c r="L1682" i="1"/>
  <c r="N1682" i="1" s="1"/>
  <c r="L1683" i="1"/>
  <c r="N1683" i="1" s="1"/>
  <c r="L1684" i="1"/>
  <c r="N1684" i="1" s="1"/>
  <c r="L1685" i="1"/>
  <c r="N1685" i="1" s="1"/>
  <c r="L1686" i="1"/>
  <c r="N1686" i="1" s="1"/>
  <c r="L1687" i="1"/>
  <c r="N1687" i="1" s="1"/>
  <c r="L1688" i="1"/>
  <c r="N1688" i="1" s="1"/>
  <c r="L1689" i="1"/>
  <c r="N1689" i="1" s="1"/>
  <c r="L1690" i="1"/>
  <c r="N1690" i="1" s="1"/>
  <c r="L1691" i="1"/>
  <c r="N1691" i="1" s="1"/>
  <c r="L1692" i="1"/>
  <c r="N1692" i="1" s="1"/>
  <c r="L1693" i="1"/>
  <c r="N1693" i="1" s="1"/>
  <c r="L1694" i="1"/>
  <c r="N1694" i="1" s="1"/>
  <c r="L1695" i="1"/>
  <c r="N1695" i="1" s="1"/>
  <c r="L1696" i="1"/>
  <c r="N1696" i="1" s="1"/>
  <c r="L1697" i="1"/>
  <c r="N1697" i="1" s="1"/>
  <c r="L1698" i="1"/>
  <c r="N1698" i="1" s="1"/>
  <c r="L1699" i="1"/>
  <c r="N1699" i="1" s="1"/>
  <c r="L1700" i="1"/>
  <c r="N1700" i="1" s="1"/>
  <c r="L1701" i="1"/>
  <c r="N1701" i="1" s="1"/>
  <c r="L1702" i="1"/>
  <c r="N1702" i="1" s="1"/>
  <c r="L1703" i="1"/>
  <c r="N1703" i="1" s="1"/>
  <c r="L1704" i="1"/>
  <c r="N1704" i="1" s="1"/>
  <c r="L1705" i="1"/>
  <c r="N1705" i="1" s="1"/>
  <c r="L1706" i="1"/>
  <c r="N1706" i="1" s="1"/>
  <c r="L1707" i="1"/>
  <c r="N1707" i="1" s="1"/>
  <c r="L1708" i="1"/>
  <c r="N1708" i="1" s="1"/>
  <c r="L1709" i="1"/>
  <c r="N1709" i="1" s="1"/>
  <c r="L1710" i="1"/>
  <c r="N1710" i="1" s="1"/>
  <c r="L1711" i="1"/>
  <c r="N1711" i="1" s="1"/>
  <c r="L1712" i="1"/>
  <c r="N1712" i="1" s="1"/>
  <c r="L1713" i="1"/>
  <c r="N1713" i="1" s="1"/>
  <c r="L1714" i="1"/>
  <c r="N1714" i="1" s="1"/>
  <c r="L1715" i="1"/>
  <c r="N1715" i="1" s="1"/>
  <c r="L1716" i="1"/>
  <c r="N1716" i="1" s="1"/>
  <c r="L1717" i="1"/>
  <c r="N1717" i="1" s="1"/>
  <c r="L1718" i="1"/>
  <c r="N1718" i="1" s="1"/>
  <c r="L1719" i="1"/>
  <c r="N1719" i="1" s="1"/>
  <c r="L1720" i="1"/>
  <c r="N1720" i="1" s="1"/>
  <c r="L1721" i="1"/>
  <c r="N1721" i="1" s="1"/>
  <c r="L1722" i="1"/>
  <c r="N1722" i="1" s="1"/>
  <c r="L1723" i="1"/>
  <c r="N1723" i="1" s="1"/>
  <c r="L1724" i="1"/>
  <c r="N1724" i="1" s="1"/>
  <c r="L1725" i="1"/>
  <c r="N1725" i="1" s="1"/>
  <c r="L1726" i="1"/>
  <c r="N1726" i="1" s="1"/>
  <c r="L1727" i="1"/>
  <c r="N1727" i="1" s="1"/>
  <c r="L1728" i="1"/>
  <c r="N1728" i="1" s="1"/>
  <c r="L1729" i="1"/>
  <c r="N1729" i="1" s="1"/>
  <c r="L1730" i="1"/>
  <c r="N1730" i="1" s="1"/>
  <c r="L1731" i="1"/>
  <c r="N1731" i="1" s="1"/>
  <c r="L1732" i="1"/>
  <c r="N1732" i="1" s="1"/>
  <c r="L1733" i="1"/>
  <c r="N1733" i="1" s="1"/>
  <c r="L1734" i="1"/>
  <c r="N1734" i="1" s="1"/>
  <c r="L1735" i="1"/>
  <c r="N1735" i="1" s="1"/>
  <c r="L1736" i="1"/>
  <c r="N1736" i="1" s="1"/>
  <c r="L1737" i="1"/>
  <c r="N1737" i="1" s="1"/>
  <c r="L1738" i="1"/>
  <c r="N1738" i="1" s="1"/>
  <c r="L1739" i="1"/>
  <c r="N1739" i="1" s="1"/>
  <c r="L1740" i="1"/>
  <c r="N1740" i="1" s="1"/>
  <c r="L1741" i="1"/>
  <c r="N1741" i="1" s="1"/>
  <c r="L1742" i="1"/>
  <c r="N1742" i="1" s="1"/>
  <c r="L1743" i="1"/>
  <c r="N1743" i="1" s="1"/>
  <c r="L1744" i="1"/>
  <c r="N1744" i="1" s="1"/>
  <c r="L1745" i="1"/>
  <c r="N1745" i="1" s="1"/>
  <c r="L1746" i="1"/>
  <c r="N1746" i="1" s="1"/>
  <c r="L1747" i="1"/>
  <c r="N1747" i="1" s="1"/>
  <c r="L1748" i="1"/>
  <c r="N1748" i="1" s="1"/>
  <c r="L1749" i="1"/>
  <c r="N1749" i="1" s="1"/>
  <c r="L1750" i="1"/>
  <c r="N1750" i="1" s="1"/>
  <c r="L1751" i="1"/>
  <c r="N1751" i="1" s="1"/>
  <c r="L1752" i="1"/>
  <c r="N1752" i="1" s="1"/>
  <c r="L1753" i="1"/>
  <c r="N1753" i="1" s="1"/>
  <c r="L1754" i="1"/>
  <c r="N1754" i="1" s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N1761" i="1" s="1"/>
  <c r="L1762" i="1"/>
  <c r="N1762" i="1" s="1"/>
  <c r="L1763" i="1"/>
  <c r="N1763" i="1" s="1"/>
  <c r="L1764" i="1"/>
  <c r="N1764" i="1" s="1"/>
  <c r="L1765" i="1"/>
  <c r="N1765" i="1" s="1"/>
  <c r="L1815" i="1"/>
  <c r="N1815" i="1" s="1"/>
  <c r="L1816" i="1"/>
  <c r="N1816" i="1" s="1"/>
  <c r="L1817" i="1"/>
  <c r="N1817" i="1" s="1"/>
  <c r="L1818" i="1"/>
  <c r="N1818" i="1" s="1"/>
  <c r="L1819" i="1"/>
  <c r="N1819" i="1" s="1"/>
  <c r="L1820" i="1"/>
  <c r="N1820" i="1" s="1"/>
  <c r="L1821" i="1"/>
  <c r="N1821" i="1" s="1"/>
  <c r="L1822" i="1"/>
  <c r="N1822" i="1" s="1"/>
  <c r="L1823" i="1"/>
  <c r="N1823" i="1" s="1"/>
  <c r="L1824" i="1"/>
  <c r="N1824" i="1" s="1"/>
  <c r="L1825" i="1"/>
  <c r="N1825" i="1" s="1"/>
  <c r="L1826" i="1"/>
  <c r="N1826" i="1" s="1"/>
  <c r="L1827" i="1"/>
  <c r="N1827" i="1" s="1"/>
  <c r="L1828" i="1"/>
  <c r="N1828" i="1" s="1"/>
  <c r="L1829" i="1"/>
  <c r="N1829" i="1" s="1"/>
  <c r="L1830" i="1"/>
  <c r="N1830" i="1" s="1"/>
  <c r="L1831" i="1"/>
  <c r="N1831" i="1" s="1"/>
  <c r="L1832" i="1"/>
  <c r="N1832" i="1" s="1"/>
  <c r="L1833" i="1"/>
  <c r="N1833" i="1" s="1"/>
  <c r="L1834" i="1"/>
  <c r="N1834" i="1" s="1"/>
  <c r="L1835" i="1"/>
  <c r="N1835" i="1" s="1"/>
  <c r="L1836" i="1"/>
  <c r="N1836" i="1" s="1"/>
  <c r="L1837" i="1"/>
  <c r="N1837" i="1" s="1"/>
  <c r="L1838" i="1"/>
  <c r="N1838" i="1" s="1"/>
  <c r="L1839" i="1"/>
  <c r="N1839" i="1" s="1"/>
  <c r="L1840" i="1"/>
  <c r="N1840" i="1" s="1"/>
  <c r="L1841" i="1"/>
  <c r="N1841" i="1" s="1"/>
  <c r="L1842" i="1"/>
  <c r="N1842" i="1" s="1"/>
  <c r="L1843" i="1"/>
  <c r="N1843" i="1" s="1"/>
  <c r="L1844" i="1"/>
  <c r="N1844" i="1" s="1"/>
  <c r="L1845" i="1"/>
  <c r="N1845" i="1" s="1"/>
  <c r="L1478" i="1"/>
  <c r="N1478" i="1" s="1"/>
  <c r="L1477" i="1"/>
  <c r="N1477" i="1" s="1"/>
  <c r="L1476" i="1"/>
  <c r="N1476" i="1" s="1"/>
  <c r="L1475" i="1"/>
  <c r="N1475" i="1" s="1"/>
  <c r="L1474" i="1"/>
  <c r="N1474" i="1" s="1"/>
  <c r="L1473" i="1"/>
  <c r="N1473" i="1" s="1"/>
  <c r="L1472" i="1"/>
  <c r="N1472" i="1" s="1"/>
  <c r="L1471" i="1"/>
  <c r="N1471" i="1" s="1"/>
  <c r="L1470" i="1"/>
  <c r="N1470" i="1" s="1"/>
  <c r="L1469" i="1"/>
  <c r="N1469" i="1" s="1"/>
  <c r="L1468" i="1"/>
  <c r="N1468" i="1" s="1"/>
  <c r="L1467" i="1"/>
  <c r="N1467" i="1" s="1"/>
  <c r="L1466" i="1"/>
  <c r="N1466" i="1" s="1"/>
  <c r="L1465" i="1"/>
  <c r="N1465" i="1" s="1"/>
  <c r="L1464" i="1"/>
  <c r="N1464" i="1" s="1"/>
  <c r="L1463" i="1"/>
  <c r="N1463" i="1" s="1"/>
  <c r="L1462" i="1"/>
  <c r="N1462" i="1" s="1"/>
  <c r="L1461" i="1"/>
  <c r="N1461" i="1" s="1"/>
  <c r="L1460" i="1"/>
  <c r="N1460" i="1" s="1"/>
  <c r="L1459" i="1"/>
  <c r="N1459" i="1" s="1"/>
  <c r="L1458" i="1"/>
  <c r="N1458" i="1" s="1"/>
  <c r="L1457" i="1"/>
  <c r="N1457" i="1" s="1"/>
  <c r="L1456" i="1"/>
  <c r="N1456" i="1" s="1"/>
  <c r="L1455" i="1"/>
  <c r="N1455" i="1" s="1"/>
  <c r="L1454" i="1"/>
  <c r="N1454" i="1" s="1"/>
  <c r="L1453" i="1"/>
  <c r="N1453" i="1" s="1"/>
  <c r="L1452" i="1"/>
  <c r="N1452" i="1" s="1"/>
  <c r="L1451" i="1"/>
  <c r="N1451" i="1" s="1"/>
  <c r="L1450" i="1"/>
  <c r="N1450" i="1" s="1"/>
  <c r="L1449" i="1"/>
  <c r="N1449" i="1" s="1"/>
  <c r="L1448" i="1"/>
  <c r="N1448" i="1" s="1"/>
  <c r="L1447" i="1"/>
  <c r="N1447" i="1" s="1"/>
  <c r="L1446" i="1"/>
  <c r="N1446" i="1" s="1"/>
  <c r="L1445" i="1"/>
  <c r="N1445" i="1" s="1"/>
  <c r="L1444" i="1"/>
  <c r="N1444" i="1" s="1"/>
  <c r="L1443" i="1"/>
  <c r="N1443" i="1" s="1"/>
  <c r="L1442" i="1"/>
  <c r="N1442" i="1" s="1"/>
  <c r="L1441" i="1"/>
  <c r="N1441" i="1" s="1"/>
  <c r="L1440" i="1"/>
  <c r="N1440" i="1" s="1"/>
  <c r="L1439" i="1"/>
  <c r="N1439" i="1" s="1"/>
  <c r="L1438" i="1"/>
  <c r="N1438" i="1" s="1"/>
  <c r="L1437" i="1"/>
  <c r="N1437" i="1" s="1"/>
  <c r="L1436" i="1"/>
  <c r="N1436" i="1" s="1"/>
  <c r="L1435" i="1"/>
  <c r="N1435" i="1" s="1"/>
  <c r="L1434" i="1"/>
  <c r="N1434" i="1" s="1"/>
  <c r="L1433" i="1"/>
  <c r="N1433" i="1" s="1"/>
  <c r="L1432" i="1"/>
  <c r="N1432" i="1" s="1"/>
  <c r="L1397" i="1"/>
  <c r="N1397" i="1" s="1"/>
  <c r="L1398" i="1"/>
  <c r="N1398" i="1" s="1"/>
  <c r="L1399" i="1"/>
  <c r="N1399" i="1" s="1"/>
  <c r="L1400" i="1"/>
  <c r="N1400" i="1" s="1"/>
  <c r="L1401" i="1"/>
  <c r="N1401" i="1" s="1"/>
  <c r="L1402" i="1"/>
  <c r="N1402" i="1" s="1"/>
  <c r="L1403" i="1"/>
  <c r="N1403" i="1" s="1"/>
  <c r="L1404" i="1"/>
  <c r="N1404" i="1" s="1"/>
  <c r="L1405" i="1"/>
  <c r="N1405" i="1" s="1"/>
  <c r="L1406" i="1"/>
  <c r="N1406" i="1" s="1"/>
  <c r="L1407" i="1"/>
  <c r="N1407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5" i="1"/>
  <c r="N1415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3" i="1"/>
  <c r="N1423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1" i="1"/>
  <c r="N1431" i="1" s="1"/>
  <c r="L1846" i="1"/>
  <c r="N1846" i="1" s="1"/>
  <c r="L1847" i="1"/>
  <c r="N1847" i="1" s="1"/>
  <c r="L1848" i="1"/>
  <c r="N1848" i="1" s="1"/>
  <c r="L1849" i="1"/>
  <c r="N1849" i="1" s="1"/>
  <c r="L1850" i="1"/>
  <c r="N1850" i="1" s="1"/>
  <c r="L1851" i="1"/>
  <c r="N1851" i="1" s="1"/>
  <c r="L1852" i="1"/>
  <c r="N1852" i="1" s="1"/>
  <c r="L1853" i="1"/>
  <c r="N1853" i="1" s="1"/>
  <c r="L1854" i="1"/>
  <c r="N1854" i="1" s="1"/>
  <c r="L1855" i="1"/>
  <c r="N1855" i="1" s="1"/>
  <c r="L1856" i="1"/>
  <c r="N1856" i="1" s="1"/>
  <c r="L1857" i="1"/>
  <c r="N1857" i="1" s="1"/>
  <c r="L1858" i="1"/>
  <c r="N1858" i="1" s="1"/>
  <c r="L1859" i="1"/>
  <c r="N1859" i="1" s="1"/>
  <c r="L1860" i="1"/>
  <c r="N1860" i="1" s="1"/>
  <c r="L1861" i="1"/>
  <c r="N1861" i="1" s="1"/>
  <c r="L1862" i="1"/>
  <c r="N1862" i="1" s="1"/>
  <c r="L1863" i="1"/>
  <c r="N1863" i="1" s="1"/>
  <c r="L1864" i="1"/>
  <c r="N1864" i="1" s="1"/>
  <c r="L1865" i="1"/>
  <c r="N1865" i="1" s="1"/>
  <c r="L1866" i="1"/>
  <c r="N1866" i="1" s="1"/>
  <c r="L1867" i="1"/>
  <c r="N1867" i="1" s="1"/>
  <c r="L1868" i="1"/>
  <c r="N1868" i="1" s="1"/>
  <c r="L1869" i="1"/>
  <c r="N1869" i="1" s="1"/>
  <c r="L1870" i="1"/>
  <c r="N1870" i="1" s="1"/>
  <c r="L1871" i="1"/>
  <c r="N1871" i="1" s="1"/>
  <c r="L1872" i="1"/>
  <c r="N1872" i="1" s="1"/>
  <c r="L1873" i="1"/>
  <c r="N1873" i="1" s="1"/>
  <c r="L1874" i="1"/>
  <c r="N1874" i="1" s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N1881" i="1" s="1"/>
  <c r="L1882" i="1"/>
  <c r="N1882" i="1" s="1"/>
  <c r="L1883" i="1"/>
  <c r="N1883" i="1" s="1"/>
  <c r="L1884" i="1"/>
  <c r="N1884" i="1" s="1"/>
  <c r="L1885" i="1"/>
  <c r="N1885" i="1" s="1"/>
  <c r="L1886" i="1"/>
  <c r="N1886" i="1" s="1"/>
  <c r="L1887" i="1"/>
  <c r="N1887" i="1" s="1"/>
  <c r="L1888" i="1"/>
  <c r="N1888" i="1" s="1"/>
  <c r="L1889" i="1"/>
  <c r="N1889" i="1" s="1"/>
  <c r="L1890" i="1"/>
  <c r="N1890" i="1" s="1"/>
  <c r="L1891" i="1"/>
  <c r="N1891" i="1" s="1"/>
  <c r="L1892" i="1"/>
  <c r="N1892" i="1" s="1"/>
  <c r="L1893" i="1"/>
  <c r="N1893" i="1" s="1"/>
  <c r="L1894" i="1"/>
  <c r="N1894" i="1" s="1"/>
  <c r="L1895" i="1"/>
  <c r="N1895" i="1" s="1"/>
  <c r="L1896" i="1"/>
  <c r="N1896" i="1" s="1"/>
  <c r="L1897" i="1"/>
  <c r="N1897" i="1" s="1"/>
  <c r="L1898" i="1"/>
  <c r="N1898" i="1" s="1"/>
  <c r="L1899" i="1"/>
  <c r="N1899" i="1" s="1"/>
  <c r="L1900" i="1"/>
  <c r="N1900" i="1" s="1"/>
  <c r="L1901" i="1"/>
  <c r="N1901" i="1" s="1"/>
  <c r="L1902" i="1"/>
  <c r="N1902" i="1" s="1"/>
  <c r="L1903" i="1"/>
  <c r="N1903" i="1" s="1"/>
  <c r="L1904" i="1"/>
  <c r="N1904" i="1" s="1"/>
  <c r="L1905" i="1"/>
  <c r="N1905" i="1" s="1"/>
  <c r="L1906" i="1"/>
  <c r="N1906" i="1" s="1"/>
  <c r="L1907" i="1"/>
  <c r="N1907" i="1" s="1"/>
  <c r="L1908" i="1"/>
  <c r="N1908" i="1" s="1"/>
  <c r="L1909" i="1"/>
  <c r="N1909" i="1" s="1"/>
  <c r="L1910" i="1"/>
  <c r="N1910" i="1" s="1"/>
  <c r="L1911" i="1"/>
  <c r="N1911" i="1" s="1"/>
  <c r="L1912" i="1"/>
  <c r="N1912" i="1" s="1"/>
  <c r="L1913" i="1"/>
  <c r="N1913" i="1" s="1"/>
  <c r="L1914" i="1"/>
  <c r="N1914" i="1" s="1"/>
  <c r="L1915" i="1"/>
  <c r="N1915" i="1" s="1"/>
  <c r="L1916" i="1"/>
  <c r="N1916" i="1" s="1"/>
  <c r="L1917" i="1"/>
  <c r="N1917" i="1" s="1"/>
  <c r="L1918" i="1"/>
  <c r="N1918" i="1" s="1"/>
  <c r="L1919" i="1"/>
  <c r="N1919" i="1" s="1"/>
  <c r="L1920" i="1"/>
  <c r="N1920" i="1" s="1"/>
  <c r="L1921" i="1"/>
  <c r="N1921" i="1" s="1"/>
  <c r="L1922" i="1"/>
  <c r="N1922" i="1" s="1"/>
  <c r="L1923" i="1"/>
  <c r="N1923" i="1" s="1"/>
  <c r="L1924" i="1"/>
  <c r="N1924" i="1" s="1"/>
  <c r="L1925" i="1"/>
  <c r="N1925" i="1" s="1"/>
  <c r="L1926" i="1"/>
  <c r="N1926" i="1" s="1"/>
  <c r="L1927" i="1"/>
  <c r="N1927" i="1" s="1"/>
  <c r="L1928" i="1"/>
  <c r="N1928" i="1" s="1"/>
  <c r="L1929" i="1"/>
  <c r="N1929" i="1" s="1"/>
  <c r="L1930" i="1"/>
  <c r="N1930" i="1" s="1"/>
  <c r="L1931" i="1"/>
  <c r="N1931" i="1" s="1"/>
  <c r="L1932" i="1"/>
  <c r="N1932" i="1" s="1"/>
  <c r="L1933" i="1"/>
  <c r="N1933" i="1" s="1"/>
  <c r="L1934" i="1"/>
  <c r="N1934" i="1" s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1" i="1"/>
  <c r="N1941" i="1" s="1"/>
  <c r="L1942" i="1"/>
  <c r="N1942" i="1" s="1"/>
  <c r="L1943" i="1"/>
  <c r="N1943" i="1" s="1"/>
  <c r="L1944" i="1"/>
  <c r="N1944" i="1" s="1"/>
  <c r="L1945" i="1"/>
  <c r="N1945" i="1" s="1"/>
  <c r="L1946" i="1"/>
  <c r="N1946" i="1" s="1"/>
  <c r="L1947" i="1"/>
  <c r="N1947" i="1" s="1"/>
  <c r="L1948" i="1"/>
  <c r="N1948" i="1" s="1"/>
  <c r="L1949" i="1"/>
  <c r="N1949" i="1" s="1"/>
  <c r="L1950" i="1"/>
  <c r="N1950" i="1" s="1"/>
  <c r="L1951" i="1"/>
  <c r="N1951" i="1" s="1"/>
  <c r="L1952" i="1"/>
  <c r="N1952" i="1" s="1"/>
  <c r="L1953" i="1"/>
  <c r="N1953" i="1" s="1"/>
  <c r="L1954" i="1"/>
  <c r="N1954" i="1" s="1"/>
  <c r="L1955" i="1"/>
  <c r="N1955" i="1" s="1"/>
  <c r="L1956" i="1"/>
  <c r="N1956" i="1" s="1"/>
  <c r="L1957" i="1"/>
  <c r="N1957" i="1" s="1"/>
  <c r="L1958" i="1"/>
  <c r="N1958" i="1" s="1"/>
  <c r="L1959" i="1"/>
  <c r="N1959" i="1" s="1"/>
  <c r="L1960" i="1"/>
  <c r="N1960" i="1" s="1"/>
  <c r="L1961" i="1"/>
  <c r="N1961" i="1" s="1"/>
  <c r="L1962" i="1"/>
  <c r="N1962" i="1" s="1"/>
  <c r="L1963" i="1"/>
  <c r="N1963" i="1" s="1"/>
  <c r="L1964" i="1"/>
  <c r="N1964" i="1" s="1"/>
  <c r="L1965" i="1"/>
  <c r="N1965" i="1" s="1"/>
  <c r="L1966" i="1"/>
  <c r="N1966" i="1" s="1"/>
  <c r="L1967" i="1"/>
  <c r="N1967" i="1" s="1"/>
  <c r="L1968" i="1"/>
  <c r="N1968" i="1" s="1"/>
  <c r="L1969" i="1"/>
  <c r="N1969" i="1" s="1"/>
  <c r="L1970" i="1"/>
  <c r="N1970" i="1" s="1"/>
  <c r="L1971" i="1"/>
  <c r="N1971" i="1" s="1"/>
  <c r="L1972" i="1"/>
  <c r="N1972" i="1" s="1"/>
  <c r="L1973" i="1"/>
  <c r="N1973" i="1" s="1"/>
  <c r="L1974" i="1"/>
  <c r="N1974" i="1" s="1"/>
  <c r="L1975" i="1"/>
  <c r="N1975" i="1" s="1"/>
  <c r="L1976" i="1"/>
  <c r="N1976" i="1" s="1"/>
  <c r="L1977" i="1"/>
  <c r="N1977" i="1" s="1"/>
  <c r="L1978" i="1"/>
  <c r="N1978" i="1" s="1"/>
  <c r="L1979" i="1"/>
  <c r="N1979" i="1" s="1"/>
  <c r="L1980" i="1"/>
  <c r="N1980" i="1" s="1"/>
  <c r="L1981" i="1"/>
  <c r="N1981" i="1" s="1"/>
  <c r="L1982" i="1"/>
  <c r="N1982" i="1" s="1"/>
  <c r="L1983" i="1"/>
  <c r="N1983" i="1" s="1"/>
  <c r="L1984" i="1"/>
  <c r="N1984" i="1" s="1"/>
  <c r="L1985" i="1"/>
  <c r="N1985" i="1" s="1"/>
  <c r="L1986" i="1"/>
  <c r="N1986" i="1" s="1"/>
  <c r="L1987" i="1"/>
  <c r="N1987" i="1" s="1"/>
  <c r="L1988" i="1"/>
  <c r="N1988" i="1" s="1"/>
  <c r="L1989" i="1"/>
  <c r="N1989" i="1" s="1"/>
  <c r="L1990" i="1"/>
  <c r="N1990" i="1" s="1"/>
  <c r="L1991" i="1"/>
  <c r="N1991" i="1" s="1"/>
  <c r="L1992" i="1"/>
  <c r="N1992" i="1" s="1"/>
  <c r="L1993" i="1"/>
  <c r="N1993" i="1" s="1"/>
  <c r="L1994" i="1"/>
  <c r="N1994" i="1" s="1"/>
  <c r="L1995" i="1"/>
  <c r="N1995" i="1" s="1"/>
  <c r="L1996" i="1"/>
  <c r="N1996" i="1" s="1"/>
  <c r="L1997" i="1"/>
  <c r="N1997" i="1" s="1"/>
  <c r="L1998" i="1"/>
  <c r="N1998" i="1" s="1"/>
  <c r="L1999" i="1"/>
  <c r="N1999" i="1" s="1"/>
  <c r="L2000" i="1"/>
  <c r="N2000" i="1" s="1"/>
  <c r="L2001" i="1"/>
  <c r="N2001" i="1" s="1"/>
  <c r="L2002" i="1"/>
  <c r="N2002" i="1" s="1"/>
  <c r="L2003" i="1"/>
  <c r="N2003" i="1" s="1"/>
  <c r="L2004" i="1"/>
  <c r="N2004" i="1" s="1"/>
  <c r="L2005" i="1"/>
  <c r="N2005" i="1" s="1"/>
  <c r="L2006" i="1"/>
  <c r="N2006" i="1" s="1"/>
  <c r="L2007" i="1"/>
  <c r="N2007" i="1" s="1"/>
  <c r="L2008" i="1"/>
  <c r="N2008" i="1" s="1"/>
  <c r="L2009" i="1"/>
  <c r="N2009" i="1" s="1"/>
  <c r="L2010" i="1"/>
  <c r="N2010" i="1" s="1"/>
  <c r="L2011" i="1"/>
  <c r="N2011" i="1" s="1"/>
  <c r="L2012" i="1"/>
  <c r="N2012" i="1" s="1"/>
  <c r="L2013" i="1"/>
  <c r="N2013" i="1" s="1"/>
  <c r="L2014" i="1"/>
  <c r="N2014" i="1" s="1"/>
  <c r="L2015" i="1"/>
  <c r="N2015" i="1" s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N2021" i="1" s="1"/>
  <c r="L2022" i="1"/>
  <c r="N2022" i="1" s="1"/>
  <c r="L2023" i="1"/>
  <c r="N2023" i="1" s="1"/>
  <c r="L2024" i="1"/>
  <c r="N2024" i="1" s="1"/>
  <c r="L2025" i="1"/>
  <c r="N2025" i="1" s="1"/>
  <c r="L2026" i="1"/>
  <c r="N2026" i="1" s="1"/>
  <c r="L2027" i="1"/>
  <c r="N2027" i="1" s="1"/>
  <c r="L2028" i="1"/>
  <c r="N2028" i="1" s="1"/>
  <c r="L2029" i="1"/>
  <c r="N2029" i="1" s="1"/>
  <c r="L2030" i="1"/>
  <c r="N2030" i="1" s="1"/>
  <c r="L2031" i="1"/>
  <c r="N2031" i="1" s="1"/>
  <c r="L2032" i="1"/>
  <c r="N2032" i="1" s="1"/>
  <c r="L2033" i="1"/>
  <c r="N2033" i="1" s="1"/>
  <c r="L2034" i="1"/>
  <c r="N2034" i="1" s="1"/>
  <c r="L2035" i="1"/>
  <c r="N2035" i="1" s="1"/>
  <c r="L2036" i="1"/>
  <c r="N2036" i="1" s="1"/>
  <c r="L2037" i="1"/>
  <c r="N2037" i="1" s="1"/>
  <c r="L2038" i="1"/>
  <c r="N2038" i="1" s="1"/>
  <c r="L2039" i="1"/>
  <c r="N2039" i="1" s="1"/>
  <c r="L2040" i="1"/>
  <c r="N2040" i="1" s="1"/>
  <c r="L2041" i="1"/>
  <c r="N2041" i="1" s="1"/>
  <c r="L2042" i="1"/>
  <c r="N2042" i="1" s="1"/>
  <c r="L2043" i="1"/>
  <c r="N2043" i="1" s="1"/>
  <c r="L2044" i="1"/>
  <c r="N2044" i="1" s="1"/>
  <c r="L2045" i="1"/>
  <c r="N2045" i="1" s="1"/>
  <c r="L2046" i="1"/>
  <c r="N2046" i="1" s="1"/>
  <c r="L2047" i="1"/>
  <c r="N2047" i="1" s="1"/>
  <c r="L2048" i="1"/>
  <c r="N2048" i="1" s="1"/>
  <c r="L2049" i="1"/>
  <c r="N2049" i="1" s="1"/>
  <c r="L2050" i="1"/>
  <c r="N2050" i="1" s="1"/>
  <c r="L2051" i="1"/>
  <c r="N2051" i="1" s="1"/>
  <c r="L2052" i="1"/>
  <c r="N2052" i="1" s="1"/>
  <c r="L2053" i="1"/>
  <c r="N2053" i="1" s="1"/>
  <c r="L2054" i="1"/>
  <c r="N2054" i="1" s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N2060" i="1" s="1"/>
  <c r="L2061" i="1"/>
  <c r="N2061" i="1" s="1"/>
  <c r="L2062" i="1"/>
  <c r="N2062" i="1" s="1"/>
  <c r="L2063" i="1"/>
  <c r="N2063" i="1" s="1"/>
  <c r="L2064" i="1"/>
  <c r="N2064" i="1" s="1"/>
  <c r="L2065" i="1"/>
  <c r="N2065" i="1" s="1"/>
  <c r="L2066" i="1"/>
  <c r="N2066" i="1" s="1"/>
  <c r="L2067" i="1"/>
  <c r="N2067" i="1" s="1"/>
  <c r="L2068" i="1"/>
  <c r="N2068" i="1" s="1"/>
  <c r="L2069" i="1"/>
  <c r="N2069" i="1" s="1"/>
  <c r="L2070" i="1"/>
  <c r="N2070" i="1" s="1"/>
  <c r="L2071" i="1"/>
  <c r="N2071" i="1" s="1"/>
  <c r="L2072" i="1"/>
  <c r="N2072" i="1" s="1"/>
  <c r="L2073" i="1"/>
  <c r="N2073" i="1" s="1"/>
  <c r="L2074" i="1"/>
  <c r="N2074" i="1" s="1"/>
  <c r="L2075" i="1"/>
  <c r="N2075" i="1" s="1"/>
  <c r="L2076" i="1"/>
  <c r="N2076" i="1" s="1"/>
  <c r="L2077" i="1"/>
  <c r="N2077" i="1" s="1"/>
  <c r="L2078" i="1"/>
  <c r="N2078" i="1" s="1"/>
  <c r="L2079" i="1"/>
  <c r="N2079" i="1" s="1"/>
  <c r="L2080" i="1"/>
  <c r="N2080" i="1" s="1"/>
  <c r="L2081" i="1"/>
  <c r="N2081" i="1" s="1"/>
  <c r="L2082" i="1"/>
  <c r="N2082" i="1" s="1"/>
  <c r="L2083" i="1"/>
  <c r="N2083" i="1" s="1"/>
  <c r="L2084" i="1"/>
  <c r="N2084" i="1" s="1"/>
  <c r="L2085" i="1"/>
  <c r="N2085" i="1" s="1"/>
  <c r="L2086" i="1"/>
  <c r="N2086" i="1" s="1"/>
  <c r="L2087" i="1"/>
  <c r="N2087" i="1" s="1"/>
  <c r="L2088" i="1"/>
  <c r="N2088" i="1" s="1"/>
  <c r="L2089" i="1"/>
  <c r="N2089" i="1" s="1"/>
  <c r="L2090" i="1"/>
  <c r="N2090" i="1" s="1"/>
  <c r="L2091" i="1"/>
  <c r="N2091" i="1" s="1"/>
  <c r="L2092" i="1"/>
  <c r="N2092" i="1" s="1"/>
  <c r="L2093" i="1"/>
  <c r="N2093" i="1" s="1"/>
  <c r="L2094" i="1"/>
  <c r="N2094" i="1" s="1"/>
  <c r="L2095" i="1"/>
  <c r="N2095" i="1" s="1"/>
  <c r="L2096" i="1"/>
  <c r="N2096" i="1" s="1"/>
  <c r="L2097" i="1"/>
  <c r="N2097" i="1" s="1"/>
  <c r="L2098" i="1"/>
  <c r="N2098" i="1" s="1"/>
  <c r="L2099" i="1"/>
  <c r="N2099" i="1" s="1"/>
  <c r="L2100" i="1"/>
  <c r="N2100" i="1" s="1"/>
  <c r="L2101" i="1"/>
  <c r="N2101" i="1" s="1"/>
  <c r="L2102" i="1"/>
  <c r="N2102" i="1" s="1"/>
  <c r="L2103" i="1"/>
  <c r="N2103" i="1" s="1"/>
  <c r="L2104" i="1"/>
  <c r="N2104" i="1" s="1"/>
  <c r="L2105" i="1"/>
  <c r="N2105" i="1" s="1"/>
  <c r="L2106" i="1"/>
  <c r="N2106" i="1" s="1"/>
  <c r="L2107" i="1"/>
  <c r="N2107" i="1" s="1"/>
  <c r="L2108" i="1"/>
  <c r="N2108" i="1" s="1"/>
  <c r="L2109" i="1"/>
  <c r="N2109" i="1" s="1"/>
  <c r="L2110" i="1"/>
  <c r="N2110" i="1" s="1"/>
  <c r="L2111" i="1"/>
  <c r="N2111" i="1" s="1"/>
  <c r="L2112" i="1"/>
  <c r="N2112" i="1" s="1"/>
  <c r="L2113" i="1"/>
  <c r="N2113" i="1" s="1"/>
  <c r="L2114" i="1"/>
  <c r="N2114" i="1" s="1"/>
  <c r="L2115" i="1"/>
  <c r="N2115" i="1" s="1"/>
  <c r="L2116" i="1"/>
  <c r="N2116" i="1" s="1"/>
  <c r="L2117" i="1"/>
  <c r="N2117" i="1" s="1"/>
  <c r="L2118" i="1"/>
  <c r="N2118" i="1" s="1"/>
  <c r="L2119" i="1"/>
  <c r="N2119" i="1" s="1"/>
  <c r="L2120" i="1"/>
  <c r="N2120" i="1" s="1"/>
  <c r="L2121" i="1"/>
  <c r="N2121" i="1" s="1"/>
  <c r="L2122" i="1"/>
  <c r="N2122" i="1" s="1"/>
  <c r="L2123" i="1"/>
  <c r="N2123" i="1" s="1"/>
  <c r="L2124" i="1"/>
  <c r="N2124" i="1" s="1"/>
  <c r="L2125" i="1"/>
  <c r="N2125" i="1" s="1"/>
  <c r="L2126" i="1"/>
  <c r="N2126" i="1" s="1"/>
  <c r="L2127" i="1"/>
  <c r="N2127" i="1" s="1"/>
  <c r="L2128" i="1"/>
  <c r="N2128" i="1" s="1"/>
  <c r="L2129" i="1"/>
  <c r="N2129" i="1" s="1"/>
  <c r="L2130" i="1"/>
  <c r="N2130" i="1" s="1"/>
  <c r="L2131" i="1"/>
  <c r="N2131" i="1" s="1"/>
  <c r="L2132" i="1"/>
  <c r="N2132" i="1" s="1"/>
  <c r="L2133" i="1"/>
  <c r="N2133" i="1" s="1"/>
  <c r="L2134" i="1"/>
  <c r="N2134" i="1" s="1"/>
  <c r="L2135" i="1"/>
  <c r="N2135" i="1" s="1"/>
  <c r="L2136" i="1"/>
  <c r="N2136" i="1" s="1"/>
  <c r="L2137" i="1"/>
  <c r="N2137" i="1" s="1"/>
  <c r="L2138" i="1"/>
  <c r="N2138" i="1" s="1"/>
  <c r="L2139" i="1"/>
  <c r="N2139" i="1" s="1"/>
  <c r="L2140" i="1"/>
  <c r="N2140" i="1" s="1"/>
  <c r="L2141" i="1"/>
  <c r="N2141" i="1" s="1"/>
  <c r="L2142" i="1"/>
  <c r="N2142" i="1" s="1"/>
  <c r="L2143" i="1"/>
  <c r="N2143" i="1" s="1"/>
  <c r="L2144" i="1"/>
  <c r="N2144" i="1" s="1"/>
  <c r="L2145" i="1"/>
  <c r="N2145" i="1" s="1"/>
  <c r="L2146" i="1"/>
  <c r="N2146" i="1" s="1"/>
  <c r="L2147" i="1"/>
  <c r="N2147" i="1" s="1"/>
  <c r="L2148" i="1"/>
  <c r="N2148" i="1" s="1"/>
  <c r="L2149" i="1"/>
  <c r="N2149" i="1" s="1"/>
  <c r="L2150" i="1"/>
  <c r="N2150" i="1" s="1"/>
  <c r="L2151" i="1"/>
  <c r="N2151" i="1" s="1"/>
  <c r="L2152" i="1"/>
  <c r="N2152" i="1" s="1"/>
  <c r="L2153" i="1"/>
  <c r="N2153" i="1" s="1"/>
  <c r="L2154" i="1"/>
  <c r="N2154" i="1" s="1"/>
  <c r="L2155" i="1"/>
  <c r="N2155" i="1" s="1"/>
  <c r="L2156" i="1"/>
  <c r="N2156" i="1" s="1"/>
  <c r="L2157" i="1"/>
  <c r="N2157" i="1" s="1"/>
  <c r="L2158" i="1"/>
  <c r="N2158" i="1" s="1"/>
  <c r="L2159" i="1"/>
  <c r="N2159" i="1" s="1"/>
  <c r="L2160" i="1"/>
  <c r="N2160" i="1" s="1"/>
  <c r="L2161" i="1"/>
  <c r="N2161" i="1" s="1"/>
  <c r="L2162" i="1"/>
  <c r="N2162" i="1" s="1"/>
  <c r="L2163" i="1"/>
  <c r="N2163" i="1" s="1"/>
  <c r="L2164" i="1"/>
  <c r="N2164" i="1" s="1"/>
  <c r="L2165" i="1"/>
  <c r="N2165" i="1" s="1"/>
  <c r="L2166" i="1"/>
  <c r="N2166" i="1" s="1"/>
  <c r="L2167" i="1"/>
  <c r="N2167" i="1" s="1"/>
  <c r="L2168" i="1"/>
  <c r="N2168" i="1" s="1"/>
  <c r="L2169" i="1"/>
  <c r="N2169" i="1" s="1"/>
  <c r="L2170" i="1"/>
  <c r="N2170" i="1" s="1"/>
  <c r="L2171" i="1"/>
  <c r="N2171" i="1" s="1"/>
  <c r="L2172" i="1"/>
  <c r="N2172" i="1" s="1"/>
  <c r="L2173" i="1"/>
  <c r="N2173" i="1" s="1"/>
  <c r="L2174" i="1"/>
  <c r="N2174" i="1" s="1"/>
  <c r="L2175" i="1"/>
  <c r="N2175" i="1" s="1"/>
  <c r="L2176" i="1"/>
  <c r="N2176" i="1" s="1"/>
  <c r="L2177" i="1"/>
  <c r="N2177" i="1" s="1"/>
  <c r="L2178" i="1"/>
  <c r="N2178" i="1" s="1"/>
  <c r="L2179" i="1"/>
  <c r="N2179" i="1" s="1"/>
  <c r="L2180" i="1"/>
  <c r="N2180" i="1" s="1"/>
  <c r="L2181" i="1"/>
  <c r="N2181" i="1" s="1"/>
  <c r="L2182" i="1"/>
  <c r="N2182" i="1" s="1"/>
  <c r="L2183" i="1"/>
  <c r="N2183" i="1" s="1"/>
  <c r="L2184" i="1"/>
  <c r="N2184" i="1" s="1"/>
  <c r="L2185" i="1"/>
  <c r="N2185" i="1" s="1"/>
  <c r="L2186" i="1"/>
  <c r="N2186" i="1" s="1"/>
  <c r="L2187" i="1"/>
  <c r="N2187" i="1" s="1"/>
  <c r="L2188" i="1"/>
  <c r="N2188" i="1" s="1"/>
  <c r="L2189" i="1"/>
  <c r="N2189" i="1" s="1"/>
  <c r="L2190" i="1"/>
  <c r="N2190" i="1" s="1"/>
  <c r="L2191" i="1"/>
  <c r="N2191" i="1" s="1"/>
  <c r="L2192" i="1"/>
  <c r="N2192" i="1" s="1"/>
  <c r="L2193" i="1"/>
  <c r="N2193" i="1" s="1"/>
  <c r="L2194" i="1"/>
  <c r="N2194" i="1" s="1"/>
  <c r="L2195" i="1"/>
  <c r="N2195" i="1" s="1"/>
  <c r="L2196" i="1"/>
  <c r="N2196" i="1" s="1"/>
  <c r="L2197" i="1"/>
  <c r="N2197" i="1" s="1"/>
  <c r="L2198" i="1"/>
  <c r="N2198" i="1" s="1"/>
  <c r="L2199" i="1"/>
  <c r="N2199" i="1" s="1"/>
  <c r="L2200" i="1"/>
  <c r="N2200" i="1" s="1"/>
  <c r="L2201" i="1"/>
  <c r="N2201" i="1" s="1"/>
  <c r="L2202" i="1"/>
  <c r="N2202" i="1" s="1"/>
  <c r="L2203" i="1"/>
  <c r="N2203" i="1" s="1"/>
  <c r="L2204" i="1"/>
  <c r="N2204" i="1" s="1"/>
  <c r="L2205" i="1"/>
  <c r="N2205" i="1" s="1"/>
  <c r="L2206" i="1"/>
  <c r="N2206" i="1" s="1"/>
  <c r="L2207" i="1"/>
  <c r="N2207" i="1" s="1"/>
  <c r="L2208" i="1"/>
  <c r="N2208" i="1" s="1"/>
  <c r="L2209" i="1"/>
  <c r="N2209" i="1" s="1"/>
  <c r="L2210" i="1"/>
  <c r="N2210" i="1" s="1"/>
  <c r="L2211" i="1"/>
  <c r="N2211" i="1" s="1"/>
  <c r="L2212" i="1"/>
  <c r="N2212" i="1" s="1"/>
  <c r="L2213" i="1"/>
  <c r="N2213" i="1" s="1"/>
  <c r="L2214" i="1"/>
  <c r="N2214" i="1" s="1"/>
  <c r="L2215" i="1"/>
  <c r="N2215" i="1" s="1"/>
  <c r="L2216" i="1"/>
  <c r="N2216" i="1" s="1"/>
  <c r="L2217" i="1"/>
  <c r="N2217" i="1" s="1"/>
  <c r="L2218" i="1"/>
  <c r="N2218" i="1" s="1"/>
  <c r="L2219" i="1"/>
  <c r="N2219" i="1" s="1"/>
  <c r="L2220" i="1"/>
  <c r="N2220" i="1" s="1"/>
  <c r="L2221" i="1"/>
  <c r="N2221" i="1" s="1"/>
  <c r="L2222" i="1"/>
  <c r="N2222" i="1" s="1"/>
  <c r="L2223" i="1"/>
  <c r="N2223" i="1" s="1"/>
  <c r="L2224" i="1"/>
  <c r="N2224" i="1" s="1"/>
  <c r="L2225" i="1"/>
  <c r="N2225" i="1" s="1"/>
  <c r="L2226" i="1"/>
  <c r="N2226" i="1" s="1"/>
  <c r="L2227" i="1"/>
  <c r="N2227" i="1" s="1"/>
  <c r="L2228" i="1"/>
  <c r="N2228" i="1" s="1"/>
  <c r="L2229" i="1"/>
  <c r="N2229" i="1" s="1"/>
  <c r="L2230" i="1"/>
  <c r="N2230" i="1" s="1"/>
  <c r="L2231" i="1"/>
  <c r="N2231" i="1" s="1"/>
  <c r="L2232" i="1"/>
  <c r="N2232" i="1" s="1"/>
  <c r="L2233" i="1"/>
  <c r="N2233" i="1" s="1"/>
  <c r="L2234" i="1"/>
  <c r="N2234" i="1" s="1"/>
  <c r="L2235" i="1"/>
  <c r="N2235" i="1" s="1"/>
  <c r="L2236" i="1"/>
  <c r="N2236" i="1" s="1"/>
  <c r="L2237" i="1"/>
  <c r="N2237" i="1" s="1"/>
  <c r="L2238" i="1"/>
  <c r="N2238" i="1" s="1"/>
  <c r="L2239" i="1"/>
  <c r="N2239" i="1" s="1"/>
  <c r="L2240" i="1"/>
  <c r="N2240" i="1" s="1"/>
  <c r="L2241" i="1"/>
  <c r="N2241" i="1" s="1"/>
  <c r="L2242" i="1"/>
  <c r="N2242" i="1" s="1"/>
  <c r="L2243" i="1"/>
  <c r="N2243" i="1" s="1"/>
  <c r="L2244" i="1"/>
  <c r="N2244" i="1" s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N2251" i="1" s="1"/>
  <c r="L2252" i="1"/>
  <c r="N2252" i="1" s="1"/>
  <c r="L2253" i="1"/>
  <c r="N2253" i="1" s="1"/>
  <c r="L2254" i="1"/>
  <c r="N2254" i="1" s="1"/>
  <c r="L2255" i="1"/>
  <c r="N2255" i="1" s="1"/>
  <c r="L2256" i="1"/>
  <c r="N2256" i="1" s="1"/>
  <c r="L2257" i="1"/>
  <c r="N2257" i="1" s="1"/>
  <c r="L2258" i="1"/>
  <c r="N2258" i="1" s="1"/>
  <c r="L2259" i="1"/>
  <c r="N2259" i="1" s="1"/>
  <c r="L2260" i="1"/>
  <c r="N2260" i="1" s="1"/>
  <c r="L2261" i="1"/>
  <c r="N2261" i="1" s="1"/>
  <c r="L2262" i="1"/>
  <c r="N2262" i="1" s="1"/>
  <c r="L2263" i="1"/>
  <c r="N2263" i="1" s="1"/>
  <c r="L2264" i="1"/>
  <c r="N2264" i="1" s="1"/>
  <c r="L2265" i="1"/>
  <c r="N2265" i="1" s="1"/>
  <c r="L2266" i="1"/>
  <c r="N2266" i="1" s="1"/>
  <c r="L2267" i="1"/>
  <c r="N2267" i="1" s="1"/>
  <c r="L2268" i="1"/>
  <c r="N2268" i="1" s="1"/>
  <c r="L2269" i="1"/>
  <c r="N2269" i="1" s="1"/>
  <c r="L2270" i="1"/>
  <c r="N2270" i="1" s="1"/>
  <c r="L2271" i="1"/>
  <c r="N2271" i="1" s="1"/>
  <c r="L2272" i="1"/>
  <c r="N2272" i="1" s="1"/>
  <c r="L2273" i="1"/>
  <c r="N2273" i="1" s="1"/>
  <c r="L2274" i="1"/>
  <c r="N2274" i="1" s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N2280" i="1" s="1"/>
  <c r="L2281" i="1"/>
  <c r="N2281" i="1" s="1"/>
  <c r="L2282" i="1"/>
  <c r="N2282" i="1" s="1"/>
  <c r="L2283" i="1"/>
  <c r="N2283" i="1" s="1"/>
  <c r="L2284" i="1"/>
  <c r="N2284" i="1" s="1"/>
  <c r="L2285" i="1"/>
  <c r="N2285" i="1" s="1"/>
  <c r="L2286" i="1"/>
  <c r="N2286" i="1" s="1"/>
  <c r="L2287" i="1"/>
  <c r="N2287" i="1" s="1"/>
  <c r="L2288" i="1"/>
  <c r="N2288" i="1" s="1"/>
  <c r="L2289" i="1"/>
  <c r="N2289" i="1" s="1"/>
  <c r="L2290" i="1"/>
  <c r="N2290" i="1" s="1"/>
  <c r="L2291" i="1"/>
  <c r="N2291" i="1" s="1"/>
  <c r="L2292" i="1"/>
  <c r="N2292" i="1" s="1"/>
  <c r="L2293" i="1"/>
  <c r="N2293" i="1" s="1"/>
  <c r="L2294" i="1"/>
  <c r="N2294" i="1" s="1"/>
  <c r="L2295" i="1"/>
  <c r="N2295" i="1" s="1"/>
  <c r="L2296" i="1"/>
  <c r="N2296" i="1" s="1"/>
  <c r="L2297" i="1"/>
  <c r="N2297" i="1" s="1"/>
  <c r="L2298" i="1"/>
  <c r="N2298" i="1" s="1"/>
  <c r="L2299" i="1"/>
  <c r="N2299" i="1" s="1"/>
  <c r="L2300" i="1"/>
  <c r="N2300" i="1" s="1"/>
  <c r="L2301" i="1"/>
  <c r="N2301" i="1" s="1"/>
  <c r="L2302" i="1"/>
  <c r="N2302" i="1" s="1"/>
  <c r="L2303" i="1"/>
  <c r="N2303" i="1" s="1"/>
  <c r="L2304" i="1"/>
  <c r="N2304" i="1" s="1"/>
  <c r="L2305" i="1"/>
  <c r="N2305" i="1" s="1"/>
  <c r="L2306" i="1"/>
  <c r="N2306" i="1" s="1"/>
  <c r="L2307" i="1"/>
  <c r="N2307" i="1" s="1"/>
  <c r="L2308" i="1"/>
  <c r="N2308" i="1" s="1"/>
  <c r="L2309" i="1"/>
  <c r="N2309" i="1" s="1"/>
  <c r="L2310" i="1"/>
  <c r="N2310" i="1" s="1"/>
  <c r="L2311" i="1"/>
  <c r="N2311" i="1" s="1"/>
  <c r="L2312" i="1"/>
  <c r="N2312" i="1" s="1"/>
  <c r="L2313" i="1"/>
  <c r="N2313" i="1" s="1"/>
  <c r="L2314" i="1"/>
  <c r="N2314" i="1" s="1"/>
  <c r="L2315" i="1"/>
  <c r="N2315" i="1" s="1"/>
  <c r="L2316" i="1"/>
  <c r="N2316" i="1" s="1"/>
  <c r="L2317" i="1"/>
  <c r="N2317" i="1" s="1"/>
  <c r="L2318" i="1"/>
  <c r="N2318" i="1" s="1"/>
  <c r="L2319" i="1"/>
  <c r="N2319" i="1" s="1"/>
  <c r="L2320" i="1"/>
  <c r="N2320" i="1" s="1"/>
  <c r="L2321" i="1"/>
  <c r="N2321" i="1" s="1"/>
  <c r="L2322" i="1"/>
  <c r="N2322" i="1" s="1"/>
  <c r="L2323" i="1"/>
  <c r="N2323" i="1" s="1"/>
  <c r="L2324" i="1"/>
  <c r="N2324" i="1" s="1"/>
  <c r="L2325" i="1"/>
  <c r="N2325" i="1" s="1"/>
  <c r="L2326" i="1"/>
  <c r="N2326" i="1" s="1"/>
  <c r="L2327" i="1"/>
  <c r="N2327" i="1" s="1"/>
  <c r="L2328" i="1"/>
  <c r="N2328" i="1" s="1"/>
  <c r="L2329" i="1"/>
  <c r="N2329" i="1" s="1"/>
  <c r="L2330" i="1"/>
  <c r="N2330" i="1" s="1"/>
  <c r="L2331" i="1"/>
  <c r="N2331" i="1" s="1"/>
  <c r="L2332" i="1"/>
  <c r="N2332" i="1" s="1"/>
  <c r="L2333" i="1"/>
  <c r="N2333" i="1" s="1"/>
  <c r="L2334" i="1"/>
  <c r="N2334" i="1" s="1"/>
  <c r="L2335" i="1"/>
  <c r="N2335" i="1" s="1"/>
  <c r="L2336" i="1"/>
  <c r="N2336" i="1" s="1"/>
  <c r="L2337" i="1"/>
  <c r="N2337" i="1" s="1"/>
  <c r="L2338" i="1"/>
  <c r="N2338" i="1" s="1"/>
  <c r="L2339" i="1"/>
  <c r="N2339" i="1" s="1"/>
  <c r="L2340" i="1"/>
  <c r="N2340" i="1" s="1"/>
  <c r="L2341" i="1"/>
  <c r="N2341" i="1" s="1"/>
  <c r="L2342" i="1"/>
  <c r="N2342" i="1" s="1"/>
  <c r="L2343" i="1"/>
  <c r="N2343" i="1" s="1"/>
  <c r="L2344" i="1"/>
  <c r="N2344" i="1" s="1"/>
  <c r="L2345" i="1"/>
  <c r="N2345" i="1" s="1"/>
  <c r="L2346" i="1"/>
  <c r="N2346" i="1" s="1"/>
  <c r="L2347" i="1"/>
  <c r="N2347" i="1" s="1"/>
  <c r="L2348" i="1"/>
  <c r="N2348" i="1" s="1"/>
  <c r="L2349" i="1"/>
  <c r="N2349" i="1" s="1"/>
  <c r="L2350" i="1"/>
  <c r="N2350" i="1" s="1"/>
  <c r="L2351" i="1"/>
  <c r="N2351" i="1" s="1"/>
  <c r="L2352" i="1"/>
  <c r="N2352" i="1" s="1"/>
  <c r="L2353" i="1"/>
  <c r="N2353" i="1" s="1"/>
  <c r="L2354" i="1"/>
  <c r="N2354" i="1" s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1" i="1"/>
  <c r="N2361" i="1" s="1"/>
  <c r="L2362" i="1"/>
  <c r="N2362" i="1" s="1"/>
  <c r="L2363" i="1"/>
  <c r="N2363" i="1" s="1"/>
  <c r="L2364" i="1"/>
  <c r="N2364" i="1" s="1"/>
  <c r="L2365" i="1"/>
  <c r="N2365" i="1" s="1"/>
  <c r="L2366" i="1"/>
  <c r="N2366" i="1" s="1"/>
  <c r="L2367" i="1"/>
  <c r="N2367" i="1" s="1"/>
  <c r="L2368" i="1"/>
  <c r="N2368" i="1" s="1"/>
  <c r="L2369" i="1"/>
  <c r="N2369" i="1" s="1"/>
  <c r="L2370" i="1"/>
  <c r="N2370" i="1" s="1"/>
  <c r="L2371" i="1"/>
  <c r="N2371" i="1" s="1"/>
  <c r="L2372" i="1"/>
  <c r="N2372" i="1" s="1"/>
  <c r="L2373" i="1"/>
  <c r="N2373" i="1" s="1"/>
  <c r="L2374" i="1"/>
  <c r="N2374" i="1" s="1"/>
  <c r="L2375" i="1"/>
  <c r="N2375" i="1" s="1"/>
  <c r="L2376" i="1"/>
  <c r="N2376" i="1" s="1"/>
  <c r="L2377" i="1"/>
  <c r="N2377" i="1" s="1"/>
  <c r="L2378" i="1"/>
  <c r="N2378" i="1" s="1"/>
  <c r="L2379" i="1"/>
  <c r="N2379" i="1" s="1"/>
  <c r="L2380" i="1"/>
  <c r="N2380" i="1" s="1"/>
  <c r="L2381" i="1"/>
  <c r="N2381" i="1" s="1"/>
  <c r="L2382" i="1"/>
  <c r="N2382" i="1" s="1"/>
  <c r="L2383" i="1"/>
  <c r="N2383" i="1" s="1"/>
  <c r="L2384" i="1"/>
  <c r="N2384" i="1" s="1"/>
  <c r="L2385" i="1"/>
  <c r="N2385" i="1" s="1"/>
  <c r="L2386" i="1"/>
  <c r="N2386" i="1" s="1"/>
  <c r="L2387" i="1"/>
  <c r="N2387" i="1" s="1"/>
  <c r="L2388" i="1"/>
  <c r="N2388" i="1" s="1"/>
  <c r="L2389" i="1"/>
  <c r="N2389" i="1" s="1"/>
  <c r="L2390" i="1"/>
  <c r="N2390" i="1" s="1"/>
  <c r="L2391" i="1"/>
  <c r="N2391" i="1" s="1"/>
  <c r="L2392" i="1"/>
  <c r="N2392" i="1" s="1"/>
  <c r="L2393" i="1"/>
  <c r="N2393" i="1" s="1"/>
  <c r="L2394" i="1"/>
  <c r="N2394" i="1" s="1"/>
  <c r="L2395" i="1"/>
  <c r="N2395" i="1" s="1"/>
  <c r="L2396" i="1"/>
  <c r="N2396" i="1" s="1"/>
  <c r="L2397" i="1"/>
  <c r="N2397" i="1" s="1"/>
  <c r="L2398" i="1"/>
  <c r="N2398" i="1" s="1"/>
  <c r="L2399" i="1"/>
  <c r="N2399" i="1" s="1"/>
  <c r="L2400" i="1"/>
  <c r="N2400" i="1" s="1"/>
  <c r="L2401" i="1"/>
  <c r="N2401" i="1" s="1"/>
  <c r="L2402" i="1"/>
  <c r="N2402" i="1" s="1"/>
  <c r="L2403" i="1"/>
  <c r="N2403" i="1" s="1"/>
  <c r="L2404" i="1"/>
  <c r="N2404" i="1" s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N2410" i="1" s="1"/>
  <c r="L2411" i="1"/>
  <c r="N2411" i="1" s="1"/>
  <c r="L2412" i="1"/>
  <c r="N2412" i="1" s="1"/>
  <c r="L2413" i="1"/>
  <c r="N2413" i="1" s="1"/>
  <c r="L2414" i="1"/>
  <c r="N2414" i="1" s="1"/>
  <c r="L2415" i="1"/>
  <c r="N2415" i="1" s="1"/>
  <c r="L2416" i="1"/>
  <c r="N2416" i="1" s="1"/>
  <c r="L2417" i="1"/>
  <c r="N2417" i="1" s="1"/>
  <c r="L2418" i="1"/>
  <c r="N2418" i="1" s="1"/>
  <c r="L2419" i="1"/>
  <c r="N2419" i="1" s="1"/>
  <c r="L2420" i="1"/>
  <c r="N2420" i="1" s="1"/>
  <c r="L2421" i="1"/>
  <c r="N2421" i="1" s="1"/>
  <c r="L2422" i="1"/>
  <c r="N2422" i="1" s="1"/>
  <c r="L2423" i="1"/>
  <c r="N2423" i="1" s="1"/>
  <c r="L2424" i="1"/>
  <c r="N2424" i="1" s="1"/>
  <c r="L2425" i="1"/>
  <c r="N2425" i="1" s="1"/>
  <c r="L2426" i="1"/>
  <c r="N2426" i="1" s="1"/>
  <c r="L2427" i="1"/>
  <c r="N2427" i="1" s="1"/>
  <c r="L2428" i="1"/>
  <c r="N2428" i="1" s="1"/>
  <c r="L2429" i="1"/>
  <c r="N2429" i="1" s="1"/>
  <c r="L2430" i="1"/>
  <c r="N2430" i="1" s="1"/>
  <c r="L2431" i="1"/>
  <c r="N2431" i="1" s="1"/>
  <c r="L2432" i="1"/>
  <c r="N2432" i="1" s="1"/>
  <c r="L2433" i="1"/>
  <c r="N2433" i="1" s="1"/>
  <c r="L2434" i="1"/>
  <c r="N2434" i="1" s="1"/>
  <c r="L2435" i="1"/>
  <c r="N2435" i="1" s="1"/>
  <c r="L2436" i="1"/>
  <c r="N2436" i="1" s="1"/>
  <c r="L2437" i="1"/>
  <c r="N2437" i="1" s="1"/>
  <c r="L2438" i="1"/>
  <c r="N2438" i="1" s="1"/>
  <c r="L2439" i="1"/>
  <c r="N2439" i="1" s="1"/>
  <c r="L2440" i="1"/>
  <c r="N2440" i="1" s="1"/>
  <c r="L2441" i="1"/>
  <c r="N2441" i="1" s="1"/>
  <c r="L2442" i="1"/>
  <c r="N2442" i="1" s="1"/>
  <c r="L2443" i="1"/>
  <c r="N2443" i="1" s="1"/>
  <c r="L2444" i="1"/>
  <c r="N2444" i="1" s="1"/>
  <c r="L2445" i="1"/>
  <c r="N2445" i="1" s="1"/>
  <c r="L2446" i="1"/>
  <c r="N2446" i="1" s="1"/>
  <c r="L2447" i="1"/>
  <c r="N2447" i="1" s="1"/>
  <c r="L2448" i="1"/>
  <c r="N2448" i="1" s="1"/>
  <c r="L2449" i="1"/>
  <c r="N2449" i="1" s="1"/>
  <c r="L2450" i="1"/>
  <c r="N2450" i="1" s="1"/>
  <c r="L2451" i="1"/>
  <c r="N2451" i="1" s="1"/>
  <c r="L2452" i="1"/>
  <c r="N2452" i="1" s="1"/>
  <c r="L2453" i="1"/>
  <c r="N2453" i="1" s="1"/>
  <c r="L2454" i="1"/>
  <c r="N2454" i="1" s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N2460" i="1" s="1"/>
  <c r="L2461" i="1"/>
  <c r="N2461" i="1" s="1"/>
  <c r="L2462" i="1"/>
  <c r="N2462" i="1" s="1"/>
  <c r="L2463" i="1"/>
  <c r="N2463" i="1" s="1"/>
  <c r="L2464" i="1"/>
  <c r="N2464" i="1" s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1" i="1"/>
  <c r="N2471" i="1" s="1"/>
  <c r="L2472" i="1"/>
  <c r="N2472" i="1" s="1"/>
  <c r="L2473" i="1"/>
  <c r="N2473" i="1" s="1"/>
  <c r="L2474" i="1"/>
  <c r="N2474" i="1" s="1"/>
  <c r="L2475" i="1"/>
  <c r="N2475" i="1" s="1"/>
  <c r="L2476" i="1"/>
  <c r="N2476" i="1" s="1"/>
  <c r="L2477" i="1"/>
  <c r="N2477" i="1" s="1"/>
  <c r="L2478" i="1"/>
  <c r="N2478" i="1" s="1"/>
  <c r="L2479" i="1"/>
  <c r="N2479" i="1" s="1"/>
  <c r="L2480" i="1"/>
  <c r="N2480" i="1" s="1"/>
  <c r="L2481" i="1"/>
  <c r="N2481" i="1" s="1"/>
  <c r="L2482" i="1"/>
  <c r="N2482" i="1" s="1"/>
  <c r="L2483" i="1"/>
  <c r="N2483" i="1" s="1"/>
  <c r="L2484" i="1"/>
  <c r="N2484" i="1" s="1"/>
  <c r="L2485" i="1"/>
  <c r="N2485" i="1" s="1"/>
  <c r="L2486" i="1"/>
  <c r="N2486" i="1" s="1"/>
  <c r="L2487" i="1"/>
  <c r="N2487" i="1" s="1"/>
  <c r="L2488" i="1"/>
  <c r="N2488" i="1" s="1"/>
  <c r="L2489" i="1"/>
  <c r="N2489" i="1" s="1"/>
  <c r="L2490" i="1"/>
  <c r="N2490" i="1" s="1"/>
  <c r="L2491" i="1"/>
  <c r="N2491" i="1" s="1"/>
  <c r="L2492" i="1"/>
  <c r="N2492" i="1" s="1"/>
  <c r="L2493" i="1"/>
  <c r="N2493" i="1" s="1"/>
  <c r="L2494" i="1"/>
  <c r="N2494" i="1" s="1"/>
  <c r="L2495" i="1"/>
  <c r="N2495" i="1" s="1"/>
  <c r="L2496" i="1"/>
  <c r="N2496" i="1" s="1"/>
  <c r="L2497" i="1"/>
  <c r="N2497" i="1" s="1"/>
  <c r="L2498" i="1"/>
  <c r="N2498" i="1" s="1"/>
  <c r="L2499" i="1"/>
  <c r="N2499" i="1" s="1"/>
  <c r="L2500" i="1"/>
  <c r="N2500" i="1" s="1"/>
  <c r="L2501" i="1"/>
  <c r="N2501" i="1" s="1"/>
  <c r="L2502" i="1"/>
  <c r="N2502" i="1" s="1"/>
  <c r="L2503" i="1"/>
  <c r="N2503" i="1" s="1"/>
  <c r="L2504" i="1"/>
  <c r="N2504" i="1" s="1"/>
  <c r="L2505" i="1"/>
  <c r="N2505" i="1" s="1"/>
  <c r="L2506" i="1"/>
  <c r="N2506" i="1" s="1"/>
  <c r="L2507" i="1"/>
  <c r="N2507" i="1" s="1"/>
  <c r="L2508" i="1"/>
  <c r="N2508" i="1" s="1"/>
  <c r="L2509" i="1"/>
  <c r="N2509" i="1" s="1"/>
  <c r="L2510" i="1"/>
  <c r="N2510" i="1" s="1"/>
  <c r="L2511" i="1"/>
  <c r="N2511" i="1" s="1"/>
  <c r="L2512" i="1"/>
  <c r="N2512" i="1" s="1"/>
  <c r="L2513" i="1"/>
  <c r="N2513" i="1" s="1"/>
  <c r="L2514" i="1"/>
  <c r="N2514" i="1" s="1"/>
  <c r="L2515" i="1"/>
  <c r="N2515" i="1" s="1"/>
  <c r="L2516" i="1"/>
  <c r="N2516" i="1" s="1"/>
  <c r="L2517" i="1"/>
  <c r="N2517" i="1" s="1"/>
  <c r="L2518" i="1"/>
  <c r="N2518" i="1" s="1"/>
  <c r="L2519" i="1"/>
  <c r="N2519" i="1" s="1"/>
  <c r="L2520" i="1"/>
  <c r="N2520" i="1" s="1"/>
  <c r="L2521" i="1"/>
  <c r="N2521" i="1" s="1"/>
  <c r="L2522" i="1"/>
  <c r="N2522" i="1" s="1"/>
  <c r="L2523" i="1"/>
  <c r="N2523" i="1" s="1"/>
  <c r="L2524" i="1"/>
  <c r="N2524" i="1" s="1"/>
  <c r="L2525" i="1"/>
  <c r="N2525" i="1" s="1"/>
  <c r="L2526" i="1"/>
  <c r="N2526" i="1" s="1"/>
  <c r="L2527" i="1"/>
  <c r="N2527" i="1" s="1"/>
  <c r="L2528" i="1"/>
  <c r="N2528" i="1" s="1"/>
  <c r="L2529" i="1"/>
  <c r="N2529" i="1" s="1"/>
  <c r="L2530" i="1"/>
  <c r="N2530" i="1" s="1"/>
  <c r="L2531" i="1"/>
  <c r="N2531" i="1" s="1"/>
  <c r="L2532" i="1"/>
  <c r="N2532" i="1" s="1"/>
  <c r="L2533" i="1"/>
  <c r="N2533" i="1" s="1"/>
  <c r="L2534" i="1"/>
  <c r="N2534" i="1" s="1"/>
  <c r="L2535" i="1"/>
  <c r="N2535" i="1" s="1"/>
  <c r="L2536" i="1"/>
  <c r="N2536" i="1" s="1"/>
  <c r="L2537" i="1"/>
  <c r="N2537" i="1" s="1"/>
  <c r="L2538" i="1"/>
  <c r="N2538" i="1" s="1"/>
  <c r="L2539" i="1"/>
  <c r="N2539" i="1" s="1"/>
  <c r="L2540" i="1"/>
  <c r="N2540" i="1" s="1"/>
  <c r="L2541" i="1"/>
  <c r="N2541" i="1" s="1"/>
  <c r="L2542" i="1"/>
  <c r="N2542" i="1" s="1"/>
  <c r="L2543" i="1"/>
  <c r="N2543" i="1" s="1"/>
  <c r="L2544" i="1"/>
  <c r="N2544" i="1" s="1"/>
  <c r="L2545" i="1"/>
  <c r="N2545" i="1" s="1"/>
  <c r="L2546" i="1"/>
  <c r="N2546" i="1" s="1"/>
  <c r="L2547" i="1"/>
  <c r="N2547" i="1" s="1"/>
  <c r="L2548" i="1"/>
  <c r="N2548" i="1" s="1"/>
  <c r="L2549" i="1"/>
  <c r="N2549" i="1" s="1"/>
  <c r="L2550" i="1"/>
  <c r="N2550" i="1" s="1"/>
  <c r="L2551" i="1"/>
  <c r="N2551" i="1" s="1"/>
  <c r="L2552" i="1"/>
  <c r="N2552" i="1" s="1"/>
  <c r="L2553" i="1"/>
  <c r="N2553" i="1" s="1"/>
  <c r="L2554" i="1"/>
  <c r="N2554" i="1" s="1"/>
  <c r="L2555" i="1"/>
  <c r="N2555" i="1" s="1"/>
  <c r="L2556" i="1"/>
  <c r="N2556" i="1" s="1"/>
  <c r="L2557" i="1"/>
  <c r="N2557" i="1" s="1"/>
  <c r="L2558" i="1"/>
  <c r="N2558" i="1" s="1"/>
  <c r="L2559" i="1"/>
  <c r="N2559" i="1" s="1"/>
  <c r="L2560" i="1"/>
  <c r="N2560" i="1" s="1"/>
  <c r="L2561" i="1"/>
  <c r="N2561" i="1" s="1"/>
  <c r="L2562" i="1"/>
  <c r="N2562" i="1" s="1"/>
  <c r="L2563" i="1"/>
  <c r="N2563" i="1" s="1"/>
  <c r="L2564" i="1"/>
  <c r="N2564" i="1" s="1"/>
  <c r="L2565" i="1"/>
  <c r="N2565" i="1" s="1"/>
  <c r="L2566" i="1"/>
  <c r="N2566" i="1" s="1"/>
  <c r="L2567" i="1"/>
  <c r="N2567" i="1" s="1"/>
  <c r="L2568" i="1"/>
  <c r="N2568" i="1" s="1"/>
  <c r="L2569" i="1"/>
  <c r="N2569" i="1" s="1"/>
  <c r="L2570" i="1"/>
  <c r="N2570" i="1" s="1"/>
  <c r="L2571" i="1"/>
  <c r="N2571" i="1" s="1"/>
  <c r="L2572" i="1"/>
  <c r="N2572" i="1" s="1"/>
  <c r="L2573" i="1"/>
  <c r="N2573" i="1" s="1"/>
  <c r="L2574" i="1"/>
  <c r="N2574" i="1" s="1"/>
  <c r="L2575" i="1"/>
  <c r="N2575" i="1" s="1"/>
  <c r="L2576" i="1"/>
  <c r="N2576" i="1" s="1"/>
  <c r="L2577" i="1"/>
  <c r="N2577" i="1" s="1"/>
  <c r="L2578" i="1"/>
  <c r="N2578" i="1" s="1"/>
  <c r="L2579" i="1"/>
  <c r="N2579" i="1" s="1"/>
  <c r="L2580" i="1"/>
  <c r="N2580" i="1" s="1"/>
  <c r="L2581" i="1"/>
  <c r="N2581" i="1" s="1"/>
  <c r="L2582" i="1"/>
  <c r="N2582" i="1" s="1"/>
  <c r="L2583" i="1"/>
  <c r="N2583" i="1" s="1"/>
  <c r="L2584" i="1"/>
  <c r="N2584" i="1" s="1"/>
  <c r="L2585" i="1"/>
  <c r="N2585" i="1" s="1"/>
  <c r="L2586" i="1"/>
  <c r="N2586" i="1" s="1"/>
  <c r="L2587" i="1"/>
  <c r="N2587" i="1" s="1"/>
  <c r="L2588" i="1"/>
  <c r="N2588" i="1" s="1"/>
  <c r="L2589" i="1"/>
  <c r="N2589" i="1" s="1"/>
  <c r="L2590" i="1"/>
  <c r="N2590" i="1" s="1"/>
  <c r="L2591" i="1"/>
  <c r="N2591" i="1" s="1"/>
  <c r="L2592" i="1"/>
  <c r="N2592" i="1" s="1"/>
  <c r="L2593" i="1"/>
  <c r="N2593" i="1" s="1"/>
  <c r="L2594" i="1"/>
  <c r="N2594" i="1" s="1"/>
  <c r="L2595" i="1"/>
  <c r="N2595" i="1" s="1"/>
  <c r="L2596" i="1"/>
  <c r="N2596" i="1" s="1"/>
  <c r="L2597" i="1"/>
  <c r="N2597" i="1" s="1"/>
  <c r="L2598" i="1"/>
  <c r="N2598" i="1" s="1"/>
  <c r="L2599" i="1"/>
  <c r="N2599" i="1" s="1"/>
  <c r="L2600" i="1"/>
  <c r="N2600" i="1" s="1"/>
  <c r="L2601" i="1"/>
  <c r="N2601" i="1" s="1"/>
  <c r="L2602" i="1"/>
  <c r="N2602" i="1" s="1"/>
  <c r="L2603" i="1"/>
  <c r="N2603" i="1" s="1"/>
  <c r="L2604" i="1"/>
  <c r="N2604" i="1" s="1"/>
  <c r="L2605" i="1"/>
  <c r="N2605" i="1" s="1"/>
  <c r="L1396" i="1"/>
  <c r="N1396" i="1" s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389" i="1"/>
  <c r="Q1390" i="1"/>
  <c r="Q1391" i="1"/>
  <c r="Q1392" i="1"/>
  <c r="Q1393" i="1"/>
  <c r="Q1394" i="1"/>
  <c r="Q1395" i="1"/>
  <c r="Q1396" i="1"/>
  <c r="Q1397" i="1"/>
  <c r="Q1398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389" i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1389" i="1"/>
  <c r="N1389" i="1" s="1"/>
  <c r="L1390" i="1"/>
  <c r="N1390" i="1" s="1"/>
  <c r="L1391" i="1"/>
  <c r="N1391" i="1" s="1"/>
  <c r="L1392" i="1"/>
  <c r="N1392" i="1" s="1"/>
  <c r="L1393" i="1"/>
  <c r="N1393" i="1" s="1"/>
  <c r="L1394" i="1"/>
  <c r="N1394" i="1" s="1"/>
  <c r="L1395" i="1"/>
  <c r="N1395" i="1" s="1"/>
  <c r="L1374" i="1"/>
  <c r="N1374" i="1" s="1"/>
  <c r="P1529" i="1" l="1"/>
  <c r="N1342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P1530" i="1" l="1"/>
  <c r="A1304" i="1"/>
  <c r="F12" i="6"/>
  <c r="F13" i="6"/>
  <c r="F14" i="6"/>
  <c r="F15" i="6"/>
  <c r="F16" i="6"/>
  <c r="F17" i="6"/>
  <c r="F18" i="6"/>
  <c r="F11" i="6"/>
  <c r="G12" i="6"/>
  <c r="G13" i="6"/>
  <c r="G14" i="6"/>
  <c r="G15" i="6"/>
  <c r="G16" i="6"/>
  <c r="G17" i="6"/>
  <c r="G18" i="6"/>
  <c r="G11" i="6"/>
  <c r="D12" i="6"/>
  <c r="D13" i="6"/>
  <c r="D14" i="6"/>
  <c r="D15" i="6"/>
  <c r="D16" i="6"/>
  <c r="D17" i="6"/>
  <c r="D18" i="6"/>
  <c r="D11" i="6"/>
  <c r="C12" i="6"/>
  <c r="C13" i="6"/>
  <c r="C14" i="6"/>
  <c r="C15" i="6"/>
  <c r="C16" i="6"/>
  <c r="C17" i="6"/>
  <c r="C18" i="6"/>
  <c r="C19" i="6"/>
  <c r="C11" i="6"/>
  <c r="C22" i="6"/>
  <c r="C23" i="6"/>
  <c r="C24" i="6"/>
  <c r="C25" i="6"/>
  <c r="C26" i="6"/>
  <c r="C27" i="6"/>
  <c r="C28" i="6"/>
  <c r="C29" i="6"/>
  <c r="C30" i="6"/>
  <c r="C31" i="6"/>
  <c r="C21" i="6"/>
  <c r="F20" i="6"/>
  <c r="A2543" i="1"/>
  <c r="A2550" i="1"/>
  <c r="A2557" i="1"/>
  <c r="A2564" i="1"/>
  <c r="A2571" i="1"/>
  <c r="A2578" i="1"/>
  <c r="A2585" i="1"/>
  <c r="A2592" i="1"/>
  <c r="A2599" i="1"/>
  <c r="A1570" i="1"/>
  <c r="A1577" i="1"/>
  <c r="A1584" i="1"/>
  <c r="A1591" i="1"/>
  <c r="A1598" i="1"/>
  <c r="A1605" i="1"/>
  <c r="A1612" i="1"/>
  <c r="A1619" i="1"/>
  <c r="A1626" i="1"/>
  <c r="A1633" i="1"/>
  <c r="A1640" i="1"/>
  <c r="A1647" i="1"/>
  <c r="A1654" i="1"/>
  <c r="A1661" i="1"/>
  <c r="A1668" i="1"/>
  <c r="A1675" i="1"/>
  <c r="A1682" i="1"/>
  <c r="A1689" i="1"/>
  <c r="A1696" i="1"/>
  <c r="A1703" i="1"/>
  <c r="A1710" i="1"/>
  <c r="A1717" i="1"/>
  <c r="A1724" i="1"/>
  <c r="A1731" i="1"/>
  <c r="A1738" i="1"/>
  <c r="A1745" i="1"/>
  <c r="A1752" i="1"/>
  <c r="A1759" i="1"/>
  <c r="A1766" i="1"/>
  <c r="A1773" i="1"/>
  <c r="A1780" i="1"/>
  <c r="A1787" i="1"/>
  <c r="A1794" i="1"/>
  <c r="A1801" i="1"/>
  <c r="A1808" i="1"/>
  <c r="A1815" i="1"/>
  <c r="A1822" i="1"/>
  <c r="A1829" i="1"/>
  <c r="A1836" i="1"/>
  <c r="A1843" i="1"/>
  <c r="A1850" i="1"/>
  <c r="A1857" i="1"/>
  <c r="A1864" i="1"/>
  <c r="A1871" i="1"/>
  <c r="A1878" i="1"/>
  <c r="A1885" i="1"/>
  <c r="A1892" i="1"/>
  <c r="A1899" i="1"/>
  <c r="A1906" i="1"/>
  <c r="A1913" i="1"/>
  <c r="A1920" i="1"/>
  <c r="A1927" i="1"/>
  <c r="A1934" i="1"/>
  <c r="A1941" i="1"/>
  <c r="A1948" i="1"/>
  <c r="A1955" i="1"/>
  <c r="A1962" i="1"/>
  <c r="A1969" i="1"/>
  <c r="A1976" i="1"/>
  <c r="A1983" i="1"/>
  <c r="A1990" i="1"/>
  <c r="A1997" i="1"/>
  <c r="A2004" i="1"/>
  <c r="A2011" i="1"/>
  <c r="A2018" i="1"/>
  <c r="A2025" i="1"/>
  <c r="A2032" i="1"/>
  <c r="A2039" i="1"/>
  <c r="A2046" i="1"/>
  <c r="A2053" i="1"/>
  <c r="A2060" i="1"/>
  <c r="A2067" i="1"/>
  <c r="A2074" i="1"/>
  <c r="A2081" i="1"/>
  <c r="A2088" i="1"/>
  <c r="A2095" i="1"/>
  <c r="A2102" i="1"/>
  <c r="A2109" i="1"/>
  <c r="A2116" i="1"/>
  <c r="A2123" i="1"/>
  <c r="A2130" i="1"/>
  <c r="A2137" i="1"/>
  <c r="A2144" i="1"/>
  <c r="A2151" i="1"/>
  <c r="A2158" i="1"/>
  <c r="A2165" i="1"/>
  <c r="A2172" i="1"/>
  <c r="A2179" i="1"/>
  <c r="A2186" i="1"/>
  <c r="A2193" i="1"/>
  <c r="A2200" i="1"/>
  <c r="A2207" i="1"/>
  <c r="A2214" i="1"/>
  <c r="A2221" i="1"/>
  <c r="A2228" i="1"/>
  <c r="A2235" i="1"/>
  <c r="A2242" i="1"/>
  <c r="A2249" i="1"/>
  <c r="A2256" i="1"/>
  <c r="A2263" i="1"/>
  <c r="A2270" i="1"/>
  <c r="A2277" i="1"/>
  <c r="A2284" i="1"/>
  <c r="A2291" i="1"/>
  <c r="A2298" i="1"/>
  <c r="A2305" i="1"/>
  <c r="A2312" i="1"/>
  <c r="A2319" i="1"/>
  <c r="A2326" i="1"/>
  <c r="A2333" i="1"/>
  <c r="A2340" i="1"/>
  <c r="A2347" i="1"/>
  <c r="A2354" i="1"/>
  <c r="A2361" i="1"/>
  <c r="A2368" i="1"/>
  <c r="A2375" i="1"/>
  <c r="A2382" i="1"/>
  <c r="A2389" i="1"/>
  <c r="A2396" i="1"/>
  <c r="A2403" i="1"/>
  <c r="A2410" i="1"/>
  <c r="A2417" i="1"/>
  <c r="A2424" i="1"/>
  <c r="A2431" i="1"/>
  <c r="A2438" i="1"/>
  <c r="A2445" i="1"/>
  <c r="A2452" i="1"/>
  <c r="A2459" i="1"/>
  <c r="A2466" i="1"/>
  <c r="A2473" i="1"/>
  <c r="A2480" i="1"/>
  <c r="A2487" i="1"/>
  <c r="A2494" i="1"/>
  <c r="A2501" i="1"/>
  <c r="A2508" i="1"/>
  <c r="A2515" i="1"/>
  <c r="A2522" i="1"/>
  <c r="A2529" i="1"/>
  <c r="A2536" i="1"/>
  <c r="A1122" i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A1129" i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A1136" i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A1143" i="1"/>
  <c r="L1143" i="1"/>
  <c r="N1143" i="1" s="1"/>
  <c r="L1144" i="1"/>
  <c r="N1144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A1150" i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A1157" i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A1164" i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A1171" i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A1178" i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A1185" i="1"/>
  <c r="L1185" i="1"/>
  <c r="N1185" i="1" s="1"/>
  <c r="L1186" i="1"/>
  <c r="N1186" i="1" s="1"/>
  <c r="L1187" i="1"/>
  <c r="N1187" i="1" s="1"/>
  <c r="L1188" i="1"/>
  <c r="N1188" i="1" s="1"/>
  <c r="L1189" i="1"/>
  <c r="N1189" i="1" s="1"/>
  <c r="L1190" i="1"/>
  <c r="N1190" i="1" s="1"/>
  <c r="L1191" i="1"/>
  <c r="N1191" i="1" s="1"/>
  <c r="A1192" i="1"/>
  <c r="L1192" i="1"/>
  <c r="N1192" i="1" s="1"/>
  <c r="L1193" i="1"/>
  <c r="N1193" i="1" s="1"/>
  <c r="L1194" i="1"/>
  <c r="N1194" i="1" s="1"/>
  <c r="L1195" i="1"/>
  <c r="N1195" i="1" s="1"/>
  <c r="L1196" i="1"/>
  <c r="N1196" i="1" s="1"/>
  <c r="L1197" i="1"/>
  <c r="N1197" i="1" s="1"/>
  <c r="L1198" i="1"/>
  <c r="N1198" i="1" s="1"/>
  <c r="A1199" i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A1206" i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A1213" i="1"/>
  <c r="L1213" i="1"/>
  <c r="N1213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A1220" i="1"/>
  <c r="L1220" i="1"/>
  <c r="N1220" i="1" s="1"/>
  <c r="L1221" i="1"/>
  <c r="N1221" i="1" s="1"/>
  <c r="L1222" i="1"/>
  <c r="N1222" i="1" s="1"/>
  <c r="L1223" i="1"/>
  <c r="N1223" i="1" s="1"/>
  <c r="L1224" i="1"/>
  <c r="N1224" i="1" s="1"/>
  <c r="L1225" i="1"/>
  <c r="N1225" i="1" s="1"/>
  <c r="L1226" i="1"/>
  <c r="N1226" i="1" s="1"/>
  <c r="A1227" i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A1234" i="1"/>
  <c r="L1234" i="1"/>
  <c r="N1234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A1241" i="1"/>
  <c r="L1241" i="1"/>
  <c r="N1241" i="1" s="1"/>
  <c r="L1242" i="1"/>
  <c r="N1242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A1248" i="1"/>
  <c r="L1248" i="1"/>
  <c r="N1248" i="1" s="1"/>
  <c r="L1249" i="1"/>
  <c r="N1249" i="1" s="1"/>
  <c r="L1250" i="1"/>
  <c r="N1250" i="1" s="1"/>
  <c r="L1251" i="1"/>
  <c r="N1251" i="1" s="1"/>
  <c r="L1252" i="1"/>
  <c r="N1252" i="1" s="1"/>
  <c r="L1253" i="1"/>
  <c r="N1253" i="1" s="1"/>
  <c r="L1254" i="1"/>
  <c r="N1254" i="1" s="1"/>
  <c r="A1486" i="1"/>
  <c r="A1493" i="1"/>
  <c r="A1500" i="1"/>
  <c r="A1507" i="1"/>
  <c r="A1514" i="1"/>
  <c r="A1521" i="1"/>
  <c r="A1528" i="1"/>
  <c r="A1535" i="1"/>
  <c r="A1542" i="1"/>
  <c r="A1549" i="1"/>
  <c r="A1556" i="1"/>
  <c r="A1563" i="1"/>
  <c r="A1115" i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A1108" i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A1101" i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A786" i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A793" i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A800" i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A807" i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A814" i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A821" i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A828" i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A835" i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A842" i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A849" i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A856" i="1"/>
  <c r="L856" i="1"/>
  <c r="N856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A863" i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69" i="1"/>
  <c r="N869" i="1" s="1"/>
  <c r="A870" i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A877" i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A884" i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A891" i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A898" i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N904" i="1" s="1"/>
  <c r="A905" i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A912" i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A919" i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A926" i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A933" i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A940" i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A947" i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A954" i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A961" i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A968" i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A975" i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A982" i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A989" i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A996" i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A1003" i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A1010" i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A1017" i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A1024" i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A1031" i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A1038" i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A1045" i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A1052" i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A1059" i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A1066" i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A1073" i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A1080" i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A1087" i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A1094" i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A779" i="1"/>
  <c r="L779" i="1"/>
  <c r="N779" i="1" s="1"/>
  <c r="L780" i="1"/>
  <c r="N780" i="1" s="1"/>
  <c r="L781" i="1"/>
  <c r="N781" i="1" s="1"/>
  <c r="L782" i="1"/>
  <c r="N782" i="1" s="1"/>
  <c r="L783" i="1"/>
  <c r="N783" i="1" s="1"/>
  <c r="L784" i="1"/>
  <c r="N784" i="1" s="1"/>
  <c r="L785" i="1"/>
  <c r="N785" i="1" s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A611" i="1"/>
  <c r="L611" i="1"/>
  <c r="L612" i="1"/>
  <c r="L613" i="1"/>
  <c r="L614" i="1"/>
  <c r="L615" i="1"/>
  <c r="L616" i="1"/>
  <c r="L617" i="1"/>
  <c r="A618" i="1"/>
  <c r="L618" i="1"/>
  <c r="L619" i="1"/>
  <c r="L620" i="1"/>
  <c r="L621" i="1"/>
  <c r="L622" i="1"/>
  <c r="L623" i="1"/>
  <c r="L624" i="1"/>
  <c r="A625" i="1"/>
  <c r="L625" i="1"/>
  <c r="L626" i="1"/>
  <c r="L627" i="1"/>
  <c r="L628" i="1"/>
  <c r="L629" i="1"/>
  <c r="L630" i="1"/>
  <c r="L631" i="1"/>
  <c r="A632" i="1"/>
  <c r="L632" i="1"/>
  <c r="L633" i="1"/>
  <c r="L634" i="1"/>
  <c r="L635" i="1"/>
  <c r="L636" i="1"/>
  <c r="L637" i="1"/>
  <c r="L638" i="1"/>
  <c r="A639" i="1"/>
  <c r="L639" i="1"/>
  <c r="L640" i="1"/>
  <c r="L641" i="1"/>
  <c r="L642" i="1"/>
  <c r="L643" i="1"/>
  <c r="L644" i="1"/>
  <c r="L645" i="1"/>
  <c r="A646" i="1"/>
  <c r="L646" i="1"/>
  <c r="L647" i="1"/>
  <c r="L648" i="1"/>
  <c r="L649" i="1"/>
  <c r="L650" i="1"/>
  <c r="L651" i="1"/>
  <c r="L652" i="1"/>
  <c r="A653" i="1"/>
  <c r="L653" i="1"/>
  <c r="L654" i="1"/>
  <c r="L655" i="1"/>
  <c r="L656" i="1"/>
  <c r="L657" i="1"/>
  <c r="L658" i="1"/>
  <c r="A660" i="1"/>
  <c r="A667" i="1"/>
  <c r="A674" i="1"/>
  <c r="A681" i="1"/>
  <c r="L681" i="1"/>
  <c r="L682" i="1"/>
  <c r="L683" i="1"/>
  <c r="L684" i="1"/>
  <c r="L685" i="1"/>
  <c r="L686" i="1"/>
  <c r="L687" i="1"/>
  <c r="A688" i="1"/>
  <c r="L688" i="1"/>
  <c r="L689" i="1"/>
  <c r="L690" i="1"/>
  <c r="L691" i="1"/>
  <c r="L692" i="1"/>
  <c r="L693" i="1"/>
  <c r="L694" i="1"/>
  <c r="A695" i="1"/>
  <c r="L695" i="1"/>
  <c r="L696" i="1"/>
  <c r="L697" i="1"/>
  <c r="L698" i="1"/>
  <c r="L699" i="1"/>
  <c r="L700" i="1"/>
  <c r="L701" i="1"/>
  <c r="A702" i="1"/>
  <c r="L702" i="1"/>
  <c r="L703" i="1"/>
  <c r="L704" i="1"/>
  <c r="L705" i="1"/>
  <c r="L706" i="1"/>
  <c r="L707" i="1"/>
  <c r="L708" i="1"/>
  <c r="A709" i="1"/>
  <c r="L709" i="1"/>
  <c r="L710" i="1"/>
  <c r="L711" i="1"/>
  <c r="L712" i="1"/>
  <c r="L713" i="1"/>
  <c r="L714" i="1"/>
  <c r="L715" i="1"/>
  <c r="A716" i="1"/>
  <c r="L716" i="1"/>
  <c r="L717" i="1"/>
  <c r="L718" i="1"/>
  <c r="L719" i="1"/>
  <c r="N719" i="1" s="1"/>
  <c r="L720" i="1"/>
  <c r="N720" i="1" s="1"/>
  <c r="L721" i="1"/>
  <c r="N721" i="1" s="1"/>
  <c r="L722" i="1"/>
  <c r="N722" i="1" s="1"/>
  <c r="A723" i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A730" i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A737" i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A744" i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A751" i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A758" i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A765" i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A772" i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A597" i="1"/>
  <c r="A604" i="1"/>
  <c r="L584" i="1"/>
  <c r="N584" i="1" s="1"/>
  <c r="L585" i="1"/>
  <c r="N585" i="1" s="1"/>
  <c r="L586" i="1"/>
  <c r="N586" i="1" s="1"/>
  <c r="L587" i="1"/>
  <c r="N587" i="1" s="1"/>
  <c r="K588" i="1"/>
  <c r="L588" i="1" s="1"/>
  <c r="N588" i="1" s="1"/>
  <c r="K589" i="1"/>
  <c r="L589" i="1" s="1"/>
  <c r="N589" i="1" s="1"/>
  <c r="L583" i="1"/>
  <c r="N583" i="1" s="1"/>
  <c r="L582" i="1"/>
  <c r="N582" i="1" s="1"/>
  <c r="L581" i="1"/>
  <c r="N581" i="1" s="1"/>
  <c r="L580" i="1"/>
  <c r="N580" i="1" s="1"/>
  <c r="L579" i="1"/>
  <c r="N579" i="1" s="1"/>
  <c r="L578" i="1"/>
  <c r="N578" i="1" s="1"/>
  <c r="L577" i="1"/>
  <c r="N577" i="1" s="1"/>
  <c r="L576" i="1"/>
  <c r="N576" i="1" s="1"/>
  <c r="L575" i="1"/>
  <c r="N575" i="1" s="1"/>
  <c r="L574" i="1"/>
  <c r="N574" i="1" s="1"/>
  <c r="L573" i="1"/>
  <c r="N573" i="1" s="1"/>
  <c r="L572" i="1"/>
  <c r="N572" i="1" s="1"/>
  <c r="L571" i="1"/>
  <c r="N571" i="1" s="1"/>
  <c r="L570" i="1"/>
  <c r="N570" i="1" s="1"/>
  <c r="L569" i="1"/>
  <c r="N569" i="1" s="1"/>
  <c r="L568" i="1"/>
  <c r="N568" i="1" s="1"/>
  <c r="L567" i="1"/>
  <c r="N567" i="1" s="1"/>
  <c r="L566" i="1"/>
  <c r="N566" i="1" s="1"/>
  <c r="L565" i="1"/>
  <c r="N565" i="1" s="1"/>
  <c r="L564" i="1"/>
  <c r="N564" i="1" s="1"/>
  <c r="L563" i="1"/>
  <c r="N563" i="1" s="1"/>
  <c r="L562" i="1"/>
  <c r="N562" i="1" s="1"/>
  <c r="L561" i="1"/>
  <c r="N561" i="1" s="1"/>
  <c r="P1531" i="1" l="1"/>
  <c r="A1311" i="1"/>
  <c r="A1318" i="1" s="1"/>
  <c r="A1325" i="1" s="1"/>
  <c r="A1367" i="1" s="1"/>
  <c r="A1374" i="1" s="1"/>
  <c r="A1381" i="1" s="1"/>
  <c r="A1388" i="1" s="1"/>
  <c r="A1395" i="1" s="1"/>
  <c r="A1402" i="1" s="1"/>
  <c r="A1409" i="1" s="1"/>
  <c r="A1416" i="1" s="1"/>
  <c r="A1423" i="1" s="1"/>
  <c r="A1430" i="1" s="1"/>
  <c r="A1437" i="1" s="1"/>
  <c r="A1444" i="1" s="1"/>
  <c r="A1451" i="1" s="1"/>
  <c r="A1458" i="1" s="1"/>
  <c r="A1465" i="1" s="1"/>
  <c r="A1472" i="1" s="1"/>
  <c r="A569" i="1"/>
  <c r="A576" i="1"/>
  <c r="A583" i="1"/>
  <c r="A590" i="1"/>
  <c r="A520" i="1"/>
  <c r="A527" i="1"/>
  <c r="A534" i="1"/>
  <c r="A541" i="1"/>
  <c r="A548" i="1"/>
  <c r="A555" i="1"/>
  <c r="A562" i="1"/>
  <c r="A394" i="1"/>
  <c r="A401" i="1"/>
  <c r="A408" i="1"/>
  <c r="A415" i="1"/>
  <c r="A422" i="1"/>
  <c r="A429" i="1"/>
  <c r="A436" i="1"/>
  <c r="A443" i="1"/>
  <c r="A450" i="1"/>
  <c r="A457" i="1"/>
  <c r="A464" i="1"/>
  <c r="A471" i="1"/>
  <c r="A478" i="1"/>
  <c r="A485" i="1"/>
  <c r="A492" i="1"/>
  <c r="A499" i="1"/>
  <c r="A506" i="1"/>
  <c r="A513" i="1"/>
  <c r="A387" i="1"/>
  <c r="K387" i="1"/>
  <c r="P1532" i="1" l="1"/>
  <c r="K23" i="1"/>
  <c r="L23" i="1" s="1"/>
  <c r="N23" i="1" s="1"/>
  <c r="P1533" i="1" l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P1534" i="1" l="1"/>
  <c r="K24" i="1"/>
  <c r="L24" i="1" s="1"/>
  <c r="N24" i="1" s="1"/>
  <c r="P1535" i="1" l="1"/>
  <c r="K25" i="1"/>
  <c r="L25" i="1" s="1"/>
  <c r="N25" i="1" s="1"/>
  <c r="K82" i="3"/>
  <c r="L82" i="3" s="1"/>
  <c r="H82" i="3"/>
  <c r="F82" i="3"/>
  <c r="D82" i="3"/>
  <c r="G78" i="3"/>
  <c r="I78" i="3" s="1"/>
  <c r="E78" i="3"/>
  <c r="G76" i="3"/>
  <c r="I76" i="3" s="1"/>
  <c r="E76" i="3"/>
  <c r="G75" i="3"/>
  <c r="I75" i="3" s="1"/>
  <c r="E75" i="3"/>
  <c r="D77" i="3" s="1"/>
  <c r="G73" i="3"/>
  <c r="I73" i="3" s="1"/>
  <c r="E73" i="3"/>
  <c r="G72" i="3"/>
  <c r="I72" i="3" s="1"/>
  <c r="E72" i="3"/>
  <c r="D74" i="3" s="1"/>
  <c r="G70" i="3"/>
  <c r="I70" i="3" s="1"/>
  <c r="E70" i="3"/>
  <c r="G69" i="3"/>
  <c r="I69" i="3" s="1"/>
  <c r="E69" i="3"/>
  <c r="D71" i="3" s="1"/>
  <c r="G67" i="3"/>
  <c r="I67" i="3" s="1"/>
  <c r="E67" i="3"/>
  <c r="G66" i="3"/>
  <c r="I66" i="3" s="1"/>
  <c r="E66" i="3"/>
  <c r="D68" i="3" s="1"/>
  <c r="G64" i="3"/>
  <c r="I64" i="3" s="1"/>
  <c r="E64" i="3"/>
  <c r="G63" i="3"/>
  <c r="I63" i="3" s="1"/>
  <c r="E63" i="3"/>
  <c r="D65" i="3" s="1"/>
  <c r="G61" i="3"/>
  <c r="I61" i="3" s="1"/>
  <c r="E61" i="3"/>
  <c r="C59" i="3"/>
  <c r="E59" i="3" s="1"/>
  <c r="G58" i="3"/>
  <c r="I58" i="3" s="1"/>
  <c r="E58" i="3"/>
  <c r="G56" i="3"/>
  <c r="I56" i="3" s="1"/>
  <c r="E56" i="3"/>
  <c r="O51" i="3"/>
  <c r="N52" i="3" s="1"/>
  <c r="M51" i="3"/>
  <c r="L52" i="3" s="1"/>
  <c r="O48" i="3"/>
  <c r="N49" i="3" s="1"/>
  <c r="M48" i="3"/>
  <c r="L49" i="3" s="1"/>
  <c r="A47" i="3"/>
  <c r="K46" i="3"/>
  <c r="O45" i="3"/>
  <c r="M45" i="3"/>
  <c r="O44" i="3"/>
  <c r="O46" i="3" s="1"/>
  <c r="M44" i="3"/>
  <c r="M46" i="3" s="1"/>
  <c r="K42" i="3"/>
  <c r="O41" i="3"/>
  <c r="M41" i="3"/>
  <c r="O40" i="3"/>
  <c r="M40" i="3"/>
  <c r="A40" i="3"/>
  <c r="K38" i="3"/>
  <c r="O37" i="3"/>
  <c r="M37" i="3"/>
  <c r="O36" i="3"/>
  <c r="M36" i="3"/>
  <c r="O35" i="3"/>
  <c r="M35" i="3"/>
  <c r="O34" i="3"/>
  <c r="M34" i="3"/>
  <c r="O33" i="3"/>
  <c r="M33" i="3"/>
  <c r="O32" i="3"/>
  <c r="M32" i="3"/>
  <c r="O31" i="3"/>
  <c r="M31" i="3"/>
  <c r="A28" i="3"/>
  <c r="H23" i="3"/>
  <c r="M9" i="3"/>
  <c r="L9" i="3"/>
  <c r="P1536" i="1" l="1"/>
  <c r="D60" i="3"/>
  <c r="F77" i="3"/>
  <c r="L46" i="3"/>
  <c r="N46" i="3"/>
  <c r="M38" i="3"/>
  <c r="L38" i="3" s="1"/>
  <c r="F68" i="3"/>
  <c r="F74" i="3"/>
  <c r="O38" i="3"/>
  <c r="N38" i="3" s="1"/>
  <c r="O42" i="3"/>
  <c r="N42" i="3" s="1"/>
  <c r="F65" i="3"/>
  <c r="M42" i="3"/>
  <c r="L42" i="3" s="1"/>
  <c r="F71" i="3"/>
  <c r="E80" i="3"/>
  <c r="E84" i="3" s="1"/>
  <c r="K26" i="1"/>
  <c r="L26" i="1" s="1"/>
  <c r="N26" i="1" s="1"/>
  <c r="C80" i="3"/>
  <c r="G59" i="3"/>
  <c r="P1537" i="1" l="1"/>
  <c r="D80" i="3"/>
  <c r="K27" i="1"/>
  <c r="L27" i="1" s="1"/>
  <c r="N27" i="1" s="1"/>
  <c r="I59" i="3"/>
  <c r="I80" i="3" s="1"/>
  <c r="G80" i="3"/>
  <c r="F60" i="3"/>
  <c r="K80" i="3"/>
  <c r="C84" i="3"/>
  <c r="D84" i="3"/>
  <c r="P1538" i="1" l="1"/>
  <c r="K28" i="1"/>
  <c r="L28" i="1" s="1"/>
  <c r="N28" i="1" s="1"/>
  <c r="F80" i="3"/>
  <c r="G84" i="3"/>
  <c r="F84" i="3" s="1"/>
  <c r="K84" i="3"/>
  <c r="L80" i="3"/>
  <c r="H80" i="3"/>
  <c r="I84" i="3"/>
  <c r="H84" i="3" s="1"/>
  <c r="P1539" i="1" l="1"/>
  <c r="K29" i="1"/>
  <c r="L29" i="1" s="1"/>
  <c r="N29" i="1" s="1"/>
  <c r="J84" i="3"/>
  <c r="L84" i="3"/>
  <c r="P1540" i="1" l="1"/>
  <c r="K30" i="1"/>
  <c r="L30" i="1" s="1"/>
  <c r="N30" i="1" s="1"/>
  <c r="P1541" i="1" l="1"/>
  <c r="K31" i="1"/>
  <c r="L31" i="1" s="1"/>
  <c r="N31" i="1" s="1"/>
  <c r="P1542" i="1" l="1"/>
  <c r="K32" i="1"/>
  <c r="L32" i="1" s="1"/>
  <c r="N32" i="1" s="1"/>
  <c r="K212" i="1"/>
  <c r="L212" i="1" s="1"/>
  <c r="N212" i="1" s="1"/>
  <c r="P1543" i="1" l="1"/>
  <c r="B1479" i="1"/>
  <c r="K33" i="1"/>
  <c r="L33" i="1" s="1"/>
  <c r="N33" i="1" s="1"/>
  <c r="K213" i="1"/>
  <c r="L213" i="1" s="1"/>
  <c r="N213" i="1" s="1"/>
  <c r="B1480" i="1" l="1"/>
  <c r="P1544" i="1"/>
  <c r="Q1479" i="1"/>
  <c r="R1479" i="1"/>
  <c r="K34" i="1"/>
  <c r="L34" i="1" s="1"/>
  <c r="N34" i="1" s="1"/>
  <c r="K214" i="1"/>
  <c r="L214" i="1" s="1"/>
  <c r="N214" i="1" s="1"/>
  <c r="P1545" i="1" l="1"/>
  <c r="K35" i="1"/>
  <c r="L35" i="1" s="1"/>
  <c r="N35" i="1" s="1"/>
  <c r="K215" i="1"/>
  <c r="L215" i="1" s="1"/>
  <c r="N215" i="1" s="1"/>
  <c r="P1546" i="1" l="1"/>
  <c r="K20" i="1"/>
  <c r="L20" i="1" s="1"/>
  <c r="H20" i="1"/>
  <c r="M20" i="1"/>
  <c r="K36" i="1"/>
  <c r="L36" i="1" s="1"/>
  <c r="N36" i="1" s="1"/>
  <c r="K216" i="1"/>
  <c r="L216" i="1" s="1"/>
  <c r="N216" i="1" s="1"/>
  <c r="P1548" i="1" l="1"/>
  <c r="P1547" i="1"/>
  <c r="N20" i="1"/>
  <c r="K21" i="1"/>
  <c r="L21" i="1" s="1"/>
  <c r="N21" i="1" s="1"/>
  <c r="K65" i="1"/>
  <c r="L65" i="1" s="1"/>
  <c r="N65" i="1" s="1"/>
  <c r="K217" i="1"/>
  <c r="L217" i="1" s="1"/>
  <c r="N217" i="1" s="1"/>
  <c r="K22" i="1" l="1"/>
  <c r="L22" i="1" s="1"/>
  <c r="N22" i="1" s="1"/>
  <c r="K66" i="1"/>
  <c r="L66" i="1" s="1"/>
  <c r="N66" i="1" s="1"/>
  <c r="K218" i="1"/>
  <c r="L218" i="1" s="1"/>
  <c r="N218" i="1" s="1"/>
  <c r="K67" i="1" l="1"/>
  <c r="L67" i="1" s="1"/>
  <c r="N67" i="1" s="1"/>
  <c r="K219" i="1"/>
  <c r="L219" i="1" s="1"/>
  <c r="N219" i="1" s="1"/>
  <c r="K68" i="1" l="1"/>
  <c r="L68" i="1" s="1"/>
  <c r="N68" i="1" s="1"/>
  <c r="K220" i="1"/>
  <c r="L220" i="1" s="1"/>
  <c r="N220" i="1" s="1"/>
  <c r="K69" i="1" l="1"/>
  <c r="L69" i="1" s="1"/>
  <c r="N69" i="1" s="1"/>
  <c r="K221" i="1"/>
  <c r="L221" i="1" s="1"/>
  <c r="N221" i="1" s="1"/>
  <c r="K70" i="1" l="1"/>
  <c r="L70" i="1" s="1"/>
  <c r="N70" i="1" s="1"/>
  <c r="K222" i="1"/>
  <c r="L222" i="1" s="1"/>
  <c r="N222" i="1" s="1"/>
  <c r="K71" i="1" l="1"/>
  <c r="L71" i="1" s="1"/>
  <c r="N71" i="1" s="1"/>
  <c r="K223" i="1"/>
  <c r="L223" i="1" s="1"/>
  <c r="N223" i="1" s="1"/>
  <c r="K224" i="1" l="1"/>
  <c r="L224" i="1" s="1"/>
  <c r="N224" i="1" s="1"/>
  <c r="K225" i="1" l="1"/>
  <c r="L225" i="1" s="1"/>
  <c r="N225" i="1" s="1"/>
  <c r="K226" i="1" l="1"/>
  <c r="L226" i="1" s="1"/>
  <c r="N226" i="1" s="1"/>
  <c r="K227" i="1" l="1"/>
  <c r="L227" i="1" s="1"/>
  <c r="N227" i="1" s="1"/>
  <c r="K228" i="1" l="1"/>
  <c r="L228" i="1" s="1"/>
  <c r="N228" i="1" s="1"/>
  <c r="K229" i="1" l="1"/>
  <c r="L229" i="1" s="1"/>
  <c r="N229" i="1" s="1"/>
  <c r="K230" i="1" l="1"/>
  <c r="L230" i="1" s="1"/>
  <c r="N230" i="1" s="1"/>
  <c r="K231" i="1" l="1"/>
  <c r="L231" i="1" s="1"/>
  <c r="N231" i="1" s="1"/>
  <c r="K232" i="1" l="1"/>
  <c r="L232" i="1" s="1"/>
  <c r="N232" i="1" s="1"/>
  <c r="K233" i="1" l="1"/>
  <c r="L233" i="1" s="1"/>
  <c r="N233" i="1" s="1"/>
  <c r="K234" i="1" l="1"/>
  <c r="L234" i="1" s="1"/>
  <c r="N234" i="1" s="1"/>
  <c r="K235" i="1" l="1"/>
  <c r="L235" i="1" s="1"/>
  <c r="N235" i="1" s="1"/>
  <c r="K236" i="1" l="1"/>
  <c r="L236" i="1" s="1"/>
  <c r="N236" i="1" s="1"/>
  <c r="K237" i="1" l="1"/>
  <c r="L237" i="1" s="1"/>
  <c r="N237" i="1" s="1"/>
  <c r="K238" i="1" l="1"/>
  <c r="L238" i="1" s="1"/>
  <c r="N238" i="1" s="1"/>
  <c r="K239" i="1" l="1"/>
  <c r="L239" i="1" s="1"/>
  <c r="N239" i="1" s="1"/>
  <c r="K240" i="1" l="1"/>
  <c r="L240" i="1" s="1"/>
  <c r="N240" i="1" s="1"/>
  <c r="K241" i="1" l="1"/>
  <c r="L241" i="1" s="1"/>
  <c r="N241" i="1" s="1"/>
  <c r="K242" i="1" l="1"/>
  <c r="L242" i="1" s="1"/>
  <c r="N242" i="1" s="1"/>
  <c r="K243" i="1" l="1"/>
  <c r="L243" i="1" s="1"/>
  <c r="N243" i="1" s="1"/>
  <c r="K244" i="1" l="1"/>
  <c r="L244" i="1" s="1"/>
  <c r="N244" i="1" s="1"/>
  <c r="K245" i="1" l="1"/>
  <c r="L245" i="1" s="1"/>
  <c r="N245" i="1" s="1"/>
  <c r="K246" i="1" l="1"/>
  <c r="L246" i="1" s="1"/>
  <c r="N246" i="1" s="1"/>
  <c r="K247" i="1" l="1"/>
  <c r="L247" i="1" s="1"/>
  <c r="N247" i="1" s="1"/>
  <c r="K248" i="1" l="1"/>
  <c r="L248" i="1" s="1"/>
  <c r="N248" i="1" s="1"/>
  <c r="K249" i="1" l="1"/>
  <c r="L249" i="1" s="1"/>
  <c r="N249" i="1" s="1"/>
  <c r="K250" i="1" l="1"/>
  <c r="L250" i="1" s="1"/>
  <c r="N250" i="1" s="1"/>
  <c r="K251" i="1" l="1"/>
  <c r="L251" i="1" s="1"/>
  <c r="N251" i="1" s="1"/>
  <c r="K252" i="1" l="1"/>
  <c r="L252" i="1" s="1"/>
  <c r="N252" i="1" s="1"/>
  <c r="K253" i="1" l="1"/>
  <c r="L253" i="1" s="1"/>
  <c r="N253" i="1" s="1"/>
  <c r="K254" i="1" l="1"/>
  <c r="L254" i="1" s="1"/>
  <c r="N254" i="1" s="1"/>
  <c r="K255" i="1" l="1"/>
  <c r="L255" i="1" s="1"/>
  <c r="N255" i="1" s="1"/>
  <c r="K256" i="1" l="1"/>
  <c r="L256" i="1" s="1"/>
  <c r="N256" i="1" s="1"/>
  <c r="K257" i="1" l="1"/>
  <c r="L257" i="1" s="1"/>
  <c r="N257" i="1" s="1"/>
  <c r="K258" i="1" l="1"/>
  <c r="L258" i="1" s="1"/>
  <c r="N258" i="1" s="1"/>
  <c r="K259" i="1" l="1"/>
  <c r="L259" i="1" s="1"/>
  <c r="N259" i="1" s="1"/>
  <c r="K260" i="1" l="1"/>
  <c r="L260" i="1" s="1"/>
  <c r="N260" i="1" s="1"/>
  <c r="K261" i="1" l="1"/>
  <c r="L261" i="1" s="1"/>
  <c r="N261" i="1" s="1"/>
  <c r="K262" i="1" l="1"/>
  <c r="L262" i="1" s="1"/>
  <c r="N262" i="1" s="1"/>
  <c r="K263" i="1" l="1"/>
  <c r="L263" i="1" s="1"/>
  <c r="N263" i="1" s="1"/>
  <c r="K264" i="1" l="1"/>
  <c r="L264" i="1" s="1"/>
  <c r="N264" i="1" s="1"/>
  <c r="K265" i="1" l="1"/>
  <c r="L265" i="1" s="1"/>
  <c r="N265" i="1" s="1"/>
  <c r="K266" i="1" l="1"/>
  <c r="L266" i="1" s="1"/>
  <c r="N266" i="1" s="1"/>
  <c r="K267" i="1" l="1"/>
  <c r="L267" i="1" s="1"/>
  <c r="N267" i="1" s="1"/>
  <c r="K268" i="1" l="1"/>
  <c r="L268" i="1" s="1"/>
  <c r="N268" i="1" s="1"/>
  <c r="L269" i="1" l="1"/>
  <c r="N269" i="1" s="1"/>
  <c r="L270" i="1" l="1"/>
  <c r="N270" i="1" s="1"/>
  <c r="K271" i="1" l="1"/>
  <c r="L271" i="1" s="1"/>
  <c r="N271" i="1" s="1"/>
  <c r="K272" i="1" l="1"/>
  <c r="L272" i="1" s="1"/>
  <c r="N272" i="1" s="1"/>
  <c r="K273" i="1" l="1"/>
  <c r="L273" i="1" s="1"/>
  <c r="N273" i="1" s="1"/>
  <c r="K274" i="1" l="1"/>
  <c r="L274" i="1" s="1"/>
  <c r="N274" i="1" s="1"/>
  <c r="K275" i="1" l="1"/>
  <c r="L275" i="1" s="1"/>
  <c r="N275" i="1" s="1"/>
  <c r="K276" i="1" l="1"/>
  <c r="L276" i="1" s="1"/>
  <c r="N276" i="1" s="1"/>
  <c r="K277" i="1" l="1"/>
  <c r="L277" i="1" s="1"/>
  <c r="N277" i="1" s="1"/>
  <c r="K278" i="1" l="1"/>
  <c r="L278" i="1" s="1"/>
  <c r="N278" i="1" s="1"/>
  <c r="K279" i="1" l="1"/>
  <c r="L279" i="1" s="1"/>
  <c r="N279" i="1" s="1"/>
  <c r="K280" i="1" l="1"/>
  <c r="L280" i="1" s="1"/>
  <c r="N280" i="1" s="1"/>
  <c r="K281" i="1" l="1"/>
  <c r="L281" i="1" s="1"/>
  <c r="N281" i="1" s="1"/>
  <c r="K282" i="1" l="1"/>
  <c r="L282" i="1" s="1"/>
  <c r="N282" i="1" s="1"/>
  <c r="K283" i="1" l="1"/>
  <c r="L283" i="1" s="1"/>
  <c r="N283" i="1" s="1"/>
  <c r="K284" i="1" l="1"/>
  <c r="L284" i="1" s="1"/>
  <c r="N284" i="1" s="1"/>
  <c r="K285" i="1" l="1"/>
  <c r="L285" i="1" s="1"/>
  <c r="N285" i="1" s="1"/>
  <c r="K286" i="1" l="1"/>
  <c r="L286" i="1" s="1"/>
  <c r="N286" i="1" s="1"/>
  <c r="K287" i="1" l="1"/>
  <c r="L287" i="1" s="1"/>
  <c r="N287" i="1" s="1"/>
  <c r="K288" i="1" l="1"/>
  <c r="L288" i="1" s="1"/>
  <c r="N288" i="1" s="1"/>
  <c r="K289" i="1" l="1"/>
  <c r="L289" i="1" s="1"/>
  <c r="N289" i="1" s="1"/>
  <c r="K290" i="1" l="1"/>
  <c r="L290" i="1" s="1"/>
  <c r="N290" i="1" s="1"/>
  <c r="K291" i="1" l="1"/>
  <c r="L291" i="1" s="1"/>
  <c r="N291" i="1" s="1"/>
  <c r="K292" i="1" l="1"/>
  <c r="L292" i="1" s="1"/>
  <c r="N292" i="1" s="1"/>
  <c r="K293" i="1" l="1"/>
  <c r="L293" i="1" s="1"/>
  <c r="N293" i="1" s="1"/>
  <c r="K294" i="1" l="1"/>
  <c r="L294" i="1" s="1"/>
  <c r="N294" i="1" s="1"/>
  <c r="K295" i="1" l="1"/>
  <c r="L295" i="1" s="1"/>
  <c r="N295" i="1" s="1"/>
  <c r="K296" i="1" l="1"/>
  <c r="L296" i="1" s="1"/>
  <c r="N296" i="1" s="1"/>
  <c r="K297" i="1" l="1"/>
  <c r="L297" i="1" s="1"/>
  <c r="N297" i="1" s="1"/>
  <c r="K298" i="1" l="1"/>
  <c r="L298" i="1" s="1"/>
  <c r="N298" i="1" s="1"/>
  <c r="K299" i="1" l="1"/>
  <c r="L299" i="1" s="1"/>
  <c r="N299" i="1" s="1"/>
  <c r="K300" i="1" l="1"/>
  <c r="L300" i="1" s="1"/>
  <c r="N300" i="1" s="1"/>
  <c r="K301" i="1" l="1"/>
  <c r="L301" i="1" s="1"/>
  <c r="N301" i="1" s="1"/>
  <c r="K302" i="1" l="1"/>
  <c r="L302" i="1" s="1"/>
  <c r="N302" i="1" s="1"/>
  <c r="K303" i="1" l="1"/>
  <c r="L303" i="1" s="1"/>
  <c r="N303" i="1" s="1"/>
  <c r="K304" i="1" l="1"/>
  <c r="L304" i="1" s="1"/>
  <c r="N304" i="1" s="1"/>
  <c r="K305" i="1" l="1"/>
  <c r="L305" i="1" s="1"/>
  <c r="N305" i="1" s="1"/>
  <c r="K306" i="1" l="1"/>
  <c r="L306" i="1" s="1"/>
  <c r="N306" i="1" s="1"/>
  <c r="K307" i="1" l="1"/>
  <c r="L307" i="1" s="1"/>
  <c r="N307" i="1" s="1"/>
  <c r="K308" i="1" l="1"/>
  <c r="L308" i="1" s="1"/>
  <c r="N308" i="1" s="1"/>
  <c r="K309" i="1" l="1"/>
  <c r="L309" i="1" s="1"/>
  <c r="N309" i="1" s="1"/>
  <c r="K310" i="1" l="1"/>
  <c r="L310" i="1" s="1"/>
  <c r="N310" i="1" s="1"/>
  <c r="K311" i="1" l="1"/>
  <c r="L311" i="1" s="1"/>
  <c r="N311" i="1" s="1"/>
  <c r="K312" i="1" l="1"/>
  <c r="L312" i="1" s="1"/>
  <c r="N312" i="1" s="1"/>
  <c r="K313" i="1" l="1"/>
  <c r="L313" i="1" s="1"/>
  <c r="N313" i="1" s="1"/>
  <c r="K314" i="1" l="1"/>
  <c r="L314" i="1" s="1"/>
  <c r="N314" i="1" s="1"/>
  <c r="K315" i="1" l="1"/>
  <c r="L315" i="1" s="1"/>
  <c r="N315" i="1" s="1"/>
  <c r="K316" i="1" l="1"/>
  <c r="L316" i="1" s="1"/>
  <c r="N316" i="1" s="1"/>
  <c r="K317" i="1" l="1"/>
  <c r="L317" i="1" s="1"/>
  <c r="N317" i="1" s="1"/>
  <c r="K318" i="1" l="1"/>
  <c r="L318" i="1" s="1"/>
  <c r="N318" i="1" s="1"/>
  <c r="K319" i="1" l="1"/>
  <c r="L319" i="1" s="1"/>
  <c r="N319" i="1" s="1"/>
  <c r="K320" i="1" l="1"/>
  <c r="L320" i="1" s="1"/>
  <c r="N320" i="1" s="1"/>
  <c r="K321" i="1" l="1"/>
  <c r="L321" i="1" s="1"/>
  <c r="N321" i="1" s="1"/>
  <c r="K322" i="1" l="1"/>
  <c r="L322" i="1" s="1"/>
  <c r="N322" i="1" s="1"/>
  <c r="K323" i="1" l="1"/>
  <c r="L323" i="1" s="1"/>
  <c r="N323" i="1" s="1"/>
  <c r="K324" i="1" l="1"/>
  <c r="L324" i="1" s="1"/>
  <c r="N324" i="1" s="1"/>
  <c r="K325" i="1" l="1"/>
  <c r="L325" i="1" s="1"/>
  <c r="N325" i="1" s="1"/>
  <c r="K326" i="1" l="1"/>
  <c r="L326" i="1" s="1"/>
  <c r="N326" i="1" s="1"/>
  <c r="K327" i="1" l="1"/>
  <c r="L327" i="1" s="1"/>
  <c r="N327" i="1" s="1"/>
  <c r="K328" i="1" l="1"/>
  <c r="L328" i="1" s="1"/>
  <c r="N328" i="1" s="1"/>
  <c r="K329" i="1" l="1"/>
  <c r="L329" i="1" s="1"/>
  <c r="N329" i="1" s="1"/>
  <c r="K330" i="1" l="1"/>
  <c r="L330" i="1" s="1"/>
  <c r="N330" i="1" s="1"/>
  <c r="K331" i="1" l="1"/>
  <c r="L331" i="1" s="1"/>
  <c r="N331" i="1" s="1"/>
  <c r="K332" i="1" l="1"/>
  <c r="L332" i="1" s="1"/>
  <c r="N332" i="1" s="1"/>
  <c r="K333" i="1" l="1"/>
  <c r="L333" i="1" s="1"/>
  <c r="N333" i="1" s="1"/>
  <c r="K334" i="1" l="1"/>
  <c r="L334" i="1" s="1"/>
  <c r="N334" i="1" s="1"/>
  <c r="K335" i="1" l="1"/>
  <c r="L335" i="1" s="1"/>
  <c r="N335" i="1" s="1"/>
  <c r="K336" i="1" l="1"/>
  <c r="L336" i="1" s="1"/>
  <c r="N336" i="1" s="1"/>
  <c r="K337" i="1" l="1"/>
  <c r="L337" i="1" s="1"/>
  <c r="N337" i="1" s="1"/>
  <c r="K338" i="1" l="1"/>
  <c r="L338" i="1" s="1"/>
  <c r="N338" i="1" s="1"/>
  <c r="K339" i="1" l="1"/>
  <c r="L339" i="1" s="1"/>
  <c r="N339" i="1" s="1"/>
  <c r="K340" i="1" l="1"/>
  <c r="L340" i="1" s="1"/>
  <c r="N340" i="1" s="1"/>
  <c r="K341" i="1" l="1"/>
  <c r="L341" i="1" s="1"/>
  <c r="N341" i="1" s="1"/>
  <c r="K342" i="1" l="1"/>
  <c r="L342" i="1" s="1"/>
  <c r="N342" i="1" s="1"/>
  <c r="K343" i="1" l="1"/>
  <c r="L343" i="1" s="1"/>
  <c r="N343" i="1" s="1"/>
  <c r="K344" i="1" l="1"/>
  <c r="L344" i="1" s="1"/>
  <c r="N344" i="1" s="1"/>
  <c r="K345" i="1" l="1"/>
  <c r="L345" i="1" s="1"/>
  <c r="N345" i="1" s="1"/>
  <c r="K346" i="1" l="1"/>
  <c r="L346" i="1" s="1"/>
  <c r="N346" i="1" s="1"/>
  <c r="K347" i="1" l="1"/>
  <c r="L347" i="1" s="1"/>
  <c r="N347" i="1" s="1"/>
  <c r="K348" i="1" l="1"/>
  <c r="L348" i="1" s="1"/>
  <c r="N348" i="1" s="1"/>
  <c r="K349" i="1" l="1"/>
  <c r="L349" i="1" s="1"/>
  <c r="N349" i="1" s="1"/>
  <c r="K350" i="1" l="1"/>
  <c r="L350" i="1" s="1"/>
  <c r="N350" i="1" s="1"/>
  <c r="K351" i="1" l="1"/>
  <c r="L351" i="1" s="1"/>
  <c r="N351" i="1" s="1"/>
  <c r="K352" i="1" l="1"/>
  <c r="L352" i="1" s="1"/>
  <c r="N352" i="1" s="1"/>
  <c r="K353" i="1" l="1"/>
  <c r="L353" i="1" s="1"/>
  <c r="N353" i="1" s="1"/>
  <c r="K354" i="1" l="1"/>
  <c r="L354" i="1" s="1"/>
  <c r="N354" i="1" s="1"/>
  <c r="K355" i="1" l="1"/>
  <c r="L355" i="1" s="1"/>
  <c r="N355" i="1" s="1"/>
  <c r="K356" i="1" l="1"/>
  <c r="L356" i="1" s="1"/>
  <c r="N356" i="1" s="1"/>
  <c r="K357" i="1" l="1"/>
  <c r="L357" i="1" s="1"/>
  <c r="N357" i="1" s="1"/>
  <c r="K358" i="1" l="1"/>
  <c r="L358" i="1" s="1"/>
  <c r="N358" i="1" s="1"/>
  <c r="K359" i="1" l="1"/>
  <c r="L359" i="1" l="1"/>
  <c r="N359" i="1" s="1"/>
  <c r="L360" i="1" l="1"/>
  <c r="N360" i="1" s="1"/>
  <c r="L361" i="1" l="1"/>
  <c r="N361" i="1" s="1"/>
  <c r="L362" i="1" l="1"/>
  <c r="N362" i="1" s="1"/>
  <c r="L363" i="1" l="1"/>
  <c r="N363" i="1" s="1"/>
  <c r="L364" i="1" l="1"/>
  <c r="N364" i="1" s="1"/>
  <c r="L365" i="1" l="1"/>
  <c r="N365" i="1" s="1"/>
  <c r="K366" i="1"/>
  <c r="L366" i="1" l="1"/>
  <c r="N366" i="1" s="1"/>
  <c r="K367" i="1"/>
  <c r="L367" i="1" l="1"/>
  <c r="N367" i="1" s="1"/>
  <c r="K368" i="1"/>
  <c r="L368" i="1" l="1"/>
  <c r="N368" i="1" s="1"/>
  <c r="K369" i="1"/>
  <c r="L369" i="1" l="1"/>
  <c r="N369" i="1" s="1"/>
  <c r="K370" i="1"/>
  <c r="L370" i="1" l="1"/>
  <c r="N370" i="1" s="1"/>
  <c r="K371" i="1"/>
  <c r="L371" i="1" l="1"/>
  <c r="N371" i="1" s="1"/>
  <c r="K372" i="1"/>
  <c r="L372" i="1" l="1"/>
  <c r="N372" i="1" s="1"/>
  <c r="K373" i="1"/>
  <c r="L373" i="1" l="1"/>
  <c r="N373" i="1" s="1"/>
  <c r="L374" i="1" l="1"/>
  <c r="N374" i="1" s="1"/>
  <c r="L375" i="1" l="1"/>
  <c r="N375" i="1" s="1"/>
  <c r="L376" i="1" l="1"/>
  <c r="N376" i="1" s="1"/>
  <c r="L377" i="1" l="1"/>
  <c r="N377" i="1" s="1"/>
  <c r="L378" i="1" l="1"/>
  <c r="N378" i="1" s="1"/>
  <c r="L380" i="1"/>
  <c r="N380" i="1" s="1"/>
  <c r="L379" i="1" l="1"/>
  <c r="N379" i="1" s="1"/>
  <c r="L381" i="1"/>
  <c r="N381" i="1" s="1"/>
  <c r="L382" i="1" l="1"/>
  <c r="N382" i="1" s="1"/>
  <c r="L383" i="1" l="1"/>
  <c r="N383" i="1" s="1"/>
  <c r="L384" i="1" l="1"/>
  <c r="N384" i="1" s="1"/>
  <c r="L385" i="1" l="1"/>
  <c r="N385" i="1" s="1"/>
  <c r="L386" i="1" l="1"/>
  <c r="N386" i="1" s="1"/>
  <c r="K388" i="1"/>
  <c r="L388" i="1" s="1"/>
  <c r="N388" i="1" s="1"/>
  <c r="L387" i="1" l="1"/>
  <c r="N387" i="1" s="1"/>
  <c r="K389" i="1"/>
  <c r="L389" i="1" s="1"/>
  <c r="N389" i="1" s="1"/>
  <c r="K390" i="1" l="1"/>
  <c r="L390" i="1" s="1"/>
  <c r="N390" i="1" s="1"/>
  <c r="K391" i="1" l="1"/>
  <c r="L391" i="1" s="1"/>
  <c r="N391" i="1" s="1"/>
  <c r="K392" i="1" l="1"/>
  <c r="L392" i="1" s="1"/>
  <c r="N392" i="1" s="1"/>
  <c r="K394" i="1" l="1"/>
  <c r="L394" i="1" s="1"/>
  <c r="N394" i="1" s="1"/>
  <c r="K393" i="1"/>
  <c r="L393" i="1" s="1"/>
  <c r="N393" i="1" s="1"/>
  <c r="K395" i="1"/>
  <c r="L395" i="1" s="1"/>
  <c r="N395" i="1" s="1"/>
  <c r="K396" i="1" l="1"/>
  <c r="L396" i="1" s="1"/>
  <c r="N396" i="1" s="1"/>
  <c r="K397" i="1" l="1"/>
  <c r="L397" i="1" s="1"/>
  <c r="N397" i="1" s="1"/>
  <c r="K398" i="1" l="1"/>
  <c r="L398" i="1" s="1"/>
  <c r="N398" i="1" s="1"/>
  <c r="K399" i="1" l="1"/>
  <c r="L399" i="1" s="1"/>
  <c r="N399" i="1" s="1"/>
  <c r="K400" i="1" l="1"/>
  <c r="L400" i="1" s="1"/>
  <c r="N400" i="1" s="1"/>
  <c r="K401" i="1" l="1"/>
  <c r="L401" i="1" s="1"/>
  <c r="N401" i="1" s="1"/>
  <c r="K402" i="1" l="1"/>
  <c r="L402" i="1" s="1"/>
  <c r="N402" i="1" s="1"/>
  <c r="K403" i="1" l="1"/>
  <c r="L403" i="1" s="1"/>
  <c r="N403" i="1" s="1"/>
  <c r="K404" i="1" l="1"/>
  <c r="L404" i="1" s="1"/>
  <c r="N404" i="1" s="1"/>
  <c r="K405" i="1" l="1"/>
  <c r="L405" i="1" s="1"/>
  <c r="N405" i="1" s="1"/>
  <c r="K406" i="1" l="1"/>
  <c r="L406" i="1" s="1"/>
  <c r="N406" i="1" s="1"/>
  <c r="K407" i="1" l="1"/>
  <c r="L407" i="1" s="1"/>
  <c r="N407" i="1" s="1"/>
  <c r="K408" i="1" l="1"/>
  <c r="L408" i="1" s="1"/>
  <c r="N408" i="1" s="1"/>
  <c r="K409" i="1" l="1"/>
  <c r="L409" i="1" s="1"/>
  <c r="K410" i="1" l="1"/>
  <c r="L410" i="1" s="1"/>
  <c r="N410" i="1" s="1"/>
  <c r="K411" i="1" l="1"/>
  <c r="L411" i="1" s="1"/>
  <c r="N411" i="1" s="1"/>
  <c r="K412" i="1" l="1"/>
  <c r="L412" i="1" s="1"/>
  <c r="N412" i="1" s="1"/>
  <c r="K413" i="1" l="1"/>
  <c r="L413" i="1" s="1"/>
  <c r="N413" i="1" s="1"/>
  <c r="K414" i="1" l="1"/>
  <c r="L414" i="1" s="1"/>
  <c r="N414" i="1" s="1"/>
  <c r="K415" i="1" l="1"/>
  <c r="L415" i="1" s="1"/>
  <c r="N415" i="1" s="1"/>
  <c r="K416" i="1" l="1"/>
  <c r="L416" i="1" s="1"/>
  <c r="N416" i="1" s="1"/>
  <c r="K417" i="1" l="1"/>
  <c r="L417" i="1" s="1"/>
  <c r="N417" i="1" s="1"/>
  <c r="K418" i="1" l="1"/>
  <c r="L418" i="1" s="1"/>
  <c r="N418" i="1" s="1"/>
  <c r="K419" i="1" l="1"/>
  <c r="L419" i="1" s="1"/>
  <c r="N419" i="1" s="1"/>
  <c r="K420" i="1" l="1"/>
  <c r="L420" i="1" s="1"/>
  <c r="N420" i="1" s="1"/>
  <c r="K421" i="1" l="1"/>
  <c r="L421" i="1" s="1"/>
  <c r="N421" i="1" s="1"/>
  <c r="K422" i="1" l="1"/>
  <c r="L422" i="1" s="1"/>
  <c r="N422" i="1" s="1"/>
  <c r="K423" i="1" l="1"/>
  <c r="L423" i="1" s="1"/>
  <c r="N423" i="1" s="1"/>
  <c r="K424" i="1" l="1"/>
  <c r="L424" i="1" s="1"/>
  <c r="N424" i="1" s="1"/>
  <c r="K425" i="1" l="1"/>
  <c r="L425" i="1" s="1"/>
  <c r="N425" i="1" s="1"/>
  <c r="K426" i="1" l="1"/>
  <c r="L426" i="1" s="1"/>
  <c r="N426" i="1" s="1"/>
  <c r="K427" i="1" l="1"/>
  <c r="L427" i="1" s="1"/>
  <c r="N427" i="1" s="1"/>
  <c r="K428" i="1" l="1"/>
  <c r="L428" i="1" s="1"/>
  <c r="N428" i="1" s="1"/>
  <c r="K429" i="1" l="1"/>
  <c r="L429" i="1" s="1"/>
  <c r="N429" i="1" s="1"/>
  <c r="K430" i="1" l="1"/>
  <c r="L430" i="1" s="1"/>
  <c r="N430" i="1" s="1"/>
  <c r="K431" i="1" l="1"/>
  <c r="L431" i="1" s="1"/>
  <c r="N431" i="1" s="1"/>
  <c r="K432" i="1" l="1"/>
  <c r="L432" i="1" s="1"/>
  <c r="N432" i="1" s="1"/>
  <c r="K433" i="1" l="1"/>
  <c r="L433" i="1" s="1"/>
  <c r="N433" i="1" s="1"/>
  <c r="K434" i="1" l="1"/>
  <c r="L434" i="1" s="1"/>
  <c r="N434" i="1" s="1"/>
  <c r="K435" i="1" l="1"/>
  <c r="L435" i="1" s="1"/>
  <c r="N435" i="1" s="1"/>
  <c r="K436" i="1" l="1"/>
  <c r="L436" i="1" s="1"/>
  <c r="N436" i="1" s="1"/>
  <c r="K437" i="1" l="1"/>
  <c r="L437" i="1" s="1"/>
  <c r="N437" i="1" s="1"/>
  <c r="K438" i="1" l="1"/>
  <c r="L438" i="1" s="1"/>
  <c r="N438" i="1" s="1"/>
  <c r="K439" i="1" l="1"/>
  <c r="L439" i="1" s="1"/>
  <c r="N439" i="1" s="1"/>
  <c r="K440" i="1" l="1"/>
  <c r="L440" i="1" s="1"/>
  <c r="N440" i="1" s="1"/>
  <c r="K441" i="1" l="1"/>
  <c r="L441" i="1" s="1"/>
  <c r="N441" i="1" s="1"/>
  <c r="K442" i="1" l="1"/>
  <c r="L442" i="1" s="1"/>
  <c r="N442" i="1" s="1"/>
  <c r="K443" i="1" l="1"/>
  <c r="L443" i="1" s="1"/>
  <c r="N443" i="1" s="1"/>
  <c r="K444" i="1" l="1"/>
  <c r="L444" i="1" s="1"/>
  <c r="N444" i="1" s="1"/>
  <c r="K445" i="1" l="1"/>
  <c r="L445" i="1" s="1"/>
  <c r="N445" i="1" s="1"/>
  <c r="K446" i="1" l="1"/>
  <c r="L446" i="1" s="1"/>
  <c r="N446" i="1" s="1"/>
  <c r="K447" i="1" l="1"/>
  <c r="L447" i="1" s="1"/>
  <c r="N447" i="1" s="1"/>
  <c r="K448" i="1" l="1"/>
  <c r="L448" i="1" s="1"/>
  <c r="N448" i="1" s="1"/>
  <c r="L449" i="1" l="1"/>
  <c r="N449" i="1" s="1"/>
  <c r="L450" i="1" l="1"/>
  <c r="N450" i="1" s="1"/>
  <c r="L451" i="1" l="1"/>
  <c r="N451" i="1" s="1"/>
  <c r="L452" i="1" l="1"/>
  <c r="N452" i="1" s="1"/>
  <c r="L453" i="1" l="1"/>
  <c r="N453" i="1" s="1"/>
  <c r="L454" i="1" l="1"/>
  <c r="N454" i="1" s="1"/>
  <c r="L455" i="1" l="1"/>
  <c r="N455" i="1" s="1"/>
  <c r="L456" i="1" l="1"/>
  <c r="N456" i="1" s="1"/>
  <c r="L457" i="1" l="1"/>
  <c r="N457" i="1" s="1"/>
  <c r="L458" i="1" l="1"/>
  <c r="N458" i="1" s="1"/>
  <c r="L459" i="1" l="1"/>
  <c r="N459" i="1" s="1"/>
  <c r="L460" i="1" l="1"/>
  <c r="N460" i="1" s="1"/>
  <c r="L461" i="1" l="1"/>
  <c r="N461" i="1" s="1"/>
  <c r="K462" i="1" l="1"/>
  <c r="L462" i="1" s="1"/>
  <c r="N462" i="1" s="1"/>
  <c r="K463" i="1" l="1"/>
  <c r="L463" i="1" s="1"/>
  <c r="N463" i="1" s="1"/>
  <c r="L464" i="1" l="1"/>
  <c r="N464" i="1" s="1"/>
  <c r="L465" i="1" l="1"/>
  <c r="N465" i="1" s="1"/>
  <c r="L466" i="1" l="1"/>
  <c r="N466" i="1" s="1"/>
  <c r="L467" i="1" l="1"/>
  <c r="N467" i="1" s="1"/>
  <c r="L468" i="1" l="1"/>
  <c r="N468" i="1" s="1"/>
  <c r="K469" i="1" l="1"/>
  <c r="L469" i="1" s="1"/>
  <c r="N469" i="1" s="1"/>
  <c r="K470" i="1" l="1"/>
  <c r="L470" i="1" s="1"/>
  <c r="N470" i="1" s="1"/>
  <c r="K471" i="1" l="1"/>
  <c r="L471" i="1" s="1"/>
  <c r="N471" i="1" s="1"/>
  <c r="K472" i="1" l="1"/>
  <c r="L472" i="1" s="1"/>
  <c r="N472" i="1" s="1"/>
  <c r="K473" i="1" l="1"/>
  <c r="L473" i="1" s="1"/>
  <c r="N473" i="1" s="1"/>
  <c r="K474" i="1" l="1"/>
  <c r="L474" i="1" s="1"/>
  <c r="N474" i="1" s="1"/>
  <c r="K475" i="1" l="1"/>
  <c r="L475" i="1" s="1"/>
  <c r="N475" i="1" s="1"/>
  <c r="K476" i="1" l="1"/>
  <c r="L476" i="1" s="1"/>
  <c r="N476" i="1" s="1"/>
  <c r="K477" i="1" l="1"/>
  <c r="L477" i="1" s="1"/>
  <c r="N477" i="1" s="1"/>
  <c r="K478" i="1" l="1"/>
  <c r="L478" i="1" s="1"/>
  <c r="N478" i="1" s="1"/>
  <c r="K479" i="1" l="1"/>
  <c r="L479" i="1" s="1"/>
  <c r="N479" i="1" s="1"/>
  <c r="K480" i="1" l="1"/>
  <c r="L480" i="1" s="1"/>
  <c r="N480" i="1" s="1"/>
  <c r="K481" i="1" l="1"/>
  <c r="L481" i="1" s="1"/>
  <c r="N481" i="1" s="1"/>
  <c r="K482" i="1" l="1"/>
  <c r="L482" i="1" s="1"/>
  <c r="N482" i="1" s="1"/>
  <c r="K483" i="1" l="1"/>
  <c r="L483" i="1" s="1"/>
  <c r="N483" i="1" s="1"/>
  <c r="K484" i="1" l="1"/>
  <c r="L484" i="1" s="1"/>
  <c r="N484" i="1" s="1"/>
  <c r="K485" i="1" l="1"/>
  <c r="L485" i="1" s="1"/>
  <c r="N485" i="1" s="1"/>
  <c r="K486" i="1" l="1"/>
  <c r="L486" i="1" s="1"/>
  <c r="N486" i="1" s="1"/>
  <c r="K487" i="1" l="1"/>
  <c r="L487" i="1" s="1"/>
  <c r="N487" i="1" s="1"/>
  <c r="L488" i="1" l="1"/>
  <c r="N488" i="1" s="1"/>
  <c r="L489" i="1" l="1"/>
  <c r="N489" i="1" s="1"/>
  <c r="L490" i="1" l="1"/>
  <c r="N490" i="1" s="1"/>
  <c r="L491" i="1" l="1"/>
  <c r="N491" i="1" s="1"/>
  <c r="K492" i="1" l="1"/>
  <c r="L492" i="1" s="1"/>
  <c r="N492" i="1" s="1"/>
  <c r="K493" i="1" l="1"/>
  <c r="L493" i="1" s="1"/>
  <c r="N493" i="1" s="1"/>
  <c r="K494" i="1" l="1"/>
  <c r="L494" i="1" s="1"/>
  <c r="N494" i="1" s="1"/>
  <c r="K495" i="1" l="1"/>
  <c r="L495" i="1" s="1"/>
  <c r="N495" i="1" s="1"/>
  <c r="K496" i="1" l="1"/>
  <c r="L496" i="1" s="1"/>
  <c r="N496" i="1" s="1"/>
  <c r="K497" i="1" l="1"/>
  <c r="L497" i="1" s="1"/>
  <c r="N497" i="1" s="1"/>
  <c r="K498" i="1" l="1"/>
  <c r="L498" i="1" s="1"/>
  <c r="N498" i="1" s="1"/>
  <c r="K499" i="1" l="1"/>
  <c r="L499" i="1" s="1"/>
  <c r="N499" i="1" s="1"/>
  <c r="K500" i="1" l="1"/>
  <c r="L500" i="1" s="1"/>
  <c r="N500" i="1" s="1"/>
  <c r="K501" i="1" l="1"/>
  <c r="L501" i="1" s="1"/>
  <c r="N501" i="1" s="1"/>
  <c r="K502" i="1" l="1"/>
  <c r="L502" i="1" s="1"/>
  <c r="N502" i="1" s="1"/>
  <c r="K503" i="1" l="1"/>
  <c r="L503" i="1" s="1"/>
  <c r="N503" i="1" s="1"/>
  <c r="K504" i="1" l="1"/>
  <c r="L504" i="1" s="1"/>
  <c r="N504" i="1" s="1"/>
  <c r="K505" i="1" l="1"/>
  <c r="L505" i="1" s="1"/>
  <c r="N505" i="1" s="1"/>
  <c r="K506" i="1" l="1"/>
  <c r="L506" i="1" s="1"/>
  <c r="N506" i="1" s="1"/>
  <c r="K507" i="1" l="1"/>
  <c r="L507" i="1" s="1"/>
  <c r="N507" i="1" s="1"/>
  <c r="K508" i="1" l="1"/>
  <c r="L508" i="1" s="1"/>
  <c r="N508" i="1" s="1"/>
  <c r="K509" i="1" l="1"/>
  <c r="L509" i="1" s="1"/>
  <c r="N509" i="1" s="1"/>
  <c r="K510" i="1" l="1"/>
  <c r="L510" i="1" s="1"/>
  <c r="N510" i="1" s="1"/>
  <c r="K511" i="1" l="1"/>
  <c r="L511" i="1" s="1"/>
  <c r="N511" i="1" s="1"/>
  <c r="K512" i="1" l="1"/>
  <c r="L512" i="1" s="1"/>
  <c r="N512" i="1" s="1"/>
  <c r="K513" i="1" l="1"/>
  <c r="L513" i="1" s="1"/>
  <c r="N513" i="1" s="1"/>
  <c r="K514" i="1" l="1"/>
  <c r="L514" i="1" s="1"/>
  <c r="N514" i="1" s="1"/>
  <c r="K515" i="1" l="1"/>
  <c r="L515" i="1" s="1"/>
  <c r="N515" i="1" s="1"/>
  <c r="K516" i="1" l="1"/>
  <c r="L516" i="1" s="1"/>
  <c r="N516" i="1" s="1"/>
  <c r="K517" i="1" l="1"/>
  <c r="L517" i="1" s="1"/>
  <c r="N517" i="1" s="1"/>
  <c r="K518" i="1" l="1"/>
  <c r="L518" i="1" s="1"/>
  <c r="N518" i="1" s="1"/>
  <c r="K519" i="1" l="1"/>
  <c r="L519" i="1" s="1"/>
  <c r="N519" i="1" s="1"/>
  <c r="K520" i="1" l="1"/>
  <c r="L520" i="1" s="1"/>
  <c r="N520" i="1" s="1"/>
  <c r="K521" i="1" l="1"/>
  <c r="L521" i="1" s="1"/>
  <c r="N521" i="1" s="1"/>
  <c r="K522" i="1" l="1"/>
  <c r="L522" i="1" s="1"/>
  <c r="N522" i="1" s="1"/>
  <c r="K523" i="1" l="1"/>
  <c r="L523" i="1" s="1"/>
  <c r="N523" i="1" s="1"/>
  <c r="K524" i="1" l="1"/>
  <c r="L524" i="1" s="1"/>
  <c r="N524" i="1" s="1"/>
  <c r="K525" i="1" l="1"/>
  <c r="L525" i="1" s="1"/>
  <c r="N525" i="1" s="1"/>
  <c r="K526" i="1" l="1"/>
  <c r="L526" i="1" s="1"/>
  <c r="N526" i="1" s="1"/>
  <c r="K527" i="1" l="1"/>
  <c r="L527" i="1" s="1"/>
  <c r="N527" i="1" s="1"/>
  <c r="K528" i="1" l="1"/>
  <c r="L528" i="1" s="1"/>
  <c r="N528" i="1" s="1"/>
  <c r="K529" i="1" l="1"/>
  <c r="L529" i="1" s="1"/>
  <c r="N529" i="1" s="1"/>
  <c r="K530" i="1" l="1"/>
  <c r="L530" i="1" s="1"/>
  <c r="N530" i="1" s="1"/>
  <c r="K531" i="1" l="1"/>
  <c r="L531" i="1" s="1"/>
  <c r="N531" i="1" s="1"/>
  <c r="K532" i="1" l="1"/>
  <c r="L532" i="1" s="1"/>
  <c r="N532" i="1" s="1"/>
  <c r="K533" i="1" l="1"/>
  <c r="L533" i="1" s="1"/>
  <c r="N533" i="1" s="1"/>
  <c r="K534" i="1" l="1"/>
  <c r="L534" i="1" s="1"/>
  <c r="N534" i="1" s="1"/>
  <c r="K535" i="1" l="1"/>
  <c r="L535" i="1" s="1"/>
  <c r="N535" i="1" s="1"/>
  <c r="K536" i="1" l="1"/>
  <c r="L536" i="1" s="1"/>
  <c r="N536" i="1" s="1"/>
  <c r="K537" i="1" l="1"/>
  <c r="L537" i="1" s="1"/>
  <c r="N537" i="1" s="1"/>
  <c r="K538" i="1" l="1"/>
  <c r="L538" i="1" s="1"/>
  <c r="N538" i="1" s="1"/>
  <c r="K539" i="1" l="1"/>
  <c r="L539" i="1" s="1"/>
  <c r="N539" i="1" s="1"/>
  <c r="K540" i="1" l="1"/>
  <c r="L540" i="1" s="1"/>
  <c r="N540" i="1" s="1"/>
  <c r="K541" i="1" l="1"/>
  <c r="L541" i="1" s="1"/>
  <c r="N541" i="1" s="1"/>
  <c r="K542" i="1" l="1"/>
  <c r="L542" i="1" s="1"/>
  <c r="N542" i="1" s="1"/>
  <c r="K543" i="1" l="1"/>
  <c r="L543" i="1" s="1"/>
  <c r="N543" i="1" s="1"/>
  <c r="K544" i="1" l="1"/>
  <c r="L544" i="1" s="1"/>
  <c r="N544" i="1" s="1"/>
  <c r="K545" i="1" l="1"/>
  <c r="L545" i="1" s="1"/>
  <c r="N545" i="1" s="1"/>
  <c r="K546" i="1" l="1"/>
  <c r="L546" i="1" s="1"/>
  <c r="N546" i="1" s="1"/>
  <c r="K547" i="1" l="1"/>
  <c r="L547" i="1" s="1"/>
  <c r="N547" i="1" s="1"/>
  <c r="K548" i="1" l="1"/>
  <c r="L548" i="1" s="1"/>
  <c r="N548" i="1" s="1"/>
  <c r="K549" i="1" l="1"/>
  <c r="L549" i="1" s="1"/>
  <c r="N549" i="1" s="1"/>
  <c r="K550" i="1" l="1"/>
  <c r="L550" i="1" s="1"/>
  <c r="N550" i="1" s="1"/>
  <c r="K551" i="1" l="1"/>
  <c r="L551" i="1" s="1"/>
  <c r="N551" i="1" s="1"/>
  <c r="K552" i="1" l="1"/>
  <c r="L552" i="1" s="1"/>
  <c r="N552" i="1" s="1"/>
  <c r="K553" i="1" l="1"/>
  <c r="L553" i="1" s="1"/>
  <c r="N553" i="1" s="1"/>
  <c r="K554" i="1" l="1"/>
  <c r="L554" i="1" s="1"/>
  <c r="N554" i="1" s="1"/>
  <c r="K555" i="1" l="1"/>
  <c r="L555" i="1" s="1"/>
  <c r="N555" i="1" s="1"/>
  <c r="K556" i="1" l="1"/>
  <c r="L556" i="1" s="1"/>
  <c r="N556" i="1" s="1"/>
  <c r="K557" i="1" l="1"/>
  <c r="L557" i="1" s="1"/>
  <c r="N557" i="1" s="1"/>
  <c r="K558" i="1" l="1"/>
  <c r="L558" i="1" s="1"/>
  <c r="N558" i="1" s="1"/>
  <c r="K559" i="1" l="1"/>
  <c r="L559" i="1" s="1"/>
  <c r="N559" i="1" s="1"/>
  <c r="K560" i="1" l="1"/>
  <c r="L560" i="1" s="1"/>
  <c r="N560" i="1" s="1"/>
</calcChain>
</file>

<file path=xl/sharedStrings.xml><?xml version="1.0" encoding="utf-8"?>
<sst xmlns="http://schemas.openxmlformats.org/spreadsheetml/2006/main" count="9082" uniqueCount="299">
  <si>
    <t>Zeilenbeschriftungen</t>
  </si>
  <si>
    <t>Anzahl von day</t>
  </si>
  <si>
    <t>(Leer)</t>
  </si>
  <si>
    <t>2020</t>
  </si>
  <si>
    <t>2021</t>
  </si>
  <si>
    <t>Thickness</t>
  </si>
  <si>
    <t>Anteil</t>
  </si>
  <si>
    <t>3,9/5,9</t>
  </si>
  <si>
    <t>2022</t>
  </si>
  <si>
    <t>3,9/4,9</t>
  </si>
  <si>
    <t>5,9/3,9</t>
  </si>
  <si>
    <t>5,9/8</t>
  </si>
  <si>
    <t>8/5,9/3,9</t>
  </si>
  <si>
    <t>2023</t>
  </si>
  <si>
    <t>2024</t>
  </si>
  <si>
    <t>2025</t>
  </si>
  <si>
    <t>2026</t>
  </si>
  <si>
    <t>2027</t>
  </si>
  <si>
    <t>2028</t>
  </si>
  <si>
    <t>Gesamtergebnis</t>
  </si>
  <si>
    <t>Week</t>
  </si>
  <si>
    <t>Date</t>
  </si>
  <si>
    <t>day</t>
  </si>
  <si>
    <t>Plant</t>
  </si>
  <si>
    <t>Tint</t>
  </si>
  <si>
    <t>Thickness mm</t>
  </si>
  <si>
    <t>Max pull</t>
  </si>
  <si>
    <t>Gross pull</t>
  </si>
  <si>
    <t>Adjusted pull</t>
  </si>
  <si>
    <t>Yield</t>
  </si>
  <si>
    <t>Net pull</t>
  </si>
  <si>
    <t>Off-line yield, breakage, WH</t>
  </si>
  <si>
    <t>Available
for Sales</t>
  </si>
  <si>
    <t xml:space="preserve"> </t>
  </si>
  <si>
    <t>Key</t>
  </si>
  <si>
    <t>Year</t>
  </si>
  <si>
    <t>Absprache bis hierhin erfolgt</t>
  </si>
  <si>
    <t>Montag</t>
  </si>
  <si>
    <t>Porz</t>
  </si>
  <si>
    <t>PLC</t>
  </si>
  <si>
    <t>Standard Build.</t>
  </si>
  <si>
    <t>PorzPLCStandard Build.2021</t>
  </si>
  <si>
    <t>Dienstag</t>
  </si>
  <si>
    <t>PorzPLCThick2021</t>
  </si>
  <si>
    <t>Thick</t>
  </si>
  <si>
    <t>Diamant</t>
  </si>
  <si>
    <t>Mittwoch</t>
  </si>
  <si>
    <t>PorzDiamantStandard Build.2021</t>
  </si>
  <si>
    <t>Test</t>
  </si>
  <si>
    <t>Thin</t>
  </si>
  <si>
    <t>Donnerstag</t>
  </si>
  <si>
    <t>PorzDiamantThick2021</t>
  </si>
  <si>
    <t>Repair</t>
  </si>
  <si>
    <t>Freitag</t>
  </si>
  <si>
    <t>PorzTransitionStandard Build.2021</t>
  </si>
  <si>
    <t>Transition</t>
  </si>
  <si>
    <t>Placage</t>
  </si>
  <si>
    <t>Samstag</t>
  </si>
  <si>
    <t>PorzPLCThin2021</t>
  </si>
  <si>
    <t>Sonntag</t>
  </si>
  <si>
    <t>Porz2021</t>
  </si>
  <si>
    <t>PorzPLCStandard Build.2022</t>
  </si>
  <si>
    <t>PorzDiamantStandard Build.2022</t>
  </si>
  <si>
    <t>PorzDiamantThick2022</t>
  </si>
  <si>
    <t>4,9/5,9</t>
  </si>
  <si>
    <t>PorzTransitionStandard Build.2022</t>
  </si>
  <si>
    <t>8/5,9</t>
  </si>
  <si>
    <t>PorzPLCThin2022</t>
  </si>
  <si>
    <t>5,9/4,9</t>
  </si>
  <si>
    <t>Porz2022</t>
  </si>
  <si>
    <t>4,9/3,9</t>
  </si>
  <si>
    <t>2,9/3,9</t>
  </si>
  <si>
    <t>PLCStandard Build.2022</t>
  </si>
  <si>
    <t>Start Umfärbung DIA</t>
  </si>
  <si>
    <t>mit 415t Q63 (Planilaque)</t>
  </si>
  <si>
    <t>20t Q01 480x321</t>
  </si>
  <si>
    <t>Forecast: 1.300t Q06</t>
  </si>
  <si>
    <t>1000t Q06</t>
  </si>
  <si>
    <t>Forecast: 400t Q06 &amp; 600t Q69</t>
  </si>
  <si>
    <t>40t Q06 700x321</t>
  </si>
  <si>
    <t>Forecast: 1.000t Q06</t>
  </si>
  <si>
    <t>Start Umfärbung PLC</t>
  </si>
  <si>
    <t>keine Produktion</t>
  </si>
  <si>
    <t>mit 300t AV</t>
  </si>
  <si>
    <t>mit 500t AV</t>
  </si>
  <si>
    <t>mit 1500t AV</t>
  </si>
  <si>
    <t>mit 755t AV</t>
  </si>
  <si>
    <t>mit 100t AV</t>
  </si>
  <si>
    <t>mit 400t Q55</t>
  </si>
  <si>
    <t>mit 200t Q55</t>
  </si>
  <si>
    <t>mit 400t Q01</t>
  </si>
  <si>
    <t>mit 600t AV</t>
  </si>
  <si>
    <t>mit AV</t>
  </si>
  <si>
    <t>mit 250 to. AV</t>
  </si>
  <si>
    <t>mit 800t Q59 &amp; 500t AV</t>
  </si>
  <si>
    <t>Pfingstmontag</t>
  </si>
  <si>
    <t>mit 40t Q59</t>
  </si>
  <si>
    <t>mit 1.200t Q06 / Ziel: 3 Tage 8mm - aber Farbe zu klären</t>
  </si>
  <si>
    <t>mit 16t XXL 12x3,21</t>
  </si>
  <si>
    <t>nachträgliche Verlängerung 12mm</t>
  </si>
  <si>
    <t>mit 1.000t Q06</t>
  </si>
  <si>
    <t>Umschlussarbeiten H2N2 - Anlage</t>
  </si>
  <si>
    <t>mit 50t Q59</t>
  </si>
  <si>
    <t>mit 1200t AV</t>
  </si>
  <si>
    <t>mit 500t Q59</t>
  </si>
  <si>
    <t>mit 550t AV</t>
  </si>
  <si>
    <t>Shutdown während der Umstellung auf 8</t>
  </si>
  <si>
    <t>Shutdown - keine Produktion</t>
  </si>
  <si>
    <t>mit Q55</t>
  </si>
  <si>
    <t>Arbeiten Grenzebach Stapler 3 &amp; Walzenreinigung</t>
  </si>
  <si>
    <t>keine Überlänge / kein Q01</t>
  </si>
  <si>
    <t>Shutdown</t>
  </si>
  <si>
    <t>mit 5to 950x321 Q06 - keine Q06 Produktion im 8mm</t>
  </si>
  <si>
    <t>Abbruch 10mm</t>
  </si>
  <si>
    <t>mit 10to 950x321 Q06</t>
  </si>
  <si>
    <t>mit insgesamt 1300t Q06 &amp; 900t Q03</t>
  </si>
  <si>
    <t>mit 10t 950x321</t>
  </si>
  <si>
    <t>mit 400t AV</t>
  </si>
  <si>
    <t>Reparatur RKO</t>
  </si>
  <si>
    <t>x</t>
  </si>
  <si>
    <t>Possible start DIA @16:00</t>
  </si>
  <si>
    <t>560t Q63</t>
  </si>
  <si>
    <t>mit 170t Q01</t>
  </si>
  <si>
    <t>17:00 Uhr Umstellung auf 4,9</t>
  </si>
  <si>
    <t>mit 140t Q01</t>
  </si>
  <si>
    <r>
      <t xml:space="preserve">mit </t>
    </r>
    <r>
      <rPr>
        <b/>
        <sz val="11"/>
        <color rgb="FFFF0000"/>
        <rFont val="Calibri"/>
        <family val="2"/>
        <scheme val="minor"/>
      </rPr>
      <t>1.000t</t>
    </r>
    <r>
      <rPr>
        <b/>
        <sz val="11"/>
        <color rgb="FF000000"/>
        <rFont val="Calibri"/>
        <family val="2"/>
        <scheme val="minor"/>
      </rPr>
      <t xml:space="preserve"> Q06; 8 Blatt </t>
    </r>
    <r>
      <rPr>
        <b/>
        <sz val="11"/>
        <color rgb="FFFF0000"/>
        <rFont val="Calibri"/>
        <family val="2"/>
        <scheme val="minor"/>
      </rPr>
      <t>950x321</t>
    </r>
  </si>
  <si>
    <t>mit 25t Q06</t>
  </si>
  <si>
    <t>no production</t>
  </si>
  <si>
    <t>mit 1.500 t Q06</t>
  </si>
  <si>
    <t>mit 300t Q06</t>
  </si>
  <si>
    <t>mit 6 Blatt 17,5m &amp; 8 Blatt 9,5x3,21m</t>
  </si>
  <si>
    <t>mit 200t Q01 &amp; 780t Q06</t>
  </si>
  <si>
    <t>Arbeiten am Floatbad</t>
  </si>
  <si>
    <t>mit 160t Q06 // Produktionsschwierigkeiten, nur 100t produziert</t>
  </si>
  <si>
    <t>Shutdown 20:00 Uhr</t>
  </si>
  <si>
    <t>Shutdown ~ 21:00 Uhr</t>
  </si>
  <si>
    <t>SD</t>
  </si>
  <si>
    <t>SOP mit erhötem TC</t>
  </si>
  <si>
    <t>mit 1000t AV</t>
  </si>
  <si>
    <t>Walzenreinigung durch HTCW - nur 3,9mm Q03</t>
  </si>
  <si>
    <r>
      <t>mit 400t Q06 //</t>
    </r>
    <r>
      <rPr>
        <b/>
        <sz val="11"/>
        <color rgb="FFFF0000"/>
        <rFont val="Calibri"/>
        <family val="2"/>
        <scheme val="minor"/>
      </rPr>
      <t xml:space="preserve"> nur 400t Gesamtproduktion</t>
    </r>
  </si>
  <si>
    <t>Abbruch 6mm</t>
  </si>
  <si>
    <t>50% yield</t>
  </si>
  <si>
    <t>keine Produktion wegen TPU</t>
  </si>
  <si>
    <t>Start Produktion 18:00</t>
  </si>
  <si>
    <t>Abbruch 4,9mm</t>
  </si>
  <si>
    <t>Abbruch 12mm, 10 &amp; 8mm nicht möglich</t>
  </si>
  <si>
    <t>Umstellung wegen Personalengpässe ab 14 Uhr. Nur Scherben produziert</t>
  </si>
  <si>
    <t>Nur Scherben produziert. Umstellung auf 4mm ab 22 Uhr</t>
  </si>
  <si>
    <t>Erste Einlage DIA 10:10 Uhr</t>
  </si>
  <si>
    <t>Start PDP ca 00:05 Uhr</t>
  </si>
  <si>
    <t>Start DIA  in der Nacht Fr/Sa</t>
  </si>
  <si>
    <t>14 Uhr</t>
  </si>
  <si>
    <t>Umstellung auf 10 da 8mm nicht möglich</t>
  </si>
  <si>
    <t>Abbruch 8 &amp; 6mm</t>
  </si>
  <si>
    <t>Start Rückfärbung PLC</t>
  </si>
  <si>
    <t>Wartung Krananlage</t>
  </si>
  <si>
    <t xml:space="preserve">PLC 4mm zwingend wegen Ausbau Heizung -&gt; Scherben + GV </t>
  </si>
  <si>
    <t>Erste Einlage DIA</t>
  </si>
  <si>
    <t>Umstellung auf 4,9mm am Nachmittag</t>
  </si>
  <si>
    <t>mit 5to 950x321 Q06</t>
  </si>
  <si>
    <t>Start Kaltreparatur</t>
  </si>
  <si>
    <t>Kaltreparatur</t>
  </si>
  <si>
    <t>Heat Up</t>
  </si>
  <si>
    <t>Geplant mit 10 Tagen Float Blocking Purge mit Ausbringen 0%</t>
  </si>
  <si>
    <t>Coater-Stop Porz / Betriebsruhe</t>
  </si>
  <si>
    <t>mit 5t 12 x 3,21 m Q06</t>
  </si>
  <si>
    <t>~300t 4,9mm, Umstellung auf 5,9mm gegen ~14 Uhr</t>
  </si>
  <si>
    <r>
      <t xml:space="preserve">Ausschließlich </t>
    </r>
    <r>
      <rPr>
        <b/>
        <sz val="11"/>
        <color rgb="FFFF0000"/>
        <rFont val="Calibri"/>
        <family val="2"/>
        <scheme val="minor"/>
      </rPr>
      <t>Q69 Produktion ASTM</t>
    </r>
  </si>
  <si>
    <t>900t Q69 "ASTM" Dicke</t>
  </si>
  <si>
    <r>
      <t>15t</t>
    </r>
    <r>
      <rPr>
        <b/>
        <sz val="11"/>
        <color rgb="FFFF0000"/>
        <rFont val="Calibri"/>
        <family val="2"/>
        <scheme val="minor"/>
      </rPr>
      <t xml:space="preserve"> 900x321</t>
    </r>
  </si>
  <si>
    <r>
      <t xml:space="preserve">mit 30t </t>
    </r>
    <r>
      <rPr>
        <b/>
        <sz val="11"/>
        <color rgb="FFFF0000"/>
        <rFont val="Calibri"/>
        <family val="2"/>
        <scheme val="minor"/>
      </rPr>
      <t xml:space="preserve">9.000 </t>
    </r>
    <r>
      <rPr>
        <b/>
        <sz val="11"/>
        <color rgb="FF000000"/>
        <rFont val="Calibri"/>
        <family val="2"/>
        <scheme val="minor"/>
      </rPr>
      <t>x 3.210</t>
    </r>
  </si>
  <si>
    <t>+ additional 75t Q06</t>
  </si>
  <si>
    <t>mit 475t Q06</t>
  </si>
  <si>
    <t>+ additional 100t Q06</t>
  </si>
  <si>
    <t>2400t gesperrt</t>
  </si>
  <si>
    <t>Thick Glass</t>
  </si>
  <si>
    <t>Reparatur LOR3</t>
  </si>
  <si>
    <t>oder 3,9mm</t>
  </si>
  <si>
    <t>X</t>
  </si>
  <si>
    <t>Start Umfärbung DIA - erste Einlage ca. 10:30</t>
  </si>
  <si>
    <t>Start PDP ca. 16:00 Uhr</t>
  </si>
  <si>
    <t>Start DIA ca 11 Uhr</t>
  </si>
  <si>
    <t>Start Q69 ca 3 Uhr nachts</t>
  </si>
  <si>
    <t>Q69 Produktion</t>
  </si>
  <si>
    <t>Erste Einlage PLC gegen Mittag</t>
  </si>
  <si>
    <t>Teilweise PDP</t>
  </si>
  <si>
    <t>Start PLC ca. 01:00 Uhr</t>
  </si>
  <si>
    <t>Ausbringen ~40%</t>
  </si>
  <si>
    <t>daher Verlängerung</t>
  </si>
  <si>
    <t>um einen Tag</t>
  </si>
  <si>
    <t>Umstellung um 15:00 Uhr</t>
  </si>
  <si>
    <t>keine Umstellungen</t>
  </si>
  <si>
    <r>
      <t xml:space="preserve">mit 10t </t>
    </r>
    <r>
      <rPr>
        <b/>
        <sz val="11"/>
        <color rgb="FFFF0000"/>
        <rFont val="Calibri"/>
        <family val="2"/>
        <scheme val="minor"/>
      </rPr>
      <t>12.000 x 3.210</t>
    </r>
  </si>
  <si>
    <t>Reparatur Einlegeband (keine Umstellung)</t>
  </si>
  <si>
    <t>Eventuell 10mm</t>
  </si>
  <si>
    <t>Erste Einlage DIA 12:30 Uhr</t>
  </si>
  <si>
    <t>PDP ab 6 Uhr</t>
  </si>
  <si>
    <t>5,9 / 8</t>
  </si>
  <si>
    <t>8mm ab 12 Uhr</t>
  </si>
  <si>
    <t>10mm ab 12 Uhr</t>
  </si>
  <si>
    <t>12mm ab Spätschicht</t>
  </si>
  <si>
    <t>3,9mm ab Nacht So-&gt;Mo</t>
  </si>
  <si>
    <t>PDP ab 21 Uhr</t>
  </si>
  <si>
    <t>Besuch P. Dupin</t>
  </si>
  <si>
    <t>Barrage 450 / IBN Grenzebach-Netzwerk</t>
  </si>
  <si>
    <t>mit 5t 900x321 &amp; 5t 800x321</t>
  </si>
  <si>
    <t>Wiederinbetriebnahme Feeder</t>
  </si>
  <si>
    <t>Kein Dickglas wegen Stapler 4</t>
  </si>
  <si>
    <t>Matrix d. Qualitäten</t>
  </si>
  <si>
    <t xml:space="preserve">%-Anteil </t>
  </si>
  <si>
    <t>Action</t>
  </si>
  <si>
    <t>Q01</t>
  </si>
  <si>
    <t>Q02</t>
  </si>
  <si>
    <t>Q03</t>
  </si>
  <si>
    <t>Q06</t>
  </si>
  <si>
    <t>Q06 XXL</t>
  </si>
  <si>
    <t>Q12</t>
  </si>
  <si>
    <t>Q15</t>
  </si>
  <si>
    <t>Q21</t>
  </si>
  <si>
    <t>Q55</t>
  </si>
  <si>
    <t>Q59</t>
  </si>
  <si>
    <t>Q62</t>
  </si>
  <si>
    <t>Q63</t>
  </si>
  <si>
    <t>Q64</t>
  </si>
  <si>
    <t>Q69</t>
  </si>
  <si>
    <t>Kommentar</t>
  </si>
  <si>
    <t>* nach Erreichung der Qualitätsspez.</t>
  </si>
  <si>
    <t>Vor Q01 Kampagnen - Reinigungsarbeiten @Float durchführen
Produktion erst nach 2 erfolgreichen Braille-Tests, 1. Test frühestens nach 4h ( 2,9 - 5,9mm)</t>
  </si>
  <si>
    <t>bis max. 50% bei Q03 (nicht Q06!)</t>
  </si>
  <si>
    <t>Abgleich d. Spezifikation mit STO (Braille, Reticule etc)</t>
  </si>
  <si>
    <t>Anforderung (intern) Braille-Test: 2 erfolgreiche Tests</t>
  </si>
  <si>
    <t>max. 80% bei 20% Q03/Q59</t>
  </si>
  <si>
    <t>Q06 für alle Überlängen notwendig?</t>
  </si>
  <si>
    <t>Anforderung Braille-Test; Erhöhte Produktionszeit von 2 Tagen einplanen</t>
  </si>
  <si>
    <t>Braille-Test so notwendig?</t>
  </si>
  <si>
    <t>keine Optimierung möglich</t>
  </si>
  <si>
    <t>min.3 Tage vorher H2 erhöhen (TC &lt; 1.550) - 2 Kampagnen p.a ( 3,9 - 8mm)</t>
  </si>
  <si>
    <t>Min. 18h nach Umstellung / Öffnung Floatbad</t>
  </si>
  <si>
    <t>Status Neuentwicklung Test "Spiegeleier"</t>
  </si>
  <si>
    <t>Vorgaben f. Umfärbungen</t>
  </si>
  <si>
    <t>- 820t Tonnage (min 1 Tag vor DIA Umfärbetermin, besser 3)
- min. 14 Tage vorab muss Festlegung aufgrund der Rohstoffbestellung erfolgen
- Umfärbepläne maßgebend für Starttermin, PDP
- Dicke: nur 3,9mm
- mindestens 2 Tage Produktion im DIA (48h) vor Umstellung auf 5,9mm</t>
  </si>
  <si>
    <t>Dickenspezifische Reihenfolge</t>
  </si>
  <si>
    <t>-  s. Reiter Dickenspez. Reihenfolge</t>
  </si>
  <si>
    <t>Kommunikationsregelungen</t>
  </si>
  <si>
    <t>- Umstellzeiten abweichend von dem Zeitfenster 08:00 - 09:00 Uhr zu besprechen</t>
  </si>
  <si>
    <t>- Änderungen des Dickenfahrplans zunächst intern zu besprechen, bevor Plan zentral abgelegt / kommuniziert wird</t>
  </si>
  <si>
    <t>von / nach</t>
  </si>
  <si>
    <t>immer möglich</t>
  </si>
  <si>
    <t>Rücksprache</t>
  </si>
  <si>
    <t>nicht möglich o.W.</t>
  </si>
  <si>
    <t xml:space="preserve">Dickglasproduktion </t>
  </si>
  <si>
    <t>15 mm</t>
  </si>
  <si>
    <t>to</t>
  </si>
  <si>
    <t>9 Tage</t>
  </si>
  <si>
    <t>3 Tage ohne 19 mm mit 750 to / d</t>
  </si>
  <si>
    <t>2,9 mm</t>
  </si>
  <si>
    <t>39 Tage</t>
  </si>
  <si>
    <t>19 mm</t>
  </si>
  <si>
    <t>6 Tage</t>
  </si>
  <si>
    <t xml:space="preserve"> = 2 Kampagnen</t>
  </si>
  <si>
    <t xml:space="preserve"> = 6 Kampagnen</t>
  </si>
  <si>
    <t>Reduzierung Floattonnage 30 to / d für Dickglas</t>
  </si>
  <si>
    <t>2 Kampagnen p.a.</t>
  </si>
  <si>
    <t>Tage</t>
  </si>
  <si>
    <t>Dicke</t>
  </si>
  <si>
    <t>Wanne</t>
  </si>
  <si>
    <t>Floatbad</t>
  </si>
  <si>
    <t>8 mm</t>
  </si>
  <si>
    <t>3,9 mm</t>
  </si>
  <si>
    <t>10 mm</t>
  </si>
  <si>
    <t>12 mm</t>
  </si>
  <si>
    <t>Tonnageerhöhung in Richtung Diamant 20 to / d ??</t>
  </si>
  <si>
    <t>3 Kampagnen p.a.</t>
  </si>
  <si>
    <t>Effekte</t>
  </si>
  <si>
    <t>Float</t>
  </si>
  <si>
    <t>aus :</t>
  </si>
  <si>
    <t>Dünnglas</t>
  </si>
  <si>
    <t>Dia</t>
  </si>
  <si>
    <t>5,9 mm</t>
  </si>
  <si>
    <t>4mm</t>
  </si>
  <si>
    <t>4 mm PDP</t>
  </si>
  <si>
    <t>Summe</t>
  </si>
  <si>
    <t>Diamant Produktion</t>
  </si>
  <si>
    <t>Dickglas</t>
  </si>
  <si>
    <t xml:space="preserve">4 mm </t>
  </si>
  <si>
    <t>4 mm</t>
  </si>
  <si>
    <t>Planiclear Gesamt</t>
  </si>
  <si>
    <t>Ausbringen</t>
  </si>
  <si>
    <t>Netto</t>
  </si>
  <si>
    <t>SAP</t>
  </si>
  <si>
    <t>4,9 mm</t>
  </si>
  <si>
    <t>Nominal</t>
  </si>
  <si>
    <t>Saturation</t>
  </si>
  <si>
    <t xml:space="preserve">Dia </t>
  </si>
  <si>
    <t>Jahr</t>
  </si>
  <si>
    <t>Verlängerung zur Nachproduktion XXL</t>
  </si>
  <si>
    <t>71t Q06 800x321</t>
  </si>
  <si>
    <t>Q15 ins Programm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</si>
</sst>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D_M_-;\-* #,##0.00\ _D_M_-;_-* &quot;-&quot;??\ _D_M_-;_-@_-"/>
    <numFmt numFmtId="165" formatCode="#,##0.0"/>
    <numFmt numFmtId="166" formatCode="[$-407]d/\ mmm/;@"/>
    <numFmt numFmtId="167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medium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9" fontId="14" fillId="0" borderId="0" applyFont="0" applyFill="0" applyBorder="0" applyAlignment="0" applyProtection="0"/>
  </cellStyleXfs>
  <cellXfs count="22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9" fontId="6" fillId="3" borderId="4" xfId="1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0" fillId="0" borderId="4" xfId="0" applyBorder="1"/>
    <xf numFmtId="0" fontId="8" fillId="0" borderId="4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/>
    <xf numFmtId="0" fontId="0" fillId="5" borderId="8" xfId="0" applyFill="1" applyBorder="1"/>
    <xf numFmtId="0" fontId="14" fillId="0" borderId="0" xfId="6"/>
    <xf numFmtId="0" fontId="14" fillId="0" borderId="0" xfId="6" applyAlignment="1">
      <alignment horizontal="center"/>
    </xf>
    <xf numFmtId="0" fontId="14" fillId="0" borderId="12" xfId="6" applyBorder="1"/>
    <xf numFmtId="1" fontId="15" fillId="0" borderId="12" xfId="6" applyNumberFormat="1" applyFont="1" applyBorder="1"/>
    <xf numFmtId="0" fontId="14" fillId="6" borderId="12" xfId="6" applyFill="1" applyBorder="1"/>
    <xf numFmtId="0" fontId="14" fillId="6" borderId="12" xfId="6" applyFill="1" applyBorder="1" applyAlignment="1">
      <alignment horizontal="center"/>
    </xf>
    <xf numFmtId="3" fontId="14" fillId="0" borderId="0" xfId="6" applyNumberFormat="1"/>
    <xf numFmtId="10" fontId="0" fillId="0" borderId="0" xfId="7" applyNumberFormat="1" applyFont="1"/>
    <xf numFmtId="3" fontId="15" fillId="0" borderId="0" xfId="6" applyNumberFormat="1" applyFont="1"/>
    <xf numFmtId="165" fontId="14" fillId="0" borderId="0" xfId="6" applyNumberFormat="1"/>
    <xf numFmtId="3" fontId="14" fillId="0" borderId="12" xfId="6" applyNumberFormat="1" applyBorder="1"/>
    <xf numFmtId="10" fontId="0" fillId="0" borderId="12" xfId="7" applyNumberFormat="1" applyFont="1" applyBorder="1"/>
    <xf numFmtId="0" fontId="0" fillId="9" borderId="0" xfId="0" applyFill="1"/>
    <xf numFmtId="0" fontId="0" fillId="10" borderId="0" xfId="0" applyFill="1"/>
    <xf numFmtId="0" fontId="0" fillId="0" borderId="0" xfId="0" quotePrefix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6" borderId="0" xfId="0" applyFill="1"/>
    <xf numFmtId="0" fontId="0" fillId="0" borderId="0" xfId="0" quotePrefix="1" applyAlignment="1">
      <alignment wrapText="1"/>
    </xf>
    <xf numFmtId="0" fontId="0" fillId="11" borderId="0" xfId="0" applyFill="1"/>
    <xf numFmtId="0" fontId="3" fillId="0" borderId="0" xfId="0" applyFont="1"/>
    <xf numFmtId="0" fontId="3" fillId="9" borderId="0" xfId="0" applyFont="1" applyFill="1"/>
    <xf numFmtId="0" fontId="3" fillId="0" borderId="0" xfId="0" quotePrefix="1" applyFont="1"/>
    <xf numFmtId="0" fontId="3" fillId="0" borderId="0" xfId="0" applyFont="1" applyAlignment="1">
      <alignment horizontal="center" vertical="center" wrapText="1"/>
    </xf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5" xfId="0" applyFont="1" applyBorder="1" applyAlignment="1">
      <alignment horizontal="center"/>
    </xf>
    <xf numFmtId="10" fontId="16" fillId="0" borderId="9" xfId="0" applyNumberFormat="1" applyFont="1" applyBorder="1"/>
    <xf numFmtId="0" fontId="16" fillId="0" borderId="16" xfId="0" applyFont="1" applyBorder="1"/>
    <xf numFmtId="0" fontId="17" fillId="0" borderId="9" xfId="0" applyFont="1" applyBorder="1" applyAlignment="1">
      <alignment horizontal="center" vertical="center"/>
    </xf>
    <xf numFmtId="0" fontId="18" fillId="13" borderId="10" xfId="0" applyFont="1" applyFill="1" applyBorder="1"/>
    <xf numFmtId="0" fontId="19" fillId="13" borderId="10" xfId="0" applyFont="1" applyFill="1" applyBorder="1"/>
    <xf numFmtId="0" fontId="19" fillId="14" borderId="10" xfId="0" applyFont="1" applyFill="1" applyBorder="1"/>
    <xf numFmtId="9" fontId="19" fillId="14" borderId="10" xfId="0" applyNumberFormat="1" applyFont="1" applyFill="1" applyBorder="1"/>
    <xf numFmtId="0" fontId="16" fillId="0" borderId="0" xfId="0" applyFont="1"/>
    <xf numFmtId="0" fontId="16" fillId="0" borderId="13" xfId="0" applyFont="1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10" fontId="16" fillId="0" borderId="10" xfId="0" applyNumberFormat="1" applyFont="1" applyBorder="1"/>
    <xf numFmtId="0" fontId="16" fillId="0" borderId="17" xfId="0" applyFont="1" applyBorder="1"/>
    <xf numFmtId="0" fontId="17" fillId="0" borderId="10" xfId="0" applyFont="1" applyBorder="1" applyAlignment="1">
      <alignment horizontal="center" vertical="center"/>
    </xf>
    <xf numFmtId="0" fontId="2" fillId="12" borderId="13" xfId="0" applyFont="1" applyFill="1" applyBorder="1"/>
    <xf numFmtId="0" fontId="16" fillId="7" borderId="13" xfId="0" applyFont="1" applyFill="1" applyBorder="1"/>
    <xf numFmtId="0" fontId="16" fillId="7" borderId="10" xfId="0" applyFont="1" applyFill="1" applyBorder="1"/>
    <xf numFmtId="0" fontId="16" fillId="7" borderId="10" xfId="0" applyFont="1" applyFill="1" applyBorder="1" applyAlignment="1">
      <alignment horizontal="center"/>
    </xf>
    <xf numFmtId="10" fontId="16" fillId="7" borderId="10" xfId="0" applyNumberFormat="1" applyFont="1" applyFill="1" applyBorder="1"/>
    <xf numFmtId="0" fontId="16" fillId="7" borderId="17" xfId="0" applyFont="1" applyFill="1" applyBorder="1"/>
    <xf numFmtId="0" fontId="17" fillId="7" borderId="10" xfId="0" applyFont="1" applyFill="1" applyBorder="1" applyAlignment="1">
      <alignment horizontal="center" vertical="center"/>
    </xf>
    <xf numFmtId="9" fontId="20" fillId="14" borderId="10" xfId="0" applyNumberFormat="1" applyFont="1" applyFill="1" applyBorder="1"/>
    <xf numFmtId="0" fontId="2" fillId="12" borderId="19" xfId="0" applyFont="1" applyFill="1" applyBorder="1"/>
    <xf numFmtId="0" fontId="16" fillId="7" borderId="11" xfId="0" applyFont="1" applyFill="1" applyBorder="1"/>
    <xf numFmtId="0" fontId="16" fillId="7" borderId="11" xfId="0" applyFont="1" applyFill="1" applyBorder="1" applyAlignment="1">
      <alignment horizontal="center"/>
    </xf>
    <xf numFmtId="10" fontId="16" fillId="7" borderId="11" xfId="0" applyNumberFormat="1" applyFont="1" applyFill="1" applyBorder="1"/>
    <xf numFmtId="0" fontId="16" fillId="7" borderId="20" xfId="0" applyFont="1" applyFill="1" applyBorder="1"/>
    <xf numFmtId="0" fontId="17" fillId="7" borderId="11" xfId="0" applyFont="1" applyFill="1" applyBorder="1" applyAlignment="1">
      <alignment horizontal="center" vertical="center"/>
    </xf>
    <xf numFmtId="0" fontId="16" fillId="0" borderId="21" xfId="0" applyFont="1" applyBorder="1"/>
    <xf numFmtId="10" fontId="16" fillId="0" borderId="15" xfId="0" applyNumberFormat="1" applyFont="1" applyBorder="1"/>
    <xf numFmtId="0" fontId="16" fillId="0" borderId="22" xfId="0" applyFont="1" applyBorder="1"/>
    <xf numFmtId="0" fontId="18" fillId="0" borderId="10" xfId="0" applyFont="1" applyBorder="1"/>
    <xf numFmtId="0" fontId="19" fillId="0" borderId="10" xfId="0" applyFont="1" applyBorder="1"/>
    <xf numFmtId="0" fontId="16" fillId="0" borderId="0" xfId="0" applyFont="1" applyAlignment="1">
      <alignment horizontal="right"/>
    </xf>
    <xf numFmtId="0" fontId="21" fillId="0" borderId="23" xfId="0" applyFont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1" fillId="0" borderId="21" xfId="0" applyFont="1" applyBorder="1"/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11" fillId="0" borderId="13" xfId="0" applyFont="1" applyBorder="1"/>
    <xf numFmtId="0" fontId="12" fillId="0" borderId="10" xfId="0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 wrapText="1"/>
    </xf>
    <xf numFmtId="166" fontId="16" fillId="12" borderId="13" xfId="0" applyNumberFormat="1" applyFont="1" applyFill="1" applyBorder="1"/>
    <xf numFmtId="166" fontId="2" fillId="12" borderId="13" xfId="0" applyNumberFormat="1" applyFont="1" applyFill="1" applyBorder="1"/>
    <xf numFmtId="166" fontId="2" fillId="12" borderId="18" xfId="0" applyNumberFormat="1" applyFont="1" applyFill="1" applyBorder="1"/>
    <xf numFmtId="166" fontId="0" fillId="0" borderId="4" xfId="0" applyNumberFormat="1" applyBorder="1"/>
    <xf numFmtId="3" fontId="4" fillId="2" borderId="3" xfId="0" applyNumberFormat="1" applyFont="1" applyFill="1" applyBorder="1" applyAlignment="1">
      <alignment horizontal="center" vertical="center" wrapText="1"/>
    </xf>
    <xf numFmtId="3" fontId="16" fillId="0" borderId="17" xfId="0" applyNumberFormat="1" applyFont="1" applyBorder="1"/>
    <xf numFmtId="3" fontId="16" fillId="7" borderId="17" xfId="0" applyNumberFormat="1" applyFont="1" applyFill="1" applyBorder="1"/>
    <xf numFmtId="3" fontId="16" fillId="7" borderId="20" xfId="0" applyNumberFormat="1" applyFont="1" applyFill="1" applyBorder="1"/>
    <xf numFmtId="3" fontId="16" fillId="0" borderId="16" xfId="0" applyNumberFormat="1" applyFont="1" applyBorder="1"/>
    <xf numFmtId="3" fontId="16" fillId="0" borderId="22" xfId="0" applyNumberFormat="1" applyFont="1" applyBorder="1"/>
    <xf numFmtId="3" fontId="0" fillId="0" borderId="4" xfId="0" applyNumberFormat="1" applyBorder="1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16" fillId="12" borderId="13" xfId="0" applyNumberFormat="1" applyFont="1" applyFill="1" applyBorder="1"/>
    <xf numFmtId="0" fontId="16" fillId="0" borderId="15" xfId="0" applyFont="1" applyBorder="1" applyAlignment="1">
      <alignment wrapText="1"/>
    </xf>
    <xf numFmtId="16" fontId="2" fillId="12" borderId="13" xfId="0" applyNumberFormat="1" applyFont="1" applyFill="1" applyBorder="1"/>
    <xf numFmtId="0" fontId="16" fillId="7" borderId="15" xfId="0" applyFont="1" applyFill="1" applyBorder="1" applyAlignment="1">
      <alignment wrapText="1"/>
    </xf>
    <xf numFmtId="16" fontId="2" fillId="12" borderId="18" xfId="0" applyNumberFormat="1" applyFont="1" applyFill="1" applyBorder="1"/>
    <xf numFmtId="0" fontId="16" fillId="7" borderId="25" xfId="0" applyFont="1" applyFill="1" applyBorder="1" applyAlignment="1">
      <alignment wrapText="1"/>
    </xf>
    <xf numFmtId="0" fontId="16" fillId="8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wrapText="1"/>
    </xf>
    <xf numFmtId="0" fontId="16" fillId="15" borderId="10" xfId="0" applyFont="1" applyFill="1" applyBorder="1" applyAlignment="1">
      <alignment wrapText="1"/>
    </xf>
    <xf numFmtId="0" fontId="16" fillId="15" borderId="11" xfId="0" applyFont="1" applyFill="1" applyBorder="1" applyAlignment="1">
      <alignment wrapText="1"/>
    </xf>
    <xf numFmtId="0" fontId="16" fillId="15" borderId="15" xfId="0" applyFont="1" applyFill="1" applyBorder="1" applyAlignment="1">
      <alignment wrapText="1"/>
    </xf>
    <xf numFmtId="0" fontId="16" fillId="15" borderId="11" xfId="0" applyFont="1" applyFill="1" applyBorder="1"/>
    <xf numFmtId="0" fontId="16" fillId="15" borderId="15" xfId="0" applyFont="1" applyFill="1" applyBorder="1"/>
    <xf numFmtId="0" fontId="16" fillId="15" borderId="10" xfId="0" applyFont="1" applyFill="1" applyBorder="1"/>
    <xf numFmtId="0" fontId="22" fillId="7" borderId="11" xfId="0" applyFont="1" applyFill="1" applyBorder="1" applyAlignment="1">
      <alignment horizontal="center" vertical="center"/>
    </xf>
    <xf numFmtId="16" fontId="11" fillId="12" borderId="13" xfId="0" applyNumberFormat="1" applyFont="1" applyFill="1" applyBorder="1"/>
    <xf numFmtId="0" fontId="16" fillId="8" borderId="15" xfId="0" applyFont="1" applyFill="1" applyBorder="1" applyAlignment="1">
      <alignment wrapText="1"/>
    </xf>
    <xf numFmtId="0" fontId="23" fillId="7" borderId="11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/>
    </xf>
    <xf numFmtId="14" fontId="16" fillId="0" borderId="10" xfId="0" applyNumberFormat="1" applyFont="1" applyBorder="1"/>
    <xf numFmtId="0" fontId="16" fillId="0" borderId="10" xfId="0" quotePrefix="1" applyFont="1" applyBorder="1"/>
    <xf numFmtId="0" fontId="16" fillId="6" borderId="10" xfId="0" applyFont="1" applyFill="1" applyBorder="1"/>
    <xf numFmtId="0" fontId="16" fillId="16" borderId="10" xfId="0" applyFont="1" applyFill="1" applyBorder="1"/>
    <xf numFmtId="166" fontId="11" fillId="12" borderId="13" xfId="0" applyNumberFormat="1" applyFont="1" applyFill="1" applyBorder="1"/>
    <xf numFmtId="0" fontId="16" fillId="7" borderId="15" xfId="0" applyFont="1" applyFill="1" applyBorder="1"/>
    <xf numFmtId="0" fontId="16" fillId="7" borderId="25" xfId="0" applyFont="1" applyFill="1" applyBorder="1"/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16" fillId="7" borderId="10" xfId="0" applyFont="1" applyFill="1" applyBorder="1" applyAlignment="1">
      <alignment horizontal="right"/>
    </xf>
    <xf numFmtId="0" fontId="16" fillId="7" borderId="11" xfId="0" applyFont="1" applyFill="1" applyBorder="1" applyAlignment="1">
      <alignment horizontal="right"/>
    </xf>
    <xf numFmtId="0" fontId="16" fillId="17" borderId="15" xfId="0" applyFont="1" applyFill="1" applyBorder="1" applyAlignment="1">
      <alignment horizontal="right"/>
    </xf>
    <xf numFmtId="16" fontId="16" fillId="12" borderId="21" xfId="0" applyNumberFormat="1" applyFont="1" applyFill="1" applyBorder="1"/>
    <xf numFmtId="0" fontId="17" fillId="0" borderId="9" xfId="0" applyFont="1" applyBorder="1"/>
    <xf numFmtId="0" fontId="17" fillId="0" borderId="15" xfId="0" applyFont="1" applyBorder="1"/>
    <xf numFmtId="16" fontId="2" fillId="12" borderId="26" xfId="0" applyNumberFormat="1" applyFont="1" applyFill="1" applyBorder="1"/>
    <xf numFmtId="0" fontId="16" fillId="7" borderId="21" xfId="0" applyFont="1" applyFill="1" applyBorder="1"/>
    <xf numFmtId="0" fontId="17" fillId="7" borderId="15" xfId="0" applyFont="1" applyFill="1" applyBorder="1"/>
    <xf numFmtId="0" fontId="16" fillId="7" borderId="27" xfId="0" applyFont="1" applyFill="1" applyBorder="1"/>
    <xf numFmtId="0" fontId="17" fillId="7" borderId="25" xfId="0" applyFont="1" applyFill="1" applyBorder="1"/>
    <xf numFmtId="0" fontId="17" fillId="7" borderId="10" xfId="0" applyFont="1" applyFill="1" applyBorder="1"/>
    <xf numFmtId="0" fontId="11" fillId="0" borderId="15" xfId="0" applyFont="1" applyBorder="1"/>
    <xf numFmtId="0" fontId="17" fillId="0" borderId="15" xfId="0" applyFont="1" applyBorder="1" applyAlignment="1">
      <alignment wrapText="1"/>
    </xf>
    <xf numFmtId="0" fontId="17" fillId="0" borderId="15" xfId="0" applyFont="1" applyBorder="1" applyAlignment="1">
      <alignment horizontal="center"/>
    </xf>
    <xf numFmtId="10" fontId="16" fillId="0" borderId="21" xfId="0" applyNumberFormat="1" applyFont="1" applyBorder="1"/>
    <xf numFmtId="0" fontId="16" fillId="0" borderId="30" xfId="0" applyFont="1" applyBorder="1"/>
    <xf numFmtId="10" fontId="16" fillId="7" borderId="21" xfId="0" applyNumberFormat="1" applyFont="1" applyFill="1" applyBorder="1"/>
    <xf numFmtId="0" fontId="16" fillId="7" borderId="30" xfId="0" applyFont="1" applyFill="1" applyBorder="1"/>
    <xf numFmtId="10" fontId="16" fillId="7" borderId="27" xfId="0" applyNumberFormat="1" applyFont="1" applyFill="1" applyBorder="1"/>
    <xf numFmtId="0" fontId="16" fillId="7" borderId="3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9" fontId="0" fillId="0" borderId="0" xfId="1" applyFont="1"/>
    <xf numFmtId="167" fontId="0" fillId="0" borderId="0" xfId="1" applyNumberFormat="1" applyFont="1"/>
    <xf numFmtId="167" fontId="0" fillId="0" borderId="0" xfId="0" applyNumberFormat="1"/>
    <xf numFmtId="0" fontId="17" fillId="0" borderId="32" xfId="0" applyFont="1" applyBorder="1" applyAlignment="1">
      <alignment vertical="center" wrapText="1"/>
    </xf>
    <xf numFmtId="16" fontId="16" fillId="12" borderId="24" xfId="0" applyNumberFormat="1" applyFont="1" applyFill="1" applyBorder="1" applyAlignment="1">
      <alignment vertical="center"/>
    </xf>
    <xf numFmtId="0" fontId="16" fillId="0" borderId="33" xfId="0" applyFont="1" applyBorder="1" applyAlignment="1">
      <alignment vertical="center"/>
    </xf>
    <xf numFmtId="10" fontId="16" fillId="0" borderId="33" xfId="0" applyNumberFormat="1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18" borderId="21" xfId="0" applyFont="1" applyFill="1" applyBorder="1" applyAlignment="1">
      <alignment vertical="center"/>
    </xf>
    <xf numFmtId="0" fontId="16" fillId="19" borderId="15" xfId="0" applyFont="1" applyFill="1" applyBorder="1"/>
    <xf numFmtId="0" fontId="16" fillId="19" borderId="25" xfId="0" applyFont="1" applyFill="1" applyBorder="1"/>
    <xf numFmtId="10" fontId="16" fillId="0" borderId="15" xfId="0" applyNumberFormat="1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3" fontId="4" fillId="2" borderId="2" xfId="1" applyNumberFormat="1" applyFont="1" applyFill="1" applyBorder="1" applyAlignment="1">
      <alignment horizontal="center" vertical="center" wrapText="1"/>
    </xf>
    <xf numFmtId="3" fontId="16" fillId="0" borderId="15" xfId="0" applyNumberFormat="1" applyFont="1" applyBorder="1"/>
    <xf numFmtId="3" fontId="16" fillId="0" borderId="10" xfId="0" applyNumberFormat="1" applyFont="1" applyBorder="1"/>
    <xf numFmtId="3" fontId="16" fillId="7" borderId="10" xfId="0" applyNumberFormat="1" applyFont="1" applyFill="1" applyBorder="1"/>
    <xf numFmtId="3" fontId="16" fillId="7" borderId="11" xfId="0" applyNumberFormat="1" applyFont="1" applyFill="1" applyBorder="1"/>
    <xf numFmtId="3" fontId="16" fillId="0" borderId="15" xfId="0" applyNumberFormat="1" applyFont="1" applyBorder="1" applyAlignment="1">
      <alignment vertical="center"/>
    </xf>
    <xf numFmtId="0" fontId="16" fillId="0" borderId="25" xfId="0" applyFont="1" applyBorder="1"/>
    <xf numFmtId="16" fontId="11" fillId="12" borderId="21" xfId="0" applyNumberFormat="1" applyFont="1" applyFill="1" applyBorder="1"/>
    <xf numFmtId="0" fontId="3" fillId="0" borderId="0" xfId="0" applyFont="1" applyAlignment="1">
      <alignment horizontal="center" vertical="center"/>
    </xf>
    <xf numFmtId="0" fontId="17" fillId="7" borderId="15" xfId="0" applyFont="1" applyFill="1" applyBorder="1" applyAlignment="1">
      <alignment vertical="center"/>
    </xf>
    <xf numFmtId="0" fontId="17" fillId="0" borderId="15" xfId="0" quotePrefix="1" applyFont="1" applyBorder="1"/>
    <xf numFmtId="0" fontId="17" fillId="7" borderId="25" xfId="0" quotePrefix="1" applyFont="1" applyFill="1" applyBorder="1"/>
    <xf numFmtId="0" fontId="16" fillId="0" borderId="29" xfId="0" applyFont="1" applyBorder="1"/>
    <xf numFmtId="0" fontId="16" fillId="0" borderId="28" xfId="0" applyFont="1" applyBorder="1"/>
    <xf numFmtId="0" fontId="11" fillId="7" borderId="25" xfId="0" applyFont="1" applyFill="1" applyBorder="1"/>
    <xf numFmtId="0" fontId="11" fillId="7" borderId="15" xfId="0" applyFont="1" applyFill="1" applyBorder="1"/>
    <xf numFmtId="0" fontId="16" fillId="0" borderId="21" xfId="0" applyFont="1" applyBorder="1" applyAlignment="1">
      <alignment horizontal="center"/>
    </xf>
    <xf numFmtId="0" fontId="16" fillId="7" borderId="21" xfId="0" applyFont="1" applyFill="1" applyBorder="1" applyAlignment="1">
      <alignment horizontal="center"/>
    </xf>
    <xf numFmtId="0" fontId="16" fillId="7" borderId="27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/>
    </xf>
    <xf numFmtId="0" fontId="16" fillId="7" borderId="25" xfId="0" applyFont="1" applyFill="1" applyBorder="1" applyAlignment="1">
      <alignment horizontal="center"/>
    </xf>
    <xf numFmtId="0" fontId="16" fillId="20" borderId="15" xfId="0" applyFont="1" applyFill="1" applyBorder="1"/>
    <xf numFmtId="0" fontId="16" fillId="20" borderId="10" xfId="0" applyFont="1" applyFill="1" applyBorder="1"/>
    <xf numFmtId="0" fontId="16" fillId="21" borderId="10" xfId="0" applyFont="1" applyFill="1" applyBorder="1"/>
    <xf numFmtId="0" fontId="16" fillId="21" borderId="11" xfId="0" applyFont="1" applyFill="1" applyBorder="1"/>
    <xf numFmtId="0" fontId="16" fillId="0" borderId="15" xfId="0" quotePrefix="1" applyFont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17" fillId="7" borderId="25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16" fontId="16" fillId="7" borderId="10" xfId="0" applyNumberFormat="1" applyFont="1" applyFill="1" applyBorder="1"/>
    <xf numFmtId="0" fontId="0" fillId="22" borderId="0" xfId="0" applyFill="1" applyAlignment="1">
      <alignment horizontal="center" vertical="center"/>
    </xf>
    <xf numFmtId="0" fontId="16" fillId="23" borderId="10" xfId="0" applyFont="1" applyFill="1" applyBorder="1"/>
    <xf numFmtId="0" fontId="16" fillId="24" borderId="10" xfId="0" applyFont="1" applyFill="1" applyBorder="1"/>
    <xf numFmtId="0" fontId="16" fillId="24" borderId="11" xfId="0" applyFont="1" applyFill="1" applyBorder="1"/>
    <xf numFmtId="0" fontId="16" fillId="23" borderId="15" xfId="0" applyFont="1" applyFill="1" applyBorder="1"/>
    <xf numFmtId="0" fontId="11" fillId="0" borderId="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0" xfId="0" applyFont="1" applyAlignment="1"/>
    <xf numFmtId="0" fontId="14" fillId="6" borderId="12" xfId="6" applyFill="1" applyBorder="1" applyAlignment="1">
      <alignment horizontal="center"/>
    </xf>
  </cellXfs>
  <cellStyles count="8">
    <cellStyle name="Komma 2" xfId="2" xr:uid="{00000000-0005-0000-0000-000000000000}"/>
    <cellStyle name="Komma 3" xfId="3" xr:uid="{00000000-0005-0000-0000-000001000000}"/>
    <cellStyle name="Prozent" xfId="1" builtinId="5"/>
    <cellStyle name="Prozent 2" xfId="7" xr:uid="{00000000-0005-0000-0000-000003000000}"/>
    <cellStyle name="Standard" xfId="0" builtinId="0"/>
    <cellStyle name="Standard 2" xfId="4" xr:uid="{00000000-0005-0000-0000-000005000000}"/>
    <cellStyle name="Standard 3" xfId="5" xr:uid="{00000000-0005-0000-0000-000006000000}"/>
    <cellStyle name="Standard 4" xfId="6" xr:uid="{00000000-0005-0000-0000-000007000000}"/>
  </cellStyles>
  <dxfs count="6">
    <dxf>
      <font>
        <color theme="0" tint="-0.14996795556505021"/>
      </font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6</xdr:row>
      <xdr:rowOff>95250</xdr:rowOff>
    </xdr:from>
    <xdr:to>
      <xdr:col>9</xdr:col>
      <xdr:colOff>238125</xdr:colOff>
      <xdr:row>14</xdr:row>
      <xdr:rowOff>161925</xdr:rowOff>
    </xdr:to>
    <xdr:cxnSp macro="">
      <xdr:nvCxnSpPr>
        <xdr:cNvPr id="2" name="Gerade Verbindung mit Pfeil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6724650" y="1238250"/>
          <a:ext cx="371475" cy="1590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, Melanie" refreshedDate="45391.434665856483" createdVersion="8" refreshedVersion="8" minRefreshableVersion="3" recordCount="2604" xr:uid="{9610058D-0C92-46EC-8ED3-DEDB4B144C7A}">
  <cacheSource type="worksheet">
    <worksheetSource ref="B1:G2605" sheet="Planung"/>
  </cacheSource>
  <cacheFields count="6">
    <cacheField name="Date" numFmtId="0">
      <sharedItems containsNonDate="0" containsDate="1" containsString="0" containsBlank="1" minDate="2020-12-14T00:00:00" maxDate="2028-01-31T00:00:00" count="2599"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m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</sharedItems>
      <fieldGroup base="0">
        <rangePr groupBy="years" startDate="2020-12-14T00:00:00" endDate="2028-01-31T00:00:00"/>
        <groupItems count="11">
          <s v="(Leer)"/>
          <s v="2020"/>
          <s v="2021"/>
          <s v="2022"/>
          <s v="2023"/>
          <s v="2024"/>
          <s v="2025"/>
          <s v="2026"/>
          <s v="2027"/>
          <s v="2028"/>
          <s v="&gt;31.01.2028"/>
        </groupItems>
      </fieldGroup>
    </cacheField>
    <cacheField name="day" numFmtId="0">
      <sharedItems containsBlank="1"/>
    </cacheField>
    <cacheField name="Plant" numFmtId="0">
      <sharedItems containsBlank="1"/>
    </cacheField>
    <cacheField name="Tint" numFmtId="0">
      <sharedItems containsBlank="1"/>
    </cacheField>
    <cacheField name="Thickness" numFmtId="0">
      <sharedItems containsBlank="1" count="3">
        <s v="Standard Build."/>
        <s v="Thick"/>
        <m/>
      </sharedItems>
    </cacheField>
    <cacheField name="Thickness mm" numFmtId="0">
      <sharedItems containsBlank="1" containsMixedTypes="1" containsNumber="1" minValue="3.9" maxValue="19" count="14">
        <n v="3.9"/>
        <n v="5.9"/>
        <n v="4.9000000000000004"/>
        <n v="8"/>
        <n v="10"/>
        <n v="15"/>
        <n v="19"/>
        <n v="12"/>
        <s v="3,9/5,9"/>
        <s v="3,9/4,9"/>
        <s v="5,9/3,9"/>
        <s v="5,9/8"/>
        <s v="8/5,9/3,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4">
  <r>
    <x v="0"/>
    <s v="Montag"/>
    <s v="Porz"/>
    <s v="PLC"/>
    <x v="0"/>
    <x v="0"/>
  </r>
  <r>
    <x v="1"/>
    <s v="Dienstag"/>
    <s v="Porz"/>
    <s v="PLC"/>
    <x v="0"/>
    <x v="0"/>
  </r>
  <r>
    <x v="2"/>
    <s v="Mittwoch"/>
    <s v="Porz"/>
    <s v="PLC"/>
    <x v="0"/>
    <x v="1"/>
  </r>
  <r>
    <x v="3"/>
    <s v="Donnerstag"/>
    <s v="Porz"/>
    <s v="PLC"/>
    <x v="0"/>
    <x v="1"/>
  </r>
  <r>
    <x v="4"/>
    <s v="Freitag"/>
    <s v="Porz"/>
    <s v="PLC"/>
    <x v="0"/>
    <x v="1"/>
  </r>
  <r>
    <x v="5"/>
    <s v="Samstag"/>
    <s v="Porz"/>
    <s v="PLC"/>
    <x v="0"/>
    <x v="2"/>
  </r>
  <r>
    <x v="6"/>
    <s v="Sonntag"/>
    <s v="Porz"/>
    <s v="PLC"/>
    <x v="0"/>
    <x v="2"/>
  </r>
  <r>
    <x v="7"/>
    <s v="Montag"/>
    <s v="Porz"/>
    <s v="PLC"/>
    <x v="0"/>
    <x v="0"/>
  </r>
  <r>
    <x v="8"/>
    <s v="Dienstag"/>
    <s v="Porz"/>
    <s v="PLC"/>
    <x v="0"/>
    <x v="0"/>
  </r>
  <r>
    <x v="9"/>
    <s v="Mittwoch"/>
    <s v="Porz"/>
    <s v="PLC"/>
    <x v="0"/>
    <x v="0"/>
  </r>
  <r>
    <x v="10"/>
    <s v="Donnerstag"/>
    <s v="Porz"/>
    <s v="PLC"/>
    <x v="0"/>
    <x v="0"/>
  </r>
  <r>
    <x v="11"/>
    <s v="Freitag"/>
    <s v="Porz"/>
    <s v="PLC"/>
    <x v="0"/>
    <x v="0"/>
  </r>
  <r>
    <x v="12"/>
    <s v="Samstag"/>
    <s v="Porz"/>
    <s v="PLC"/>
    <x v="0"/>
    <x v="0"/>
  </r>
  <r>
    <x v="13"/>
    <s v="Sonntag"/>
    <s v="Porz"/>
    <s v="PLC"/>
    <x v="0"/>
    <x v="0"/>
  </r>
  <r>
    <x v="14"/>
    <s v="Montag"/>
    <s v="Porz"/>
    <s v="PLC"/>
    <x v="0"/>
    <x v="0"/>
  </r>
  <r>
    <x v="15"/>
    <s v="Dienstag"/>
    <s v="Porz"/>
    <s v="PLC"/>
    <x v="0"/>
    <x v="0"/>
  </r>
  <r>
    <x v="16"/>
    <s v="Mittwoch"/>
    <s v="Porz"/>
    <s v="PLC"/>
    <x v="0"/>
    <x v="0"/>
  </r>
  <r>
    <x v="17"/>
    <s v="Donnerstag"/>
    <s v="Porz"/>
    <s v="PLC"/>
    <x v="0"/>
    <x v="2"/>
  </r>
  <r>
    <x v="18"/>
    <s v="Freitag"/>
    <s v="Porz"/>
    <s v="PLC"/>
    <x v="0"/>
    <x v="2"/>
  </r>
  <r>
    <x v="19"/>
    <s v="Samstag"/>
    <s v="Porz"/>
    <s v="PLC"/>
    <x v="0"/>
    <x v="1"/>
  </r>
  <r>
    <x v="20"/>
    <s v="Sonntag"/>
    <s v="Porz"/>
    <s v="PLC"/>
    <x v="0"/>
    <x v="1"/>
  </r>
  <r>
    <x v="21"/>
    <s v="Montag"/>
    <s v="Porz"/>
    <s v="PLC"/>
    <x v="0"/>
    <x v="1"/>
  </r>
  <r>
    <x v="22"/>
    <s v="Dienstag"/>
    <s v="Porz"/>
    <s v="PLC"/>
    <x v="0"/>
    <x v="1"/>
  </r>
  <r>
    <x v="23"/>
    <s v="Mittwoch"/>
    <s v="Porz"/>
    <s v="PLC"/>
    <x v="0"/>
    <x v="3"/>
  </r>
  <r>
    <x v="24"/>
    <s v="Donnerstag"/>
    <s v="Porz"/>
    <s v="PLC"/>
    <x v="0"/>
    <x v="3"/>
  </r>
  <r>
    <x v="25"/>
    <s v="Freitag"/>
    <s v="Porz"/>
    <s v="PLC"/>
    <x v="0"/>
    <x v="4"/>
  </r>
  <r>
    <x v="26"/>
    <s v="Samstag"/>
    <s v="Porz"/>
    <s v="PLC"/>
    <x v="0"/>
    <x v="4"/>
  </r>
  <r>
    <x v="27"/>
    <s v="Sonntag"/>
    <s v="Porz"/>
    <s v="PLC"/>
    <x v="0"/>
    <x v="4"/>
  </r>
  <r>
    <x v="28"/>
    <s v="Montag"/>
    <s v="Porz"/>
    <s v="PLC"/>
    <x v="1"/>
    <x v="5"/>
  </r>
  <r>
    <x v="29"/>
    <s v="Dienstag"/>
    <s v="Porz"/>
    <s v="PLC"/>
    <x v="1"/>
    <x v="6"/>
  </r>
  <r>
    <x v="30"/>
    <s v="Mittwoch"/>
    <s v="Porz"/>
    <s v="PLC"/>
    <x v="1"/>
    <x v="6"/>
  </r>
  <r>
    <x v="31"/>
    <s v="Donnerstag"/>
    <s v="Porz"/>
    <s v="PLC"/>
    <x v="1"/>
    <x v="6"/>
  </r>
  <r>
    <x v="32"/>
    <s v="Freitag"/>
    <s v="Porz"/>
    <s v="PLC"/>
    <x v="1"/>
    <x v="7"/>
  </r>
  <r>
    <x v="33"/>
    <s v="Samstag"/>
    <s v="Porz"/>
    <s v="PLC"/>
    <x v="0"/>
    <x v="7"/>
  </r>
  <r>
    <x v="34"/>
    <s v="Sonntag"/>
    <s v="Porz"/>
    <s v="PLC"/>
    <x v="0"/>
    <x v="7"/>
  </r>
  <r>
    <x v="35"/>
    <s v="Montag"/>
    <s v="Porz"/>
    <s v="PLC"/>
    <x v="0"/>
    <x v="3"/>
  </r>
  <r>
    <x v="36"/>
    <s v="Dienstag"/>
    <s v="Porz"/>
    <s v="PLC"/>
    <x v="0"/>
    <x v="1"/>
  </r>
  <r>
    <x v="37"/>
    <s v="Mittwoch"/>
    <s v="Porz"/>
    <s v="PLC"/>
    <x v="0"/>
    <x v="1"/>
  </r>
  <r>
    <x v="38"/>
    <s v="Donnerstag"/>
    <s v="Porz"/>
    <s v="PLC"/>
    <x v="0"/>
    <x v="1"/>
  </r>
  <r>
    <x v="39"/>
    <s v="Freitag"/>
    <s v="Porz"/>
    <s v="PLC"/>
    <x v="0"/>
    <x v="0"/>
  </r>
  <r>
    <x v="40"/>
    <s v="Samstag"/>
    <s v="Porz"/>
    <s v="PLC"/>
    <x v="0"/>
    <x v="0"/>
  </r>
  <r>
    <x v="41"/>
    <s v="Sonntag"/>
    <s v="Porz"/>
    <s v="PLC"/>
    <x v="0"/>
    <x v="0"/>
  </r>
  <r>
    <x v="42"/>
    <s v="Montag"/>
    <s v="Porz"/>
    <s v="Transition"/>
    <x v="0"/>
    <x v="0"/>
  </r>
  <r>
    <x v="43"/>
    <s v="Dienstag"/>
    <s v="Porz"/>
    <s v="Transition"/>
    <x v="0"/>
    <x v="0"/>
  </r>
  <r>
    <x v="44"/>
    <s v="Mittwoch"/>
    <s v="Porz"/>
    <s v="Transition"/>
    <x v="0"/>
    <x v="0"/>
  </r>
  <r>
    <x v="45"/>
    <s v="Donnerstag"/>
    <s v="Porz"/>
    <s v="Transition"/>
    <x v="0"/>
    <x v="0"/>
  </r>
  <r>
    <x v="46"/>
    <s v="Freitag"/>
    <s v="Porz"/>
    <s v="Diamant"/>
    <x v="0"/>
    <x v="0"/>
  </r>
  <r>
    <x v="47"/>
    <s v="Samstag"/>
    <s v="Porz"/>
    <s v="Diamant"/>
    <x v="0"/>
    <x v="0"/>
  </r>
  <r>
    <x v="48"/>
    <s v="Sonntag"/>
    <s v="Porz"/>
    <s v="Diamant"/>
    <x v="0"/>
    <x v="2"/>
  </r>
  <r>
    <x v="49"/>
    <s v="Montag"/>
    <s v="Porz"/>
    <s v="Diamant"/>
    <x v="0"/>
    <x v="1"/>
  </r>
  <r>
    <x v="50"/>
    <s v="Dienstag"/>
    <s v="Porz"/>
    <s v="Diamant"/>
    <x v="0"/>
    <x v="1"/>
  </r>
  <r>
    <x v="51"/>
    <s v="Mittwoch"/>
    <s v="Porz"/>
    <s v="Diamant"/>
    <x v="0"/>
    <x v="1"/>
  </r>
  <r>
    <x v="52"/>
    <s v="Donnerstag"/>
    <s v="Porz"/>
    <s v="Diamant"/>
    <x v="0"/>
    <x v="3"/>
  </r>
  <r>
    <x v="53"/>
    <s v="Freitag"/>
    <s v="Porz"/>
    <s v="Diamant"/>
    <x v="0"/>
    <x v="3"/>
  </r>
  <r>
    <x v="54"/>
    <s v="Samstag"/>
    <s v="Porz"/>
    <s v="Diamant"/>
    <x v="0"/>
    <x v="3"/>
  </r>
  <r>
    <x v="55"/>
    <s v="Sonntag"/>
    <s v="Porz"/>
    <s v="Diamant"/>
    <x v="0"/>
    <x v="3"/>
  </r>
  <r>
    <x v="56"/>
    <s v="Montag"/>
    <s v="Porz"/>
    <s v="Diamant"/>
    <x v="0"/>
    <x v="7"/>
  </r>
  <r>
    <x v="57"/>
    <s v="Dienstag"/>
    <s v="Porz"/>
    <s v="Diamant"/>
    <x v="0"/>
    <x v="7"/>
  </r>
  <r>
    <x v="58"/>
    <s v="Mittwoch"/>
    <s v="Porz"/>
    <s v="Diamant"/>
    <x v="0"/>
    <x v="5"/>
  </r>
  <r>
    <x v="59"/>
    <s v="Donnerstag"/>
    <s v="Porz"/>
    <s v="Diamant"/>
    <x v="0"/>
    <x v="4"/>
  </r>
  <r>
    <x v="60"/>
    <s v="Freitag"/>
    <s v="Porz"/>
    <s v="Diamant"/>
    <x v="0"/>
    <x v="4"/>
  </r>
  <r>
    <x v="61"/>
    <s v="Samstag"/>
    <s v="Porz"/>
    <s v="Diamant"/>
    <x v="0"/>
    <x v="4"/>
  </r>
  <r>
    <x v="62"/>
    <s v="Sonntag"/>
    <s v="Porz"/>
    <s v="Diamant"/>
    <x v="0"/>
    <x v="4"/>
  </r>
  <r>
    <x v="63"/>
    <s v="Montag"/>
    <s v="Porz"/>
    <s v="Diamant"/>
    <x v="0"/>
    <x v="4"/>
  </r>
  <r>
    <x v="64"/>
    <s v="Dienstag"/>
    <s v="Porz"/>
    <s v="Diamant"/>
    <x v="0"/>
    <x v="1"/>
  </r>
  <r>
    <x v="65"/>
    <s v="Mittwoch"/>
    <s v="Porz"/>
    <s v="Diamant"/>
    <x v="0"/>
    <x v="0"/>
  </r>
  <r>
    <x v="66"/>
    <s v="Donnerstag"/>
    <s v="Porz"/>
    <s v="Transition"/>
    <x v="0"/>
    <x v="0"/>
  </r>
  <r>
    <x v="67"/>
    <s v="Freitag"/>
    <s v="Porz"/>
    <s v="Transition"/>
    <x v="0"/>
    <x v="0"/>
  </r>
  <r>
    <x v="68"/>
    <s v="Samstag"/>
    <s v="Porz"/>
    <s v="Transition"/>
    <x v="0"/>
    <x v="0"/>
  </r>
  <r>
    <x v="69"/>
    <s v="Sonntag"/>
    <s v="Porz"/>
    <s v="PLC"/>
    <x v="0"/>
    <x v="0"/>
  </r>
  <r>
    <x v="70"/>
    <s v="Montag"/>
    <s v="Porz"/>
    <s v="PLC"/>
    <x v="0"/>
    <x v="0"/>
  </r>
  <r>
    <x v="71"/>
    <s v="Dienstag"/>
    <s v="Porz"/>
    <s v="PLC"/>
    <x v="0"/>
    <x v="0"/>
  </r>
  <r>
    <x v="72"/>
    <s v="Mittwoch"/>
    <s v="Porz"/>
    <s v="PLC"/>
    <x v="0"/>
    <x v="0"/>
  </r>
  <r>
    <x v="73"/>
    <s v="Donnerstag"/>
    <s v="Porz"/>
    <s v="PLC"/>
    <x v="0"/>
    <x v="0"/>
  </r>
  <r>
    <x v="74"/>
    <s v="Freitag"/>
    <s v="Porz"/>
    <s v="PLC"/>
    <x v="0"/>
    <x v="0"/>
  </r>
  <r>
    <x v="75"/>
    <s v="Samstag"/>
    <s v="Porz"/>
    <s v="PLC"/>
    <x v="0"/>
    <x v="0"/>
  </r>
  <r>
    <x v="76"/>
    <s v="Sonntag"/>
    <s v="Porz"/>
    <s v="PLC"/>
    <x v="0"/>
    <x v="8"/>
  </r>
  <r>
    <x v="77"/>
    <s v="Montag"/>
    <s v="Porz"/>
    <s v="PLC"/>
    <x v="0"/>
    <x v="1"/>
  </r>
  <r>
    <x v="78"/>
    <s v="Dienstag"/>
    <s v="Porz"/>
    <s v="PLC"/>
    <x v="0"/>
    <x v="1"/>
  </r>
  <r>
    <x v="79"/>
    <s v="Mittwoch"/>
    <s v="Porz"/>
    <s v="PLC"/>
    <x v="0"/>
    <x v="3"/>
  </r>
  <r>
    <x v="80"/>
    <s v="Donnerstag"/>
    <s v="Porz"/>
    <s v="PLC"/>
    <x v="0"/>
    <x v="3"/>
  </r>
  <r>
    <x v="81"/>
    <s v="Freitag"/>
    <s v="Porz"/>
    <s v="PLC"/>
    <x v="0"/>
    <x v="4"/>
  </r>
  <r>
    <x v="82"/>
    <s v="Samstag"/>
    <s v="Porz"/>
    <s v="PLC"/>
    <x v="0"/>
    <x v="1"/>
  </r>
  <r>
    <x v="83"/>
    <s v="Sonntag"/>
    <s v="Porz"/>
    <s v="PLC"/>
    <x v="0"/>
    <x v="1"/>
  </r>
  <r>
    <x v="84"/>
    <s v="Montag"/>
    <s v="Porz"/>
    <s v="PLC"/>
    <x v="0"/>
    <x v="2"/>
  </r>
  <r>
    <x v="85"/>
    <s v="Dienstag"/>
    <s v="Porz"/>
    <s v="PLC"/>
    <x v="0"/>
    <x v="2"/>
  </r>
  <r>
    <x v="86"/>
    <s v="Mittwoch"/>
    <s v="Porz"/>
    <s v="PLC"/>
    <x v="0"/>
    <x v="0"/>
  </r>
  <r>
    <x v="87"/>
    <s v="Donnerstag"/>
    <s v="Porz"/>
    <s v="PLC"/>
    <x v="0"/>
    <x v="0"/>
  </r>
  <r>
    <x v="88"/>
    <s v="Freitag"/>
    <s v="Porz"/>
    <s v="PLC"/>
    <x v="0"/>
    <x v="0"/>
  </r>
  <r>
    <x v="89"/>
    <s v="Samstag"/>
    <s v="Porz"/>
    <s v="PLC"/>
    <x v="0"/>
    <x v="0"/>
  </r>
  <r>
    <x v="90"/>
    <s v="Sonntag"/>
    <s v="Porz"/>
    <s v="PLC"/>
    <x v="0"/>
    <x v="0"/>
  </r>
  <r>
    <x v="91"/>
    <s v="Montag"/>
    <s v="Porz"/>
    <s v="PLC"/>
    <x v="0"/>
    <x v="0"/>
  </r>
  <r>
    <x v="92"/>
    <s v="Dienstag"/>
    <s v="Porz"/>
    <s v="PLC"/>
    <x v="0"/>
    <x v="0"/>
  </r>
  <r>
    <x v="93"/>
    <s v="Mittwoch"/>
    <s v="Porz"/>
    <s v="PLC"/>
    <x v="0"/>
    <x v="0"/>
  </r>
  <r>
    <x v="94"/>
    <s v="Donnerstag"/>
    <s v="Porz"/>
    <s v="PLC"/>
    <x v="0"/>
    <x v="0"/>
  </r>
  <r>
    <x v="95"/>
    <s v="Freitag"/>
    <s v="Porz"/>
    <s v="PLC"/>
    <x v="0"/>
    <x v="1"/>
  </r>
  <r>
    <x v="96"/>
    <s v="Samstag"/>
    <s v="Porz"/>
    <s v="PLC"/>
    <x v="0"/>
    <x v="1"/>
  </r>
  <r>
    <x v="97"/>
    <s v="Sonntag"/>
    <s v="Porz"/>
    <s v="PLC"/>
    <x v="0"/>
    <x v="1"/>
  </r>
  <r>
    <x v="98"/>
    <s v="Montag"/>
    <s v="Porz"/>
    <s v="PLC"/>
    <x v="0"/>
    <x v="0"/>
  </r>
  <r>
    <x v="99"/>
    <s v="Dienstag"/>
    <s v="Porz"/>
    <s v="PLC"/>
    <x v="0"/>
    <x v="0"/>
  </r>
  <r>
    <x v="100"/>
    <s v="Mittwoch"/>
    <s v="Porz"/>
    <s v="PLC"/>
    <x v="0"/>
    <x v="0"/>
  </r>
  <r>
    <x v="101"/>
    <s v="Donnerstag"/>
    <s v="Porz"/>
    <s v="PLC"/>
    <x v="0"/>
    <x v="2"/>
  </r>
  <r>
    <x v="102"/>
    <s v="Freitag"/>
    <s v="Porz"/>
    <s v="PLC"/>
    <x v="0"/>
    <x v="3"/>
  </r>
  <r>
    <x v="103"/>
    <s v="Samstag"/>
    <s v="Porz"/>
    <s v="PLC"/>
    <x v="0"/>
    <x v="3"/>
  </r>
  <r>
    <x v="104"/>
    <s v="Sonntag"/>
    <s v="Porz"/>
    <s v="PLC"/>
    <x v="0"/>
    <x v="3"/>
  </r>
  <r>
    <x v="105"/>
    <s v="Montag"/>
    <s v="Porz"/>
    <s v="PLC"/>
    <x v="0"/>
    <x v="7"/>
  </r>
  <r>
    <x v="106"/>
    <s v="Dienstag"/>
    <s v="Porz"/>
    <s v="PLC"/>
    <x v="0"/>
    <x v="7"/>
  </r>
  <r>
    <x v="107"/>
    <s v="Mittwoch"/>
    <s v="Porz"/>
    <s v="PLC"/>
    <x v="0"/>
    <x v="4"/>
  </r>
  <r>
    <x v="108"/>
    <s v="Donnerstag"/>
    <s v="Porz"/>
    <s v="PLC"/>
    <x v="0"/>
    <x v="4"/>
  </r>
  <r>
    <x v="109"/>
    <s v="Freitag"/>
    <s v="Porz"/>
    <s v="PLC"/>
    <x v="0"/>
    <x v="1"/>
  </r>
  <r>
    <x v="110"/>
    <s v="Samstag"/>
    <s v="Porz"/>
    <s v="PLC"/>
    <x v="0"/>
    <x v="0"/>
  </r>
  <r>
    <x v="111"/>
    <s v="Sonntag"/>
    <s v="Porz"/>
    <s v="PLC"/>
    <x v="0"/>
    <x v="0"/>
  </r>
  <r>
    <x v="112"/>
    <s v="Montag"/>
    <s v="Porz"/>
    <s v="PLC"/>
    <x v="0"/>
    <x v="0"/>
  </r>
  <r>
    <x v="113"/>
    <s v="Dienstag"/>
    <s v="Porz"/>
    <s v="PLC"/>
    <x v="0"/>
    <x v="0"/>
  </r>
  <r>
    <x v="114"/>
    <s v="Mittwoch"/>
    <s v="Porz"/>
    <s v="PLC"/>
    <x v="0"/>
    <x v="0"/>
  </r>
  <r>
    <x v="115"/>
    <s v="Donnerstag"/>
    <s v="Porz"/>
    <s v="PLC"/>
    <x v="0"/>
    <x v="1"/>
  </r>
  <r>
    <x v="116"/>
    <s v="Freitag"/>
    <s v="Porz"/>
    <s v="PLC"/>
    <x v="0"/>
    <x v="1"/>
  </r>
  <r>
    <x v="117"/>
    <s v="Samstag"/>
    <s v="Porz"/>
    <s v="PLC"/>
    <x v="0"/>
    <x v="0"/>
  </r>
  <r>
    <x v="118"/>
    <s v="Sonntag"/>
    <s v="Porz"/>
    <s v="PLC"/>
    <x v="0"/>
    <x v="0"/>
  </r>
  <r>
    <x v="119"/>
    <s v="Montag"/>
    <s v="Porz"/>
    <s v="PLC"/>
    <x v="0"/>
    <x v="0"/>
  </r>
  <r>
    <x v="120"/>
    <s v="Dienstag"/>
    <s v="Porz"/>
    <s v="PLC"/>
    <x v="0"/>
    <x v="0"/>
  </r>
  <r>
    <x v="121"/>
    <s v="Mittwoch"/>
    <s v="Porz"/>
    <s v="PLC"/>
    <x v="0"/>
    <x v="0"/>
  </r>
  <r>
    <x v="122"/>
    <s v="Donnerstag"/>
    <s v="Porz"/>
    <s v="PLC"/>
    <x v="0"/>
    <x v="2"/>
  </r>
  <r>
    <x v="123"/>
    <s v="Freitag"/>
    <s v="Porz"/>
    <s v="PLC"/>
    <x v="0"/>
    <x v="1"/>
  </r>
  <r>
    <x v="124"/>
    <s v="Samstag"/>
    <s v="Porz"/>
    <s v="PLC"/>
    <x v="0"/>
    <x v="1"/>
  </r>
  <r>
    <x v="125"/>
    <s v="Sonntag"/>
    <s v="Porz"/>
    <s v="PLC"/>
    <x v="0"/>
    <x v="1"/>
  </r>
  <r>
    <x v="126"/>
    <s v="Montag"/>
    <s v="Porz"/>
    <s v="PLC"/>
    <x v="0"/>
    <x v="4"/>
  </r>
  <r>
    <x v="127"/>
    <s v="Dienstag"/>
    <s v="Porz"/>
    <s v="PLC"/>
    <x v="0"/>
    <x v="3"/>
  </r>
  <r>
    <x v="128"/>
    <s v="Mittwoch"/>
    <s v="Porz"/>
    <s v="PLC"/>
    <x v="0"/>
    <x v="3"/>
  </r>
  <r>
    <x v="129"/>
    <s v="Donnerstag"/>
    <s v="Porz"/>
    <s v="PLC"/>
    <x v="0"/>
    <x v="0"/>
  </r>
  <r>
    <x v="130"/>
    <s v="Freitag"/>
    <s v="Porz"/>
    <s v="PLC"/>
    <x v="0"/>
    <x v="0"/>
  </r>
  <r>
    <x v="131"/>
    <s v="Samstag"/>
    <s v="Porz"/>
    <s v="PLC"/>
    <x v="0"/>
    <x v="0"/>
  </r>
  <r>
    <x v="132"/>
    <s v="Sonntag"/>
    <s v="Porz"/>
    <s v="PLC"/>
    <x v="0"/>
    <x v="0"/>
  </r>
  <r>
    <x v="133"/>
    <s v="Montag"/>
    <s v="Porz"/>
    <s v="PLC"/>
    <x v="0"/>
    <x v="0"/>
  </r>
  <r>
    <x v="134"/>
    <s v="Dienstag"/>
    <s v="Porz"/>
    <s v="PLC"/>
    <x v="0"/>
    <x v="0"/>
  </r>
  <r>
    <x v="135"/>
    <s v="Mittwoch"/>
    <s v="Porz"/>
    <s v="PLC"/>
    <x v="0"/>
    <x v="1"/>
  </r>
  <r>
    <x v="136"/>
    <s v="Donnerstag"/>
    <s v="Porz"/>
    <s v="PLC"/>
    <x v="0"/>
    <x v="1"/>
  </r>
  <r>
    <x v="137"/>
    <s v="Freitag"/>
    <s v="Porz"/>
    <s v="PLC"/>
    <x v="0"/>
    <x v="2"/>
  </r>
  <r>
    <x v="138"/>
    <s v="Samstag"/>
    <s v="Porz"/>
    <s v="PLC"/>
    <x v="0"/>
    <x v="2"/>
  </r>
  <r>
    <x v="139"/>
    <s v="Sonntag"/>
    <s v="Porz"/>
    <s v="PLC"/>
    <x v="0"/>
    <x v="2"/>
  </r>
  <r>
    <x v="140"/>
    <s v="Montag"/>
    <s v="Porz"/>
    <s v="PLC"/>
    <x v="0"/>
    <x v="0"/>
  </r>
  <r>
    <x v="141"/>
    <s v="Dienstag"/>
    <s v="Porz"/>
    <s v="PLC"/>
    <x v="0"/>
    <x v="0"/>
  </r>
  <r>
    <x v="142"/>
    <s v="Mittwoch"/>
    <s v="Porz"/>
    <s v="PLC"/>
    <x v="0"/>
    <x v="0"/>
  </r>
  <r>
    <x v="143"/>
    <s v="Donnerstag"/>
    <s v="Porz"/>
    <s v="PLC"/>
    <x v="0"/>
    <x v="0"/>
  </r>
  <r>
    <x v="144"/>
    <s v="Freitag"/>
    <s v="Porz"/>
    <s v="PLC"/>
    <x v="0"/>
    <x v="0"/>
  </r>
  <r>
    <x v="145"/>
    <s v="Samstag"/>
    <s v="Porz"/>
    <s v="PLC"/>
    <x v="0"/>
    <x v="0"/>
  </r>
  <r>
    <x v="146"/>
    <s v="Sonntag"/>
    <s v="Porz"/>
    <s v="PLC"/>
    <x v="0"/>
    <x v="0"/>
  </r>
  <r>
    <x v="147"/>
    <s v="Montag"/>
    <s v="Porz"/>
    <s v="PLC"/>
    <x v="0"/>
    <x v="2"/>
  </r>
  <r>
    <x v="148"/>
    <s v="Dienstag"/>
    <s v="Porz"/>
    <s v="PLC"/>
    <x v="0"/>
    <x v="2"/>
  </r>
  <r>
    <x v="149"/>
    <s v="Mittwoch"/>
    <s v="Porz"/>
    <s v="PLC"/>
    <x v="0"/>
    <x v="1"/>
  </r>
  <r>
    <x v="150"/>
    <s v="Donnerstag"/>
    <s v="Porz"/>
    <s v="PLC"/>
    <x v="0"/>
    <x v="1"/>
  </r>
  <r>
    <x v="151"/>
    <s v="Freitag"/>
    <s v="Porz"/>
    <s v="PLC"/>
    <x v="0"/>
    <x v="3"/>
  </r>
  <r>
    <x v="152"/>
    <s v="Samstag"/>
    <s v="Porz"/>
    <s v="PLC"/>
    <x v="0"/>
    <x v="3"/>
  </r>
  <r>
    <x v="153"/>
    <s v="Sonntag"/>
    <s v="Porz"/>
    <s v="PLC"/>
    <x v="0"/>
    <x v="3"/>
  </r>
  <r>
    <x v="154"/>
    <s v="Montag"/>
    <s v="Porz"/>
    <s v="PLC"/>
    <x v="0"/>
    <x v="7"/>
  </r>
  <r>
    <x v="155"/>
    <s v="Dienstag"/>
    <s v="Porz"/>
    <s v="PLC"/>
    <x v="0"/>
    <x v="7"/>
  </r>
  <r>
    <x v="156"/>
    <s v="Mittwoch"/>
    <s v="Porz"/>
    <s v="PLC"/>
    <x v="1"/>
    <x v="5"/>
  </r>
  <r>
    <x v="157"/>
    <s v="Donnerstag"/>
    <s v="Porz"/>
    <s v="PLC"/>
    <x v="1"/>
    <x v="5"/>
  </r>
  <r>
    <x v="158"/>
    <s v="Freitag"/>
    <s v="Porz"/>
    <s v="PLC"/>
    <x v="0"/>
    <x v="4"/>
  </r>
  <r>
    <x v="159"/>
    <s v="Samstag"/>
    <s v="Porz"/>
    <s v="PLC"/>
    <x v="0"/>
    <x v="4"/>
  </r>
  <r>
    <x v="160"/>
    <s v="Sonntag"/>
    <s v="Porz"/>
    <s v="PLC"/>
    <x v="0"/>
    <x v="4"/>
  </r>
  <r>
    <x v="161"/>
    <s v="Montag"/>
    <s v="Porz"/>
    <s v="PLC"/>
    <x v="0"/>
    <x v="3"/>
  </r>
  <r>
    <x v="162"/>
    <s v="Dienstag"/>
    <s v="Porz"/>
    <s v="PLC"/>
    <x v="0"/>
    <x v="1"/>
  </r>
  <r>
    <x v="163"/>
    <s v="Mittwoch"/>
    <s v="Porz"/>
    <s v="PLC"/>
    <x v="0"/>
    <x v="0"/>
  </r>
  <r>
    <x v="164"/>
    <s v="Donnerstag"/>
    <s v="Porz"/>
    <s v="PLC"/>
    <x v="0"/>
    <x v="0"/>
  </r>
  <r>
    <x v="165"/>
    <s v="Freitag"/>
    <s v="Porz"/>
    <s v="PLC"/>
    <x v="0"/>
    <x v="0"/>
  </r>
  <r>
    <x v="166"/>
    <s v="Samstag"/>
    <s v="Porz"/>
    <s v="PLC"/>
    <x v="0"/>
    <x v="0"/>
  </r>
  <r>
    <x v="167"/>
    <s v="Sonntag"/>
    <s v="Porz"/>
    <s v="PLC"/>
    <x v="0"/>
    <x v="0"/>
  </r>
  <r>
    <x v="168"/>
    <s v="Montag"/>
    <s v="Porz"/>
    <s v="PLC"/>
    <x v="0"/>
    <x v="1"/>
  </r>
  <r>
    <x v="169"/>
    <s v="Dienstag"/>
    <s v="Porz"/>
    <s v="PLC"/>
    <x v="0"/>
    <x v="1"/>
  </r>
  <r>
    <x v="170"/>
    <s v="Mittwoch"/>
    <s v="Porz"/>
    <s v="PLC"/>
    <x v="0"/>
    <x v="0"/>
  </r>
  <r>
    <x v="171"/>
    <s v="Donnerstag"/>
    <s v="Porz"/>
    <s v="Transition"/>
    <x v="0"/>
    <x v="0"/>
  </r>
  <r>
    <x v="172"/>
    <s v="Freitag"/>
    <s v="Porz"/>
    <s v="Transition"/>
    <x v="0"/>
    <x v="0"/>
  </r>
  <r>
    <x v="173"/>
    <s v="Samstag"/>
    <s v="Porz"/>
    <s v="Transition"/>
    <x v="0"/>
    <x v="0"/>
  </r>
  <r>
    <x v="174"/>
    <s v="Sonntag"/>
    <s v="Porz"/>
    <s v="Transition"/>
    <x v="0"/>
    <x v="0"/>
  </r>
  <r>
    <x v="175"/>
    <s v="Montag"/>
    <s v="Porz"/>
    <s v="Diamant"/>
    <x v="0"/>
    <x v="0"/>
  </r>
  <r>
    <x v="176"/>
    <s v="Dienstag"/>
    <s v="Porz"/>
    <s v="Diamant"/>
    <x v="0"/>
    <x v="0"/>
  </r>
  <r>
    <x v="177"/>
    <s v="Mittwoch"/>
    <s v="Porz"/>
    <s v="Diamant"/>
    <x v="0"/>
    <x v="2"/>
  </r>
  <r>
    <x v="178"/>
    <s v="Donnerstag"/>
    <s v="Porz"/>
    <s v="Diamant"/>
    <x v="0"/>
    <x v="1"/>
  </r>
  <r>
    <x v="179"/>
    <s v="Freitag"/>
    <s v="Porz"/>
    <s v="Diamant"/>
    <x v="0"/>
    <x v="3"/>
  </r>
  <r>
    <x v="180"/>
    <s v="Samstag"/>
    <s v="Porz"/>
    <s v="Diamant"/>
    <x v="0"/>
    <x v="3"/>
  </r>
  <r>
    <x v="181"/>
    <s v="Sonntag"/>
    <s v="Porz"/>
    <s v="Diamant"/>
    <x v="0"/>
    <x v="3"/>
  </r>
  <r>
    <x v="182"/>
    <s v="Montag"/>
    <s v="Porz"/>
    <s v="Diamant"/>
    <x v="0"/>
    <x v="3"/>
  </r>
  <r>
    <x v="183"/>
    <s v="Dienstag"/>
    <s v="Porz"/>
    <s v="Diamant"/>
    <x v="0"/>
    <x v="4"/>
  </r>
  <r>
    <x v="184"/>
    <s v="Mittwoch"/>
    <s v="Porz"/>
    <s v="Diamant"/>
    <x v="0"/>
    <x v="5"/>
  </r>
  <r>
    <x v="185"/>
    <s v="Donnerstag"/>
    <s v="Porz"/>
    <s v="Diamant"/>
    <x v="0"/>
    <x v="7"/>
  </r>
  <r>
    <x v="186"/>
    <s v="Freitag"/>
    <s v="Porz"/>
    <s v="Diamant"/>
    <x v="0"/>
    <x v="7"/>
  </r>
  <r>
    <x v="187"/>
    <s v="Samstag"/>
    <s v="Porz"/>
    <s v="Diamant"/>
    <x v="0"/>
    <x v="4"/>
  </r>
  <r>
    <x v="188"/>
    <s v="Sonntag"/>
    <s v="Porz"/>
    <s v="Diamant"/>
    <x v="0"/>
    <x v="4"/>
  </r>
  <r>
    <x v="189"/>
    <s v="Montag"/>
    <s v="Porz"/>
    <s v="Diamant"/>
    <x v="0"/>
    <x v="4"/>
  </r>
  <r>
    <x v="190"/>
    <s v="Dienstag"/>
    <s v="Porz"/>
    <s v="Diamant"/>
    <x v="0"/>
    <x v="4"/>
  </r>
  <r>
    <x v="191"/>
    <s v="Mittwoch"/>
    <s v="Porz"/>
    <s v="Diamant"/>
    <x v="0"/>
    <x v="1"/>
  </r>
  <r>
    <x v="192"/>
    <s v="Donnerstag"/>
    <s v="Porz"/>
    <s v="Diamant"/>
    <x v="0"/>
    <x v="1"/>
  </r>
  <r>
    <x v="193"/>
    <s v="Freitag"/>
    <s v="Porz"/>
    <s v="Diamant"/>
    <x v="0"/>
    <x v="1"/>
  </r>
  <r>
    <x v="194"/>
    <s v="Samstag"/>
    <s v="Porz"/>
    <s v="Diamant"/>
    <x v="0"/>
    <x v="0"/>
  </r>
  <r>
    <x v="195"/>
    <s v="Sonntag"/>
    <s v="Porz"/>
    <s v="Diamant"/>
    <x v="0"/>
    <x v="0"/>
  </r>
  <r>
    <x v="196"/>
    <s v="Montag"/>
    <s v="Porz"/>
    <s v="Transition"/>
    <x v="0"/>
    <x v="0"/>
  </r>
  <r>
    <x v="197"/>
    <s v="Dienstag"/>
    <s v="Porz"/>
    <s v="Transition"/>
    <x v="0"/>
    <x v="0"/>
  </r>
  <r>
    <x v="198"/>
    <s v="Mittwoch"/>
    <s v="Porz"/>
    <s v="Transition"/>
    <x v="0"/>
    <x v="0"/>
  </r>
  <r>
    <x v="199"/>
    <s v="Donnerstag"/>
    <s v="Porz"/>
    <s v="Transition"/>
    <x v="0"/>
    <x v="0"/>
  </r>
  <r>
    <x v="200"/>
    <s v="Freitag"/>
    <s v="Porz"/>
    <s v="PLC"/>
    <x v="0"/>
    <x v="0"/>
  </r>
  <r>
    <x v="201"/>
    <s v="Samstag"/>
    <s v="Porz"/>
    <s v="PLC"/>
    <x v="0"/>
    <x v="0"/>
  </r>
  <r>
    <x v="202"/>
    <s v="Sonntag"/>
    <s v="Porz"/>
    <s v="PLC"/>
    <x v="0"/>
    <x v="0"/>
  </r>
  <r>
    <x v="203"/>
    <s v="Montag"/>
    <s v="Porz"/>
    <s v="PLC"/>
    <x v="0"/>
    <x v="1"/>
  </r>
  <r>
    <x v="204"/>
    <s v="Dienstag"/>
    <s v="Porz"/>
    <s v="PLC"/>
    <x v="0"/>
    <x v="1"/>
  </r>
  <r>
    <x v="205"/>
    <s v="Mittwoch"/>
    <s v="Porz"/>
    <s v="PLC"/>
    <x v="0"/>
    <x v="1"/>
  </r>
  <r>
    <x v="206"/>
    <s v="Donnerstag"/>
    <s v="Porz"/>
    <s v="PLC"/>
    <x v="0"/>
    <x v="1"/>
  </r>
  <r>
    <x v="207"/>
    <s v="Freitag"/>
    <s v="Porz"/>
    <s v="PLC"/>
    <x v="0"/>
    <x v="2"/>
  </r>
  <r>
    <x v="208"/>
    <s v="Samstag"/>
    <s v="Porz"/>
    <s v="PLC"/>
    <x v="0"/>
    <x v="2"/>
  </r>
  <r>
    <x v="209"/>
    <s v="Sonntag"/>
    <s v="Porz"/>
    <s v="PLC"/>
    <x v="0"/>
    <x v="2"/>
  </r>
  <r>
    <x v="210"/>
    <s v="Montag"/>
    <s v="Porz"/>
    <s v="PLC"/>
    <x v="0"/>
    <x v="0"/>
  </r>
  <r>
    <x v="211"/>
    <s v="Dienstag"/>
    <s v="Porz"/>
    <s v="PLC"/>
    <x v="0"/>
    <x v="0"/>
  </r>
  <r>
    <x v="212"/>
    <s v="Mittwoch"/>
    <s v="Porz"/>
    <s v="PLC"/>
    <x v="0"/>
    <x v="0"/>
  </r>
  <r>
    <x v="213"/>
    <s v="Donnerstag"/>
    <s v="Porz"/>
    <s v="PLC"/>
    <x v="0"/>
    <x v="1"/>
  </r>
  <r>
    <x v="214"/>
    <s v="Freitag"/>
    <s v="Porz"/>
    <s v="PLC"/>
    <x v="0"/>
    <x v="3"/>
  </r>
  <r>
    <x v="215"/>
    <s v="Samstag"/>
    <s v="Porz"/>
    <s v="PLC"/>
    <x v="0"/>
    <x v="3"/>
  </r>
  <r>
    <x v="216"/>
    <s v="Sonntag"/>
    <s v="Porz"/>
    <s v="PLC"/>
    <x v="0"/>
    <x v="3"/>
  </r>
  <r>
    <x v="217"/>
    <s v="Montag"/>
    <s v="Porz"/>
    <s v="PLC"/>
    <x v="0"/>
    <x v="4"/>
  </r>
  <r>
    <x v="218"/>
    <s v="Dienstag"/>
    <s v="Porz"/>
    <s v="PLC"/>
    <x v="0"/>
    <x v="7"/>
  </r>
  <r>
    <x v="219"/>
    <s v="Mittwoch"/>
    <s v="Porz"/>
    <s v="PLC"/>
    <x v="0"/>
    <x v="7"/>
  </r>
  <r>
    <x v="220"/>
    <s v="Donnerstag"/>
    <s v="Porz"/>
    <s v="PLC"/>
    <x v="0"/>
    <x v="7"/>
  </r>
  <r>
    <x v="221"/>
    <s v="Freitag"/>
    <s v="Porz"/>
    <s v="PLC"/>
    <x v="0"/>
    <x v="4"/>
  </r>
  <r>
    <x v="222"/>
    <s v="Samstag"/>
    <s v="Porz"/>
    <s v="PLC"/>
    <x v="0"/>
    <x v="4"/>
  </r>
  <r>
    <x v="223"/>
    <s v="Sonntag"/>
    <s v="Porz"/>
    <s v="PLC"/>
    <x v="0"/>
    <x v="4"/>
  </r>
  <r>
    <x v="224"/>
    <s v="Montag"/>
    <s v="Porz"/>
    <s v="PLC"/>
    <x v="0"/>
    <x v="3"/>
  </r>
  <r>
    <x v="225"/>
    <s v="Dienstag"/>
    <s v="Porz"/>
    <s v="PLC"/>
    <x v="0"/>
    <x v="1"/>
  </r>
  <r>
    <x v="226"/>
    <s v="Mittwoch"/>
    <s v="Porz"/>
    <s v="PLC"/>
    <x v="0"/>
    <x v="0"/>
  </r>
  <r>
    <x v="227"/>
    <s v="Donnerstag"/>
    <s v="Porz"/>
    <s v="PLC"/>
    <x v="0"/>
    <x v="0"/>
  </r>
  <r>
    <x v="228"/>
    <s v="Freitag"/>
    <s v="Porz"/>
    <s v="PLC"/>
    <x v="0"/>
    <x v="0"/>
  </r>
  <r>
    <x v="229"/>
    <s v="Samstag"/>
    <s v="Porz"/>
    <s v="PLC"/>
    <x v="0"/>
    <x v="0"/>
  </r>
  <r>
    <x v="230"/>
    <s v="Sonntag"/>
    <s v="Porz"/>
    <s v="PLC"/>
    <x v="0"/>
    <x v="0"/>
  </r>
  <r>
    <x v="231"/>
    <s v="Montag"/>
    <s v="Porz"/>
    <s v="PLC"/>
    <x v="0"/>
    <x v="0"/>
  </r>
  <r>
    <x v="232"/>
    <s v="Dienstag"/>
    <s v="Porz"/>
    <s v="PLC"/>
    <x v="0"/>
    <x v="0"/>
  </r>
  <r>
    <x v="233"/>
    <s v="Mittwoch"/>
    <s v="Porz"/>
    <s v="PLC"/>
    <x v="0"/>
    <x v="0"/>
  </r>
  <r>
    <x v="234"/>
    <s v="Donnerstag"/>
    <s v="Porz"/>
    <s v="PLC"/>
    <x v="0"/>
    <x v="0"/>
  </r>
  <r>
    <x v="235"/>
    <s v="Freitag"/>
    <s v="Porz"/>
    <s v="PLC"/>
    <x v="0"/>
    <x v="1"/>
  </r>
  <r>
    <x v="236"/>
    <s v="Samstag"/>
    <s v="Porz"/>
    <s v="PLC"/>
    <x v="0"/>
    <x v="1"/>
  </r>
  <r>
    <x v="237"/>
    <s v="Sonntag"/>
    <s v="Porz"/>
    <s v="PLC"/>
    <x v="0"/>
    <x v="1"/>
  </r>
  <r>
    <x v="238"/>
    <s v="Montag"/>
    <s v="Porz"/>
    <s v="PLC"/>
    <x v="0"/>
    <x v="1"/>
  </r>
  <r>
    <x v="239"/>
    <s v="Dienstag"/>
    <s v="Porz"/>
    <s v="PLC"/>
    <x v="0"/>
    <x v="1"/>
  </r>
  <r>
    <x v="240"/>
    <s v="Mittwoch"/>
    <s v="Porz"/>
    <s v="PLC"/>
    <x v="0"/>
    <x v="1"/>
  </r>
  <r>
    <x v="241"/>
    <s v="Donnerstag"/>
    <s v="Porz"/>
    <s v="PLC"/>
    <x v="0"/>
    <x v="0"/>
  </r>
  <r>
    <x v="242"/>
    <s v="Freitag"/>
    <s v="Porz"/>
    <s v="PLC"/>
    <x v="0"/>
    <x v="0"/>
  </r>
  <r>
    <x v="243"/>
    <s v="Samstag"/>
    <s v="Porz"/>
    <s v="PLC"/>
    <x v="0"/>
    <x v="0"/>
  </r>
  <r>
    <x v="244"/>
    <s v="Sonntag"/>
    <s v="Porz"/>
    <s v="PLC"/>
    <x v="0"/>
    <x v="0"/>
  </r>
  <r>
    <x v="245"/>
    <s v="Montag"/>
    <s v="Porz"/>
    <s v="PLC"/>
    <x v="0"/>
    <x v="2"/>
  </r>
  <r>
    <x v="246"/>
    <s v="Dienstag"/>
    <s v="Porz"/>
    <s v="PLC"/>
    <x v="0"/>
    <x v="0"/>
  </r>
  <r>
    <x v="247"/>
    <s v="Mittwoch"/>
    <s v="Porz"/>
    <s v="PLC"/>
    <x v="0"/>
    <x v="0"/>
  </r>
  <r>
    <x v="248"/>
    <s v="Donnerstag"/>
    <s v="Porz"/>
    <s v="PLC"/>
    <x v="0"/>
    <x v="0"/>
  </r>
  <r>
    <x v="249"/>
    <s v="Freitag"/>
    <s v="Porz"/>
    <s v="PLC"/>
    <x v="0"/>
    <x v="0"/>
  </r>
  <r>
    <x v="250"/>
    <s v="Samstag"/>
    <s v="Porz"/>
    <s v="PLC"/>
    <x v="0"/>
    <x v="0"/>
  </r>
  <r>
    <x v="251"/>
    <s v="Sonntag"/>
    <s v="Porz"/>
    <s v="PLC"/>
    <x v="0"/>
    <x v="0"/>
  </r>
  <r>
    <x v="252"/>
    <s v="Montag"/>
    <s v="Porz"/>
    <s v="PLC"/>
    <x v="0"/>
    <x v="0"/>
  </r>
  <r>
    <x v="253"/>
    <s v="Dienstag"/>
    <s v="Porz"/>
    <s v="PLC"/>
    <x v="0"/>
    <x v="0"/>
  </r>
  <r>
    <x v="254"/>
    <s v="Mittwoch"/>
    <s v="Porz"/>
    <s v="PLC"/>
    <x v="0"/>
    <x v="0"/>
  </r>
  <r>
    <x v="255"/>
    <s v="Donnerstag"/>
    <s v="Porz"/>
    <s v="PLC"/>
    <x v="0"/>
    <x v="0"/>
  </r>
  <r>
    <x v="256"/>
    <s v="Freitag"/>
    <s v="Porz"/>
    <s v="PLC"/>
    <x v="0"/>
    <x v="0"/>
  </r>
  <r>
    <x v="257"/>
    <s v="Samstag"/>
    <s v="Porz"/>
    <s v="PLC"/>
    <x v="0"/>
    <x v="0"/>
  </r>
  <r>
    <x v="258"/>
    <s v="Sonntag"/>
    <s v="Porz"/>
    <s v="PLC"/>
    <x v="0"/>
    <x v="0"/>
  </r>
  <r>
    <x v="259"/>
    <s v="Montag"/>
    <s v="Porz"/>
    <s v="PLC"/>
    <x v="0"/>
    <x v="0"/>
  </r>
  <r>
    <x v="260"/>
    <s v="Dienstag"/>
    <s v="Porz"/>
    <s v="PLC"/>
    <x v="0"/>
    <x v="0"/>
  </r>
  <r>
    <x v="261"/>
    <s v="Mittwoch"/>
    <s v="Porz"/>
    <s v="PLC"/>
    <x v="0"/>
    <x v="2"/>
  </r>
  <r>
    <x v="262"/>
    <s v="Donnerstag"/>
    <s v="Porz"/>
    <s v="PLC"/>
    <x v="0"/>
    <x v="2"/>
  </r>
  <r>
    <x v="263"/>
    <s v="Freitag"/>
    <s v="Porz"/>
    <s v="PLC"/>
    <x v="0"/>
    <x v="2"/>
  </r>
  <r>
    <x v="264"/>
    <s v="Samstag"/>
    <s v="Porz"/>
    <s v="PLC"/>
    <x v="0"/>
    <x v="1"/>
  </r>
  <r>
    <x v="265"/>
    <s v="Sonntag"/>
    <s v="Porz"/>
    <s v="PLC"/>
    <x v="0"/>
    <x v="1"/>
  </r>
  <r>
    <x v="266"/>
    <s v="Montag"/>
    <s v="Porz"/>
    <s v="PLC"/>
    <x v="0"/>
    <x v="1"/>
  </r>
  <r>
    <x v="267"/>
    <s v="Dienstag"/>
    <s v="Porz"/>
    <s v="PLC"/>
    <x v="0"/>
    <x v="0"/>
  </r>
  <r>
    <x v="268"/>
    <s v="Mittwoch"/>
    <s v="Porz"/>
    <s v="PLC"/>
    <x v="0"/>
    <x v="0"/>
  </r>
  <r>
    <x v="269"/>
    <s v="Donnerstag"/>
    <s v="Porz"/>
    <s v="PLC"/>
    <x v="0"/>
    <x v="0"/>
  </r>
  <r>
    <x v="270"/>
    <s v="Freitag"/>
    <s v="Porz"/>
    <s v="PLC"/>
    <x v="0"/>
    <x v="1"/>
  </r>
  <r>
    <x v="271"/>
    <s v="Samstag"/>
    <s v="Porz"/>
    <s v="PLC"/>
    <x v="0"/>
    <x v="1"/>
  </r>
  <r>
    <x v="272"/>
    <s v="Sonntag"/>
    <s v="Porz"/>
    <s v="PLC"/>
    <x v="0"/>
    <x v="1"/>
  </r>
  <r>
    <x v="273"/>
    <s v="Montag"/>
    <s v="Porz"/>
    <s v="PLC"/>
    <x v="0"/>
    <x v="3"/>
  </r>
  <r>
    <x v="274"/>
    <s v="Dienstag"/>
    <s v="Porz"/>
    <s v="PLC"/>
    <x v="0"/>
    <x v="2"/>
  </r>
  <r>
    <x v="275"/>
    <s v="Mittwoch"/>
    <s v="Porz"/>
    <s v="PLC"/>
    <x v="0"/>
    <x v="2"/>
  </r>
  <r>
    <x v="276"/>
    <s v="Donnerstag"/>
    <s v="Porz"/>
    <s v="PLC"/>
    <x v="0"/>
    <x v="0"/>
  </r>
  <r>
    <x v="277"/>
    <s v="Freitag"/>
    <s v="Porz"/>
    <s v="PLC"/>
    <x v="0"/>
    <x v="0"/>
  </r>
  <r>
    <x v="278"/>
    <s v="Samstag"/>
    <s v="Porz"/>
    <s v="PLC"/>
    <x v="0"/>
    <x v="0"/>
  </r>
  <r>
    <x v="279"/>
    <s v="Sonntag"/>
    <s v="Porz"/>
    <s v="PLC"/>
    <x v="0"/>
    <x v="0"/>
  </r>
  <r>
    <x v="280"/>
    <s v="Montag"/>
    <s v="Porz"/>
    <s v="PLC"/>
    <x v="0"/>
    <x v="0"/>
  </r>
  <r>
    <x v="281"/>
    <s v="Dienstag"/>
    <s v="Porz"/>
    <s v="PLC"/>
    <x v="0"/>
    <x v="1"/>
  </r>
  <r>
    <x v="282"/>
    <s v="Mittwoch"/>
    <s v="Porz"/>
    <s v="PLC"/>
    <x v="0"/>
    <x v="3"/>
  </r>
  <r>
    <x v="283"/>
    <s v="Donnerstag"/>
    <s v="Porz"/>
    <s v="PLC"/>
    <x v="0"/>
    <x v="4"/>
  </r>
  <r>
    <x v="284"/>
    <s v="Freitag"/>
    <s v="Porz"/>
    <s v="PLC"/>
    <x v="0"/>
    <x v="7"/>
  </r>
  <r>
    <x v="285"/>
    <s v="Samstag"/>
    <s v="Porz"/>
    <s v="PLC"/>
    <x v="0"/>
    <x v="7"/>
  </r>
  <r>
    <x v="286"/>
    <s v="Sonntag"/>
    <s v="Porz"/>
    <s v="PLC"/>
    <x v="0"/>
    <x v="7"/>
  </r>
  <r>
    <x v="287"/>
    <s v="Montag"/>
    <s v="Porz"/>
    <s v="PLC"/>
    <x v="0"/>
    <x v="5"/>
  </r>
  <r>
    <x v="288"/>
    <s v="Dienstag"/>
    <s v="Porz"/>
    <s v="PLC"/>
    <x v="0"/>
    <x v="5"/>
  </r>
  <r>
    <x v="289"/>
    <s v="Mittwoch"/>
    <s v="Porz"/>
    <s v="PLC"/>
    <x v="0"/>
    <x v="4"/>
  </r>
  <r>
    <x v="290"/>
    <s v="Donnerstag"/>
    <s v="Porz"/>
    <s v="PLC"/>
    <x v="0"/>
    <x v="4"/>
  </r>
  <r>
    <x v="291"/>
    <s v="Freitag"/>
    <s v="Porz"/>
    <s v="PLC"/>
    <x v="0"/>
    <x v="3"/>
  </r>
  <r>
    <x v="292"/>
    <s v="Samstag"/>
    <s v="Porz"/>
    <s v="PLC"/>
    <x v="0"/>
    <x v="3"/>
  </r>
  <r>
    <x v="293"/>
    <s v="Sonntag"/>
    <s v="Porz"/>
    <s v="PLC"/>
    <x v="0"/>
    <x v="3"/>
  </r>
  <r>
    <x v="294"/>
    <s v="Montag"/>
    <s v="Porz"/>
    <s v="PLC"/>
    <x v="0"/>
    <x v="1"/>
  </r>
  <r>
    <x v="295"/>
    <s v="Dienstag"/>
    <s v="Porz"/>
    <s v="PLC"/>
    <x v="0"/>
    <x v="1"/>
  </r>
  <r>
    <x v="296"/>
    <s v="Mittwoch"/>
    <s v="Porz"/>
    <s v="PLC"/>
    <x v="0"/>
    <x v="1"/>
  </r>
  <r>
    <x v="297"/>
    <s v="Donnerstag"/>
    <s v="Porz"/>
    <s v="PLC"/>
    <x v="0"/>
    <x v="0"/>
  </r>
  <r>
    <x v="298"/>
    <s v="Freitag"/>
    <s v="Porz"/>
    <s v="PLC"/>
    <x v="0"/>
    <x v="0"/>
  </r>
  <r>
    <x v="299"/>
    <s v="Samstag"/>
    <s v="Porz"/>
    <s v="PLC"/>
    <x v="0"/>
    <x v="0"/>
  </r>
  <r>
    <x v="300"/>
    <s v="Sonntag"/>
    <s v="Porz"/>
    <s v="PLC"/>
    <x v="0"/>
    <x v="0"/>
  </r>
  <r>
    <x v="301"/>
    <s v="Montag"/>
    <s v="Porz"/>
    <s v="Transition"/>
    <x v="0"/>
    <x v="0"/>
  </r>
  <r>
    <x v="302"/>
    <s v="Dienstag"/>
    <s v="Porz"/>
    <s v="Transition"/>
    <x v="0"/>
    <x v="0"/>
  </r>
  <r>
    <x v="303"/>
    <s v="Mittwoch"/>
    <s v="Porz"/>
    <s v="Transition"/>
    <x v="0"/>
    <x v="0"/>
  </r>
  <r>
    <x v="304"/>
    <s v="Donnerstag"/>
    <s v="Porz"/>
    <s v="Diamant"/>
    <x v="0"/>
    <x v="0"/>
  </r>
  <r>
    <x v="305"/>
    <s v="Freitag"/>
    <s v="Porz"/>
    <s v="Diamant"/>
    <x v="0"/>
    <x v="2"/>
  </r>
  <r>
    <x v="306"/>
    <s v="Samstag"/>
    <s v="Porz"/>
    <s v="Diamant"/>
    <x v="0"/>
    <x v="1"/>
  </r>
  <r>
    <x v="307"/>
    <s v="Sonntag"/>
    <s v="Porz"/>
    <s v="Diamant"/>
    <x v="0"/>
    <x v="1"/>
  </r>
  <r>
    <x v="308"/>
    <s v="Montag"/>
    <s v="Porz"/>
    <s v="Diamant"/>
    <x v="0"/>
    <x v="1"/>
  </r>
  <r>
    <x v="309"/>
    <s v="Dienstag"/>
    <s v="Porz"/>
    <s v="Diamant"/>
    <x v="0"/>
    <x v="1"/>
  </r>
  <r>
    <x v="310"/>
    <s v="Mittwoch"/>
    <s v="Porz"/>
    <s v="Diamant"/>
    <x v="0"/>
    <x v="3"/>
  </r>
  <r>
    <x v="311"/>
    <s v="Donnerstag"/>
    <s v="Porz"/>
    <s v="Diamant"/>
    <x v="0"/>
    <x v="3"/>
  </r>
  <r>
    <x v="312"/>
    <s v="Freitag"/>
    <s v="Porz"/>
    <s v="Diamant"/>
    <x v="0"/>
    <x v="4"/>
  </r>
  <r>
    <x v="313"/>
    <s v="Samstag"/>
    <s v="Porz"/>
    <s v="Diamant"/>
    <x v="0"/>
    <x v="1"/>
  </r>
  <r>
    <x v="314"/>
    <s v="Sonntag"/>
    <s v="Porz"/>
    <s v="Diamant"/>
    <x v="0"/>
    <x v="0"/>
  </r>
  <r>
    <x v="315"/>
    <s v="Montag"/>
    <s v="Porz"/>
    <s v="Diamant"/>
    <x v="0"/>
    <x v="1"/>
  </r>
  <r>
    <x v="316"/>
    <s v="Dienstag"/>
    <s v="Porz"/>
    <s v="Diamant"/>
    <x v="0"/>
    <x v="3"/>
  </r>
  <r>
    <x v="317"/>
    <s v="Mittwoch"/>
    <s v="Porz"/>
    <s v="Diamant"/>
    <x v="0"/>
    <x v="3"/>
  </r>
  <r>
    <x v="318"/>
    <s v="Donnerstag"/>
    <s v="Porz"/>
    <s v="Diamant"/>
    <x v="0"/>
    <x v="4"/>
  </r>
  <r>
    <x v="319"/>
    <s v="Freitag"/>
    <s v="Porz"/>
    <s v="Diamant"/>
    <x v="0"/>
    <x v="4"/>
  </r>
  <r>
    <x v="320"/>
    <s v="Samstag"/>
    <s v="Porz"/>
    <s v="Diamant"/>
    <x v="0"/>
    <x v="4"/>
  </r>
  <r>
    <x v="321"/>
    <s v="Sonntag"/>
    <s v="Porz"/>
    <s v="Diamant"/>
    <x v="0"/>
    <x v="4"/>
  </r>
  <r>
    <x v="322"/>
    <s v="Montag"/>
    <s v="Porz"/>
    <s v="Diamant"/>
    <x v="0"/>
    <x v="4"/>
  </r>
  <r>
    <x v="323"/>
    <s v="Dienstag"/>
    <s v="Porz"/>
    <s v="Diamant"/>
    <x v="0"/>
    <x v="7"/>
  </r>
  <r>
    <x v="324"/>
    <s v="Mittwoch"/>
    <s v="Porz"/>
    <s v="Diamant"/>
    <x v="0"/>
    <x v="7"/>
  </r>
  <r>
    <x v="325"/>
    <s v="Donnerstag"/>
    <s v="Porz"/>
    <s v="Diamant"/>
    <x v="0"/>
    <x v="3"/>
  </r>
  <r>
    <x v="326"/>
    <s v="Freitag"/>
    <s v="Porz"/>
    <s v="Diamant"/>
    <x v="0"/>
    <x v="1"/>
  </r>
  <r>
    <x v="327"/>
    <s v="Samstag"/>
    <s v="Porz"/>
    <s v="Diamant"/>
    <x v="0"/>
    <x v="1"/>
  </r>
  <r>
    <x v="328"/>
    <s v="Sonntag"/>
    <s v="Porz"/>
    <s v="Transition"/>
    <x v="0"/>
    <x v="0"/>
  </r>
  <r>
    <x v="329"/>
    <s v="Montag"/>
    <s v="Porz"/>
    <s v="Transition"/>
    <x v="0"/>
    <x v="0"/>
  </r>
  <r>
    <x v="330"/>
    <s v="Dienstag"/>
    <s v="Porz"/>
    <s v="Transition"/>
    <x v="0"/>
    <x v="0"/>
  </r>
  <r>
    <x v="331"/>
    <s v="Mittwoch"/>
    <s v="Porz"/>
    <s v="Transition"/>
    <x v="0"/>
    <x v="0"/>
  </r>
  <r>
    <x v="332"/>
    <s v="Donnerstag"/>
    <s v="Porz"/>
    <s v="PLC"/>
    <x v="0"/>
    <x v="0"/>
  </r>
  <r>
    <x v="333"/>
    <s v="Freitag"/>
    <s v="Porz"/>
    <s v="PLC"/>
    <x v="0"/>
    <x v="0"/>
  </r>
  <r>
    <x v="334"/>
    <s v="Samstag"/>
    <s v="Porz"/>
    <s v="PLC"/>
    <x v="0"/>
    <x v="0"/>
  </r>
  <r>
    <x v="335"/>
    <s v="Sonntag"/>
    <s v="Porz"/>
    <s v="PLC"/>
    <x v="0"/>
    <x v="0"/>
  </r>
  <r>
    <x v="336"/>
    <s v="Montag"/>
    <s v="Porz"/>
    <s v="PLC"/>
    <x v="0"/>
    <x v="2"/>
  </r>
  <r>
    <x v="337"/>
    <s v="Dienstag"/>
    <s v="Porz"/>
    <s v="PLC"/>
    <x v="0"/>
    <x v="3"/>
  </r>
  <r>
    <x v="338"/>
    <s v="Mittwoch"/>
    <s v="Porz"/>
    <s v="PLC"/>
    <x v="0"/>
    <x v="1"/>
  </r>
  <r>
    <x v="339"/>
    <s v="Donnerstag"/>
    <s v="Porz"/>
    <s v="PLC"/>
    <x v="0"/>
    <x v="1"/>
  </r>
  <r>
    <x v="340"/>
    <s v="Freitag"/>
    <s v="Porz"/>
    <s v="PLC"/>
    <x v="0"/>
    <x v="0"/>
  </r>
  <r>
    <x v="341"/>
    <s v="Samstag"/>
    <s v="Porz"/>
    <s v="PLC"/>
    <x v="0"/>
    <x v="0"/>
  </r>
  <r>
    <x v="342"/>
    <s v="Sonntag"/>
    <s v="Porz"/>
    <s v="PLC"/>
    <x v="0"/>
    <x v="0"/>
  </r>
  <r>
    <x v="343"/>
    <s v="Montag"/>
    <s v="Porz"/>
    <s v="PLC"/>
    <x v="0"/>
    <x v="0"/>
  </r>
  <r>
    <x v="344"/>
    <s v="Dienstag"/>
    <s v="Porz"/>
    <s v="PLC"/>
    <x v="0"/>
    <x v="0"/>
  </r>
  <r>
    <x v="345"/>
    <s v="Mittwoch"/>
    <s v="Porz"/>
    <s v="PLC"/>
    <x v="0"/>
    <x v="0"/>
  </r>
  <r>
    <x v="346"/>
    <s v="Donnerstag"/>
    <s v="Porz"/>
    <s v="PLC"/>
    <x v="0"/>
    <x v="0"/>
  </r>
  <r>
    <x v="347"/>
    <s v="Freitag"/>
    <s v="Porz"/>
    <s v="PLC"/>
    <x v="0"/>
    <x v="2"/>
  </r>
  <r>
    <x v="348"/>
    <s v="Samstag"/>
    <s v="Porz"/>
    <s v="PLC"/>
    <x v="0"/>
    <x v="2"/>
  </r>
  <r>
    <x v="349"/>
    <s v="Sonntag"/>
    <s v="Porz"/>
    <s v="PLC"/>
    <x v="0"/>
    <x v="1"/>
  </r>
  <r>
    <x v="350"/>
    <s v="Montag"/>
    <s v="Porz"/>
    <s v="PLC"/>
    <x v="0"/>
    <x v="3"/>
  </r>
  <r>
    <x v="351"/>
    <s v="Dienstag"/>
    <s v="Porz"/>
    <s v="PLC"/>
    <x v="0"/>
    <x v="4"/>
  </r>
  <r>
    <x v="352"/>
    <s v="Mittwoch"/>
    <s v="Porz"/>
    <s v="PLC"/>
    <x v="0"/>
    <x v="7"/>
  </r>
  <r>
    <x v="353"/>
    <s v="Donnerstag"/>
    <s v="Porz"/>
    <s v="PLC"/>
    <x v="0"/>
    <x v="4"/>
  </r>
  <r>
    <x v="354"/>
    <s v="Freitag"/>
    <s v="Porz"/>
    <s v="PLC"/>
    <x v="0"/>
    <x v="4"/>
  </r>
  <r>
    <x v="355"/>
    <s v="Samstag"/>
    <s v="Porz"/>
    <s v="PLC"/>
    <x v="0"/>
    <x v="3"/>
  </r>
  <r>
    <x v="356"/>
    <s v="Sonntag"/>
    <s v="Porz"/>
    <s v="PLC"/>
    <x v="0"/>
    <x v="1"/>
  </r>
  <r>
    <x v="357"/>
    <s v="Montag"/>
    <s v="Porz"/>
    <s v="PLC"/>
    <x v="0"/>
    <x v="1"/>
  </r>
  <r>
    <x v="358"/>
    <s v="Dienstag"/>
    <s v="Porz"/>
    <s v="PLC"/>
    <x v="0"/>
    <x v="0"/>
  </r>
  <r>
    <x v="359"/>
    <s v="Mittwoch"/>
    <s v="Porz"/>
    <s v="PLC"/>
    <x v="0"/>
    <x v="0"/>
  </r>
  <r>
    <x v="360"/>
    <s v="Donnerstag"/>
    <s v="Porz"/>
    <s v="PLC"/>
    <x v="0"/>
    <x v="0"/>
  </r>
  <r>
    <x v="361"/>
    <s v="Freitag"/>
    <s v="Porz"/>
    <s v="PLC"/>
    <x v="0"/>
    <x v="0"/>
  </r>
  <r>
    <x v="362"/>
    <s v="Samstag"/>
    <s v="Porz"/>
    <s v="PLC"/>
    <x v="0"/>
    <x v="0"/>
  </r>
  <r>
    <x v="363"/>
    <s v="Sonntag"/>
    <s v="Porz"/>
    <s v="PLC"/>
    <x v="0"/>
    <x v="0"/>
  </r>
  <r>
    <x v="364"/>
    <s v="Montag"/>
    <s v="Porz"/>
    <s v="PLC"/>
    <x v="0"/>
    <x v="2"/>
  </r>
  <r>
    <x v="365"/>
    <s v="Dienstag"/>
    <s v="Porz"/>
    <s v="PLC"/>
    <x v="0"/>
    <x v="3"/>
  </r>
  <r>
    <x v="366"/>
    <s v="Mittwoch"/>
    <s v="Porz"/>
    <s v="PLC"/>
    <x v="0"/>
    <x v="3"/>
  </r>
  <r>
    <x v="367"/>
    <s v="Donnerstag"/>
    <s v="Porz"/>
    <s v="PLC"/>
    <x v="0"/>
    <x v="3"/>
  </r>
  <r>
    <x v="368"/>
    <s v="Freitag"/>
    <s v="Porz"/>
    <s v="PLC"/>
    <x v="0"/>
    <x v="1"/>
  </r>
  <r>
    <x v="369"/>
    <s v="Samstag"/>
    <s v="Porz"/>
    <s v="PLC"/>
    <x v="0"/>
    <x v="1"/>
  </r>
  <r>
    <x v="370"/>
    <s v="Sonntag"/>
    <s v="Porz"/>
    <s v="PLC"/>
    <x v="0"/>
    <x v="1"/>
  </r>
  <r>
    <x v="371"/>
    <s v="Montag"/>
    <s v="Porz"/>
    <s v="PLC"/>
    <x v="0"/>
    <x v="1"/>
  </r>
  <r>
    <x v="372"/>
    <s v="Dienstag"/>
    <s v="Porz"/>
    <s v="PLC"/>
    <x v="0"/>
    <x v="0"/>
  </r>
  <r>
    <x v="373"/>
    <s v="Mittwoch"/>
    <s v="Porz"/>
    <s v="PLC"/>
    <x v="0"/>
    <x v="0"/>
  </r>
  <r>
    <x v="374"/>
    <s v="Donnerstag"/>
    <s v="Porz"/>
    <s v="PLC"/>
    <x v="0"/>
    <x v="0"/>
  </r>
  <r>
    <x v="375"/>
    <s v="Freitag"/>
    <s v="Porz"/>
    <s v="PLC"/>
    <x v="0"/>
    <x v="0"/>
  </r>
  <r>
    <x v="376"/>
    <s v="Samstag"/>
    <s v="Porz"/>
    <s v="PLC"/>
    <x v="0"/>
    <x v="0"/>
  </r>
  <r>
    <x v="377"/>
    <s v="Sonntag"/>
    <s v="Porz"/>
    <s v="PLC"/>
    <x v="0"/>
    <x v="0"/>
  </r>
  <r>
    <x v="378"/>
    <s v="Montag"/>
    <s v="Porz"/>
    <s v="PLC"/>
    <x v="0"/>
    <x v="0"/>
  </r>
  <r>
    <x v="379"/>
    <s v="Dienstag"/>
    <s v="Porz"/>
    <s v="PLC"/>
    <x v="0"/>
    <x v="0"/>
  </r>
  <r>
    <x v="380"/>
    <s v="Mittwoch"/>
    <s v="Porz"/>
    <s v="PLC"/>
    <x v="0"/>
    <x v="0"/>
  </r>
  <r>
    <x v="381"/>
    <s v="Donnerstag"/>
    <s v="Porz"/>
    <s v="PLC"/>
    <x v="0"/>
    <x v="0"/>
  </r>
  <r>
    <x v="382"/>
    <s v="Freitag"/>
    <s v="Porz"/>
    <s v="PLC"/>
    <x v="0"/>
    <x v="0"/>
  </r>
  <r>
    <x v="383"/>
    <s v="Samstag"/>
    <s v="Porz"/>
    <s v="PLC"/>
    <x v="0"/>
    <x v="0"/>
  </r>
  <r>
    <x v="384"/>
    <s v="Sonntag"/>
    <s v="Porz"/>
    <s v="PLC"/>
    <x v="0"/>
    <x v="0"/>
  </r>
  <r>
    <x v="385"/>
    <s v="Montag"/>
    <s v="Porz"/>
    <s v="PLC"/>
    <x v="0"/>
    <x v="2"/>
  </r>
  <r>
    <x v="386"/>
    <s v="Dienstag"/>
    <s v="Porz"/>
    <s v="PLC"/>
    <x v="0"/>
    <x v="2"/>
  </r>
  <r>
    <x v="387"/>
    <s v="Mittwoch"/>
    <s v="Porz"/>
    <s v="PLC"/>
    <x v="0"/>
    <x v="2"/>
  </r>
  <r>
    <x v="388"/>
    <s v="Donnerstag"/>
    <s v="Porz"/>
    <s v="PLC"/>
    <x v="0"/>
    <x v="1"/>
  </r>
  <r>
    <x v="389"/>
    <s v="Freitag"/>
    <s v="Porz"/>
    <s v="PLC"/>
    <x v="0"/>
    <x v="1"/>
  </r>
  <r>
    <x v="390"/>
    <s v="Samstag"/>
    <s v="Porz"/>
    <s v="PLC"/>
    <x v="0"/>
    <x v="1"/>
  </r>
  <r>
    <x v="391"/>
    <s v="Sonntag"/>
    <s v="Porz"/>
    <s v="PLC"/>
    <x v="0"/>
    <x v="1"/>
  </r>
  <r>
    <x v="392"/>
    <s v="Montag"/>
    <s v="Porz"/>
    <s v="PLC"/>
    <x v="0"/>
    <x v="0"/>
  </r>
  <r>
    <x v="393"/>
    <s v="Dienstag"/>
    <s v="Porz"/>
    <s v="PLC"/>
    <x v="0"/>
    <x v="0"/>
  </r>
  <r>
    <x v="394"/>
    <s v="Mittwoch"/>
    <s v="Porz"/>
    <s v="PLC"/>
    <x v="0"/>
    <x v="0"/>
  </r>
  <r>
    <x v="395"/>
    <s v="Donnerstag"/>
    <s v="Porz"/>
    <s v="PLC"/>
    <x v="0"/>
    <x v="0"/>
  </r>
  <r>
    <x v="396"/>
    <s v="Freitag"/>
    <s v="Porz"/>
    <s v="Transition"/>
    <x v="0"/>
    <x v="0"/>
  </r>
  <r>
    <x v="397"/>
    <s v="Samstag"/>
    <s v="Porz"/>
    <s v="Transition"/>
    <x v="0"/>
    <x v="0"/>
  </r>
  <r>
    <x v="398"/>
    <s v="Sonntag"/>
    <s v="Porz"/>
    <s v="Transition"/>
    <x v="0"/>
    <x v="0"/>
  </r>
  <r>
    <x v="399"/>
    <s v="Montag"/>
    <s v="Porz"/>
    <s v="Diamant"/>
    <x v="0"/>
    <x v="0"/>
  </r>
  <r>
    <x v="400"/>
    <s v="Dienstag"/>
    <s v="Porz"/>
    <s v="Diamant"/>
    <x v="0"/>
    <x v="0"/>
  </r>
  <r>
    <x v="401"/>
    <s v="Mittwoch"/>
    <s v="Porz"/>
    <s v="Diamant"/>
    <x v="0"/>
    <x v="9"/>
  </r>
  <r>
    <x v="402"/>
    <s v="Donnerstag"/>
    <s v="Porz"/>
    <s v="Diamant"/>
    <x v="0"/>
    <x v="2"/>
  </r>
  <r>
    <x v="403"/>
    <s v="Freitag"/>
    <s v="Porz"/>
    <s v="Diamant"/>
    <x v="0"/>
    <x v="3"/>
  </r>
  <r>
    <x v="404"/>
    <s v="Samstag"/>
    <s v="Porz"/>
    <s v="Diamant"/>
    <x v="0"/>
    <x v="3"/>
  </r>
  <r>
    <x v="405"/>
    <s v="Sonntag"/>
    <s v="Porz"/>
    <s v="Diamant"/>
    <x v="0"/>
    <x v="3"/>
  </r>
  <r>
    <x v="406"/>
    <s v="Montag"/>
    <s v="Porz"/>
    <s v="Diamant"/>
    <x v="0"/>
    <x v="4"/>
  </r>
  <r>
    <x v="407"/>
    <s v="Dienstag"/>
    <s v="Porz"/>
    <s v="Diamant"/>
    <x v="1"/>
    <x v="5"/>
  </r>
  <r>
    <x v="408"/>
    <s v="Mittwoch"/>
    <s v="Porz"/>
    <s v="Diamant"/>
    <x v="0"/>
    <x v="4"/>
  </r>
  <r>
    <x v="409"/>
    <s v="Donnerstag"/>
    <s v="Porz"/>
    <s v="Diamant"/>
    <x v="0"/>
    <x v="4"/>
  </r>
  <r>
    <x v="410"/>
    <s v="Freitag"/>
    <s v="Porz"/>
    <s v="Diamant"/>
    <x v="0"/>
    <x v="4"/>
  </r>
  <r>
    <x v="411"/>
    <s v="Samstag"/>
    <s v="Porz"/>
    <s v="Diamant"/>
    <x v="0"/>
    <x v="4"/>
  </r>
  <r>
    <x v="412"/>
    <s v="Sonntag"/>
    <s v="Porz"/>
    <s v="Diamant"/>
    <x v="0"/>
    <x v="4"/>
  </r>
  <r>
    <x v="413"/>
    <s v="Montag"/>
    <s v="Porz"/>
    <s v="Diamant"/>
    <x v="0"/>
    <x v="7"/>
  </r>
  <r>
    <x v="414"/>
    <s v="Dienstag"/>
    <s v="Porz"/>
    <s v="Diamant"/>
    <x v="0"/>
    <x v="7"/>
  </r>
  <r>
    <x v="415"/>
    <s v="Mittwoch"/>
    <s v="Porz"/>
    <s v="Diamant"/>
    <x v="0"/>
    <x v="7"/>
  </r>
  <r>
    <x v="416"/>
    <s v="Donnerstag"/>
    <s v="Porz"/>
    <s v="Diamant"/>
    <x v="0"/>
    <x v="5"/>
  </r>
  <r>
    <x v="417"/>
    <s v="Freitag"/>
    <s v="Porz"/>
    <s v="Diamant"/>
    <x v="0"/>
    <x v="3"/>
  </r>
  <r>
    <x v="418"/>
    <s v="Samstag"/>
    <s v="Porz"/>
    <s v="Diamant"/>
    <x v="0"/>
    <x v="1"/>
  </r>
  <r>
    <x v="419"/>
    <s v="Sonntag"/>
    <s v="Porz"/>
    <s v="Diamant"/>
    <x v="0"/>
    <x v="1"/>
  </r>
  <r>
    <x v="420"/>
    <s v="Montag"/>
    <s v="Porz"/>
    <s v="Diamant"/>
    <x v="0"/>
    <x v="1"/>
  </r>
  <r>
    <x v="421"/>
    <s v="Dienstag"/>
    <s v="Porz"/>
    <s v="Diamant"/>
    <x v="0"/>
    <x v="0"/>
  </r>
  <r>
    <x v="422"/>
    <s v="Mittwoch"/>
    <s v="Porz"/>
    <s v="Transition"/>
    <x v="0"/>
    <x v="0"/>
  </r>
  <r>
    <x v="423"/>
    <s v="Donnerstag"/>
    <s v="Porz"/>
    <s v="Transition"/>
    <x v="0"/>
    <x v="0"/>
  </r>
  <r>
    <x v="424"/>
    <s v="Freitag"/>
    <s v="Porz"/>
    <s v="PLC"/>
    <x v="0"/>
    <x v="0"/>
  </r>
  <r>
    <x v="425"/>
    <s v="Samstag"/>
    <s v="Porz"/>
    <s v="PLC"/>
    <x v="0"/>
    <x v="0"/>
  </r>
  <r>
    <x v="426"/>
    <s v="Sonntag"/>
    <s v="Porz"/>
    <s v="PLC"/>
    <x v="0"/>
    <x v="0"/>
  </r>
  <r>
    <x v="427"/>
    <s v="Montag"/>
    <s v="Porz"/>
    <s v="PLC"/>
    <x v="0"/>
    <x v="0"/>
  </r>
  <r>
    <x v="428"/>
    <s v="Dienstag"/>
    <s v="Porz"/>
    <s v="PLC"/>
    <x v="0"/>
    <x v="0"/>
  </r>
  <r>
    <x v="429"/>
    <s v="Mittwoch"/>
    <s v="Porz"/>
    <s v="PLC"/>
    <x v="0"/>
    <x v="0"/>
  </r>
  <r>
    <x v="430"/>
    <s v="Donnerstag"/>
    <s v="Porz"/>
    <s v="PLC"/>
    <x v="0"/>
    <x v="2"/>
  </r>
  <r>
    <x v="431"/>
    <s v="Freitag"/>
    <s v="Porz"/>
    <s v="PLC"/>
    <x v="0"/>
    <x v="1"/>
  </r>
  <r>
    <x v="432"/>
    <s v="Samstag"/>
    <s v="Porz"/>
    <s v="PLC"/>
    <x v="0"/>
    <x v="0"/>
  </r>
  <r>
    <x v="433"/>
    <s v="Sonntag"/>
    <s v="Porz"/>
    <s v="PLC"/>
    <x v="0"/>
    <x v="0"/>
  </r>
  <r>
    <x v="434"/>
    <s v="Montag"/>
    <s v="Porz"/>
    <s v="PLC"/>
    <x v="0"/>
    <x v="0"/>
  </r>
  <r>
    <x v="435"/>
    <s v="Dienstag"/>
    <s v="Porz"/>
    <s v="PLC"/>
    <x v="0"/>
    <x v="0"/>
  </r>
  <r>
    <x v="436"/>
    <s v="Mittwoch"/>
    <s v="Porz"/>
    <s v="PLC"/>
    <x v="0"/>
    <x v="0"/>
  </r>
  <r>
    <x v="437"/>
    <s v="Donnerstag"/>
    <s v="Porz"/>
    <s v="PLC"/>
    <x v="0"/>
    <x v="0"/>
  </r>
  <r>
    <x v="438"/>
    <s v="Freitag"/>
    <s v="Porz"/>
    <s v="PLC"/>
    <x v="0"/>
    <x v="1"/>
  </r>
  <r>
    <x v="439"/>
    <s v="Samstag"/>
    <s v="Porz"/>
    <s v="PLC"/>
    <x v="0"/>
    <x v="1"/>
  </r>
  <r>
    <x v="440"/>
    <s v="Sonntag"/>
    <s v="Porz"/>
    <s v="PLC"/>
    <x v="0"/>
    <x v="1"/>
  </r>
  <r>
    <x v="441"/>
    <s v="Montag"/>
    <s v="Porz"/>
    <s v="PLC"/>
    <x v="0"/>
    <x v="3"/>
  </r>
  <r>
    <x v="442"/>
    <s v="Dienstag"/>
    <s v="Porz"/>
    <s v="PLC"/>
    <x v="0"/>
    <x v="7"/>
  </r>
  <r>
    <x v="443"/>
    <s v="Mittwoch"/>
    <s v="Porz"/>
    <s v="PLC"/>
    <x v="0"/>
    <x v="7"/>
  </r>
  <r>
    <x v="444"/>
    <s v="Donnerstag"/>
    <s v="Porz"/>
    <s v="PLC"/>
    <x v="0"/>
    <x v="7"/>
  </r>
  <r>
    <x v="445"/>
    <s v="Freitag"/>
    <s v="Porz"/>
    <s v="PLC"/>
    <x v="0"/>
    <x v="4"/>
  </r>
  <r>
    <x v="446"/>
    <s v="Samstag"/>
    <s v="Porz"/>
    <s v="PLC"/>
    <x v="0"/>
    <x v="4"/>
  </r>
  <r>
    <x v="447"/>
    <s v="Sonntag"/>
    <s v="Porz"/>
    <s v="PLC"/>
    <x v="0"/>
    <x v="3"/>
  </r>
  <r>
    <x v="448"/>
    <s v="Montag"/>
    <s v="Porz"/>
    <s v="PLC"/>
    <x v="0"/>
    <x v="1"/>
  </r>
  <r>
    <x v="449"/>
    <s v="Dienstag"/>
    <s v="Porz"/>
    <s v="PLC"/>
    <x v="0"/>
    <x v="1"/>
  </r>
  <r>
    <x v="450"/>
    <s v="Mittwoch"/>
    <s v="Porz"/>
    <s v="PLC"/>
    <x v="0"/>
    <x v="1"/>
  </r>
  <r>
    <x v="451"/>
    <s v="Donnerstag"/>
    <s v="Porz"/>
    <s v="PLC"/>
    <x v="0"/>
    <x v="2"/>
  </r>
  <r>
    <x v="452"/>
    <s v="Freitag"/>
    <s v="Porz"/>
    <s v="PLC"/>
    <x v="0"/>
    <x v="0"/>
  </r>
  <r>
    <x v="453"/>
    <s v="Samstag"/>
    <s v="Porz"/>
    <s v="PLC"/>
    <x v="0"/>
    <x v="0"/>
  </r>
  <r>
    <x v="454"/>
    <s v="Sonntag"/>
    <s v="Porz"/>
    <s v="PLC"/>
    <x v="0"/>
    <x v="0"/>
  </r>
  <r>
    <x v="455"/>
    <s v="Montag"/>
    <s v="Porz"/>
    <s v="PLC"/>
    <x v="0"/>
    <x v="0"/>
  </r>
  <r>
    <x v="456"/>
    <s v="Dienstag"/>
    <s v="Porz"/>
    <s v="PLC"/>
    <x v="0"/>
    <x v="0"/>
  </r>
  <r>
    <x v="457"/>
    <s v="Mittwoch"/>
    <s v="Porz"/>
    <s v="PLC"/>
    <x v="0"/>
    <x v="0"/>
  </r>
  <r>
    <x v="458"/>
    <s v="Donnerstag"/>
    <s v="Porz"/>
    <s v="PLC"/>
    <x v="0"/>
    <x v="0"/>
  </r>
  <r>
    <x v="459"/>
    <s v="Freitag"/>
    <s v="Porz"/>
    <s v="PLC"/>
    <x v="0"/>
    <x v="2"/>
  </r>
  <r>
    <x v="460"/>
    <s v="Samstag"/>
    <s v="Porz"/>
    <s v="PLC"/>
    <x v="0"/>
    <x v="1"/>
  </r>
  <r>
    <x v="461"/>
    <s v="Sonntag"/>
    <s v="Porz"/>
    <s v="PLC"/>
    <x v="0"/>
    <x v="1"/>
  </r>
  <r>
    <x v="462"/>
    <s v="Montag"/>
    <s v="Porz"/>
    <s v="PLC"/>
    <x v="0"/>
    <x v="0"/>
  </r>
  <r>
    <x v="463"/>
    <s v="Dienstag"/>
    <s v="Porz"/>
    <s v="PLC"/>
    <x v="0"/>
    <x v="0"/>
  </r>
  <r>
    <x v="464"/>
    <s v="Mittwoch"/>
    <s v="Porz"/>
    <s v="PLC"/>
    <x v="0"/>
    <x v="0"/>
  </r>
  <r>
    <x v="465"/>
    <s v="Donnerstag"/>
    <s v="Porz"/>
    <s v="PLC"/>
    <x v="0"/>
    <x v="0"/>
  </r>
  <r>
    <x v="466"/>
    <s v="Freitag"/>
    <s v="Porz"/>
    <s v="PLC"/>
    <x v="0"/>
    <x v="0"/>
  </r>
  <r>
    <x v="467"/>
    <s v="Samstag"/>
    <s v="Porz"/>
    <s v="PLC"/>
    <x v="0"/>
    <x v="2"/>
  </r>
  <r>
    <x v="468"/>
    <s v="Sonntag"/>
    <s v="Porz"/>
    <s v="PLC"/>
    <x v="0"/>
    <x v="1"/>
  </r>
  <r>
    <x v="469"/>
    <s v="Montag"/>
    <s v="Porz"/>
    <s v="PLC"/>
    <x v="0"/>
    <x v="3"/>
  </r>
  <r>
    <x v="470"/>
    <s v="Dienstag"/>
    <s v="Porz"/>
    <s v="PLC"/>
    <x v="0"/>
    <x v="4"/>
  </r>
  <r>
    <x v="471"/>
    <s v="Mittwoch"/>
    <s v="Porz"/>
    <s v="PLC"/>
    <x v="0"/>
    <x v="3"/>
  </r>
  <r>
    <x v="472"/>
    <s v="Donnerstag"/>
    <s v="Porz"/>
    <s v="PLC"/>
    <x v="0"/>
    <x v="1"/>
  </r>
  <r>
    <x v="473"/>
    <s v="Freitag"/>
    <s v="Porz"/>
    <s v="PLC"/>
    <x v="0"/>
    <x v="0"/>
  </r>
  <r>
    <x v="474"/>
    <s v="Samstag"/>
    <s v="Porz"/>
    <s v="PLC"/>
    <x v="0"/>
    <x v="0"/>
  </r>
  <r>
    <x v="475"/>
    <s v="Sonntag"/>
    <s v="Porz"/>
    <s v="PLC"/>
    <x v="0"/>
    <x v="0"/>
  </r>
  <r>
    <x v="476"/>
    <s v="Montag"/>
    <s v="Porz"/>
    <s v="PLC"/>
    <x v="0"/>
    <x v="0"/>
  </r>
  <r>
    <x v="477"/>
    <s v="Dienstag"/>
    <s v="Porz"/>
    <s v="PLC"/>
    <x v="0"/>
    <x v="2"/>
  </r>
  <r>
    <x v="478"/>
    <s v="Mittwoch"/>
    <s v="Porz"/>
    <s v="PLC"/>
    <x v="0"/>
    <x v="1"/>
  </r>
  <r>
    <x v="479"/>
    <s v="Donnerstag"/>
    <s v="Porz"/>
    <s v="PLC"/>
    <x v="0"/>
    <x v="0"/>
  </r>
  <r>
    <x v="480"/>
    <s v="Freitag"/>
    <s v="Porz"/>
    <s v="PLC"/>
    <x v="0"/>
    <x v="0"/>
  </r>
  <r>
    <x v="481"/>
    <s v="Samstag"/>
    <s v="Porz"/>
    <s v="PLC"/>
    <x v="0"/>
    <x v="0"/>
  </r>
  <r>
    <x v="482"/>
    <s v="Sonntag"/>
    <s v="Porz"/>
    <s v="PLC"/>
    <x v="0"/>
    <x v="0"/>
  </r>
  <r>
    <x v="483"/>
    <s v="Montag"/>
    <s v="Porz"/>
    <s v="PLC"/>
    <x v="0"/>
    <x v="0"/>
  </r>
  <r>
    <x v="484"/>
    <s v="Dienstag"/>
    <s v="Porz"/>
    <s v="PLC"/>
    <x v="0"/>
    <x v="0"/>
  </r>
  <r>
    <x v="485"/>
    <s v="Mittwoch"/>
    <s v="Porz"/>
    <s v="PLC"/>
    <x v="0"/>
    <x v="0"/>
  </r>
  <r>
    <x v="486"/>
    <s v="Donnerstag"/>
    <s v="Porz"/>
    <s v="PLC"/>
    <x v="0"/>
    <x v="0"/>
  </r>
  <r>
    <x v="487"/>
    <s v="Freitag"/>
    <s v="Porz"/>
    <s v="PLC"/>
    <x v="0"/>
    <x v="0"/>
  </r>
  <r>
    <x v="488"/>
    <s v="Samstag"/>
    <s v="Porz"/>
    <s v="PLC"/>
    <x v="0"/>
    <x v="0"/>
  </r>
  <r>
    <x v="489"/>
    <s v="Sonntag"/>
    <s v="Porz"/>
    <s v="PLC"/>
    <x v="0"/>
    <x v="0"/>
  </r>
  <r>
    <x v="490"/>
    <s v="Montag"/>
    <s v="Porz"/>
    <s v="PLC"/>
    <x v="0"/>
    <x v="0"/>
  </r>
  <r>
    <x v="491"/>
    <s v="Dienstag"/>
    <s v="Porz"/>
    <s v="PLC"/>
    <x v="0"/>
    <x v="0"/>
  </r>
  <r>
    <x v="492"/>
    <s v="Mittwoch"/>
    <s v="Porz"/>
    <s v="PLC"/>
    <x v="0"/>
    <x v="0"/>
  </r>
  <r>
    <x v="493"/>
    <s v="Donnerstag"/>
    <s v="Porz"/>
    <s v="PLC"/>
    <x v="0"/>
    <x v="1"/>
  </r>
  <r>
    <x v="494"/>
    <s v="Freitag"/>
    <s v="Porz"/>
    <s v="PLC"/>
    <x v="0"/>
    <x v="0"/>
  </r>
  <r>
    <x v="495"/>
    <s v="Samstag"/>
    <s v="Porz"/>
    <s v="PLC"/>
    <x v="0"/>
    <x v="0"/>
  </r>
  <r>
    <x v="496"/>
    <s v="Sonntag"/>
    <s v="Porz"/>
    <s v="PLC"/>
    <x v="0"/>
    <x v="2"/>
  </r>
  <r>
    <x v="497"/>
    <s v="Montag"/>
    <s v="Porz"/>
    <s v="PLC"/>
    <x v="0"/>
    <x v="1"/>
  </r>
  <r>
    <x v="498"/>
    <s v="Dienstag"/>
    <s v="Porz"/>
    <s v="PLC"/>
    <x v="0"/>
    <x v="3"/>
  </r>
  <r>
    <x v="499"/>
    <s v="Mittwoch"/>
    <s v="Porz"/>
    <s v="PLC"/>
    <x v="0"/>
    <x v="3"/>
  </r>
  <r>
    <x v="500"/>
    <s v="Donnerstag"/>
    <s v="Porz"/>
    <s v="PLC"/>
    <x v="0"/>
    <x v="3"/>
  </r>
  <r>
    <x v="501"/>
    <s v="Freitag"/>
    <s v="Porz"/>
    <s v="PLC"/>
    <x v="0"/>
    <x v="4"/>
  </r>
  <r>
    <x v="502"/>
    <s v="Samstag"/>
    <s v="Porz"/>
    <s v="PLC"/>
    <x v="0"/>
    <x v="4"/>
  </r>
  <r>
    <x v="503"/>
    <s v="Sonntag"/>
    <s v="Porz"/>
    <s v="PLC"/>
    <x v="0"/>
    <x v="4"/>
  </r>
  <r>
    <x v="504"/>
    <s v="Montag"/>
    <s v="Porz"/>
    <s v="PLC"/>
    <x v="0"/>
    <x v="7"/>
  </r>
  <r>
    <x v="505"/>
    <s v="Dienstag"/>
    <s v="Porz"/>
    <s v="PLC"/>
    <x v="0"/>
    <x v="7"/>
  </r>
  <r>
    <x v="506"/>
    <s v="Mittwoch"/>
    <s v="Porz"/>
    <s v="PLC"/>
    <x v="0"/>
    <x v="4"/>
  </r>
  <r>
    <x v="507"/>
    <s v="Donnerstag"/>
    <s v="Porz"/>
    <s v="PLC"/>
    <x v="0"/>
    <x v="10"/>
  </r>
  <r>
    <x v="508"/>
    <s v="Freitag"/>
    <s v="Porz"/>
    <s v="PLC"/>
    <x v="0"/>
    <x v="0"/>
  </r>
  <r>
    <x v="509"/>
    <s v="Samstag"/>
    <s v="Porz"/>
    <s v="PLC"/>
    <x v="0"/>
    <x v="0"/>
  </r>
  <r>
    <x v="510"/>
    <s v="Sonntag"/>
    <s v="Porz"/>
    <s v="PLC"/>
    <x v="0"/>
    <x v="0"/>
  </r>
  <r>
    <x v="511"/>
    <s v="Montag"/>
    <s v="Porz"/>
    <s v="PLC"/>
    <x v="0"/>
    <x v="1"/>
  </r>
  <r>
    <x v="512"/>
    <s v="Dienstag"/>
    <s v="Porz"/>
    <s v="PLC"/>
    <x v="0"/>
    <x v="0"/>
  </r>
  <r>
    <x v="513"/>
    <s v="Mittwoch"/>
    <s v="Porz"/>
    <s v="PLC"/>
    <x v="0"/>
    <x v="0"/>
  </r>
  <r>
    <x v="514"/>
    <s v="Donnerstag"/>
    <s v="Porz"/>
    <s v="PLC"/>
    <x v="0"/>
    <x v="1"/>
  </r>
  <r>
    <x v="515"/>
    <s v="Freitag"/>
    <s v="Porz"/>
    <s v="PLC"/>
    <x v="0"/>
    <x v="1"/>
  </r>
  <r>
    <x v="516"/>
    <s v="Samstag"/>
    <s v="Porz"/>
    <s v="PLC"/>
    <x v="0"/>
    <x v="1"/>
  </r>
  <r>
    <x v="517"/>
    <s v="Sonntag"/>
    <s v="Porz"/>
    <s v="PLC"/>
    <x v="0"/>
    <x v="1"/>
  </r>
  <r>
    <x v="518"/>
    <s v="Montag"/>
    <s v="Porz"/>
    <s v="PLC"/>
    <x v="0"/>
    <x v="2"/>
  </r>
  <r>
    <x v="519"/>
    <s v="Dienstag"/>
    <s v="Porz"/>
    <s v="PLC"/>
    <x v="0"/>
    <x v="0"/>
  </r>
  <r>
    <x v="520"/>
    <s v="Mittwoch"/>
    <s v="Porz"/>
    <s v="PLC"/>
    <x v="0"/>
    <x v="0"/>
  </r>
  <r>
    <x v="521"/>
    <s v="Donnerstag"/>
    <s v="Porz"/>
    <s v="PLC"/>
    <x v="0"/>
    <x v="0"/>
  </r>
  <r>
    <x v="522"/>
    <s v="Freitag"/>
    <s v="Porz"/>
    <s v="PLC"/>
    <x v="0"/>
    <x v="0"/>
  </r>
  <r>
    <x v="523"/>
    <s v="Samstag"/>
    <s v="Porz"/>
    <s v="PLC"/>
    <x v="0"/>
    <x v="0"/>
  </r>
  <r>
    <x v="524"/>
    <s v="Sonntag"/>
    <s v="Porz"/>
    <s v="PLC"/>
    <x v="0"/>
    <x v="0"/>
  </r>
  <r>
    <x v="525"/>
    <s v="Montag"/>
    <s v="Porz"/>
    <s v="PLC"/>
    <x v="0"/>
    <x v="2"/>
  </r>
  <r>
    <x v="526"/>
    <s v="Dienstag"/>
    <s v="Porz"/>
    <s v="PLC"/>
    <x v="0"/>
    <x v="0"/>
  </r>
  <r>
    <x v="527"/>
    <s v="Mittwoch"/>
    <s v="Porz"/>
    <s v="PLC"/>
    <x v="0"/>
    <x v="0"/>
  </r>
  <r>
    <x v="528"/>
    <s v="Donnerstag"/>
    <s v="Porz"/>
    <s v="PLC"/>
    <x v="0"/>
    <x v="0"/>
  </r>
  <r>
    <x v="529"/>
    <s v="Freitag"/>
    <s v="Porz"/>
    <s v="PLC"/>
    <x v="0"/>
    <x v="1"/>
  </r>
  <r>
    <x v="530"/>
    <s v="Samstag"/>
    <s v="Porz"/>
    <s v="PLC"/>
    <x v="0"/>
    <x v="1"/>
  </r>
  <r>
    <x v="531"/>
    <s v="Sonntag"/>
    <s v="Porz"/>
    <s v="PLC"/>
    <x v="0"/>
    <x v="1"/>
  </r>
  <r>
    <x v="532"/>
    <s v="Montag"/>
    <s v="Porz"/>
    <s v="PLC"/>
    <x v="0"/>
    <x v="3"/>
  </r>
  <r>
    <x v="533"/>
    <s v="Dienstag"/>
    <s v="Porz"/>
    <s v="PLC"/>
    <x v="0"/>
    <x v="4"/>
  </r>
  <r>
    <x v="534"/>
    <s v="Mittwoch"/>
    <s v="Porz"/>
    <s v="PLC"/>
    <x v="0"/>
    <x v="7"/>
  </r>
  <r>
    <x v="535"/>
    <s v="Donnerstag"/>
    <s v="Porz"/>
    <s v="PLC"/>
    <x v="0"/>
    <x v="1"/>
  </r>
  <r>
    <x v="536"/>
    <s v="Freitag"/>
    <s v="Porz"/>
    <s v="PLC"/>
    <x v="0"/>
    <x v="0"/>
  </r>
  <r>
    <x v="537"/>
    <s v="Samstag"/>
    <s v="Porz"/>
    <s v="PLC"/>
    <x v="0"/>
    <x v="0"/>
  </r>
  <r>
    <x v="538"/>
    <s v="Sonntag"/>
    <s v="Porz"/>
    <s v="PLC"/>
    <x v="0"/>
    <x v="0"/>
  </r>
  <r>
    <x v="539"/>
    <s v="Montag"/>
    <s v="Porz"/>
    <s v="PLC"/>
    <x v="0"/>
    <x v="0"/>
  </r>
  <r>
    <x v="540"/>
    <s v="Dienstag"/>
    <s v="Porz"/>
    <s v="PLC"/>
    <x v="0"/>
    <x v="2"/>
  </r>
  <r>
    <x v="541"/>
    <s v="Mittwoch"/>
    <s v="Porz"/>
    <s v="PLC"/>
    <x v="0"/>
    <x v="2"/>
  </r>
  <r>
    <x v="542"/>
    <s v="Donnerstag"/>
    <s v="Porz"/>
    <s v="PLC"/>
    <x v="0"/>
    <x v="1"/>
  </r>
  <r>
    <x v="543"/>
    <s v="Freitag"/>
    <s v="Porz"/>
    <s v="PLC"/>
    <x v="0"/>
    <x v="3"/>
  </r>
  <r>
    <x v="544"/>
    <s v="Samstag"/>
    <s v="Porz"/>
    <s v="PLC"/>
    <x v="0"/>
    <x v="3"/>
  </r>
  <r>
    <x v="545"/>
    <s v="Sonntag"/>
    <s v="Porz"/>
    <s v="PLC"/>
    <x v="0"/>
    <x v="3"/>
  </r>
  <r>
    <x v="546"/>
    <s v="Montag"/>
    <s v="Porz"/>
    <s v="PLC"/>
    <x v="0"/>
    <x v="1"/>
  </r>
  <r>
    <x v="547"/>
    <s v="Dienstag"/>
    <s v="Porz"/>
    <s v="PLC"/>
    <x v="0"/>
    <x v="0"/>
  </r>
  <r>
    <x v="548"/>
    <s v="Mittwoch"/>
    <s v="Porz"/>
    <s v="PLC"/>
    <x v="0"/>
    <x v="0"/>
  </r>
  <r>
    <x v="549"/>
    <s v="Donnerstag"/>
    <s v="Porz"/>
    <s v="PLC"/>
    <x v="0"/>
    <x v="0"/>
  </r>
  <r>
    <x v="550"/>
    <s v="Freitag"/>
    <s v="Porz"/>
    <s v="PLC"/>
    <x v="0"/>
    <x v="0"/>
  </r>
  <r>
    <x v="551"/>
    <s v="Samstag"/>
    <s v="Porz"/>
    <s v="PLC"/>
    <x v="0"/>
    <x v="0"/>
  </r>
  <r>
    <x v="552"/>
    <s v="Sonntag"/>
    <s v="Porz"/>
    <s v="PLC"/>
    <x v="0"/>
    <x v="1"/>
  </r>
  <r>
    <x v="553"/>
    <s v="Montag"/>
    <s v="Porz"/>
    <s v="PLC"/>
    <x v="0"/>
    <x v="11"/>
  </r>
  <r>
    <x v="554"/>
    <s v="Dienstag"/>
    <s v="Porz"/>
    <s v="PLC"/>
    <x v="0"/>
    <x v="12"/>
  </r>
  <r>
    <x v="555"/>
    <s v="Mittwoch"/>
    <s v="Porz"/>
    <s v="PLC"/>
    <x v="0"/>
    <x v="0"/>
  </r>
  <r>
    <x v="556"/>
    <s v="Donnerstag"/>
    <s v="Porz"/>
    <s v="PLC"/>
    <x v="0"/>
    <x v="2"/>
  </r>
  <r>
    <x v="557"/>
    <s v="Freitag"/>
    <s v="Porz"/>
    <s v="PLC"/>
    <x v="0"/>
    <x v="0"/>
  </r>
  <r>
    <x v="558"/>
    <s v="Samstag"/>
    <s v="Porz"/>
    <s v="PLC"/>
    <x v="0"/>
    <x v="0"/>
  </r>
  <r>
    <x v="559"/>
    <s v="Sonntag"/>
    <s v="Porz"/>
    <s v="PLC"/>
    <x v="0"/>
    <x v="0"/>
  </r>
  <r>
    <x v="560"/>
    <s v="Montag"/>
    <s v="Porz"/>
    <s v="Transition"/>
    <x v="0"/>
    <x v="0"/>
  </r>
  <r>
    <x v="561"/>
    <s v="Dienstag"/>
    <s v="Porz"/>
    <s v="Transition"/>
    <x v="0"/>
    <x v="0"/>
  </r>
  <r>
    <x v="562"/>
    <s v="Mittwoch"/>
    <s v="Porz"/>
    <s v="Transition"/>
    <x v="0"/>
    <x v="0"/>
  </r>
  <r>
    <x v="563"/>
    <s v="Donnerstag"/>
    <s v="Porz"/>
    <s v="Transition"/>
    <x v="0"/>
    <x v="0"/>
  </r>
  <r>
    <x v="564"/>
    <s v="Freitag"/>
    <s v="Porz"/>
    <s v="Transition"/>
    <x v="0"/>
    <x v="0"/>
  </r>
  <r>
    <x v="565"/>
    <s v="Samstag"/>
    <s v="Porz"/>
    <s v="Diamant"/>
    <x v="0"/>
    <x v="0"/>
  </r>
  <r>
    <x v="566"/>
    <s v="Sonntag"/>
    <s v="Porz"/>
    <s v="Diamant"/>
    <x v="0"/>
    <x v="2"/>
  </r>
  <r>
    <x v="567"/>
    <s v="Montag"/>
    <s v="Porz"/>
    <s v="Diamant"/>
    <x v="0"/>
    <x v="1"/>
  </r>
  <r>
    <x v="568"/>
    <s v="Dienstag"/>
    <s v="Porz"/>
    <s v="Diamant"/>
    <x v="0"/>
    <x v="1"/>
  </r>
  <r>
    <x v="569"/>
    <s v="Mittwoch"/>
    <s v="Porz"/>
    <s v="Diamant"/>
    <x v="0"/>
    <x v="1"/>
  </r>
  <r>
    <x v="570"/>
    <s v="Donnerstag"/>
    <s v="Porz"/>
    <s v="Diamant"/>
    <x v="0"/>
    <x v="3"/>
  </r>
  <r>
    <x v="571"/>
    <s v="Freitag"/>
    <s v="Porz"/>
    <s v="Diamant"/>
    <x v="0"/>
    <x v="4"/>
  </r>
  <r>
    <x v="572"/>
    <s v="Samstag"/>
    <s v="Porz"/>
    <s v="Diamant"/>
    <x v="0"/>
    <x v="4"/>
  </r>
  <r>
    <x v="573"/>
    <s v="Sonntag"/>
    <s v="Porz"/>
    <s v="Diamant"/>
    <x v="0"/>
    <x v="4"/>
  </r>
  <r>
    <x v="574"/>
    <s v="Montag"/>
    <s v="Porz"/>
    <s v="Diamant"/>
    <x v="0"/>
    <x v="4"/>
  </r>
  <r>
    <x v="575"/>
    <s v="Dienstag"/>
    <s v="Porz"/>
    <s v="Diamant"/>
    <x v="0"/>
    <x v="3"/>
  </r>
  <r>
    <x v="576"/>
    <s v="Mittwoch"/>
    <s v="Porz"/>
    <s v="Diamant"/>
    <x v="0"/>
    <x v="3"/>
  </r>
  <r>
    <x v="577"/>
    <s v="Donnerstag"/>
    <s v="Porz"/>
    <s v="Diamant"/>
    <x v="0"/>
    <x v="3"/>
  </r>
  <r>
    <x v="578"/>
    <s v="Freitag"/>
    <s v="Porz"/>
    <s v="Diamant"/>
    <x v="0"/>
    <x v="3"/>
  </r>
  <r>
    <x v="579"/>
    <s v="Samstag"/>
    <s v="Porz"/>
    <s v="Diamant"/>
    <x v="0"/>
    <x v="0"/>
  </r>
  <r>
    <x v="580"/>
    <s v="Sonntag"/>
    <s v="Porz"/>
    <s v="Diamant"/>
    <x v="0"/>
    <x v="0"/>
  </r>
  <r>
    <x v="581"/>
    <s v="Montag"/>
    <s v="Porz"/>
    <s v="Diamant"/>
    <x v="0"/>
    <x v="1"/>
  </r>
  <r>
    <x v="582"/>
    <s v="Dienstag"/>
    <s v="Porz"/>
    <s v="Diamant"/>
    <x v="0"/>
    <x v="1"/>
  </r>
  <r>
    <x v="583"/>
    <s v="Mittwoch"/>
    <s v="Porz"/>
    <s v="Diamant"/>
    <x v="0"/>
    <x v="10"/>
  </r>
  <r>
    <x v="584"/>
    <s v="Donnerstag"/>
    <s v="Porz"/>
    <s v="Transition"/>
    <x v="0"/>
    <x v="0"/>
  </r>
  <r>
    <x v="585"/>
    <s v="Freitag"/>
    <s v="Porz"/>
    <s v="Transition"/>
    <x v="0"/>
    <x v="0"/>
  </r>
  <r>
    <x v="586"/>
    <s v="Samstag"/>
    <s v="Porz"/>
    <s v="PLC"/>
    <x v="0"/>
    <x v="0"/>
  </r>
  <r>
    <x v="587"/>
    <s v="Sonntag"/>
    <s v="Porz"/>
    <s v="PLC"/>
    <x v="0"/>
    <x v="0"/>
  </r>
  <r>
    <x v="588"/>
    <s v="Montag"/>
    <s v="Porz"/>
    <s v="PLC"/>
    <x v="0"/>
    <x v="2"/>
  </r>
  <r>
    <x v="589"/>
    <s v="Dienstag"/>
    <s v="Porz"/>
    <s v="PLC"/>
    <x v="0"/>
    <x v="1"/>
  </r>
  <r>
    <x v="590"/>
    <s v="Mittwoch"/>
    <s v="Porz"/>
    <s v="PLC"/>
    <x v="0"/>
    <x v="1"/>
  </r>
  <r>
    <x v="591"/>
    <s v="Donnerstag"/>
    <s v="Porz"/>
    <s v="PLC"/>
    <x v="0"/>
    <x v="1"/>
  </r>
  <r>
    <x v="592"/>
    <s v="Freitag"/>
    <s v="Porz"/>
    <s v="PLC"/>
    <x v="0"/>
    <x v="0"/>
  </r>
  <r>
    <x v="593"/>
    <s v="Samstag"/>
    <s v="Porz"/>
    <s v="PLC"/>
    <x v="0"/>
    <x v="0"/>
  </r>
  <r>
    <x v="594"/>
    <s v="Sonntag"/>
    <s v="Porz"/>
    <s v="PLC"/>
    <x v="0"/>
    <x v="0"/>
  </r>
  <r>
    <x v="595"/>
    <s v="Montag"/>
    <s v="Porz"/>
    <s v="PLC"/>
    <x v="0"/>
    <x v="2"/>
  </r>
  <r>
    <x v="596"/>
    <s v="Dienstag"/>
    <s v="Porz"/>
    <s v="PLC"/>
    <x v="0"/>
    <x v="2"/>
  </r>
  <r>
    <x v="597"/>
    <s v="Mittwoch"/>
    <s v="Porz"/>
    <s v="PLC"/>
    <x v="0"/>
    <x v="1"/>
  </r>
  <r>
    <x v="598"/>
    <s v="Donnerstag"/>
    <s v="Porz"/>
    <s v="PLC"/>
    <x v="0"/>
    <x v="3"/>
  </r>
  <r>
    <x v="599"/>
    <s v="Freitag"/>
    <s v="Porz"/>
    <s v="PLC"/>
    <x v="0"/>
    <x v="3"/>
  </r>
  <r>
    <x v="600"/>
    <s v="Samstag"/>
    <s v="Porz"/>
    <s v="PLC"/>
    <x v="0"/>
    <x v="3"/>
  </r>
  <r>
    <x v="601"/>
    <s v="Sonntag"/>
    <s v="Porz"/>
    <s v="PLC"/>
    <x v="0"/>
    <x v="3"/>
  </r>
  <r>
    <x v="602"/>
    <s v="Montag"/>
    <s v="Porz"/>
    <s v="PLC"/>
    <x v="0"/>
    <x v="4"/>
  </r>
  <r>
    <x v="603"/>
    <s v="Dienstag"/>
    <s v="Porz"/>
    <s v="PLC"/>
    <x v="0"/>
    <x v="4"/>
  </r>
  <r>
    <x v="604"/>
    <s v="Mittwoch"/>
    <s v="Porz"/>
    <s v="PLC"/>
    <x v="0"/>
    <x v="4"/>
  </r>
  <r>
    <x v="605"/>
    <s v="Donnerstag"/>
    <s v="Porz"/>
    <s v="PLC"/>
    <x v="0"/>
    <x v="1"/>
  </r>
  <r>
    <x v="606"/>
    <s v="Freitag"/>
    <s v="Porz"/>
    <s v="PLC"/>
    <x v="0"/>
    <x v="1"/>
  </r>
  <r>
    <x v="607"/>
    <s v="Samstag"/>
    <s v="Porz"/>
    <s v="PLC"/>
    <x v="0"/>
    <x v="1"/>
  </r>
  <r>
    <x v="608"/>
    <s v="Sonntag"/>
    <s v="Porz"/>
    <s v="PLC"/>
    <x v="0"/>
    <x v="1"/>
  </r>
  <r>
    <x v="609"/>
    <s v="Montag"/>
    <s v="Porz"/>
    <s v="PLC"/>
    <x v="0"/>
    <x v="0"/>
  </r>
  <r>
    <x v="610"/>
    <s v="Dienstag"/>
    <s v="Porz"/>
    <s v="PLC"/>
    <x v="0"/>
    <x v="0"/>
  </r>
  <r>
    <x v="611"/>
    <s v="Mittwoch"/>
    <s v="Porz"/>
    <s v="PLC"/>
    <x v="0"/>
    <x v="0"/>
  </r>
  <r>
    <x v="612"/>
    <s v="Donnerstag"/>
    <s v="Porz"/>
    <s v="PLC"/>
    <x v="0"/>
    <x v="0"/>
  </r>
  <r>
    <x v="613"/>
    <s v="Freitag"/>
    <s v="Porz"/>
    <s v="PLC"/>
    <x v="0"/>
    <x v="2"/>
  </r>
  <r>
    <x v="614"/>
    <s v="Samstag"/>
    <s v="Porz"/>
    <s v="PLC"/>
    <x v="0"/>
    <x v="2"/>
  </r>
  <r>
    <x v="615"/>
    <s v="Sonntag"/>
    <s v="Porz"/>
    <s v="PLC"/>
    <x v="0"/>
    <x v="2"/>
  </r>
  <r>
    <x v="616"/>
    <s v="Montag"/>
    <s v="Porz"/>
    <s v="PLC"/>
    <x v="0"/>
    <x v="0"/>
  </r>
  <r>
    <x v="617"/>
    <s v="Dienstag"/>
    <s v="Porz"/>
    <s v="PLC"/>
    <x v="0"/>
    <x v="0"/>
  </r>
  <r>
    <x v="618"/>
    <s v="Mittwoch"/>
    <s v="Porz"/>
    <s v="PLC"/>
    <x v="0"/>
    <x v="0"/>
  </r>
  <r>
    <x v="619"/>
    <s v="Donnerstag"/>
    <s v="Porz"/>
    <s v="PLC"/>
    <x v="0"/>
    <x v="1"/>
  </r>
  <r>
    <x v="620"/>
    <s v="Freitag"/>
    <s v="Porz"/>
    <s v="PLC"/>
    <x v="0"/>
    <x v="1"/>
  </r>
  <r>
    <x v="621"/>
    <s v="Samstag"/>
    <s v="Porz"/>
    <s v="PLC"/>
    <x v="0"/>
    <x v="1"/>
  </r>
  <r>
    <x v="622"/>
    <s v="Sonntag"/>
    <s v="Porz"/>
    <s v="PLC"/>
    <x v="0"/>
    <x v="1"/>
  </r>
  <r>
    <x v="623"/>
    <s v="Montag"/>
    <s v="Porz"/>
    <s v="PLC"/>
    <x v="0"/>
    <x v="1"/>
  </r>
  <r>
    <x v="624"/>
    <s v="Dienstag"/>
    <s v="Porz"/>
    <s v="PLC"/>
    <x v="0"/>
    <x v="1"/>
  </r>
  <r>
    <x v="625"/>
    <s v="Mittwoch"/>
    <s v="Porz"/>
    <s v="PLC"/>
    <x v="0"/>
    <x v="0"/>
  </r>
  <r>
    <x v="626"/>
    <s v="Donnerstag"/>
    <s v="Porz"/>
    <s v="PLC"/>
    <x v="0"/>
    <x v="0"/>
  </r>
  <r>
    <x v="627"/>
    <s v="Freitag"/>
    <s v="Porz"/>
    <s v="PLC"/>
    <x v="0"/>
    <x v="0"/>
  </r>
  <r>
    <x v="628"/>
    <s v="Samstag"/>
    <s v="Porz"/>
    <s v="PLC"/>
    <x v="0"/>
    <x v="0"/>
  </r>
  <r>
    <x v="629"/>
    <s v="Sonntag"/>
    <s v="Porz"/>
    <s v="PLC"/>
    <x v="0"/>
    <x v="0"/>
  </r>
  <r>
    <x v="630"/>
    <s v="Montag"/>
    <s v="Porz"/>
    <s v="PLC"/>
    <x v="0"/>
    <x v="0"/>
  </r>
  <r>
    <x v="631"/>
    <s v="Dienstag"/>
    <s v="Porz"/>
    <s v="PLC"/>
    <x v="0"/>
    <x v="0"/>
  </r>
  <r>
    <x v="632"/>
    <s v="Mittwoch"/>
    <s v="Porz"/>
    <s v="PLC"/>
    <x v="0"/>
    <x v="0"/>
  </r>
  <r>
    <x v="633"/>
    <s v="Donnerstag"/>
    <s v="Porz"/>
    <s v="PLC"/>
    <x v="0"/>
    <x v="1"/>
  </r>
  <r>
    <x v="634"/>
    <s v="Freitag"/>
    <s v="Porz"/>
    <s v="PLC"/>
    <x v="0"/>
    <x v="1"/>
  </r>
  <r>
    <x v="635"/>
    <s v="Samstag"/>
    <s v="Porz"/>
    <s v="PLC"/>
    <x v="0"/>
    <x v="1"/>
  </r>
  <r>
    <x v="636"/>
    <s v="Sonntag"/>
    <s v="Porz"/>
    <s v="PLC"/>
    <x v="0"/>
    <x v="1"/>
  </r>
  <r>
    <x v="637"/>
    <s v="Montag"/>
    <s v="Porz"/>
    <s v="PLC"/>
    <x v="0"/>
    <x v="3"/>
  </r>
  <r>
    <x v="638"/>
    <s v="Dienstag"/>
    <s v="Porz"/>
    <s v="PLC"/>
    <x v="0"/>
    <x v="4"/>
  </r>
  <r>
    <x v="639"/>
    <s v="Mittwoch"/>
    <s v="Porz"/>
    <s v="PLC"/>
    <x v="0"/>
    <x v="4"/>
  </r>
  <r>
    <x v="640"/>
    <s v="Donnerstag"/>
    <s v="Porz"/>
    <s v="PLC"/>
    <x v="0"/>
    <x v="4"/>
  </r>
  <r>
    <x v="641"/>
    <s v="Freitag"/>
    <s v="Porz"/>
    <s v="PLC"/>
    <x v="0"/>
    <x v="3"/>
  </r>
  <r>
    <x v="642"/>
    <s v="Samstag"/>
    <s v="Porz"/>
    <s v="PLC"/>
    <x v="0"/>
    <x v="3"/>
  </r>
  <r>
    <x v="643"/>
    <s v="Sonntag"/>
    <s v="Porz"/>
    <s v="PLC"/>
    <x v="0"/>
    <x v="3"/>
  </r>
  <r>
    <x v="644"/>
    <s v="Montag"/>
    <s v="Porz"/>
    <s v="PLC"/>
    <x v="0"/>
    <x v="1"/>
  </r>
  <r>
    <x v="645"/>
    <s v="Dienstag"/>
    <s v="Porz"/>
    <s v="PLC"/>
    <x v="0"/>
    <x v="1"/>
  </r>
  <r>
    <x v="646"/>
    <s v="Mittwoch"/>
    <s v="Porz"/>
    <s v="PLC"/>
    <x v="0"/>
    <x v="2"/>
  </r>
  <r>
    <x v="647"/>
    <s v="Donnerstag"/>
    <s v="Porz"/>
    <s v="PLC"/>
    <x v="0"/>
    <x v="0"/>
  </r>
  <r>
    <x v="648"/>
    <s v="Freitag"/>
    <s v="Porz"/>
    <s v="PLC"/>
    <x v="0"/>
    <x v="0"/>
  </r>
  <r>
    <x v="649"/>
    <s v="Samstag"/>
    <s v="Porz"/>
    <s v="PLC"/>
    <x v="0"/>
    <x v="0"/>
  </r>
  <r>
    <x v="650"/>
    <s v="Sonntag"/>
    <s v="Porz"/>
    <s v="PLC"/>
    <x v="0"/>
    <x v="0"/>
  </r>
  <r>
    <x v="651"/>
    <s v="Montag"/>
    <s v="Porz"/>
    <s v="PLC"/>
    <x v="0"/>
    <x v="0"/>
  </r>
  <r>
    <x v="652"/>
    <s v="Dienstag"/>
    <s v="Porz"/>
    <s v="PLC"/>
    <x v="0"/>
    <x v="0"/>
  </r>
  <r>
    <x v="653"/>
    <s v="Mittwoch"/>
    <s v="Porz"/>
    <s v="PLC"/>
    <x v="0"/>
    <x v="0"/>
  </r>
  <r>
    <x v="654"/>
    <s v="Donnerstag"/>
    <s v="Porz"/>
    <s v="PLC"/>
    <x v="0"/>
    <x v="0"/>
  </r>
  <r>
    <x v="655"/>
    <s v="Freitag"/>
    <s v="Porz"/>
    <s v="PLC"/>
    <x v="0"/>
    <x v="0"/>
  </r>
  <r>
    <x v="656"/>
    <s v="Samstag"/>
    <s v="Porz"/>
    <s v="Transition"/>
    <x v="0"/>
    <x v="0"/>
  </r>
  <r>
    <x v="657"/>
    <s v="Sonntag"/>
    <s v="Porz"/>
    <s v="Transition"/>
    <x v="0"/>
    <x v="0"/>
  </r>
  <r>
    <x v="658"/>
    <s v="Montag"/>
    <s v="Porz"/>
    <s v="Diamant"/>
    <x v="0"/>
    <x v="0"/>
  </r>
  <r>
    <x v="659"/>
    <s v="Dienstag"/>
    <s v="Porz"/>
    <s v="Diamant"/>
    <x v="0"/>
    <x v="9"/>
  </r>
  <r>
    <x v="660"/>
    <s v="Mittwoch"/>
    <s v="Porz"/>
    <s v="Diamant"/>
    <x v="0"/>
    <x v="1"/>
  </r>
  <r>
    <x v="661"/>
    <s v="Donnerstag"/>
    <s v="Porz"/>
    <s v="Diamant"/>
    <x v="0"/>
    <x v="1"/>
  </r>
  <r>
    <x v="662"/>
    <s v="Freitag"/>
    <s v="Porz"/>
    <s v="Diamant"/>
    <x v="0"/>
    <x v="3"/>
  </r>
  <r>
    <x v="663"/>
    <s v="Samstag"/>
    <s v="Porz"/>
    <s v="Diamant"/>
    <x v="0"/>
    <x v="3"/>
  </r>
  <r>
    <x v="664"/>
    <s v="Sonntag"/>
    <s v="Porz"/>
    <s v="Diamant"/>
    <x v="0"/>
    <x v="3"/>
  </r>
  <r>
    <x v="665"/>
    <s v="Montag"/>
    <s v="Porz"/>
    <s v="Diamant"/>
    <x v="0"/>
    <x v="3"/>
  </r>
  <r>
    <x v="666"/>
    <s v="Dienstag"/>
    <s v="Porz"/>
    <s v="Diamant"/>
    <x v="0"/>
    <x v="3"/>
  </r>
  <r>
    <x v="667"/>
    <s v="Mittwoch"/>
    <s v="Porz"/>
    <s v="Diamant"/>
    <x v="0"/>
    <x v="4"/>
  </r>
  <r>
    <x v="668"/>
    <s v="Donnerstag"/>
    <s v="Porz"/>
    <s v="Diamant"/>
    <x v="0"/>
    <x v="4"/>
  </r>
  <r>
    <x v="669"/>
    <s v="Freitag"/>
    <s v="Porz"/>
    <s v="Diamant"/>
    <x v="0"/>
    <x v="4"/>
  </r>
  <r>
    <x v="670"/>
    <s v="Samstag"/>
    <s v="Porz"/>
    <s v="Diamant"/>
    <x v="0"/>
    <x v="4"/>
  </r>
  <r>
    <x v="671"/>
    <s v="Sonntag"/>
    <s v="Porz"/>
    <s v="Diamant"/>
    <x v="0"/>
    <x v="4"/>
  </r>
  <r>
    <x v="672"/>
    <s v="Montag"/>
    <s v="Porz"/>
    <s v="Diamant"/>
    <x v="0"/>
    <x v="3"/>
  </r>
  <r>
    <x v="673"/>
    <s v="Dienstag"/>
    <s v="Porz"/>
    <s v="Diamant"/>
    <x v="0"/>
    <x v="3"/>
  </r>
  <r>
    <x v="674"/>
    <s v="Mittwoch"/>
    <s v="Porz"/>
    <s v="Diamant"/>
    <x v="0"/>
    <x v="1"/>
  </r>
  <r>
    <x v="675"/>
    <s v="Donnerstag"/>
    <s v="Porz"/>
    <s v="Diamant"/>
    <x v="0"/>
    <x v="1"/>
  </r>
  <r>
    <x v="676"/>
    <s v="Freitag"/>
    <s v="Porz"/>
    <s v="Diamant"/>
    <x v="0"/>
    <x v="1"/>
  </r>
  <r>
    <x v="677"/>
    <s v="Samstag"/>
    <s v="Porz"/>
    <s v="Diamant"/>
    <x v="0"/>
    <x v="1"/>
  </r>
  <r>
    <x v="678"/>
    <s v="Sonntag"/>
    <s v="Porz"/>
    <s v="Diamant"/>
    <x v="0"/>
    <x v="1"/>
  </r>
  <r>
    <x v="679"/>
    <s v="Montag"/>
    <s v="Porz"/>
    <s v="Diamant"/>
    <x v="0"/>
    <x v="2"/>
  </r>
  <r>
    <x v="680"/>
    <s v="Dienstag"/>
    <s v="Porz"/>
    <s v="Diamant"/>
    <x v="0"/>
    <x v="0"/>
  </r>
  <r>
    <x v="681"/>
    <s v="Mittwoch"/>
    <s v="Porz"/>
    <s v="Transition"/>
    <x v="0"/>
    <x v="0"/>
  </r>
  <r>
    <x v="682"/>
    <s v="Donnerstag"/>
    <s v="Porz"/>
    <s v="Transition"/>
    <x v="0"/>
    <x v="0"/>
  </r>
  <r>
    <x v="683"/>
    <s v="Freitag"/>
    <s v="Porz"/>
    <s v="PLC"/>
    <x v="0"/>
    <x v="0"/>
  </r>
  <r>
    <x v="684"/>
    <s v="Samstag"/>
    <s v="Porz"/>
    <s v="PLC"/>
    <x v="0"/>
    <x v="0"/>
  </r>
  <r>
    <x v="685"/>
    <s v="Sonntag"/>
    <s v="Porz"/>
    <s v="PLC"/>
    <x v="0"/>
    <x v="0"/>
  </r>
  <r>
    <x v="686"/>
    <s v="Montag"/>
    <s v="Porz"/>
    <s v="PLC"/>
    <x v="0"/>
    <x v="0"/>
  </r>
  <r>
    <x v="687"/>
    <s v="Dienstag"/>
    <s v="Porz"/>
    <s v="PLC"/>
    <x v="0"/>
    <x v="0"/>
  </r>
  <r>
    <x v="688"/>
    <s v="Mittwoch"/>
    <s v="Porz"/>
    <s v="PLC"/>
    <x v="0"/>
    <x v="0"/>
  </r>
  <r>
    <x v="689"/>
    <s v="Donnerstag"/>
    <s v="Porz"/>
    <s v="PLC"/>
    <x v="0"/>
    <x v="1"/>
  </r>
  <r>
    <x v="690"/>
    <s v="Freitag"/>
    <s v="Porz"/>
    <s v="PLC"/>
    <x v="0"/>
    <x v="1"/>
  </r>
  <r>
    <x v="691"/>
    <s v="Samstag"/>
    <s v="Porz"/>
    <s v="PLC"/>
    <x v="0"/>
    <x v="1"/>
  </r>
  <r>
    <x v="692"/>
    <s v="Sonntag"/>
    <s v="Porz"/>
    <s v="PLC"/>
    <x v="0"/>
    <x v="1"/>
  </r>
  <r>
    <x v="693"/>
    <s v="Montag"/>
    <s v="Porz"/>
    <s v="PLC"/>
    <x v="0"/>
    <x v="1"/>
  </r>
  <r>
    <x v="694"/>
    <s v="Dienstag"/>
    <s v="Porz"/>
    <s v="PLC"/>
    <x v="0"/>
    <x v="1"/>
  </r>
  <r>
    <x v="695"/>
    <s v="Mittwoch"/>
    <s v="Porz"/>
    <s v="PLC"/>
    <x v="0"/>
    <x v="1"/>
  </r>
  <r>
    <x v="696"/>
    <s v="Donnerstag"/>
    <s v="Porz"/>
    <s v="PLC"/>
    <x v="0"/>
    <x v="0"/>
  </r>
  <r>
    <x v="697"/>
    <s v="Freitag"/>
    <s v="Porz"/>
    <s v="PLC"/>
    <x v="0"/>
    <x v="0"/>
  </r>
  <r>
    <x v="698"/>
    <s v="Samstag"/>
    <s v="Porz"/>
    <s v="PLC"/>
    <x v="0"/>
    <x v="0"/>
  </r>
  <r>
    <x v="699"/>
    <s v="Sonntag"/>
    <s v="Porz"/>
    <s v="PLC"/>
    <x v="0"/>
    <x v="0"/>
  </r>
  <r>
    <x v="700"/>
    <s v="Montag"/>
    <s v="Porz"/>
    <s v="PLC"/>
    <x v="0"/>
    <x v="0"/>
  </r>
  <r>
    <x v="701"/>
    <s v="Dienstag"/>
    <s v="Porz"/>
    <s v="PLC"/>
    <x v="0"/>
    <x v="0"/>
  </r>
  <r>
    <x v="702"/>
    <s v="Mittwoch"/>
    <s v="Porz"/>
    <s v="PLC"/>
    <x v="0"/>
    <x v="0"/>
  </r>
  <r>
    <x v="703"/>
    <s v="Donnerstag"/>
    <s v="Porz"/>
    <s v="PLC"/>
    <x v="0"/>
    <x v="0"/>
  </r>
  <r>
    <x v="704"/>
    <s v="Freitag"/>
    <s v="Porz"/>
    <m/>
    <x v="2"/>
    <x v="13"/>
  </r>
  <r>
    <x v="705"/>
    <s v="Samstag"/>
    <s v="Porz"/>
    <m/>
    <x v="2"/>
    <x v="13"/>
  </r>
  <r>
    <x v="706"/>
    <s v="Sonntag"/>
    <s v="Porz"/>
    <m/>
    <x v="2"/>
    <x v="13"/>
  </r>
  <r>
    <x v="707"/>
    <s v="Montag"/>
    <s v="Porz"/>
    <m/>
    <x v="2"/>
    <x v="13"/>
  </r>
  <r>
    <x v="708"/>
    <s v="Dienstag"/>
    <s v="Porz"/>
    <m/>
    <x v="2"/>
    <x v="13"/>
  </r>
  <r>
    <x v="709"/>
    <s v="Mittwoch"/>
    <s v="Porz"/>
    <m/>
    <x v="2"/>
    <x v="13"/>
  </r>
  <r>
    <x v="710"/>
    <s v="Donnerstag"/>
    <s v="Porz"/>
    <m/>
    <x v="2"/>
    <x v="13"/>
  </r>
  <r>
    <x v="711"/>
    <s v="Freitag"/>
    <s v="Porz"/>
    <m/>
    <x v="2"/>
    <x v="13"/>
  </r>
  <r>
    <x v="712"/>
    <s v="Samstag"/>
    <s v="Porz"/>
    <m/>
    <x v="2"/>
    <x v="13"/>
  </r>
  <r>
    <x v="713"/>
    <s v="Sonntag"/>
    <s v="Porz"/>
    <m/>
    <x v="2"/>
    <x v="13"/>
  </r>
  <r>
    <x v="714"/>
    <s v="Montag"/>
    <s v="Porz"/>
    <m/>
    <x v="2"/>
    <x v="13"/>
  </r>
  <r>
    <x v="715"/>
    <s v="Dienstag"/>
    <s v="Porz"/>
    <m/>
    <x v="2"/>
    <x v="13"/>
  </r>
  <r>
    <x v="716"/>
    <s v="Mittwoch"/>
    <s v="Porz"/>
    <m/>
    <x v="2"/>
    <x v="13"/>
  </r>
  <r>
    <x v="717"/>
    <s v="Donnerstag"/>
    <s v="Porz"/>
    <m/>
    <x v="2"/>
    <x v="13"/>
  </r>
  <r>
    <x v="718"/>
    <s v="Freitag"/>
    <s v="Porz"/>
    <m/>
    <x v="2"/>
    <x v="13"/>
  </r>
  <r>
    <x v="719"/>
    <s v="Samstag"/>
    <s v="Porz"/>
    <m/>
    <x v="2"/>
    <x v="13"/>
  </r>
  <r>
    <x v="720"/>
    <s v="Sonntag"/>
    <s v="Porz"/>
    <m/>
    <x v="2"/>
    <x v="13"/>
  </r>
  <r>
    <x v="721"/>
    <s v="Montag"/>
    <s v="Porz"/>
    <m/>
    <x v="2"/>
    <x v="13"/>
  </r>
  <r>
    <x v="722"/>
    <s v="Dienstag"/>
    <s v="Porz"/>
    <m/>
    <x v="2"/>
    <x v="13"/>
  </r>
  <r>
    <x v="723"/>
    <s v="Mittwoch"/>
    <s v="Porz"/>
    <m/>
    <x v="2"/>
    <x v="13"/>
  </r>
  <r>
    <x v="724"/>
    <s v="Donnerstag"/>
    <s v="Porz"/>
    <m/>
    <x v="2"/>
    <x v="13"/>
  </r>
  <r>
    <x v="725"/>
    <s v="Freitag"/>
    <s v="Porz"/>
    <m/>
    <x v="2"/>
    <x v="13"/>
  </r>
  <r>
    <x v="726"/>
    <s v="Samstag"/>
    <s v="Porz"/>
    <m/>
    <x v="2"/>
    <x v="13"/>
  </r>
  <r>
    <x v="727"/>
    <s v="Sonntag"/>
    <s v="Porz"/>
    <m/>
    <x v="2"/>
    <x v="13"/>
  </r>
  <r>
    <x v="728"/>
    <s v="Montag"/>
    <s v="Porz"/>
    <m/>
    <x v="2"/>
    <x v="13"/>
  </r>
  <r>
    <x v="729"/>
    <s v="Dienstag"/>
    <s v="Porz"/>
    <m/>
    <x v="2"/>
    <x v="13"/>
  </r>
  <r>
    <x v="730"/>
    <s v="Mittwoch"/>
    <s v="Porz"/>
    <m/>
    <x v="2"/>
    <x v="13"/>
  </r>
  <r>
    <x v="731"/>
    <s v="Donnerstag"/>
    <s v="Porz"/>
    <m/>
    <x v="2"/>
    <x v="13"/>
  </r>
  <r>
    <x v="732"/>
    <s v="Freitag"/>
    <s v="Porz"/>
    <m/>
    <x v="2"/>
    <x v="13"/>
  </r>
  <r>
    <x v="733"/>
    <s v="Samstag"/>
    <s v="Porz"/>
    <m/>
    <x v="2"/>
    <x v="13"/>
  </r>
  <r>
    <x v="734"/>
    <s v="Sonntag"/>
    <s v="Porz"/>
    <m/>
    <x v="2"/>
    <x v="13"/>
  </r>
  <r>
    <x v="735"/>
    <s v="Montag"/>
    <s v="Porz"/>
    <m/>
    <x v="2"/>
    <x v="13"/>
  </r>
  <r>
    <x v="736"/>
    <s v="Dienstag"/>
    <s v="Porz"/>
    <m/>
    <x v="2"/>
    <x v="13"/>
  </r>
  <r>
    <x v="737"/>
    <s v="Mittwoch"/>
    <s v="Porz"/>
    <m/>
    <x v="2"/>
    <x v="13"/>
  </r>
  <r>
    <x v="738"/>
    <s v="Donnerstag"/>
    <s v="Porz"/>
    <m/>
    <x v="2"/>
    <x v="13"/>
  </r>
  <r>
    <x v="739"/>
    <s v="Freitag"/>
    <s v="Porz"/>
    <m/>
    <x v="2"/>
    <x v="13"/>
  </r>
  <r>
    <x v="740"/>
    <s v="Samstag"/>
    <s v="Porz"/>
    <m/>
    <x v="2"/>
    <x v="13"/>
  </r>
  <r>
    <x v="741"/>
    <s v="Sonntag"/>
    <s v="Porz"/>
    <m/>
    <x v="2"/>
    <x v="13"/>
  </r>
  <r>
    <x v="742"/>
    <s v="Montag"/>
    <s v="Porz"/>
    <m/>
    <x v="2"/>
    <x v="13"/>
  </r>
  <r>
    <x v="743"/>
    <s v="Dienstag"/>
    <s v="Porz"/>
    <m/>
    <x v="2"/>
    <x v="13"/>
  </r>
  <r>
    <x v="744"/>
    <s v="Mittwoch"/>
    <s v="Porz"/>
    <m/>
    <x v="2"/>
    <x v="13"/>
  </r>
  <r>
    <x v="745"/>
    <s v="Donnerstag"/>
    <s v="Porz"/>
    <m/>
    <x v="2"/>
    <x v="13"/>
  </r>
  <r>
    <x v="746"/>
    <s v="Freitag"/>
    <s v="Porz"/>
    <m/>
    <x v="2"/>
    <x v="13"/>
  </r>
  <r>
    <x v="747"/>
    <s v="Samstag"/>
    <s v="Porz"/>
    <m/>
    <x v="2"/>
    <x v="13"/>
  </r>
  <r>
    <x v="748"/>
    <s v="Sonntag"/>
    <s v="Porz"/>
    <m/>
    <x v="2"/>
    <x v="13"/>
  </r>
  <r>
    <x v="749"/>
    <s v="Montag"/>
    <s v="Porz"/>
    <m/>
    <x v="2"/>
    <x v="13"/>
  </r>
  <r>
    <x v="750"/>
    <s v="Dienstag"/>
    <s v="Porz"/>
    <m/>
    <x v="2"/>
    <x v="13"/>
  </r>
  <r>
    <x v="751"/>
    <s v="Mittwoch"/>
    <s v="Porz"/>
    <m/>
    <x v="2"/>
    <x v="13"/>
  </r>
  <r>
    <x v="752"/>
    <s v="Donnerstag"/>
    <s v="Porz"/>
    <m/>
    <x v="2"/>
    <x v="13"/>
  </r>
  <r>
    <x v="753"/>
    <s v="Freitag"/>
    <s v="Porz"/>
    <m/>
    <x v="2"/>
    <x v="13"/>
  </r>
  <r>
    <x v="754"/>
    <s v="Samstag"/>
    <s v="Porz"/>
    <m/>
    <x v="2"/>
    <x v="13"/>
  </r>
  <r>
    <x v="755"/>
    <s v="Sonntag"/>
    <s v="Porz"/>
    <m/>
    <x v="2"/>
    <x v="13"/>
  </r>
  <r>
    <x v="756"/>
    <s v="Montag"/>
    <s v="Porz"/>
    <m/>
    <x v="2"/>
    <x v="13"/>
  </r>
  <r>
    <x v="757"/>
    <s v="Dienstag"/>
    <s v="Porz"/>
    <m/>
    <x v="2"/>
    <x v="13"/>
  </r>
  <r>
    <x v="758"/>
    <s v="Mittwoch"/>
    <s v="Porz"/>
    <m/>
    <x v="2"/>
    <x v="13"/>
  </r>
  <r>
    <x v="759"/>
    <s v="Donnerstag"/>
    <s v="Porz"/>
    <m/>
    <x v="2"/>
    <x v="13"/>
  </r>
  <r>
    <x v="760"/>
    <s v="Freitag"/>
    <s v="Porz"/>
    <m/>
    <x v="2"/>
    <x v="13"/>
  </r>
  <r>
    <x v="761"/>
    <s v="Samstag"/>
    <s v="Porz"/>
    <m/>
    <x v="2"/>
    <x v="13"/>
  </r>
  <r>
    <x v="762"/>
    <s v="Sonntag"/>
    <s v="Porz"/>
    <m/>
    <x v="2"/>
    <x v="13"/>
  </r>
  <r>
    <x v="763"/>
    <s v="Montag"/>
    <s v="Porz"/>
    <m/>
    <x v="2"/>
    <x v="13"/>
  </r>
  <r>
    <x v="764"/>
    <s v="Dienstag"/>
    <s v="Porz"/>
    <m/>
    <x v="2"/>
    <x v="13"/>
  </r>
  <r>
    <x v="765"/>
    <s v="Mittwoch"/>
    <s v="Porz"/>
    <m/>
    <x v="2"/>
    <x v="13"/>
  </r>
  <r>
    <x v="766"/>
    <s v="Donnerstag"/>
    <s v="Porz"/>
    <m/>
    <x v="2"/>
    <x v="13"/>
  </r>
  <r>
    <x v="767"/>
    <s v="Freitag"/>
    <s v="Porz"/>
    <m/>
    <x v="2"/>
    <x v="13"/>
  </r>
  <r>
    <x v="768"/>
    <s v="Samstag"/>
    <s v="Porz"/>
    <m/>
    <x v="2"/>
    <x v="13"/>
  </r>
  <r>
    <x v="769"/>
    <s v="Sonntag"/>
    <s v="Porz"/>
    <m/>
    <x v="2"/>
    <x v="13"/>
  </r>
  <r>
    <x v="770"/>
    <s v="Montag"/>
    <s v="Porz"/>
    <m/>
    <x v="2"/>
    <x v="13"/>
  </r>
  <r>
    <x v="771"/>
    <s v="Dienstag"/>
    <s v="Porz"/>
    <m/>
    <x v="2"/>
    <x v="13"/>
  </r>
  <r>
    <x v="772"/>
    <s v="Mittwoch"/>
    <s v="Porz"/>
    <m/>
    <x v="2"/>
    <x v="13"/>
  </r>
  <r>
    <x v="773"/>
    <s v="Donnerstag"/>
    <s v="Porz"/>
    <m/>
    <x v="2"/>
    <x v="13"/>
  </r>
  <r>
    <x v="774"/>
    <s v="Freitag"/>
    <s v="Porz"/>
    <m/>
    <x v="2"/>
    <x v="13"/>
  </r>
  <r>
    <x v="775"/>
    <s v="Samstag"/>
    <s v="Porz"/>
    <m/>
    <x v="2"/>
    <x v="13"/>
  </r>
  <r>
    <x v="776"/>
    <s v="Sonntag"/>
    <s v="Porz"/>
    <m/>
    <x v="2"/>
    <x v="13"/>
  </r>
  <r>
    <x v="777"/>
    <s v="Montag"/>
    <s v="Porz"/>
    <m/>
    <x v="2"/>
    <x v="13"/>
  </r>
  <r>
    <x v="778"/>
    <s v="Dienstag"/>
    <s v="Porz"/>
    <m/>
    <x v="2"/>
    <x v="13"/>
  </r>
  <r>
    <x v="779"/>
    <s v="Mittwoch"/>
    <s v="Porz"/>
    <m/>
    <x v="2"/>
    <x v="13"/>
  </r>
  <r>
    <x v="780"/>
    <s v="Donnerstag"/>
    <s v="Porz"/>
    <m/>
    <x v="2"/>
    <x v="13"/>
  </r>
  <r>
    <x v="781"/>
    <s v="Freitag"/>
    <s v="Porz"/>
    <m/>
    <x v="2"/>
    <x v="13"/>
  </r>
  <r>
    <x v="782"/>
    <s v="Samstag"/>
    <s v="Porz"/>
    <m/>
    <x v="2"/>
    <x v="13"/>
  </r>
  <r>
    <x v="783"/>
    <s v="Sonntag"/>
    <s v="Porz"/>
    <m/>
    <x v="2"/>
    <x v="13"/>
  </r>
  <r>
    <x v="784"/>
    <s v="Montag"/>
    <s v="Porz"/>
    <m/>
    <x v="2"/>
    <x v="13"/>
  </r>
  <r>
    <x v="785"/>
    <s v="Dienstag"/>
    <s v="Porz"/>
    <m/>
    <x v="2"/>
    <x v="13"/>
  </r>
  <r>
    <x v="786"/>
    <s v="Mittwoch"/>
    <s v="Porz"/>
    <m/>
    <x v="2"/>
    <x v="13"/>
  </r>
  <r>
    <x v="787"/>
    <s v="Donnerstag"/>
    <s v="Porz"/>
    <m/>
    <x v="2"/>
    <x v="13"/>
  </r>
  <r>
    <x v="788"/>
    <s v="Freitag"/>
    <s v="Porz"/>
    <m/>
    <x v="2"/>
    <x v="13"/>
  </r>
  <r>
    <x v="789"/>
    <s v="Samstag"/>
    <s v="Porz"/>
    <m/>
    <x v="2"/>
    <x v="13"/>
  </r>
  <r>
    <x v="790"/>
    <s v="Sonntag"/>
    <s v="Porz"/>
    <m/>
    <x v="2"/>
    <x v="13"/>
  </r>
  <r>
    <x v="791"/>
    <s v="Montag"/>
    <s v="Porz"/>
    <m/>
    <x v="2"/>
    <x v="13"/>
  </r>
  <r>
    <x v="792"/>
    <s v="Dienstag"/>
    <s v="Porz"/>
    <m/>
    <x v="2"/>
    <x v="13"/>
  </r>
  <r>
    <x v="793"/>
    <s v="Mittwoch"/>
    <s v="Porz"/>
    <m/>
    <x v="2"/>
    <x v="13"/>
  </r>
  <r>
    <x v="794"/>
    <s v="Donnerstag"/>
    <s v="Porz"/>
    <m/>
    <x v="2"/>
    <x v="13"/>
  </r>
  <r>
    <x v="795"/>
    <s v="Freitag"/>
    <s v="Porz"/>
    <m/>
    <x v="2"/>
    <x v="13"/>
  </r>
  <r>
    <x v="796"/>
    <s v="Samstag"/>
    <s v="Porz"/>
    <m/>
    <x v="2"/>
    <x v="13"/>
  </r>
  <r>
    <x v="797"/>
    <s v="Sonntag"/>
    <s v="Porz"/>
    <m/>
    <x v="2"/>
    <x v="13"/>
  </r>
  <r>
    <x v="798"/>
    <s v="Montag"/>
    <s v="Porz"/>
    <m/>
    <x v="2"/>
    <x v="13"/>
  </r>
  <r>
    <x v="799"/>
    <s v="Dienstag"/>
    <s v="Porz"/>
    <m/>
    <x v="2"/>
    <x v="13"/>
  </r>
  <r>
    <x v="800"/>
    <s v="Mittwoch"/>
    <s v="Porz"/>
    <m/>
    <x v="2"/>
    <x v="13"/>
  </r>
  <r>
    <x v="801"/>
    <s v="Donnerstag"/>
    <s v="Porz"/>
    <m/>
    <x v="2"/>
    <x v="13"/>
  </r>
  <r>
    <x v="802"/>
    <s v="Freitag"/>
    <s v="Porz"/>
    <m/>
    <x v="2"/>
    <x v="13"/>
  </r>
  <r>
    <x v="803"/>
    <s v="Samstag"/>
    <s v="Porz"/>
    <m/>
    <x v="2"/>
    <x v="13"/>
  </r>
  <r>
    <x v="804"/>
    <s v="Sonntag"/>
    <s v="Porz"/>
    <m/>
    <x v="2"/>
    <x v="13"/>
  </r>
  <r>
    <x v="805"/>
    <s v="Montag"/>
    <s v="Porz"/>
    <m/>
    <x v="2"/>
    <x v="13"/>
  </r>
  <r>
    <x v="806"/>
    <s v="Dienstag"/>
    <s v="Porz"/>
    <m/>
    <x v="2"/>
    <x v="13"/>
  </r>
  <r>
    <x v="807"/>
    <s v="Mittwoch"/>
    <s v="Porz"/>
    <m/>
    <x v="2"/>
    <x v="13"/>
  </r>
  <r>
    <x v="808"/>
    <s v="Donnerstag"/>
    <s v="Porz"/>
    <m/>
    <x v="2"/>
    <x v="13"/>
  </r>
  <r>
    <x v="809"/>
    <s v="Freitag"/>
    <s v="Porz"/>
    <m/>
    <x v="2"/>
    <x v="13"/>
  </r>
  <r>
    <x v="810"/>
    <s v="Samstag"/>
    <s v="Porz"/>
    <m/>
    <x v="2"/>
    <x v="13"/>
  </r>
  <r>
    <x v="811"/>
    <s v="Sonntag"/>
    <s v="Porz"/>
    <m/>
    <x v="2"/>
    <x v="13"/>
  </r>
  <r>
    <x v="812"/>
    <s v="Montag"/>
    <s v="Porz"/>
    <m/>
    <x v="2"/>
    <x v="13"/>
  </r>
  <r>
    <x v="813"/>
    <s v="Dienstag"/>
    <s v="Porz"/>
    <m/>
    <x v="2"/>
    <x v="13"/>
  </r>
  <r>
    <x v="814"/>
    <s v="Mittwoch"/>
    <s v="Porz"/>
    <m/>
    <x v="2"/>
    <x v="13"/>
  </r>
  <r>
    <x v="815"/>
    <s v="Donnerstag"/>
    <s v="Porz"/>
    <m/>
    <x v="2"/>
    <x v="13"/>
  </r>
  <r>
    <x v="816"/>
    <s v="Freitag"/>
    <s v="Porz"/>
    <m/>
    <x v="2"/>
    <x v="13"/>
  </r>
  <r>
    <x v="817"/>
    <s v="Samstag"/>
    <s v="Porz"/>
    <m/>
    <x v="2"/>
    <x v="13"/>
  </r>
  <r>
    <x v="818"/>
    <s v="Sonntag"/>
    <s v="Porz"/>
    <m/>
    <x v="2"/>
    <x v="13"/>
  </r>
  <r>
    <x v="819"/>
    <s v="Montag"/>
    <s v="Porz"/>
    <m/>
    <x v="2"/>
    <x v="13"/>
  </r>
  <r>
    <x v="820"/>
    <s v="Dienstag"/>
    <s v="Porz"/>
    <m/>
    <x v="2"/>
    <x v="13"/>
  </r>
  <r>
    <x v="821"/>
    <s v="Mittwoch"/>
    <s v="Porz"/>
    <m/>
    <x v="2"/>
    <x v="13"/>
  </r>
  <r>
    <x v="822"/>
    <s v="Donnerstag"/>
    <s v="Porz"/>
    <m/>
    <x v="2"/>
    <x v="13"/>
  </r>
  <r>
    <x v="823"/>
    <s v="Freitag"/>
    <s v="Porz"/>
    <m/>
    <x v="2"/>
    <x v="13"/>
  </r>
  <r>
    <x v="824"/>
    <s v="Samstag"/>
    <s v="Porz"/>
    <m/>
    <x v="2"/>
    <x v="13"/>
  </r>
  <r>
    <x v="825"/>
    <s v="Sonntag"/>
    <s v="Porz"/>
    <m/>
    <x v="2"/>
    <x v="13"/>
  </r>
  <r>
    <x v="826"/>
    <s v="Montag"/>
    <s v="Porz"/>
    <m/>
    <x v="2"/>
    <x v="13"/>
  </r>
  <r>
    <x v="827"/>
    <s v="Dienstag"/>
    <s v="Porz"/>
    <m/>
    <x v="2"/>
    <x v="13"/>
  </r>
  <r>
    <x v="828"/>
    <s v="Mittwoch"/>
    <s v="Porz"/>
    <m/>
    <x v="2"/>
    <x v="13"/>
  </r>
  <r>
    <x v="829"/>
    <s v="Donnerstag"/>
    <s v="Porz"/>
    <m/>
    <x v="2"/>
    <x v="13"/>
  </r>
  <r>
    <x v="830"/>
    <s v="Freitag"/>
    <s v="Porz"/>
    <m/>
    <x v="2"/>
    <x v="13"/>
  </r>
  <r>
    <x v="831"/>
    <s v="Samstag"/>
    <s v="Porz"/>
    <m/>
    <x v="2"/>
    <x v="13"/>
  </r>
  <r>
    <x v="832"/>
    <s v="Sonntag"/>
    <s v="Porz"/>
    <m/>
    <x v="2"/>
    <x v="13"/>
  </r>
  <r>
    <x v="833"/>
    <s v="Montag"/>
    <s v="Porz"/>
    <m/>
    <x v="2"/>
    <x v="13"/>
  </r>
  <r>
    <x v="834"/>
    <s v="Dienstag"/>
    <s v="Porz"/>
    <m/>
    <x v="2"/>
    <x v="13"/>
  </r>
  <r>
    <x v="835"/>
    <s v="Mittwoch"/>
    <s v="Porz"/>
    <m/>
    <x v="2"/>
    <x v="13"/>
  </r>
  <r>
    <x v="836"/>
    <s v="Donnerstag"/>
    <s v="Porz"/>
    <m/>
    <x v="2"/>
    <x v="13"/>
  </r>
  <r>
    <x v="837"/>
    <s v="Freitag"/>
    <s v="Porz"/>
    <m/>
    <x v="2"/>
    <x v="13"/>
  </r>
  <r>
    <x v="838"/>
    <s v="Samstag"/>
    <s v="Porz"/>
    <m/>
    <x v="2"/>
    <x v="13"/>
  </r>
  <r>
    <x v="839"/>
    <s v="Sonntag"/>
    <s v="Porz"/>
    <m/>
    <x v="2"/>
    <x v="13"/>
  </r>
  <r>
    <x v="840"/>
    <s v="Montag"/>
    <s v="Porz"/>
    <m/>
    <x v="2"/>
    <x v="13"/>
  </r>
  <r>
    <x v="841"/>
    <s v="Dienstag"/>
    <s v="Porz"/>
    <m/>
    <x v="2"/>
    <x v="13"/>
  </r>
  <r>
    <x v="842"/>
    <s v="Mittwoch"/>
    <s v="Porz"/>
    <m/>
    <x v="2"/>
    <x v="13"/>
  </r>
  <r>
    <x v="843"/>
    <s v="Donnerstag"/>
    <s v="Porz"/>
    <m/>
    <x v="2"/>
    <x v="13"/>
  </r>
  <r>
    <x v="844"/>
    <s v="Freitag"/>
    <s v="Porz"/>
    <m/>
    <x v="2"/>
    <x v="13"/>
  </r>
  <r>
    <x v="845"/>
    <s v="Samstag"/>
    <s v="Porz"/>
    <m/>
    <x v="2"/>
    <x v="13"/>
  </r>
  <r>
    <x v="846"/>
    <s v="Sonntag"/>
    <s v="Porz"/>
    <m/>
    <x v="2"/>
    <x v="13"/>
  </r>
  <r>
    <x v="847"/>
    <s v="Montag"/>
    <s v="Porz"/>
    <m/>
    <x v="2"/>
    <x v="13"/>
  </r>
  <r>
    <x v="848"/>
    <s v="Dienstag"/>
    <s v="Porz"/>
    <m/>
    <x v="2"/>
    <x v="13"/>
  </r>
  <r>
    <x v="849"/>
    <s v="Mittwoch"/>
    <s v="Porz"/>
    <m/>
    <x v="2"/>
    <x v="13"/>
  </r>
  <r>
    <x v="850"/>
    <s v="Donnerstag"/>
    <s v="Porz"/>
    <m/>
    <x v="2"/>
    <x v="13"/>
  </r>
  <r>
    <x v="851"/>
    <s v="Freitag"/>
    <s v="Porz"/>
    <m/>
    <x v="2"/>
    <x v="13"/>
  </r>
  <r>
    <x v="852"/>
    <s v="Samstag"/>
    <s v="Porz"/>
    <m/>
    <x v="2"/>
    <x v="13"/>
  </r>
  <r>
    <x v="853"/>
    <s v="Sonntag"/>
    <s v="Porz"/>
    <m/>
    <x v="2"/>
    <x v="13"/>
  </r>
  <r>
    <x v="854"/>
    <s v="Montag"/>
    <s v="Porz"/>
    <m/>
    <x v="2"/>
    <x v="13"/>
  </r>
  <r>
    <x v="855"/>
    <s v="Dienstag"/>
    <s v="Porz"/>
    <m/>
    <x v="2"/>
    <x v="13"/>
  </r>
  <r>
    <x v="856"/>
    <s v="Mittwoch"/>
    <s v="Porz"/>
    <m/>
    <x v="2"/>
    <x v="13"/>
  </r>
  <r>
    <x v="857"/>
    <s v="Donnerstag"/>
    <s v="Porz"/>
    <m/>
    <x v="2"/>
    <x v="13"/>
  </r>
  <r>
    <x v="858"/>
    <s v="Freitag"/>
    <s v="Porz"/>
    <m/>
    <x v="2"/>
    <x v="13"/>
  </r>
  <r>
    <x v="859"/>
    <s v="Samstag"/>
    <s v="Porz"/>
    <m/>
    <x v="2"/>
    <x v="13"/>
  </r>
  <r>
    <x v="860"/>
    <s v="Sonntag"/>
    <s v="Porz"/>
    <m/>
    <x v="2"/>
    <x v="13"/>
  </r>
  <r>
    <x v="861"/>
    <s v="Montag"/>
    <s v="Porz"/>
    <m/>
    <x v="2"/>
    <x v="13"/>
  </r>
  <r>
    <x v="862"/>
    <s v="Dienstag"/>
    <s v="Porz"/>
    <m/>
    <x v="2"/>
    <x v="13"/>
  </r>
  <r>
    <x v="863"/>
    <s v="Mittwoch"/>
    <s v="Porz"/>
    <m/>
    <x v="2"/>
    <x v="13"/>
  </r>
  <r>
    <x v="864"/>
    <s v="Donnerstag"/>
    <s v="Porz"/>
    <m/>
    <x v="2"/>
    <x v="13"/>
  </r>
  <r>
    <x v="865"/>
    <s v="Freitag"/>
    <s v="Porz"/>
    <m/>
    <x v="2"/>
    <x v="13"/>
  </r>
  <r>
    <x v="866"/>
    <s v="Samstag"/>
    <s v="Porz"/>
    <m/>
    <x v="2"/>
    <x v="13"/>
  </r>
  <r>
    <x v="867"/>
    <s v="Sonntag"/>
    <s v="Porz"/>
    <m/>
    <x v="2"/>
    <x v="13"/>
  </r>
  <r>
    <x v="868"/>
    <s v="Montag"/>
    <s v="Porz"/>
    <m/>
    <x v="2"/>
    <x v="13"/>
  </r>
  <r>
    <x v="869"/>
    <s v="Dienstag"/>
    <s v="Porz"/>
    <m/>
    <x v="2"/>
    <x v="13"/>
  </r>
  <r>
    <x v="870"/>
    <s v="Mittwoch"/>
    <s v="Porz"/>
    <m/>
    <x v="2"/>
    <x v="13"/>
  </r>
  <r>
    <x v="871"/>
    <s v="Donnerstag"/>
    <s v="Porz"/>
    <m/>
    <x v="2"/>
    <x v="13"/>
  </r>
  <r>
    <x v="872"/>
    <s v="Freitag"/>
    <s v="Porz"/>
    <m/>
    <x v="2"/>
    <x v="13"/>
  </r>
  <r>
    <x v="873"/>
    <s v="Samstag"/>
    <s v="Porz"/>
    <m/>
    <x v="2"/>
    <x v="13"/>
  </r>
  <r>
    <x v="874"/>
    <s v="Sonntag"/>
    <s v="Porz"/>
    <m/>
    <x v="2"/>
    <x v="13"/>
  </r>
  <r>
    <x v="875"/>
    <s v="Montag"/>
    <s v="Porz"/>
    <m/>
    <x v="2"/>
    <x v="13"/>
  </r>
  <r>
    <x v="876"/>
    <s v="Dienstag"/>
    <s v="Porz"/>
    <m/>
    <x v="2"/>
    <x v="13"/>
  </r>
  <r>
    <x v="877"/>
    <s v="Mittwoch"/>
    <s v="Porz"/>
    <m/>
    <x v="2"/>
    <x v="13"/>
  </r>
  <r>
    <x v="878"/>
    <s v="Donnerstag"/>
    <s v="Porz"/>
    <m/>
    <x v="2"/>
    <x v="13"/>
  </r>
  <r>
    <x v="879"/>
    <s v="Freitag"/>
    <s v="Porz"/>
    <m/>
    <x v="2"/>
    <x v="13"/>
  </r>
  <r>
    <x v="880"/>
    <s v="Samstag"/>
    <s v="Porz"/>
    <m/>
    <x v="2"/>
    <x v="13"/>
  </r>
  <r>
    <x v="881"/>
    <s v="Sonntag"/>
    <s v="Porz"/>
    <m/>
    <x v="2"/>
    <x v="13"/>
  </r>
  <r>
    <x v="882"/>
    <s v="Montag"/>
    <s v="Porz"/>
    <m/>
    <x v="2"/>
    <x v="13"/>
  </r>
  <r>
    <x v="883"/>
    <s v="Dienstag"/>
    <s v="Porz"/>
    <m/>
    <x v="2"/>
    <x v="13"/>
  </r>
  <r>
    <x v="884"/>
    <s v="Mittwoch"/>
    <s v="Porz"/>
    <m/>
    <x v="2"/>
    <x v="13"/>
  </r>
  <r>
    <x v="885"/>
    <s v="Donnerstag"/>
    <s v="Porz"/>
    <m/>
    <x v="2"/>
    <x v="13"/>
  </r>
  <r>
    <x v="886"/>
    <s v="Freitag"/>
    <s v="Porz"/>
    <m/>
    <x v="2"/>
    <x v="13"/>
  </r>
  <r>
    <x v="887"/>
    <s v="Samstag"/>
    <s v="Porz"/>
    <m/>
    <x v="2"/>
    <x v="13"/>
  </r>
  <r>
    <x v="888"/>
    <s v="Sonntag"/>
    <s v="Porz"/>
    <m/>
    <x v="2"/>
    <x v="13"/>
  </r>
  <r>
    <x v="889"/>
    <s v="Montag"/>
    <s v="Porz"/>
    <m/>
    <x v="2"/>
    <x v="13"/>
  </r>
  <r>
    <x v="890"/>
    <s v="Dienstag"/>
    <s v="Porz"/>
    <m/>
    <x v="2"/>
    <x v="13"/>
  </r>
  <r>
    <x v="891"/>
    <s v="Mittwoch"/>
    <s v="Porz"/>
    <m/>
    <x v="2"/>
    <x v="13"/>
  </r>
  <r>
    <x v="892"/>
    <s v="Donnerstag"/>
    <s v="Porz"/>
    <m/>
    <x v="2"/>
    <x v="13"/>
  </r>
  <r>
    <x v="893"/>
    <s v="Freitag"/>
    <s v="Porz"/>
    <m/>
    <x v="2"/>
    <x v="13"/>
  </r>
  <r>
    <x v="894"/>
    <s v="Samstag"/>
    <s v="Porz"/>
    <m/>
    <x v="2"/>
    <x v="13"/>
  </r>
  <r>
    <x v="895"/>
    <s v="Sonntag"/>
    <s v="Porz"/>
    <m/>
    <x v="2"/>
    <x v="13"/>
  </r>
  <r>
    <x v="896"/>
    <s v="Montag"/>
    <s v="Porz"/>
    <m/>
    <x v="2"/>
    <x v="13"/>
  </r>
  <r>
    <x v="897"/>
    <s v="Dienstag"/>
    <s v="Porz"/>
    <m/>
    <x v="2"/>
    <x v="13"/>
  </r>
  <r>
    <x v="898"/>
    <s v="Mittwoch"/>
    <s v="Porz"/>
    <m/>
    <x v="2"/>
    <x v="13"/>
  </r>
  <r>
    <x v="899"/>
    <s v="Donnerstag"/>
    <s v="Porz"/>
    <m/>
    <x v="2"/>
    <x v="13"/>
  </r>
  <r>
    <x v="900"/>
    <s v="Freitag"/>
    <s v="Porz"/>
    <m/>
    <x v="2"/>
    <x v="13"/>
  </r>
  <r>
    <x v="901"/>
    <s v="Samstag"/>
    <s v="Porz"/>
    <m/>
    <x v="2"/>
    <x v="13"/>
  </r>
  <r>
    <x v="902"/>
    <s v="Sonntag"/>
    <s v="Porz"/>
    <m/>
    <x v="2"/>
    <x v="13"/>
  </r>
  <r>
    <x v="903"/>
    <s v="Montag"/>
    <s v="Porz"/>
    <m/>
    <x v="2"/>
    <x v="13"/>
  </r>
  <r>
    <x v="904"/>
    <s v="Dienstag"/>
    <s v="Porz"/>
    <m/>
    <x v="2"/>
    <x v="13"/>
  </r>
  <r>
    <x v="905"/>
    <s v="Mittwoch"/>
    <s v="Porz"/>
    <m/>
    <x v="2"/>
    <x v="13"/>
  </r>
  <r>
    <x v="906"/>
    <s v="Donnerstag"/>
    <s v="Porz"/>
    <m/>
    <x v="2"/>
    <x v="13"/>
  </r>
  <r>
    <x v="907"/>
    <s v="Freitag"/>
    <s v="Porz"/>
    <m/>
    <x v="2"/>
    <x v="13"/>
  </r>
  <r>
    <x v="908"/>
    <s v="Samstag"/>
    <s v="Porz"/>
    <m/>
    <x v="2"/>
    <x v="13"/>
  </r>
  <r>
    <x v="909"/>
    <s v="Sonntag"/>
    <s v="Porz"/>
    <m/>
    <x v="2"/>
    <x v="13"/>
  </r>
  <r>
    <x v="910"/>
    <s v="Montag"/>
    <s v="Porz"/>
    <m/>
    <x v="2"/>
    <x v="13"/>
  </r>
  <r>
    <x v="911"/>
    <s v="Dienstag"/>
    <s v="Porz"/>
    <m/>
    <x v="2"/>
    <x v="13"/>
  </r>
  <r>
    <x v="912"/>
    <s v="Mittwoch"/>
    <s v="Porz"/>
    <m/>
    <x v="2"/>
    <x v="13"/>
  </r>
  <r>
    <x v="913"/>
    <s v="Donnerstag"/>
    <s v="Porz"/>
    <m/>
    <x v="2"/>
    <x v="13"/>
  </r>
  <r>
    <x v="914"/>
    <s v="Freitag"/>
    <s v="Porz"/>
    <m/>
    <x v="2"/>
    <x v="13"/>
  </r>
  <r>
    <x v="915"/>
    <s v="Samstag"/>
    <s v="Porz"/>
    <m/>
    <x v="2"/>
    <x v="13"/>
  </r>
  <r>
    <x v="916"/>
    <s v="Sonntag"/>
    <s v="Porz"/>
    <m/>
    <x v="2"/>
    <x v="13"/>
  </r>
  <r>
    <x v="917"/>
    <s v="Montag"/>
    <s v="Porz"/>
    <m/>
    <x v="2"/>
    <x v="13"/>
  </r>
  <r>
    <x v="918"/>
    <s v="Dienstag"/>
    <s v="Porz"/>
    <m/>
    <x v="2"/>
    <x v="13"/>
  </r>
  <r>
    <x v="919"/>
    <s v="Mittwoch"/>
    <s v="Porz"/>
    <m/>
    <x v="2"/>
    <x v="13"/>
  </r>
  <r>
    <x v="920"/>
    <s v="Donnerstag"/>
    <s v="Porz"/>
    <m/>
    <x v="2"/>
    <x v="13"/>
  </r>
  <r>
    <x v="921"/>
    <s v="Freitag"/>
    <s v="Porz"/>
    <m/>
    <x v="2"/>
    <x v="13"/>
  </r>
  <r>
    <x v="922"/>
    <s v="Samstag"/>
    <s v="Porz"/>
    <m/>
    <x v="2"/>
    <x v="13"/>
  </r>
  <r>
    <x v="923"/>
    <s v="Sonntag"/>
    <s v="Porz"/>
    <m/>
    <x v="2"/>
    <x v="13"/>
  </r>
  <r>
    <x v="924"/>
    <s v="Montag"/>
    <s v="Porz"/>
    <m/>
    <x v="2"/>
    <x v="13"/>
  </r>
  <r>
    <x v="925"/>
    <s v="Dienstag"/>
    <s v="Porz"/>
    <m/>
    <x v="2"/>
    <x v="13"/>
  </r>
  <r>
    <x v="926"/>
    <s v="Mittwoch"/>
    <s v="Porz"/>
    <m/>
    <x v="2"/>
    <x v="13"/>
  </r>
  <r>
    <x v="927"/>
    <s v="Donnerstag"/>
    <s v="Porz"/>
    <m/>
    <x v="2"/>
    <x v="13"/>
  </r>
  <r>
    <x v="928"/>
    <s v="Freitag"/>
    <s v="Porz"/>
    <m/>
    <x v="2"/>
    <x v="13"/>
  </r>
  <r>
    <x v="929"/>
    <s v="Samstag"/>
    <s v="Porz"/>
    <m/>
    <x v="2"/>
    <x v="13"/>
  </r>
  <r>
    <x v="930"/>
    <s v="Sonntag"/>
    <s v="Porz"/>
    <m/>
    <x v="2"/>
    <x v="13"/>
  </r>
  <r>
    <x v="931"/>
    <s v="Montag"/>
    <s v="Porz"/>
    <m/>
    <x v="2"/>
    <x v="13"/>
  </r>
  <r>
    <x v="932"/>
    <s v="Dienstag"/>
    <s v="Porz"/>
    <m/>
    <x v="2"/>
    <x v="13"/>
  </r>
  <r>
    <x v="933"/>
    <s v="Mittwoch"/>
    <s v="Porz"/>
    <m/>
    <x v="2"/>
    <x v="13"/>
  </r>
  <r>
    <x v="934"/>
    <s v="Donnerstag"/>
    <s v="Porz"/>
    <m/>
    <x v="2"/>
    <x v="13"/>
  </r>
  <r>
    <x v="935"/>
    <s v="Freitag"/>
    <s v="Porz"/>
    <m/>
    <x v="2"/>
    <x v="13"/>
  </r>
  <r>
    <x v="936"/>
    <s v="Samstag"/>
    <s v="Porz"/>
    <m/>
    <x v="2"/>
    <x v="13"/>
  </r>
  <r>
    <x v="937"/>
    <s v="Sonntag"/>
    <s v="Porz"/>
    <m/>
    <x v="2"/>
    <x v="13"/>
  </r>
  <r>
    <x v="938"/>
    <s v="Montag"/>
    <s v="Porz"/>
    <m/>
    <x v="2"/>
    <x v="13"/>
  </r>
  <r>
    <x v="939"/>
    <s v="Dienstag"/>
    <s v="Porz"/>
    <m/>
    <x v="2"/>
    <x v="13"/>
  </r>
  <r>
    <x v="940"/>
    <s v="Mittwoch"/>
    <s v="Porz"/>
    <m/>
    <x v="2"/>
    <x v="13"/>
  </r>
  <r>
    <x v="941"/>
    <s v="Donnerstag"/>
    <s v="Porz"/>
    <m/>
    <x v="2"/>
    <x v="13"/>
  </r>
  <r>
    <x v="942"/>
    <s v="Freitag"/>
    <s v="Porz"/>
    <m/>
    <x v="2"/>
    <x v="13"/>
  </r>
  <r>
    <x v="943"/>
    <s v="Samstag"/>
    <s v="Porz"/>
    <m/>
    <x v="2"/>
    <x v="13"/>
  </r>
  <r>
    <x v="944"/>
    <s v="Sonntag"/>
    <s v="Porz"/>
    <m/>
    <x v="2"/>
    <x v="13"/>
  </r>
  <r>
    <x v="945"/>
    <s v="Montag"/>
    <s v="Porz"/>
    <m/>
    <x v="2"/>
    <x v="13"/>
  </r>
  <r>
    <x v="946"/>
    <s v="Dienstag"/>
    <s v="Porz"/>
    <m/>
    <x v="2"/>
    <x v="13"/>
  </r>
  <r>
    <x v="947"/>
    <s v="Mittwoch"/>
    <s v="Porz"/>
    <m/>
    <x v="2"/>
    <x v="13"/>
  </r>
  <r>
    <x v="948"/>
    <s v="Donnerstag"/>
    <s v="Porz"/>
    <m/>
    <x v="2"/>
    <x v="13"/>
  </r>
  <r>
    <x v="949"/>
    <s v="Freitag"/>
    <s v="Porz"/>
    <m/>
    <x v="2"/>
    <x v="13"/>
  </r>
  <r>
    <x v="950"/>
    <s v="Samstag"/>
    <s v="Porz"/>
    <m/>
    <x v="2"/>
    <x v="13"/>
  </r>
  <r>
    <x v="951"/>
    <s v="Sonntag"/>
    <s v="Porz"/>
    <m/>
    <x v="2"/>
    <x v="13"/>
  </r>
  <r>
    <x v="952"/>
    <s v="Montag"/>
    <s v="Porz"/>
    <m/>
    <x v="2"/>
    <x v="13"/>
  </r>
  <r>
    <x v="953"/>
    <s v="Dienstag"/>
    <s v="Porz"/>
    <m/>
    <x v="2"/>
    <x v="13"/>
  </r>
  <r>
    <x v="954"/>
    <s v="Mittwoch"/>
    <s v="Porz"/>
    <m/>
    <x v="2"/>
    <x v="13"/>
  </r>
  <r>
    <x v="955"/>
    <s v="Donnerstag"/>
    <s v="Porz"/>
    <m/>
    <x v="2"/>
    <x v="13"/>
  </r>
  <r>
    <x v="956"/>
    <s v="Freitag"/>
    <s v="Porz"/>
    <m/>
    <x v="2"/>
    <x v="13"/>
  </r>
  <r>
    <x v="957"/>
    <s v="Samstag"/>
    <s v="Porz"/>
    <m/>
    <x v="2"/>
    <x v="13"/>
  </r>
  <r>
    <x v="958"/>
    <s v="Sonntag"/>
    <s v="Porz"/>
    <m/>
    <x v="2"/>
    <x v="13"/>
  </r>
  <r>
    <x v="959"/>
    <s v="Montag"/>
    <s v="Porz"/>
    <m/>
    <x v="2"/>
    <x v="13"/>
  </r>
  <r>
    <x v="960"/>
    <s v="Dienstag"/>
    <s v="Porz"/>
    <m/>
    <x v="2"/>
    <x v="13"/>
  </r>
  <r>
    <x v="961"/>
    <s v="Mittwoch"/>
    <s v="Porz"/>
    <m/>
    <x v="2"/>
    <x v="13"/>
  </r>
  <r>
    <x v="962"/>
    <s v="Donnerstag"/>
    <s v="Porz"/>
    <m/>
    <x v="2"/>
    <x v="13"/>
  </r>
  <r>
    <x v="963"/>
    <s v="Freitag"/>
    <s v="Porz"/>
    <m/>
    <x v="2"/>
    <x v="13"/>
  </r>
  <r>
    <x v="964"/>
    <s v="Samstag"/>
    <s v="Porz"/>
    <m/>
    <x v="2"/>
    <x v="13"/>
  </r>
  <r>
    <x v="965"/>
    <s v="Sonntag"/>
    <s v="Porz"/>
    <m/>
    <x v="2"/>
    <x v="13"/>
  </r>
  <r>
    <x v="966"/>
    <s v="Montag"/>
    <s v="Porz"/>
    <m/>
    <x v="2"/>
    <x v="13"/>
  </r>
  <r>
    <x v="967"/>
    <s v="Dienstag"/>
    <s v="Porz"/>
    <m/>
    <x v="2"/>
    <x v="13"/>
  </r>
  <r>
    <x v="968"/>
    <s v="Mittwoch"/>
    <s v="Porz"/>
    <m/>
    <x v="2"/>
    <x v="13"/>
  </r>
  <r>
    <x v="969"/>
    <s v="Donnerstag"/>
    <s v="Porz"/>
    <m/>
    <x v="2"/>
    <x v="13"/>
  </r>
  <r>
    <x v="970"/>
    <s v="Freitag"/>
    <s v="Porz"/>
    <m/>
    <x v="2"/>
    <x v="13"/>
  </r>
  <r>
    <x v="971"/>
    <s v="Samstag"/>
    <s v="Porz"/>
    <m/>
    <x v="2"/>
    <x v="13"/>
  </r>
  <r>
    <x v="972"/>
    <s v="Sonntag"/>
    <s v="Porz"/>
    <m/>
    <x v="2"/>
    <x v="13"/>
  </r>
  <r>
    <x v="973"/>
    <s v="Montag"/>
    <s v="Porz"/>
    <m/>
    <x v="2"/>
    <x v="13"/>
  </r>
  <r>
    <x v="974"/>
    <s v="Dienstag"/>
    <s v="Porz"/>
    <m/>
    <x v="2"/>
    <x v="13"/>
  </r>
  <r>
    <x v="975"/>
    <s v="Mittwoch"/>
    <s v="Porz"/>
    <m/>
    <x v="2"/>
    <x v="13"/>
  </r>
  <r>
    <x v="976"/>
    <s v="Donnerstag"/>
    <s v="Porz"/>
    <m/>
    <x v="2"/>
    <x v="13"/>
  </r>
  <r>
    <x v="977"/>
    <s v="Freitag"/>
    <s v="Porz"/>
    <m/>
    <x v="2"/>
    <x v="13"/>
  </r>
  <r>
    <x v="978"/>
    <s v="Samstag"/>
    <s v="Porz"/>
    <m/>
    <x v="2"/>
    <x v="13"/>
  </r>
  <r>
    <x v="979"/>
    <s v="Sonntag"/>
    <s v="Porz"/>
    <m/>
    <x v="2"/>
    <x v="13"/>
  </r>
  <r>
    <x v="980"/>
    <s v="Montag"/>
    <s v="Porz"/>
    <m/>
    <x v="2"/>
    <x v="13"/>
  </r>
  <r>
    <x v="981"/>
    <s v="Dienstag"/>
    <s v="Porz"/>
    <m/>
    <x v="2"/>
    <x v="13"/>
  </r>
  <r>
    <x v="982"/>
    <s v="Mittwoch"/>
    <s v="Porz"/>
    <m/>
    <x v="2"/>
    <x v="13"/>
  </r>
  <r>
    <x v="983"/>
    <s v="Donnerstag"/>
    <s v="Porz"/>
    <m/>
    <x v="2"/>
    <x v="13"/>
  </r>
  <r>
    <x v="984"/>
    <s v="Freitag"/>
    <s v="Porz"/>
    <m/>
    <x v="2"/>
    <x v="13"/>
  </r>
  <r>
    <x v="985"/>
    <s v="Samstag"/>
    <s v="Porz"/>
    <m/>
    <x v="2"/>
    <x v="13"/>
  </r>
  <r>
    <x v="986"/>
    <s v="Sonntag"/>
    <s v="Porz"/>
    <m/>
    <x v="2"/>
    <x v="13"/>
  </r>
  <r>
    <x v="987"/>
    <s v="Montag"/>
    <s v="Porz"/>
    <m/>
    <x v="2"/>
    <x v="13"/>
  </r>
  <r>
    <x v="988"/>
    <s v="Dienstag"/>
    <s v="Porz"/>
    <m/>
    <x v="2"/>
    <x v="13"/>
  </r>
  <r>
    <x v="989"/>
    <s v="Mittwoch"/>
    <s v="Porz"/>
    <m/>
    <x v="2"/>
    <x v="13"/>
  </r>
  <r>
    <x v="990"/>
    <s v="Donnerstag"/>
    <s v="Porz"/>
    <m/>
    <x v="2"/>
    <x v="13"/>
  </r>
  <r>
    <x v="991"/>
    <s v="Freitag"/>
    <s v="Porz"/>
    <m/>
    <x v="2"/>
    <x v="13"/>
  </r>
  <r>
    <x v="992"/>
    <s v="Samstag"/>
    <s v="Porz"/>
    <m/>
    <x v="2"/>
    <x v="13"/>
  </r>
  <r>
    <x v="993"/>
    <s v="Sonntag"/>
    <s v="Porz"/>
    <m/>
    <x v="2"/>
    <x v="13"/>
  </r>
  <r>
    <x v="994"/>
    <s v="Montag"/>
    <s v="Porz"/>
    <m/>
    <x v="2"/>
    <x v="13"/>
  </r>
  <r>
    <x v="995"/>
    <s v="Dienstag"/>
    <s v="Porz"/>
    <m/>
    <x v="2"/>
    <x v="13"/>
  </r>
  <r>
    <x v="996"/>
    <s v="Mittwoch"/>
    <s v="Porz"/>
    <m/>
    <x v="2"/>
    <x v="13"/>
  </r>
  <r>
    <x v="997"/>
    <s v="Donnerstag"/>
    <s v="Porz"/>
    <m/>
    <x v="2"/>
    <x v="13"/>
  </r>
  <r>
    <x v="998"/>
    <s v="Freitag"/>
    <s v="Porz"/>
    <m/>
    <x v="2"/>
    <x v="13"/>
  </r>
  <r>
    <x v="999"/>
    <s v="Samstag"/>
    <s v="Porz"/>
    <m/>
    <x v="2"/>
    <x v="13"/>
  </r>
  <r>
    <x v="1000"/>
    <s v="Sonntag"/>
    <s v="Porz"/>
    <m/>
    <x v="2"/>
    <x v="13"/>
  </r>
  <r>
    <x v="1001"/>
    <s v="Montag"/>
    <s v="Porz"/>
    <m/>
    <x v="2"/>
    <x v="13"/>
  </r>
  <r>
    <x v="1002"/>
    <s v="Dienstag"/>
    <s v="Porz"/>
    <m/>
    <x v="2"/>
    <x v="13"/>
  </r>
  <r>
    <x v="1003"/>
    <s v="Mittwoch"/>
    <s v="Porz"/>
    <m/>
    <x v="2"/>
    <x v="13"/>
  </r>
  <r>
    <x v="1004"/>
    <s v="Donnerstag"/>
    <s v="Porz"/>
    <m/>
    <x v="2"/>
    <x v="13"/>
  </r>
  <r>
    <x v="1005"/>
    <s v="Freitag"/>
    <s v="Porz"/>
    <m/>
    <x v="2"/>
    <x v="13"/>
  </r>
  <r>
    <x v="1006"/>
    <s v="Samstag"/>
    <s v="Porz"/>
    <m/>
    <x v="2"/>
    <x v="13"/>
  </r>
  <r>
    <x v="1007"/>
    <s v="Sonntag"/>
    <s v="Porz"/>
    <m/>
    <x v="2"/>
    <x v="13"/>
  </r>
  <r>
    <x v="1008"/>
    <s v="Montag"/>
    <s v="Porz"/>
    <m/>
    <x v="2"/>
    <x v="13"/>
  </r>
  <r>
    <x v="1009"/>
    <s v="Dienstag"/>
    <s v="Porz"/>
    <m/>
    <x v="2"/>
    <x v="13"/>
  </r>
  <r>
    <x v="1010"/>
    <s v="Mittwoch"/>
    <s v="Porz"/>
    <m/>
    <x v="2"/>
    <x v="13"/>
  </r>
  <r>
    <x v="1011"/>
    <s v="Donnerstag"/>
    <s v="Porz"/>
    <m/>
    <x v="2"/>
    <x v="13"/>
  </r>
  <r>
    <x v="1012"/>
    <s v="Freitag"/>
    <s v="Porz"/>
    <m/>
    <x v="2"/>
    <x v="13"/>
  </r>
  <r>
    <x v="1013"/>
    <s v="Samstag"/>
    <s v="Porz"/>
    <m/>
    <x v="2"/>
    <x v="13"/>
  </r>
  <r>
    <x v="1014"/>
    <s v="Sonntag"/>
    <s v="Porz"/>
    <m/>
    <x v="2"/>
    <x v="13"/>
  </r>
  <r>
    <x v="1015"/>
    <s v="Montag"/>
    <s v="Porz"/>
    <m/>
    <x v="2"/>
    <x v="13"/>
  </r>
  <r>
    <x v="1016"/>
    <s v="Dienstag"/>
    <s v="Porz"/>
    <m/>
    <x v="2"/>
    <x v="13"/>
  </r>
  <r>
    <x v="1017"/>
    <s v="Mittwoch"/>
    <s v="Porz"/>
    <m/>
    <x v="2"/>
    <x v="13"/>
  </r>
  <r>
    <x v="1018"/>
    <s v="Donnerstag"/>
    <s v="Porz"/>
    <m/>
    <x v="2"/>
    <x v="13"/>
  </r>
  <r>
    <x v="1019"/>
    <s v="Freitag"/>
    <s v="Porz"/>
    <m/>
    <x v="2"/>
    <x v="13"/>
  </r>
  <r>
    <x v="1020"/>
    <s v="Samstag"/>
    <s v="Porz"/>
    <m/>
    <x v="2"/>
    <x v="13"/>
  </r>
  <r>
    <x v="1021"/>
    <s v="Sonntag"/>
    <s v="Porz"/>
    <m/>
    <x v="2"/>
    <x v="13"/>
  </r>
  <r>
    <x v="1022"/>
    <s v="Montag"/>
    <s v="Porz"/>
    <m/>
    <x v="2"/>
    <x v="13"/>
  </r>
  <r>
    <x v="1023"/>
    <s v="Dienstag"/>
    <s v="Porz"/>
    <m/>
    <x v="2"/>
    <x v="13"/>
  </r>
  <r>
    <x v="1024"/>
    <s v="Mittwoch"/>
    <s v="Porz"/>
    <m/>
    <x v="2"/>
    <x v="13"/>
  </r>
  <r>
    <x v="1025"/>
    <s v="Donnerstag"/>
    <s v="Porz"/>
    <m/>
    <x v="2"/>
    <x v="13"/>
  </r>
  <r>
    <x v="1026"/>
    <s v="Freitag"/>
    <s v="Porz"/>
    <m/>
    <x v="2"/>
    <x v="13"/>
  </r>
  <r>
    <x v="1027"/>
    <s v="Samstag"/>
    <s v="Porz"/>
    <m/>
    <x v="2"/>
    <x v="13"/>
  </r>
  <r>
    <x v="1028"/>
    <s v="Sonntag"/>
    <s v="Porz"/>
    <m/>
    <x v="2"/>
    <x v="13"/>
  </r>
  <r>
    <x v="1029"/>
    <s v="Montag"/>
    <s v="Porz"/>
    <m/>
    <x v="2"/>
    <x v="13"/>
  </r>
  <r>
    <x v="1030"/>
    <s v="Dienstag"/>
    <s v="Porz"/>
    <m/>
    <x v="2"/>
    <x v="13"/>
  </r>
  <r>
    <x v="1031"/>
    <s v="Mittwoch"/>
    <s v="Porz"/>
    <m/>
    <x v="2"/>
    <x v="13"/>
  </r>
  <r>
    <x v="1032"/>
    <s v="Donnerstag"/>
    <s v="Porz"/>
    <m/>
    <x v="2"/>
    <x v="13"/>
  </r>
  <r>
    <x v="1033"/>
    <s v="Freitag"/>
    <s v="Porz"/>
    <m/>
    <x v="2"/>
    <x v="13"/>
  </r>
  <r>
    <x v="1034"/>
    <s v="Samstag"/>
    <s v="Porz"/>
    <m/>
    <x v="2"/>
    <x v="13"/>
  </r>
  <r>
    <x v="1035"/>
    <s v="Sonntag"/>
    <s v="Porz"/>
    <m/>
    <x v="2"/>
    <x v="13"/>
  </r>
  <r>
    <x v="1036"/>
    <s v="Montag"/>
    <s v="Porz"/>
    <m/>
    <x v="2"/>
    <x v="13"/>
  </r>
  <r>
    <x v="1037"/>
    <s v="Dienstag"/>
    <s v="Porz"/>
    <m/>
    <x v="2"/>
    <x v="13"/>
  </r>
  <r>
    <x v="1038"/>
    <s v="Mittwoch"/>
    <s v="Porz"/>
    <m/>
    <x v="2"/>
    <x v="13"/>
  </r>
  <r>
    <x v="1039"/>
    <s v="Donnerstag"/>
    <s v="Porz"/>
    <m/>
    <x v="2"/>
    <x v="13"/>
  </r>
  <r>
    <x v="1040"/>
    <s v="Freitag"/>
    <s v="Porz"/>
    <m/>
    <x v="2"/>
    <x v="13"/>
  </r>
  <r>
    <x v="1041"/>
    <s v="Samstag"/>
    <s v="Porz"/>
    <m/>
    <x v="2"/>
    <x v="13"/>
  </r>
  <r>
    <x v="1042"/>
    <s v="Sonntag"/>
    <s v="Porz"/>
    <m/>
    <x v="2"/>
    <x v="13"/>
  </r>
  <r>
    <x v="1043"/>
    <s v="Montag"/>
    <s v="Porz"/>
    <m/>
    <x v="2"/>
    <x v="13"/>
  </r>
  <r>
    <x v="1044"/>
    <s v="Dienstag"/>
    <s v="Porz"/>
    <m/>
    <x v="2"/>
    <x v="13"/>
  </r>
  <r>
    <x v="1045"/>
    <s v="Mittwoch"/>
    <s v="Porz"/>
    <m/>
    <x v="2"/>
    <x v="13"/>
  </r>
  <r>
    <x v="1046"/>
    <s v="Donnerstag"/>
    <s v="Porz"/>
    <m/>
    <x v="2"/>
    <x v="13"/>
  </r>
  <r>
    <x v="1047"/>
    <s v="Freitag"/>
    <s v="Porz"/>
    <m/>
    <x v="2"/>
    <x v="13"/>
  </r>
  <r>
    <x v="1048"/>
    <s v="Samstag"/>
    <s v="Porz"/>
    <m/>
    <x v="2"/>
    <x v="13"/>
  </r>
  <r>
    <x v="1049"/>
    <s v="Sonntag"/>
    <s v="Porz"/>
    <m/>
    <x v="2"/>
    <x v="13"/>
  </r>
  <r>
    <x v="1050"/>
    <s v="Montag"/>
    <s v="Porz"/>
    <m/>
    <x v="2"/>
    <x v="13"/>
  </r>
  <r>
    <x v="1051"/>
    <s v="Dienstag"/>
    <s v="Porz"/>
    <m/>
    <x v="2"/>
    <x v="13"/>
  </r>
  <r>
    <x v="1052"/>
    <s v="Mittwoch"/>
    <s v="Porz"/>
    <m/>
    <x v="2"/>
    <x v="13"/>
  </r>
  <r>
    <x v="1053"/>
    <s v="Donnerstag"/>
    <s v="Porz"/>
    <m/>
    <x v="2"/>
    <x v="13"/>
  </r>
  <r>
    <x v="1054"/>
    <s v="Freitag"/>
    <s v="Porz"/>
    <m/>
    <x v="2"/>
    <x v="13"/>
  </r>
  <r>
    <x v="1055"/>
    <s v="Samstag"/>
    <s v="Porz"/>
    <m/>
    <x v="2"/>
    <x v="13"/>
  </r>
  <r>
    <x v="1056"/>
    <s v="Sonntag"/>
    <s v="Porz"/>
    <m/>
    <x v="2"/>
    <x v="13"/>
  </r>
  <r>
    <x v="1057"/>
    <s v="Montag"/>
    <s v="Porz"/>
    <m/>
    <x v="2"/>
    <x v="13"/>
  </r>
  <r>
    <x v="1058"/>
    <s v="Dienstag"/>
    <s v="Porz"/>
    <m/>
    <x v="2"/>
    <x v="13"/>
  </r>
  <r>
    <x v="1059"/>
    <s v="Mittwoch"/>
    <s v="Porz"/>
    <m/>
    <x v="2"/>
    <x v="13"/>
  </r>
  <r>
    <x v="1060"/>
    <s v="Donnerstag"/>
    <s v="Porz"/>
    <m/>
    <x v="2"/>
    <x v="13"/>
  </r>
  <r>
    <x v="1061"/>
    <s v="Freitag"/>
    <s v="Porz"/>
    <m/>
    <x v="2"/>
    <x v="13"/>
  </r>
  <r>
    <x v="1062"/>
    <s v="Samstag"/>
    <s v="Porz"/>
    <m/>
    <x v="2"/>
    <x v="13"/>
  </r>
  <r>
    <x v="1063"/>
    <s v="Sonntag"/>
    <s v="Porz"/>
    <m/>
    <x v="2"/>
    <x v="13"/>
  </r>
  <r>
    <x v="1064"/>
    <s v="Montag"/>
    <s v="Porz"/>
    <m/>
    <x v="2"/>
    <x v="13"/>
  </r>
  <r>
    <x v="1065"/>
    <s v="Dienstag"/>
    <s v="Porz"/>
    <m/>
    <x v="2"/>
    <x v="13"/>
  </r>
  <r>
    <x v="1066"/>
    <s v="Mittwoch"/>
    <s v="Porz"/>
    <m/>
    <x v="2"/>
    <x v="13"/>
  </r>
  <r>
    <x v="1067"/>
    <s v="Donnerstag"/>
    <s v="Porz"/>
    <m/>
    <x v="2"/>
    <x v="13"/>
  </r>
  <r>
    <x v="1068"/>
    <s v="Freitag"/>
    <s v="Porz"/>
    <m/>
    <x v="2"/>
    <x v="13"/>
  </r>
  <r>
    <x v="1069"/>
    <s v="Samstag"/>
    <s v="Porz"/>
    <m/>
    <x v="2"/>
    <x v="13"/>
  </r>
  <r>
    <x v="1070"/>
    <s v="Sonntag"/>
    <s v="Porz"/>
    <m/>
    <x v="2"/>
    <x v="13"/>
  </r>
  <r>
    <x v="1071"/>
    <s v="Montag"/>
    <s v="Porz"/>
    <m/>
    <x v="2"/>
    <x v="13"/>
  </r>
  <r>
    <x v="1072"/>
    <s v="Dienstag"/>
    <s v="Porz"/>
    <m/>
    <x v="2"/>
    <x v="13"/>
  </r>
  <r>
    <x v="1073"/>
    <s v="Mittwoch"/>
    <s v="Porz"/>
    <m/>
    <x v="2"/>
    <x v="13"/>
  </r>
  <r>
    <x v="1074"/>
    <s v="Donnerstag"/>
    <s v="Porz"/>
    <m/>
    <x v="2"/>
    <x v="13"/>
  </r>
  <r>
    <x v="1075"/>
    <s v="Freitag"/>
    <s v="Porz"/>
    <m/>
    <x v="2"/>
    <x v="13"/>
  </r>
  <r>
    <x v="1076"/>
    <s v="Samstag"/>
    <s v="Porz"/>
    <m/>
    <x v="2"/>
    <x v="13"/>
  </r>
  <r>
    <x v="1077"/>
    <s v="Sonntag"/>
    <s v="Porz"/>
    <m/>
    <x v="2"/>
    <x v="13"/>
  </r>
  <r>
    <x v="1078"/>
    <s v="Montag"/>
    <s v="Porz"/>
    <m/>
    <x v="2"/>
    <x v="13"/>
  </r>
  <r>
    <x v="1079"/>
    <s v="Dienstag"/>
    <s v="Porz"/>
    <m/>
    <x v="2"/>
    <x v="13"/>
  </r>
  <r>
    <x v="1080"/>
    <s v="Mittwoch"/>
    <s v="Porz"/>
    <m/>
    <x v="2"/>
    <x v="13"/>
  </r>
  <r>
    <x v="1081"/>
    <s v="Donnerstag"/>
    <s v="Porz"/>
    <m/>
    <x v="2"/>
    <x v="13"/>
  </r>
  <r>
    <x v="1082"/>
    <s v="Freitag"/>
    <s v="Porz"/>
    <m/>
    <x v="2"/>
    <x v="13"/>
  </r>
  <r>
    <x v="1083"/>
    <s v="Samstag"/>
    <s v="Porz"/>
    <m/>
    <x v="2"/>
    <x v="13"/>
  </r>
  <r>
    <x v="1084"/>
    <s v="Sonntag"/>
    <s v="Porz"/>
    <m/>
    <x v="2"/>
    <x v="13"/>
  </r>
  <r>
    <x v="1085"/>
    <s v="Montag"/>
    <s v="Porz"/>
    <m/>
    <x v="2"/>
    <x v="13"/>
  </r>
  <r>
    <x v="1086"/>
    <s v="Dienstag"/>
    <s v="Porz"/>
    <m/>
    <x v="2"/>
    <x v="13"/>
  </r>
  <r>
    <x v="1087"/>
    <s v="Mittwoch"/>
    <s v="Porz"/>
    <m/>
    <x v="2"/>
    <x v="13"/>
  </r>
  <r>
    <x v="1088"/>
    <s v="Donnerstag"/>
    <s v="Porz"/>
    <m/>
    <x v="2"/>
    <x v="13"/>
  </r>
  <r>
    <x v="1089"/>
    <s v="Freitag"/>
    <s v="Porz"/>
    <m/>
    <x v="2"/>
    <x v="13"/>
  </r>
  <r>
    <x v="1090"/>
    <s v="Samstag"/>
    <s v="Porz"/>
    <m/>
    <x v="2"/>
    <x v="13"/>
  </r>
  <r>
    <x v="1091"/>
    <s v="Sonntag"/>
    <s v="Porz"/>
    <m/>
    <x v="2"/>
    <x v="13"/>
  </r>
  <r>
    <x v="1092"/>
    <s v="Montag"/>
    <s v="Porz"/>
    <m/>
    <x v="2"/>
    <x v="13"/>
  </r>
  <r>
    <x v="1093"/>
    <s v="Dienstag"/>
    <s v="Porz"/>
    <m/>
    <x v="2"/>
    <x v="13"/>
  </r>
  <r>
    <x v="1094"/>
    <s v="Mittwoch"/>
    <s v="Porz"/>
    <m/>
    <x v="2"/>
    <x v="13"/>
  </r>
  <r>
    <x v="1095"/>
    <s v="Donnerstag"/>
    <s v="Porz"/>
    <m/>
    <x v="2"/>
    <x v="13"/>
  </r>
  <r>
    <x v="1096"/>
    <s v="Freitag"/>
    <s v="Porz"/>
    <m/>
    <x v="2"/>
    <x v="13"/>
  </r>
  <r>
    <x v="1097"/>
    <s v="Samstag"/>
    <s v="Porz"/>
    <m/>
    <x v="2"/>
    <x v="13"/>
  </r>
  <r>
    <x v="1098"/>
    <s v="Sonntag"/>
    <s v="Porz"/>
    <m/>
    <x v="2"/>
    <x v="13"/>
  </r>
  <r>
    <x v="1099"/>
    <s v="Montag"/>
    <s v="Porz"/>
    <m/>
    <x v="2"/>
    <x v="13"/>
  </r>
  <r>
    <x v="1100"/>
    <s v="Dienstag"/>
    <s v="Porz"/>
    <m/>
    <x v="2"/>
    <x v="13"/>
  </r>
  <r>
    <x v="1101"/>
    <s v="Mittwoch"/>
    <s v="Porz"/>
    <m/>
    <x v="2"/>
    <x v="13"/>
  </r>
  <r>
    <x v="1102"/>
    <s v="Donnerstag"/>
    <s v="Porz"/>
    <m/>
    <x v="2"/>
    <x v="13"/>
  </r>
  <r>
    <x v="1103"/>
    <s v="Freitag"/>
    <s v="Porz"/>
    <m/>
    <x v="2"/>
    <x v="13"/>
  </r>
  <r>
    <x v="1104"/>
    <s v="Samstag"/>
    <s v="Porz"/>
    <m/>
    <x v="2"/>
    <x v="13"/>
  </r>
  <r>
    <x v="1105"/>
    <s v="Sonntag"/>
    <s v="Porz"/>
    <m/>
    <x v="2"/>
    <x v="13"/>
  </r>
  <r>
    <x v="1106"/>
    <s v="Montag"/>
    <s v="Porz"/>
    <m/>
    <x v="2"/>
    <x v="13"/>
  </r>
  <r>
    <x v="1107"/>
    <s v="Dienstag"/>
    <s v="Porz"/>
    <m/>
    <x v="2"/>
    <x v="13"/>
  </r>
  <r>
    <x v="1108"/>
    <s v="Mittwoch"/>
    <s v="Porz"/>
    <m/>
    <x v="2"/>
    <x v="13"/>
  </r>
  <r>
    <x v="1109"/>
    <s v="Donnerstag"/>
    <s v="Porz"/>
    <m/>
    <x v="2"/>
    <x v="13"/>
  </r>
  <r>
    <x v="1110"/>
    <s v="Freitag"/>
    <s v="Porz"/>
    <m/>
    <x v="2"/>
    <x v="13"/>
  </r>
  <r>
    <x v="1111"/>
    <s v="Samstag"/>
    <s v="Porz"/>
    <m/>
    <x v="2"/>
    <x v="13"/>
  </r>
  <r>
    <x v="1112"/>
    <s v="Sonntag"/>
    <s v="Porz"/>
    <m/>
    <x v="2"/>
    <x v="13"/>
  </r>
  <r>
    <x v="1113"/>
    <s v="Montag"/>
    <s v="Porz"/>
    <m/>
    <x v="2"/>
    <x v="13"/>
  </r>
  <r>
    <x v="1114"/>
    <s v="Dienstag"/>
    <s v="Porz"/>
    <m/>
    <x v="2"/>
    <x v="13"/>
  </r>
  <r>
    <x v="1115"/>
    <s v="Mittwoch"/>
    <s v="Porz"/>
    <m/>
    <x v="2"/>
    <x v="13"/>
  </r>
  <r>
    <x v="1116"/>
    <s v="Donnerstag"/>
    <s v="Porz"/>
    <m/>
    <x v="2"/>
    <x v="13"/>
  </r>
  <r>
    <x v="1117"/>
    <s v="Freitag"/>
    <s v="Porz"/>
    <m/>
    <x v="2"/>
    <x v="13"/>
  </r>
  <r>
    <x v="1118"/>
    <s v="Samstag"/>
    <s v="Porz"/>
    <m/>
    <x v="2"/>
    <x v="13"/>
  </r>
  <r>
    <x v="1119"/>
    <s v="Sonntag"/>
    <s v="Porz"/>
    <m/>
    <x v="2"/>
    <x v="13"/>
  </r>
  <r>
    <x v="1120"/>
    <s v="Montag"/>
    <s v="Porz"/>
    <m/>
    <x v="2"/>
    <x v="13"/>
  </r>
  <r>
    <x v="1121"/>
    <s v="Dienstag"/>
    <s v="Porz"/>
    <m/>
    <x v="2"/>
    <x v="13"/>
  </r>
  <r>
    <x v="1122"/>
    <s v="Mittwoch"/>
    <s v="Porz"/>
    <m/>
    <x v="2"/>
    <x v="13"/>
  </r>
  <r>
    <x v="1123"/>
    <s v="Donnerstag"/>
    <s v="Porz"/>
    <m/>
    <x v="2"/>
    <x v="13"/>
  </r>
  <r>
    <x v="1124"/>
    <s v="Freitag"/>
    <s v="Porz"/>
    <m/>
    <x v="2"/>
    <x v="13"/>
  </r>
  <r>
    <x v="1125"/>
    <s v="Samstag"/>
    <s v="Porz"/>
    <m/>
    <x v="2"/>
    <x v="13"/>
  </r>
  <r>
    <x v="1126"/>
    <s v="Sonntag"/>
    <s v="Porz"/>
    <m/>
    <x v="2"/>
    <x v="13"/>
  </r>
  <r>
    <x v="1127"/>
    <s v="Montag"/>
    <s v="Porz"/>
    <m/>
    <x v="2"/>
    <x v="13"/>
  </r>
  <r>
    <x v="1128"/>
    <s v="Dienstag"/>
    <s v="Porz"/>
    <m/>
    <x v="2"/>
    <x v="13"/>
  </r>
  <r>
    <x v="1129"/>
    <s v="Mittwoch"/>
    <s v="Porz"/>
    <m/>
    <x v="2"/>
    <x v="13"/>
  </r>
  <r>
    <x v="1130"/>
    <s v="Donnerstag"/>
    <s v="Porz"/>
    <m/>
    <x v="2"/>
    <x v="13"/>
  </r>
  <r>
    <x v="1131"/>
    <s v="Freitag"/>
    <s v="Porz"/>
    <m/>
    <x v="2"/>
    <x v="13"/>
  </r>
  <r>
    <x v="1132"/>
    <s v="Samstag"/>
    <s v="Porz"/>
    <m/>
    <x v="2"/>
    <x v="13"/>
  </r>
  <r>
    <x v="1133"/>
    <s v="Sonntag"/>
    <s v="Porz"/>
    <m/>
    <x v="2"/>
    <x v="13"/>
  </r>
  <r>
    <x v="1134"/>
    <s v="Montag"/>
    <s v="Porz"/>
    <m/>
    <x v="2"/>
    <x v="13"/>
  </r>
  <r>
    <x v="1135"/>
    <s v="Dienstag"/>
    <s v="Porz"/>
    <m/>
    <x v="2"/>
    <x v="13"/>
  </r>
  <r>
    <x v="1136"/>
    <s v="Mittwoch"/>
    <s v="Porz"/>
    <m/>
    <x v="2"/>
    <x v="13"/>
  </r>
  <r>
    <x v="1137"/>
    <s v="Donnerstag"/>
    <s v="Porz"/>
    <m/>
    <x v="2"/>
    <x v="13"/>
  </r>
  <r>
    <x v="1138"/>
    <s v="Freitag"/>
    <s v="Porz"/>
    <m/>
    <x v="2"/>
    <x v="13"/>
  </r>
  <r>
    <x v="1139"/>
    <s v="Samstag"/>
    <s v="Porz"/>
    <m/>
    <x v="2"/>
    <x v="13"/>
  </r>
  <r>
    <x v="1140"/>
    <s v="Sonntag"/>
    <s v="Porz"/>
    <m/>
    <x v="2"/>
    <x v="13"/>
  </r>
  <r>
    <x v="1141"/>
    <s v="Montag"/>
    <s v="Porz"/>
    <m/>
    <x v="2"/>
    <x v="13"/>
  </r>
  <r>
    <x v="1142"/>
    <s v="Dienstag"/>
    <s v="Porz"/>
    <m/>
    <x v="2"/>
    <x v="13"/>
  </r>
  <r>
    <x v="1143"/>
    <s v="Mittwoch"/>
    <s v="Porz"/>
    <m/>
    <x v="2"/>
    <x v="13"/>
  </r>
  <r>
    <x v="1144"/>
    <s v="Donnerstag"/>
    <s v="Porz"/>
    <m/>
    <x v="2"/>
    <x v="13"/>
  </r>
  <r>
    <x v="1145"/>
    <s v="Freitag"/>
    <s v="Porz"/>
    <m/>
    <x v="2"/>
    <x v="13"/>
  </r>
  <r>
    <x v="1146"/>
    <s v="Samstag"/>
    <s v="Porz"/>
    <m/>
    <x v="2"/>
    <x v="13"/>
  </r>
  <r>
    <x v="1147"/>
    <s v="Sonntag"/>
    <s v="Porz"/>
    <m/>
    <x v="2"/>
    <x v="13"/>
  </r>
  <r>
    <x v="1148"/>
    <s v="Montag"/>
    <s v="Porz"/>
    <m/>
    <x v="2"/>
    <x v="13"/>
  </r>
  <r>
    <x v="1149"/>
    <s v="Dienstag"/>
    <s v="Porz"/>
    <m/>
    <x v="2"/>
    <x v="13"/>
  </r>
  <r>
    <x v="1150"/>
    <s v="Mittwoch"/>
    <s v="Porz"/>
    <m/>
    <x v="2"/>
    <x v="13"/>
  </r>
  <r>
    <x v="1151"/>
    <s v="Donnerstag"/>
    <s v="Porz"/>
    <m/>
    <x v="2"/>
    <x v="13"/>
  </r>
  <r>
    <x v="1152"/>
    <s v="Freitag"/>
    <s v="Porz"/>
    <m/>
    <x v="2"/>
    <x v="13"/>
  </r>
  <r>
    <x v="1153"/>
    <s v="Samstag"/>
    <s v="Porz"/>
    <m/>
    <x v="2"/>
    <x v="13"/>
  </r>
  <r>
    <x v="1154"/>
    <s v="Sonntag"/>
    <s v="Porz"/>
    <m/>
    <x v="2"/>
    <x v="13"/>
  </r>
  <r>
    <x v="1155"/>
    <s v="Montag"/>
    <s v="Porz"/>
    <m/>
    <x v="2"/>
    <x v="13"/>
  </r>
  <r>
    <x v="1156"/>
    <s v="Dienstag"/>
    <s v="Porz"/>
    <m/>
    <x v="2"/>
    <x v="13"/>
  </r>
  <r>
    <x v="1157"/>
    <s v="Mittwoch"/>
    <s v="Porz"/>
    <m/>
    <x v="2"/>
    <x v="13"/>
  </r>
  <r>
    <x v="1158"/>
    <s v="Donnerstag"/>
    <s v="Porz"/>
    <m/>
    <x v="2"/>
    <x v="13"/>
  </r>
  <r>
    <x v="1159"/>
    <s v="Freitag"/>
    <s v="Porz"/>
    <m/>
    <x v="2"/>
    <x v="13"/>
  </r>
  <r>
    <x v="1160"/>
    <s v="Samstag"/>
    <s v="Porz"/>
    <m/>
    <x v="2"/>
    <x v="13"/>
  </r>
  <r>
    <x v="1161"/>
    <s v="Sonntag"/>
    <s v="Porz"/>
    <m/>
    <x v="2"/>
    <x v="13"/>
  </r>
  <r>
    <x v="1162"/>
    <s v="Montag"/>
    <s v="Porz"/>
    <m/>
    <x v="2"/>
    <x v="13"/>
  </r>
  <r>
    <x v="1163"/>
    <s v="Dienstag"/>
    <s v="Porz"/>
    <m/>
    <x v="2"/>
    <x v="13"/>
  </r>
  <r>
    <x v="1164"/>
    <s v="Mittwoch"/>
    <s v="Porz"/>
    <m/>
    <x v="2"/>
    <x v="13"/>
  </r>
  <r>
    <x v="1165"/>
    <s v="Donnerstag"/>
    <s v="Porz"/>
    <m/>
    <x v="2"/>
    <x v="13"/>
  </r>
  <r>
    <x v="1166"/>
    <s v="Freitag"/>
    <s v="Porz"/>
    <m/>
    <x v="2"/>
    <x v="13"/>
  </r>
  <r>
    <x v="1167"/>
    <s v="Samstag"/>
    <s v="Porz"/>
    <m/>
    <x v="2"/>
    <x v="13"/>
  </r>
  <r>
    <x v="1168"/>
    <s v="Sonntag"/>
    <s v="Porz"/>
    <m/>
    <x v="2"/>
    <x v="13"/>
  </r>
  <r>
    <x v="1169"/>
    <s v="Montag"/>
    <s v="Porz"/>
    <m/>
    <x v="2"/>
    <x v="13"/>
  </r>
  <r>
    <x v="1170"/>
    <s v="Dienstag"/>
    <s v="Porz"/>
    <m/>
    <x v="2"/>
    <x v="13"/>
  </r>
  <r>
    <x v="1171"/>
    <s v="Mittwoch"/>
    <s v="Porz"/>
    <m/>
    <x v="2"/>
    <x v="13"/>
  </r>
  <r>
    <x v="1172"/>
    <s v="Donnerstag"/>
    <s v="Porz"/>
    <m/>
    <x v="2"/>
    <x v="13"/>
  </r>
  <r>
    <x v="1173"/>
    <s v="Freitag"/>
    <s v="Porz"/>
    <m/>
    <x v="2"/>
    <x v="13"/>
  </r>
  <r>
    <x v="1174"/>
    <s v="Samstag"/>
    <s v="Porz"/>
    <m/>
    <x v="2"/>
    <x v="13"/>
  </r>
  <r>
    <x v="1175"/>
    <s v="Sonntag"/>
    <s v="Porz"/>
    <m/>
    <x v="2"/>
    <x v="13"/>
  </r>
  <r>
    <x v="1176"/>
    <s v="Montag"/>
    <s v="Porz"/>
    <m/>
    <x v="2"/>
    <x v="13"/>
  </r>
  <r>
    <x v="1177"/>
    <s v="Dienstag"/>
    <s v="Porz"/>
    <m/>
    <x v="2"/>
    <x v="13"/>
  </r>
  <r>
    <x v="1178"/>
    <s v="Mittwoch"/>
    <s v="Porz"/>
    <m/>
    <x v="2"/>
    <x v="13"/>
  </r>
  <r>
    <x v="1179"/>
    <s v="Donnerstag"/>
    <s v="Porz"/>
    <m/>
    <x v="2"/>
    <x v="13"/>
  </r>
  <r>
    <x v="1180"/>
    <s v="Freitag"/>
    <s v="Porz"/>
    <m/>
    <x v="2"/>
    <x v="13"/>
  </r>
  <r>
    <x v="1181"/>
    <s v="Samstag"/>
    <s v="Porz"/>
    <m/>
    <x v="2"/>
    <x v="13"/>
  </r>
  <r>
    <x v="1182"/>
    <s v="Sonntag"/>
    <s v="Porz"/>
    <m/>
    <x v="2"/>
    <x v="13"/>
  </r>
  <r>
    <x v="1183"/>
    <s v="Montag"/>
    <s v="Porz"/>
    <m/>
    <x v="2"/>
    <x v="13"/>
  </r>
  <r>
    <x v="1184"/>
    <s v="Dienstag"/>
    <s v="Porz"/>
    <m/>
    <x v="2"/>
    <x v="13"/>
  </r>
  <r>
    <x v="1185"/>
    <s v="Mittwoch"/>
    <s v="Porz"/>
    <m/>
    <x v="2"/>
    <x v="13"/>
  </r>
  <r>
    <x v="1186"/>
    <s v="Donnerstag"/>
    <s v="Porz"/>
    <m/>
    <x v="2"/>
    <x v="13"/>
  </r>
  <r>
    <x v="1187"/>
    <s v="Freitag"/>
    <s v="Porz"/>
    <m/>
    <x v="2"/>
    <x v="13"/>
  </r>
  <r>
    <x v="1188"/>
    <s v="Samstag"/>
    <s v="Porz"/>
    <m/>
    <x v="2"/>
    <x v="13"/>
  </r>
  <r>
    <x v="1189"/>
    <s v="Sonntag"/>
    <s v="Porz"/>
    <m/>
    <x v="2"/>
    <x v="13"/>
  </r>
  <r>
    <x v="1190"/>
    <s v="Montag"/>
    <s v="Porz"/>
    <m/>
    <x v="2"/>
    <x v="13"/>
  </r>
  <r>
    <x v="1191"/>
    <s v="Dienstag"/>
    <s v="Porz"/>
    <m/>
    <x v="2"/>
    <x v="13"/>
  </r>
  <r>
    <x v="1192"/>
    <s v="Mittwoch"/>
    <s v="Porz"/>
    <m/>
    <x v="2"/>
    <x v="13"/>
  </r>
  <r>
    <x v="1193"/>
    <s v="Donnerstag"/>
    <s v="Porz"/>
    <m/>
    <x v="2"/>
    <x v="13"/>
  </r>
  <r>
    <x v="1194"/>
    <s v="Freitag"/>
    <s v="Porz"/>
    <m/>
    <x v="2"/>
    <x v="13"/>
  </r>
  <r>
    <x v="1195"/>
    <s v="Samstag"/>
    <s v="Porz"/>
    <m/>
    <x v="2"/>
    <x v="13"/>
  </r>
  <r>
    <x v="1196"/>
    <s v="Sonntag"/>
    <s v="Porz"/>
    <m/>
    <x v="2"/>
    <x v="13"/>
  </r>
  <r>
    <x v="1197"/>
    <s v="Montag"/>
    <s v="Porz"/>
    <m/>
    <x v="2"/>
    <x v="13"/>
  </r>
  <r>
    <x v="1198"/>
    <s v="Dienstag"/>
    <s v="Porz"/>
    <m/>
    <x v="2"/>
    <x v="13"/>
  </r>
  <r>
    <x v="1199"/>
    <s v="Mittwoch"/>
    <s v="Porz"/>
    <m/>
    <x v="2"/>
    <x v="13"/>
  </r>
  <r>
    <x v="1200"/>
    <s v="Donnerstag"/>
    <s v="Porz"/>
    <m/>
    <x v="2"/>
    <x v="13"/>
  </r>
  <r>
    <x v="1201"/>
    <s v="Freitag"/>
    <s v="Porz"/>
    <m/>
    <x v="2"/>
    <x v="13"/>
  </r>
  <r>
    <x v="1202"/>
    <s v="Samstag"/>
    <s v="Porz"/>
    <m/>
    <x v="2"/>
    <x v="13"/>
  </r>
  <r>
    <x v="1203"/>
    <s v="Sonntag"/>
    <s v="Porz"/>
    <m/>
    <x v="2"/>
    <x v="13"/>
  </r>
  <r>
    <x v="1204"/>
    <s v="Montag"/>
    <s v="Porz"/>
    <m/>
    <x v="2"/>
    <x v="13"/>
  </r>
  <r>
    <x v="1205"/>
    <s v="Dienstag"/>
    <s v="Porz"/>
    <m/>
    <x v="2"/>
    <x v="13"/>
  </r>
  <r>
    <x v="1206"/>
    <s v="Mittwoch"/>
    <s v="Porz"/>
    <m/>
    <x v="2"/>
    <x v="13"/>
  </r>
  <r>
    <x v="1207"/>
    <s v="Donnerstag"/>
    <s v="Porz"/>
    <m/>
    <x v="2"/>
    <x v="13"/>
  </r>
  <r>
    <x v="1208"/>
    <s v="Freitag"/>
    <s v="Porz"/>
    <m/>
    <x v="2"/>
    <x v="13"/>
  </r>
  <r>
    <x v="1209"/>
    <s v="Samstag"/>
    <s v="Porz"/>
    <m/>
    <x v="2"/>
    <x v="13"/>
  </r>
  <r>
    <x v="1210"/>
    <s v="Sonntag"/>
    <s v="Porz"/>
    <m/>
    <x v="2"/>
    <x v="13"/>
  </r>
  <r>
    <x v="1211"/>
    <s v="Montag"/>
    <s v="Porz"/>
    <m/>
    <x v="2"/>
    <x v="13"/>
  </r>
  <r>
    <x v="1212"/>
    <s v="Dienstag"/>
    <s v="Porz"/>
    <m/>
    <x v="2"/>
    <x v="13"/>
  </r>
  <r>
    <x v="1213"/>
    <s v="Mittwoch"/>
    <s v="Porz"/>
    <m/>
    <x v="2"/>
    <x v="13"/>
  </r>
  <r>
    <x v="1214"/>
    <s v="Donnerstag"/>
    <s v="Porz"/>
    <m/>
    <x v="2"/>
    <x v="13"/>
  </r>
  <r>
    <x v="1215"/>
    <s v="Freitag"/>
    <s v="Porz"/>
    <m/>
    <x v="2"/>
    <x v="13"/>
  </r>
  <r>
    <x v="1216"/>
    <s v="Samstag"/>
    <s v="Porz"/>
    <m/>
    <x v="2"/>
    <x v="13"/>
  </r>
  <r>
    <x v="1217"/>
    <s v="Sonntag"/>
    <s v="Porz"/>
    <m/>
    <x v="2"/>
    <x v="13"/>
  </r>
  <r>
    <x v="1218"/>
    <s v="Montag"/>
    <s v="Porz"/>
    <m/>
    <x v="2"/>
    <x v="13"/>
  </r>
  <r>
    <x v="1219"/>
    <s v="Dienstag"/>
    <s v="Porz"/>
    <m/>
    <x v="2"/>
    <x v="13"/>
  </r>
  <r>
    <x v="1220"/>
    <s v="Mittwoch"/>
    <s v="Porz"/>
    <m/>
    <x v="2"/>
    <x v="13"/>
  </r>
  <r>
    <x v="1221"/>
    <s v="Donnerstag"/>
    <s v="Porz"/>
    <m/>
    <x v="2"/>
    <x v="13"/>
  </r>
  <r>
    <x v="1222"/>
    <s v="Freitag"/>
    <s v="Porz"/>
    <m/>
    <x v="2"/>
    <x v="13"/>
  </r>
  <r>
    <x v="1223"/>
    <s v="Samstag"/>
    <s v="Porz"/>
    <m/>
    <x v="2"/>
    <x v="13"/>
  </r>
  <r>
    <x v="1224"/>
    <s v="Sonntag"/>
    <s v="Porz"/>
    <m/>
    <x v="2"/>
    <x v="13"/>
  </r>
  <r>
    <x v="1225"/>
    <s v="Montag"/>
    <s v="Porz"/>
    <m/>
    <x v="2"/>
    <x v="13"/>
  </r>
  <r>
    <x v="1226"/>
    <s v="Dienstag"/>
    <s v="Porz"/>
    <m/>
    <x v="2"/>
    <x v="13"/>
  </r>
  <r>
    <x v="1227"/>
    <s v="Mittwoch"/>
    <s v="Porz"/>
    <m/>
    <x v="2"/>
    <x v="13"/>
  </r>
  <r>
    <x v="1228"/>
    <s v="Donnerstag"/>
    <s v="Porz"/>
    <m/>
    <x v="2"/>
    <x v="13"/>
  </r>
  <r>
    <x v="1229"/>
    <s v="Freitag"/>
    <s v="Porz"/>
    <m/>
    <x v="2"/>
    <x v="13"/>
  </r>
  <r>
    <x v="1230"/>
    <s v="Samstag"/>
    <s v="Porz"/>
    <m/>
    <x v="2"/>
    <x v="13"/>
  </r>
  <r>
    <x v="1231"/>
    <s v="Sonntag"/>
    <s v="Porz"/>
    <m/>
    <x v="2"/>
    <x v="13"/>
  </r>
  <r>
    <x v="1232"/>
    <s v="Montag"/>
    <s v="Porz"/>
    <m/>
    <x v="2"/>
    <x v="13"/>
  </r>
  <r>
    <x v="1233"/>
    <s v="Dienstag"/>
    <s v="Porz"/>
    <m/>
    <x v="2"/>
    <x v="13"/>
  </r>
  <r>
    <x v="1234"/>
    <s v="Mittwoch"/>
    <s v="Porz"/>
    <m/>
    <x v="2"/>
    <x v="13"/>
  </r>
  <r>
    <x v="1235"/>
    <s v="Donnerstag"/>
    <s v="Porz"/>
    <m/>
    <x v="2"/>
    <x v="13"/>
  </r>
  <r>
    <x v="1236"/>
    <s v="Freitag"/>
    <s v="Porz"/>
    <m/>
    <x v="2"/>
    <x v="13"/>
  </r>
  <r>
    <x v="1237"/>
    <s v="Samstag"/>
    <s v="Porz"/>
    <m/>
    <x v="2"/>
    <x v="13"/>
  </r>
  <r>
    <x v="1238"/>
    <s v="Sonntag"/>
    <s v="Porz"/>
    <m/>
    <x v="2"/>
    <x v="13"/>
  </r>
  <r>
    <x v="1239"/>
    <s v="Montag"/>
    <s v="Porz"/>
    <m/>
    <x v="2"/>
    <x v="13"/>
  </r>
  <r>
    <x v="1240"/>
    <s v="Dienstag"/>
    <s v="Porz"/>
    <m/>
    <x v="2"/>
    <x v="13"/>
  </r>
  <r>
    <x v="1241"/>
    <s v="Mittwoch"/>
    <s v="Porz"/>
    <m/>
    <x v="2"/>
    <x v="13"/>
  </r>
  <r>
    <x v="1242"/>
    <s v="Donnerstag"/>
    <s v="Porz"/>
    <m/>
    <x v="2"/>
    <x v="13"/>
  </r>
  <r>
    <x v="1243"/>
    <s v="Freitag"/>
    <s v="Porz"/>
    <m/>
    <x v="2"/>
    <x v="13"/>
  </r>
  <r>
    <x v="1244"/>
    <s v="Samstag"/>
    <s v="Porz"/>
    <m/>
    <x v="2"/>
    <x v="13"/>
  </r>
  <r>
    <x v="1245"/>
    <s v="Sonntag"/>
    <s v="Porz"/>
    <m/>
    <x v="2"/>
    <x v="13"/>
  </r>
  <r>
    <x v="1246"/>
    <s v="Montag"/>
    <s v="Porz"/>
    <m/>
    <x v="2"/>
    <x v="13"/>
  </r>
  <r>
    <x v="1247"/>
    <s v="Dienstag"/>
    <s v="Porz"/>
    <m/>
    <x v="2"/>
    <x v="13"/>
  </r>
  <r>
    <x v="1248"/>
    <s v="Mittwoch"/>
    <s v="Porz"/>
    <m/>
    <x v="2"/>
    <x v="13"/>
  </r>
  <r>
    <x v="1249"/>
    <s v="Donnerstag"/>
    <s v="Porz"/>
    <m/>
    <x v="2"/>
    <x v="13"/>
  </r>
  <r>
    <x v="1250"/>
    <s v="Freitag"/>
    <s v="Porz"/>
    <m/>
    <x v="2"/>
    <x v="13"/>
  </r>
  <r>
    <x v="1251"/>
    <s v="Samstag"/>
    <s v="Porz"/>
    <m/>
    <x v="2"/>
    <x v="13"/>
  </r>
  <r>
    <x v="1252"/>
    <s v="Sonntag"/>
    <s v="Porz"/>
    <m/>
    <x v="2"/>
    <x v="13"/>
  </r>
  <r>
    <x v="1253"/>
    <s v="Montag"/>
    <s v="Porz"/>
    <m/>
    <x v="2"/>
    <x v="13"/>
  </r>
  <r>
    <x v="1254"/>
    <s v="Dienstag"/>
    <s v="Porz"/>
    <m/>
    <x v="2"/>
    <x v="13"/>
  </r>
  <r>
    <x v="1255"/>
    <s v="Mittwoch"/>
    <s v="Porz"/>
    <s v="PLC"/>
    <x v="0"/>
    <x v="0"/>
  </r>
  <r>
    <x v="1256"/>
    <s v="Donnerstag"/>
    <s v="Porz"/>
    <s v="PLC"/>
    <x v="0"/>
    <x v="0"/>
  </r>
  <r>
    <x v="1257"/>
    <s v="Freitag"/>
    <s v="Porz"/>
    <s v="PLC"/>
    <x v="0"/>
    <x v="0"/>
  </r>
  <r>
    <x v="1258"/>
    <s v="Samstag"/>
    <s v="Porz"/>
    <s v="PLC"/>
    <x v="0"/>
    <x v="0"/>
  </r>
  <r>
    <x v="1259"/>
    <s v="Sonntag"/>
    <s v="Porz"/>
    <s v="PLC"/>
    <x v="0"/>
    <x v="0"/>
  </r>
  <r>
    <x v="1260"/>
    <s v="Montag"/>
    <s v="Porz"/>
    <s v="PLC"/>
    <x v="0"/>
    <x v="0"/>
  </r>
  <r>
    <x v="1261"/>
    <s v="Dienstag"/>
    <s v="Porz"/>
    <s v="PLC"/>
    <x v="0"/>
    <x v="0"/>
  </r>
  <r>
    <x v="1262"/>
    <s v="Mittwoch"/>
    <s v="Porz"/>
    <s v="PLC"/>
    <x v="0"/>
    <x v="0"/>
  </r>
  <r>
    <x v="1263"/>
    <s v="Donnerstag"/>
    <s v="Porz"/>
    <s v="PLC"/>
    <x v="0"/>
    <x v="0"/>
  </r>
  <r>
    <x v="1264"/>
    <s v="Freitag"/>
    <s v="Porz"/>
    <s v="PLC"/>
    <x v="0"/>
    <x v="0"/>
  </r>
  <r>
    <x v="1265"/>
    <s v="Samstag"/>
    <s v="Porz"/>
    <s v="PLC"/>
    <x v="0"/>
    <x v="0"/>
  </r>
  <r>
    <x v="1266"/>
    <s v="Sonntag"/>
    <s v="Porz"/>
    <s v="PLC"/>
    <x v="0"/>
    <x v="0"/>
  </r>
  <r>
    <x v="1267"/>
    <s v="Montag"/>
    <s v="Porz"/>
    <s v="PLC"/>
    <x v="0"/>
    <x v="0"/>
  </r>
  <r>
    <x v="1268"/>
    <s v="Dienstag"/>
    <s v="Porz"/>
    <s v="PLC"/>
    <x v="0"/>
    <x v="0"/>
  </r>
  <r>
    <x v="1269"/>
    <s v="Mittwoch"/>
    <s v="Porz"/>
    <s v="PLC"/>
    <x v="0"/>
    <x v="0"/>
  </r>
  <r>
    <x v="1270"/>
    <s v="Donnerstag"/>
    <s v="Porz"/>
    <s v="PLC"/>
    <x v="0"/>
    <x v="0"/>
  </r>
  <r>
    <x v="1271"/>
    <s v="Freitag"/>
    <s v="Porz"/>
    <s v="PLC"/>
    <x v="0"/>
    <x v="0"/>
  </r>
  <r>
    <x v="1272"/>
    <s v="Samstag"/>
    <s v="Porz"/>
    <s v="PLC"/>
    <x v="0"/>
    <x v="0"/>
  </r>
  <r>
    <x v="1273"/>
    <s v="Sonntag"/>
    <s v="Porz"/>
    <s v="PLC"/>
    <x v="0"/>
    <x v="0"/>
  </r>
  <r>
    <x v="1274"/>
    <s v="Montag"/>
    <s v="Porz"/>
    <s v="PLC"/>
    <x v="0"/>
    <x v="0"/>
  </r>
  <r>
    <x v="1275"/>
    <s v="Dienstag"/>
    <s v="Porz"/>
    <s v="PLC"/>
    <x v="0"/>
    <x v="0"/>
  </r>
  <r>
    <x v="1276"/>
    <s v="Mittwoch"/>
    <s v="Porz"/>
    <s v="PLC"/>
    <x v="0"/>
    <x v="0"/>
  </r>
  <r>
    <x v="1277"/>
    <s v="Donnerstag"/>
    <s v="Porz"/>
    <s v="PLC"/>
    <x v="0"/>
    <x v="0"/>
  </r>
  <r>
    <x v="1278"/>
    <s v="Freitag"/>
    <s v="Porz"/>
    <s v="PLC"/>
    <x v="0"/>
    <x v="0"/>
  </r>
  <r>
    <x v="1279"/>
    <s v="Samstag"/>
    <s v="Porz"/>
    <s v="PLC"/>
    <x v="0"/>
    <x v="0"/>
  </r>
  <r>
    <x v="1280"/>
    <s v="Sonntag"/>
    <s v="Porz"/>
    <s v="PLC"/>
    <x v="0"/>
    <x v="0"/>
  </r>
  <r>
    <x v="1281"/>
    <s v="Montag"/>
    <s v="Porz"/>
    <s v="PLC"/>
    <x v="0"/>
    <x v="0"/>
  </r>
  <r>
    <x v="1282"/>
    <s v="Dienstag"/>
    <s v="Porz"/>
    <s v="PLC"/>
    <x v="0"/>
    <x v="0"/>
  </r>
  <r>
    <x v="1283"/>
    <s v="Mittwoch"/>
    <s v="Porz"/>
    <s v="PLC"/>
    <x v="0"/>
    <x v="0"/>
  </r>
  <r>
    <x v="1284"/>
    <s v="Donnerstag"/>
    <s v="Porz"/>
    <s v="PLC"/>
    <x v="0"/>
    <x v="0"/>
  </r>
  <r>
    <x v="1285"/>
    <s v="Freitag"/>
    <s v="Porz"/>
    <s v="PLC"/>
    <x v="0"/>
    <x v="0"/>
  </r>
  <r>
    <x v="1286"/>
    <s v="Samstag"/>
    <s v="Porz"/>
    <s v="PLC"/>
    <x v="0"/>
    <x v="0"/>
  </r>
  <r>
    <x v="1287"/>
    <s v="Sonntag"/>
    <s v="Porz"/>
    <s v="PLC"/>
    <x v="0"/>
    <x v="0"/>
  </r>
  <r>
    <x v="1288"/>
    <s v="Montag"/>
    <s v="Porz"/>
    <s v="PLC"/>
    <x v="0"/>
    <x v="0"/>
  </r>
  <r>
    <x v="1289"/>
    <s v="Dienstag"/>
    <s v="Porz"/>
    <s v="PLC"/>
    <x v="0"/>
    <x v="0"/>
  </r>
  <r>
    <x v="1290"/>
    <s v="Mittwoch"/>
    <s v="Porz"/>
    <s v="PLC"/>
    <x v="0"/>
    <x v="0"/>
  </r>
  <r>
    <x v="1291"/>
    <s v="Donnerstag"/>
    <s v="Porz"/>
    <s v="PLC"/>
    <x v="0"/>
    <x v="0"/>
  </r>
  <r>
    <x v="1292"/>
    <s v="Freitag"/>
    <s v="Porz"/>
    <s v="PLC"/>
    <x v="0"/>
    <x v="0"/>
  </r>
  <r>
    <x v="1293"/>
    <s v="Samstag"/>
    <s v="Porz"/>
    <s v="PLC"/>
    <x v="0"/>
    <x v="0"/>
  </r>
  <r>
    <x v="1294"/>
    <s v="Sonntag"/>
    <s v="Porz"/>
    <s v="PLC"/>
    <x v="0"/>
    <x v="0"/>
  </r>
  <r>
    <x v="1295"/>
    <s v="Montag"/>
    <s v="Porz"/>
    <s v="PLC"/>
    <x v="0"/>
    <x v="0"/>
  </r>
  <r>
    <x v="1296"/>
    <s v="Dienstag"/>
    <s v="Porz"/>
    <s v="PLC"/>
    <x v="0"/>
    <x v="0"/>
  </r>
  <r>
    <x v="1297"/>
    <s v="Mittwoch"/>
    <s v="Porz"/>
    <s v="PLC"/>
    <x v="0"/>
    <x v="0"/>
  </r>
  <r>
    <x v="1298"/>
    <s v="Donnerstag"/>
    <s v="Porz"/>
    <s v="PLC"/>
    <x v="0"/>
    <x v="0"/>
  </r>
  <r>
    <x v="1299"/>
    <s v="Freitag"/>
    <s v="Porz"/>
    <s v="PLC"/>
    <x v="0"/>
    <x v="0"/>
  </r>
  <r>
    <x v="1300"/>
    <s v="Samstag"/>
    <s v="Porz"/>
    <s v="PLC"/>
    <x v="0"/>
    <x v="0"/>
  </r>
  <r>
    <x v="1301"/>
    <s v="Sonntag"/>
    <s v="Porz"/>
    <s v="PLC"/>
    <x v="0"/>
    <x v="0"/>
  </r>
  <r>
    <x v="1302"/>
    <s v="Montag"/>
    <s v="Porz"/>
    <s v="PLC"/>
    <x v="0"/>
    <x v="0"/>
  </r>
  <r>
    <x v="1303"/>
    <s v="Dienstag"/>
    <s v="Porz"/>
    <s v="PLC"/>
    <x v="0"/>
    <x v="0"/>
  </r>
  <r>
    <x v="1304"/>
    <s v="Mittwoch"/>
    <s v="Porz"/>
    <s v="PLC"/>
    <x v="0"/>
    <x v="0"/>
  </r>
  <r>
    <x v="1305"/>
    <s v="Donnerstag"/>
    <s v="Porz"/>
    <s v="PLC"/>
    <x v="0"/>
    <x v="0"/>
  </r>
  <r>
    <x v="1306"/>
    <s v="Freitag"/>
    <s v="Porz"/>
    <s v="PLC"/>
    <x v="0"/>
    <x v="0"/>
  </r>
  <r>
    <x v="1307"/>
    <s v="Samstag"/>
    <s v="Porz"/>
    <s v="PLC"/>
    <x v="0"/>
    <x v="0"/>
  </r>
  <r>
    <x v="1308"/>
    <s v="Sonntag"/>
    <s v="Porz"/>
    <s v="PLC"/>
    <x v="0"/>
    <x v="0"/>
  </r>
  <r>
    <x v="1309"/>
    <s v="Montag"/>
    <s v="Porz"/>
    <s v="PLC"/>
    <x v="0"/>
    <x v="0"/>
  </r>
  <r>
    <x v="1310"/>
    <s v="Dienstag"/>
    <s v="Porz"/>
    <s v="PLC"/>
    <x v="0"/>
    <x v="0"/>
  </r>
  <r>
    <x v="1311"/>
    <s v="Mittwoch"/>
    <s v="Porz"/>
    <s v="PLC"/>
    <x v="0"/>
    <x v="0"/>
  </r>
  <r>
    <x v="1312"/>
    <s v="Donnerstag"/>
    <s v="Porz"/>
    <s v="PLC"/>
    <x v="0"/>
    <x v="0"/>
  </r>
  <r>
    <x v="1313"/>
    <s v="Freitag"/>
    <s v="Porz"/>
    <s v="PLC"/>
    <x v="0"/>
    <x v="0"/>
  </r>
  <r>
    <x v="1314"/>
    <s v="Samstag"/>
    <s v="Porz"/>
    <s v="PLC"/>
    <x v="0"/>
    <x v="0"/>
  </r>
  <r>
    <x v="1315"/>
    <s v="Sonntag"/>
    <s v="Porz"/>
    <s v="PLC"/>
    <x v="0"/>
    <x v="0"/>
  </r>
  <r>
    <x v="1316"/>
    <s v="Montag"/>
    <s v="Porz"/>
    <s v="PLC"/>
    <x v="0"/>
    <x v="0"/>
  </r>
  <r>
    <x v="1317"/>
    <s v="Dienstag"/>
    <s v="Porz"/>
    <s v="PLC"/>
    <x v="0"/>
    <x v="0"/>
  </r>
  <r>
    <x v="1318"/>
    <s v="Mittwoch"/>
    <s v="Porz"/>
    <s v="PLC"/>
    <x v="0"/>
    <x v="0"/>
  </r>
  <r>
    <x v="1319"/>
    <s v="Donnerstag"/>
    <s v="Porz"/>
    <s v="PLC"/>
    <x v="0"/>
    <x v="0"/>
  </r>
  <r>
    <x v="1320"/>
    <s v="Freitag"/>
    <s v="Porz"/>
    <s v="PLC"/>
    <x v="0"/>
    <x v="0"/>
  </r>
  <r>
    <x v="1321"/>
    <s v="Samstag"/>
    <s v="Porz"/>
    <s v="PLC"/>
    <x v="0"/>
    <x v="0"/>
  </r>
  <r>
    <x v="1322"/>
    <s v="Sonntag"/>
    <s v="Porz"/>
    <s v="PLC"/>
    <x v="0"/>
    <x v="0"/>
  </r>
  <r>
    <x v="1323"/>
    <s v="Montag"/>
    <s v="Porz"/>
    <s v="PLC"/>
    <x v="0"/>
    <x v="0"/>
  </r>
  <r>
    <x v="1324"/>
    <s v="Dienstag"/>
    <s v="Porz"/>
    <s v="PLC"/>
    <x v="0"/>
    <x v="0"/>
  </r>
  <r>
    <x v="1325"/>
    <s v="Mittwoch"/>
    <s v="Porz"/>
    <s v="PLC"/>
    <x v="0"/>
    <x v="0"/>
  </r>
  <r>
    <x v="1326"/>
    <s v="Donnerstag"/>
    <s v="Porz"/>
    <s v="PLC"/>
    <x v="0"/>
    <x v="0"/>
  </r>
  <r>
    <x v="1327"/>
    <s v="Freitag"/>
    <s v="Porz"/>
    <s v="PLC"/>
    <x v="0"/>
    <x v="0"/>
  </r>
  <r>
    <x v="1328"/>
    <s v="Samstag"/>
    <s v="Porz"/>
    <s v="PLC"/>
    <x v="0"/>
    <x v="0"/>
  </r>
  <r>
    <x v="1329"/>
    <s v="Sonntag"/>
    <s v="Porz"/>
    <s v="PLC"/>
    <x v="0"/>
    <x v="0"/>
  </r>
  <r>
    <x v="1330"/>
    <s v="Montag"/>
    <s v="Porz"/>
    <s v="PLC"/>
    <x v="0"/>
    <x v="0"/>
  </r>
  <r>
    <x v="1331"/>
    <s v="Dienstag"/>
    <s v="Porz"/>
    <s v="PLC"/>
    <x v="0"/>
    <x v="0"/>
  </r>
  <r>
    <x v="1332"/>
    <s v="Mittwoch"/>
    <s v="Porz"/>
    <s v="PLC"/>
    <x v="0"/>
    <x v="0"/>
  </r>
  <r>
    <x v="1333"/>
    <s v="Donnerstag"/>
    <s v="Porz"/>
    <s v="PLC"/>
    <x v="0"/>
    <x v="0"/>
  </r>
  <r>
    <x v="1334"/>
    <s v="Freitag"/>
    <s v="Porz"/>
    <s v="PLC"/>
    <x v="0"/>
    <x v="0"/>
  </r>
  <r>
    <x v="1335"/>
    <s v="Samstag"/>
    <s v="Porz"/>
    <s v="PLC"/>
    <x v="0"/>
    <x v="0"/>
  </r>
  <r>
    <x v="1336"/>
    <s v="Sonntag"/>
    <s v="Porz"/>
    <s v="PLC"/>
    <x v="0"/>
    <x v="0"/>
  </r>
  <r>
    <x v="1337"/>
    <s v="Montag"/>
    <s v="Porz"/>
    <s v="PLC"/>
    <x v="0"/>
    <x v="0"/>
  </r>
  <r>
    <x v="1338"/>
    <s v="Dienstag"/>
    <s v="Porz"/>
    <s v="PLC"/>
    <x v="0"/>
    <x v="0"/>
  </r>
  <r>
    <x v="1339"/>
    <s v="Mittwoch"/>
    <s v="Porz"/>
    <s v="PLC"/>
    <x v="0"/>
    <x v="0"/>
  </r>
  <r>
    <x v="1340"/>
    <s v="Donnerstag"/>
    <s v="Porz"/>
    <s v="PLC"/>
    <x v="0"/>
    <x v="0"/>
  </r>
  <r>
    <x v="1341"/>
    <s v="Freitag"/>
    <s v="Porz"/>
    <s v="PLC"/>
    <x v="0"/>
    <x v="0"/>
  </r>
  <r>
    <x v="1342"/>
    <s v="Samstag"/>
    <s v="Porz"/>
    <s v="PLC"/>
    <x v="0"/>
    <x v="0"/>
  </r>
  <r>
    <x v="1343"/>
    <s v="Sonntag"/>
    <s v="Porz"/>
    <s v="PLC"/>
    <x v="0"/>
    <x v="0"/>
  </r>
  <r>
    <x v="1344"/>
    <s v="Montag"/>
    <s v="Porz"/>
    <s v="PLC"/>
    <x v="0"/>
    <x v="0"/>
  </r>
  <r>
    <x v="1345"/>
    <s v="Dienstag"/>
    <s v="Porz"/>
    <s v="PLC"/>
    <x v="0"/>
    <x v="0"/>
  </r>
  <r>
    <x v="1346"/>
    <s v="Mittwoch"/>
    <s v="Porz"/>
    <s v="PLC"/>
    <x v="0"/>
    <x v="0"/>
  </r>
  <r>
    <x v="1347"/>
    <s v="Donnerstag"/>
    <s v="Porz"/>
    <s v="PLC"/>
    <x v="0"/>
    <x v="0"/>
  </r>
  <r>
    <x v="1348"/>
    <s v="Freitag"/>
    <s v="Porz"/>
    <s v="PLC"/>
    <x v="0"/>
    <x v="0"/>
  </r>
  <r>
    <x v="1349"/>
    <s v="Samstag"/>
    <s v="Porz"/>
    <s v="PLC"/>
    <x v="0"/>
    <x v="0"/>
  </r>
  <r>
    <x v="1350"/>
    <s v="Sonntag"/>
    <s v="Porz"/>
    <s v="PLC"/>
    <x v="0"/>
    <x v="0"/>
  </r>
  <r>
    <x v="1351"/>
    <s v="Montag"/>
    <s v="Porz"/>
    <s v="PLC"/>
    <x v="0"/>
    <x v="0"/>
  </r>
  <r>
    <x v="1352"/>
    <s v="Dienstag"/>
    <s v="Porz"/>
    <s v="PLC"/>
    <x v="0"/>
    <x v="0"/>
  </r>
  <r>
    <x v="1353"/>
    <s v="Mittwoch"/>
    <s v="Porz"/>
    <s v="PLC"/>
    <x v="0"/>
    <x v="0"/>
  </r>
  <r>
    <x v="1354"/>
    <s v="Donnerstag"/>
    <s v="Porz"/>
    <s v="PLC"/>
    <x v="0"/>
    <x v="0"/>
  </r>
  <r>
    <x v="1355"/>
    <s v="Freitag"/>
    <s v="Porz"/>
    <s v="PLC"/>
    <x v="0"/>
    <x v="0"/>
  </r>
  <r>
    <x v="1356"/>
    <s v="Samstag"/>
    <s v="Porz"/>
    <s v="PLC"/>
    <x v="0"/>
    <x v="0"/>
  </r>
  <r>
    <x v="1357"/>
    <s v="Sonntag"/>
    <s v="Porz"/>
    <s v="PLC"/>
    <x v="0"/>
    <x v="0"/>
  </r>
  <r>
    <x v="1358"/>
    <s v="Montag"/>
    <s v="Porz"/>
    <s v="PLC"/>
    <x v="0"/>
    <x v="0"/>
  </r>
  <r>
    <x v="1359"/>
    <s v="Dienstag"/>
    <s v="Porz"/>
    <s v="PLC"/>
    <x v="0"/>
    <x v="0"/>
  </r>
  <r>
    <x v="1360"/>
    <s v="Mittwoch"/>
    <s v="Porz"/>
    <s v="PLC"/>
    <x v="0"/>
    <x v="0"/>
  </r>
  <r>
    <x v="1361"/>
    <s v="Donnerstag"/>
    <s v="Porz"/>
    <s v="PLC"/>
    <x v="0"/>
    <x v="0"/>
  </r>
  <r>
    <x v="1362"/>
    <s v="Freitag"/>
    <s v="Porz"/>
    <s v="PLC"/>
    <x v="0"/>
    <x v="0"/>
  </r>
  <r>
    <x v="1363"/>
    <s v="Samstag"/>
    <s v="Porz"/>
    <s v="PLC"/>
    <x v="0"/>
    <x v="0"/>
  </r>
  <r>
    <x v="1364"/>
    <s v="Sonntag"/>
    <s v="Porz"/>
    <s v="PLC"/>
    <x v="0"/>
    <x v="0"/>
  </r>
  <r>
    <x v="1365"/>
    <s v="Montag"/>
    <s v="Porz"/>
    <s v="PLC"/>
    <x v="0"/>
    <x v="0"/>
  </r>
  <r>
    <x v="1366"/>
    <s v="Dienstag"/>
    <s v="Porz"/>
    <s v="PLC"/>
    <x v="0"/>
    <x v="0"/>
  </r>
  <r>
    <x v="1367"/>
    <s v="Mittwoch"/>
    <s v="Porz"/>
    <s v="PLC"/>
    <x v="0"/>
    <x v="0"/>
  </r>
  <r>
    <x v="1368"/>
    <s v="Donnerstag"/>
    <s v="Porz"/>
    <s v="PLC"/>
    <x v="0"/>
    <x v="0"/>
  </r>
  <r>
    <x v="1369"/>
    <s v="Freitag"/>
    <s v="Porz"/>
    <s v="PLC"/>
    <x v="0"/>
    <x v="0"/>
  </r>
  <r>
    <x v="1370"/>
    <s v="Samstag"/>
    <s v="Porz"/>
    <s v="PLC"/>
    <x v="0"/>
    <x v="0"/>
  </r>
  <r>
    <x v="1371"/>
    <s v="Sonntag"/>
    <s v="Porz"/>
    <s v="PLC"/>
    <x v="0"/>
    <x v="0"/>
  </r>
  <r>
    <x v="1372"/>
    <s v="Montag"/>
    <s v="Porz"/>
    <s v="PLC"/>
    <x v="0"/>
    <x v="0"/>
  </r>
  <r>
    <x v="1373"/>
    <s v="Dienstag"/>
    <s v="Porz"/>
    <s v="PLC"/>
    <x v="0"/>
    <x v="0"/>
  </r>
  <r>
    <x v="1374"/>
    <s v="Mittwoch"/>
    <s v="Porz"/>
    <s v="PLC"/>
    <x v="0"/>
    <x v="0"/>
  </r>
  <r>
    <x v="1375"/>
    <s v="Donnerstag"/>
    <s v="Porz"/>
    <s v="PLC"/>
    <x v="0"/>
    <x v="0"/>
  </r>
  <r>
    <x v="1376"/>
    <s v="Freitag"/>
    <s v="Porz"/>
    <s v="PLC"/>
    <x v="0"/>
    <x v="0"/>
  </r>
  <r>
    <x v="1377"/>
    <s v="Samstag"/>
    <s v="Porz"/>
    <s v="PLC"/>
    <x v="0"/>
    <x v="0"/>
  </r>
  <r>
    <x v="1378"/>
    <s v="Sonntag"/>
    <s v="Porz"/>
    <s v="PLC"/>
    <x v="0"/>
    <x v="0"/>
  </r>
  <r>
    <x v="1379"/>
    <s v="Montag"/>
    <s v="Porz"/>
    <s v="PLC"/>
    <x v="0"/>
    <x v="0"/>
  </r>
  <r>
    <x v="1380"/>
    <s v="Dienstag"/>
    <s v="Porz"/>
    <s v="PLC"/>
    <x v="0"/>
    <x v="0"/>
  </r>
  <r>
    <x v="1381"/>
    <s v="Mittwoch"/>
    <s v="Porz"/>
    <s v="PLC"/>
    <x v="0"/>
    <x v="0"/>
  </r>
  <r>
    <x v="1382"/>
    <s v="Donnerstag"/>
    <s v="Porz"/>
    <s v="PLC"/>
    <x v="0"/>
    <x v="0"/>
  </r>
  <r>
    <x v="1383"/>
    <s v="Freitag"/>
    <s v="Porz"/>
    <s v="PLC"/>
    <x v="0"/>
    <x v="0"/>
  </r>
  <r>
    <x v="1384"/>
    <s v="Samstag"/>
    <s v="Porz"/>
    <s v="PLC"/>
    <x v="0"/>
    <x v="0"/>
  </r>
  <r>
    <x v="1385"/>
    <s v="Sonntag"/>
    <s v="Porz"/>
    <s v="PLC"/>
    <x v="0"/>
    <x v="0"/>
  </r>
  <r>
    <x v="1386"/>
    <s v="Montag"/>
    <s v="Porz"/>
    <s v="PLC"/>
    <x v="0"/>
    <x v="0"/>
  </r>
  <r>
    <x v="1387"/>
    <m/>
    <m/>
    <m/>
    <x v="2"/>
    <x v="13"/>
  </r>
  <r>
    <x v="1387"/>
    <m/>
    <m/>
    <m/>
    <x v="2"/>
    <x v="13"/>
  </r>
  <r>
    <x v="1387"/>
    <m/>
    <m/>
    <m/>
    <x v="2"/>
    <x v="13"/>
  </r>
  <r>
    <x v="1387"/>
    <m/>
    <m/>
    <m/>
    <x v="2"/>
    <x v="13"/>
  </r>
  <r>
    <x v="1387"/>
    <m/>
    <m/>
    <m/>
    <x v="2"/>
    <x v="13"/>
  </r>
  <r>
    <x v="1387"/>
    <m/>
    <m/>
    <m/>
    <x v="2"/>
    <x v="13"/>
  </r>
  <r>
    <x v="1388"/>
    <s v="Montag"/>
    <s v="Porz"/>
    <m/>
    <x v="2"/>
    <x v="13"/>
  </r>
  <r>
    <x v="1389"/>
    <s v="Dienstag"/>
    <s v="Porz"/>
    <m/>
    <x v="2"/>
    <x v="13"/>
  </r>
  <r>
    <x v="1390"/>
    <s v="Mittwoch"/>
    <s v="Porz"/>
    <m/>
    <x v="2"/>
    <x v="13"/>
  </r>
  <r>
    <x v="1391"/>
    <s v="Donnerstag"/>
    <s v="Porz"/>
    <m/>
    <x v="2"/>
    <x v="13"/>
  </r>
  <r>
    <x v="1392"/>
    <s v="Freitag"/>
    <s v="Porz"/>
    <m/>
    <x v="2"/>
    <x v="13"/>
  </r>
  <r>
    <x v="1393"/>
    <s v="Samstag"/>
    <s v="Porz"/>
    <m/>
    <x v="2"/>
    <x v="13"/>
  </r>
  <r>
    <x v="1394"/>
    <s v="Sonntag"/>
    <s v="Porz"/>
    <m/>
    <x v="2"/>
    <x v="13"/>
  </r>
  <r>
    <x v="1395"/>
    <s v="Montag"/>
    <s v="Porz"/>
    <m/>
    <x v="2"/>
    <x v="13"/>
  </r>
  <r>
    <x v="1396"/>
    <s v="Dienstag"/>
    <s v="Porz"/>
    <m/>
    <x v="2"/>
    <x v="13"/>
  </r>
  <r>
    <x v="1397"/>
    <s v="Mittwoch"/>
    <s v="Porz"/>
    <m/>
    <x v="2"/>
    <x v="13"/>
  </r>
  <r>
    <x v="1398"/>
    <s v="Donnerstag"/>
    <s v="Porz"/>
    <m/>
    <x v="2"/>
    <x v="13"/>
  </r>
  <r>
    <x v="1399"/>
    <s v="Freitag"/>
    <s v="Porz"/>
    <m/>
    <x v="2"/>
    <x v="13"/>
  </r>
  <r>
    <x v="1400"/>
    <s v="Samstag"/>
    <s v="Porz"/>
    <m/>
    <x v="2"/>
    <x v="13"/>
  </r>
  <r>
    <x v="1401"/>
    <s v="Sonntag"/>
    <s v="Porz"/>
    <m/>
    <x v="2"/>
    <x v="13"/>
  </r>
  <r>
    <x v="1402"/>
    <s v="Montag"/>
    <s v="Porz"/>
    <m/>
    <x v="2"/>
    <x v="13"/>
  </r>
  <r>
    <x v="1403"/>
    <s v="Dienstag"/>
    <s v="Porz"/>
    <m/>
    <x v="2"/>
    <x v="13"/>
  </r>
  <r>
    <x v="1404"/>
    <s v="Mittwoch"/>
    <s v="Porz"/>
    <m/>
    <x v="2"/>
    <x v="13"/>
  </r>
  <r>
    <x v="1405"/>
    <s v="Donnerstag"/>
    <s v="Porz"/>
    <m/>
    <x v="2"/>
    <x v="13"/>
  </r>
  <r>
    <x v="1406"/>
    <s v="Freitag"/>
    <s v="Porz"/>
    <m/>
    <x v="2"/>
    <x v="13"/>
  </r>
  <r>
    <x v="1407"/>
    <s v="Samstag"/>
    <s v="Porz"/>
    <m/>
    <x v="2"/>
    <x v="13"/>
  </r>
  <r>
    <x v="1408"/>
    <s v="Sonntag"/>
    <s v="Porz"/>
    <m/>
    <x v="2"/>
    <x v="13"/>
  </r>
  <r>
    <x v="1409"/>
    <s v="Montag"/>
    <s v="Porz"/>
    <m/>
    <x v="2"/>
    <x v="13"/>
  </r>
  <r>
    <x v="1410"/>
    <s v="Dienstag"/>
    <s v="Porz"/>
    <m/>
    <x v="2"/>
    <x v="13"/>
  </r>
  <r>
    <x v="1411"/>
    <s v="Mittwoch"/>
    <s v="Porz"/>
    <m/>
    <x v="2"/>
    <x v="13"/>
  </r>
  <r>
    <x v="1412"/>
    <s v="Donnerstag"/>
    <s v="Porz"/>
    <m/>
    <x v="2"/>
    <x v="13"/>
  </r>
  <r>
    <x v="1413"/>
    <s v="Freitag"/>
    <s v="Porz"/>
    <m/>
    <x v="2"/>
    <x v="13"/>
  </r>
  <r>
    <x v="1414"/>
    <s v="Samstag"/>
    <s v="Porz"/>
    <m/>
    <x v="2"/>
    <x v="13"/>
  </r>
  <r>
    <x v="1415"/>
    <s v="Sonntag"/>
    <s v="Porz"/>
    <m/>
    <x v="2"/>
    <x v="13"/>
  </r>
  <r>
    <x v="1416"/>
    <s v="Montag"/>
    <s v="Porz"/>
    <m/>
    <x v="2"/>
    <x v="13"/>
  </r>
  <r>
    <x v="1417"/>
    <s v="Dienstag"/>
    <s v="Porz"/>
    <m/>
    <x v="2"/>
    <x v="13"/>
  </r>
  <r>
    <x v="1418"/>
    <s v="Mittwoch"/>
    <s v="Porz"/>
    <m/>
    <x v="2"/>
    <x v="13"/>
  </r>
  <r>
    <x v="1419"/>
    <s v="Donnerstag"/>
    <s v="Porz"/>
    <m/>
    <x v="2"/>
    <x v="13"/>
  </r>
  <r>
    <x v="1420"/>
    <s v="Freitag"/>
    <s v="Porz"/>
    <m/>
    <x v="2"/>
    <x v="13"/>
  </r>
  <r>
    <x v="1421"/>
    <s v="Samstag"/>
    <s v="Porz"/>
    <m/>
    <x v="2"/>
    <x v="13"/>
  </r>
  <r>
    <x v="1422"/>
    <s v="Sonntag"/>
    <s v="Porz"/>
    <m/>
    <x v="2"/>
    <x v="13"/>
  </r>
  <r>
    <x v="1423"/>
    <s v="Montag"/>
    <s v="Porz"/>
    <m/>
    <x v="2"/>
    <x v="13"/>
  </r>
  <r>
    <x v="1424"/>
    <s v="Dienstag"/>
    <s v="Porz"/>
    <m/>
    <x v="2"/>
    <x v="13"/>
  </r>
  <r>
    <x v="1425"/>
    <s v="Mittwoch"/>
    <s v="Porz"/>
    <m/>
    <x v="2"/>
    <x v="13"/>
  </r>
  <r>
    <x v="1426"/>
    <s v="Donnerstag"/>
    <s v="Porz"/>
    <m/>
    <x v="2"/>
    <x v="13"/>
  </r>
  <r>
    <x v="1427"/>
    <s v="Freitag"/>
    <s v="Porz"/>
    <m/>
    <x v="2"/>
    <x v="13"/>
  </r>
  <r>
    <x v="1428"/>
    <s v="Samstag"/>
    <s v="Porz"/>
    <m/>
    <x v="2"/>
    <x v="13"/>
  </r>
  <r>
    <x v="1429"/>
    <s v="Sonntag"/>
    <s v="Porz"/>
    <m/>
    <x v="2"/>
    <x v="13"/>
  </r>
  <r>
    <x v="1430"/>
    <s v="Montag"/>
    <s v="Porz"/>
    <m/>
    <x v="2"/>
    <x v="13"/>
  </r>
  <r>
    <x v="1431"/>
    <s v="Dienstag"/>
    <s v="Porz"/>
    <m/>
    <x v="2"/>
    <x v="13"/>
  </r>
  <r>
    <x v="1432"/>
    <s v="Mittwoch"/>
    <s v="Porz"/>
    <m/>
    <x v="2"/>
    <x v="13"/>
  </r>
  <r>
    <x v="1433"/>
    <s v="Donnerstag"/>
    <s v="Porz"/>
    <m/>
    <x v="2"/>
    <x v="13"/>
  </r>
  <r>
    <x v="1434"/>
    <s v="Freitag"/>
    <s v="Porz"/>
    <m/>
    <x v="2"/>
    <x v="13"/>
  </r>
  <r>
    <x v="1435"/>
    <s v="Samstag"/>
    <s v="Porz"/>
    <m/>
    <x v="2"/>
    <x v="13"/>
  </r>
  <r>
    <x v="1436"/>
    <s v="Sonntag"/>
    <s v="Porz"/>
    <m/>
    <x v="2"/>
    <x v="13"/>
  </r>
  <r>
    <x v="1437"/>
    <s v="Montag"/>
    <s v="Porz"/>
    <m/>
    <x v="2"/>
    <x v="13"/>
  </r>
  <r>
    <x v="1438"/>
    <s v="Dienstag"/>
    <s v="Porz"/>
    <m/>
    <x v="2"/>
    <x v="13"/>
  </r>
  <r>
    <x v="1439"/>
    <s v="Mittwoch"/>
    <s v="Porz"/>
    <m/>
    <x v="2"/>
    <x v="13"/>
  </r>
  <r>
    <x v="1440"/>
    <s v="Donnerstag"/>
    <s v="Porz"/>
    <m/>
    <x v="2"/>
    <x v="13"/>
  </r>
  <r>
    <x v="1441"/>
    <s v="Freitag"/>
    <s v="Porz"/>
    <m/>
    <x v="2"/>
    <x v="13"/>
  </r>
  <r>
    <x v="1442"/>
    <s v="Samstag"/>
    <s v="Porz"/>
    <m/>
    <x v="2"/>
    <x v="13"/>
  </r>
  <r>
    <x v="1443"/>
    <s v="Sonntag"/>
    <s v="Porz"/>
    <m/>
    <x v="2"/>
    <x v="13"/>
  </r>
  <r>
    <x v="1444"/>
    <s v="Montag"/>
    <s v="Porz"/>
    <m/>
    <x v="2"/>
    <x v="13"/>
  </r>
  <r>
    <x v="1445"/>
    <s v="Dienstag"/>
    <s v="Porz"/>
    <m/>
    <x v="2"/>
    <x v="13"/>
  </r>
  <r>
    <x v="1446"/>
    <s v="Mittwoch"/>
    <s v="Porz"/>
    <m/>
    <x v="2"/>
    <x v="13"/>
  </r>
  <r>
    <x v="1447"/>
    <s v="Donnerstag"/>
    <s v="Porz"/>
    <m/>
    <x v="2"/>
    <x v="13"/>
  </r>
  <r>
    <x v="1448"/>
    <s v="Freitag"/>
    <s v="Porz"/>
    <m/>
    <x v="2"/>
    <x v="13"/>
  </r>
  <r>
    <x v="1449"/>
    <s v="Samstag"/>
    <s v="Porz"/>
    <m/>
    <x v="2"/>
    <x v="13"/>
  </r>
  <r>
    <x v="1450"/>
    <s v="Sonntag"/>
    <s v="Porz"/>
    <m/>
    <x v="2"/>
    <x v="13"/>
  </r>
  <r>
    <x v="1451"/>
    <s v="Montag"/>
    <s v="Porz"/>
    <m/>
    <x v="2"/>
    <x v="13"/>
  </r>
  <r>
    <x v="1452"/>
    <s v="Dienstag"/>
    <s v="Porz"/>
    <m/>
    <x v="2"/>
    <x v="13"/>
  </r>
  <r>
    <x v="1453"/>
    <s v="Mittwoch"/>
    <s v="Porz"/>
    <m/>
    <x v="2"/>
    <x v="13"/>
  </r>
  <r>
    <x v="1454"/>
    <s v="Donnerstag"/>
    <s v="Porz"/>
    <m/>
    <x v="2"/>
    <x v="13"/>
  </r>
  <r>
    <x v="1455"/>
    <s v="Freitag"/>
    <s v="Porz"/>
    <m/>
    <x v="2"/>
    <x v="13"/>
  </r>
  <r>
    <x v="1456"/>
    <s v="Samstag"/>
    <s v="Porz"/>
    <m/>
    <x v="2"/>
    <x v="13"/>
  </r>
  <r>
    <x v="1457"/>
    <s v="Sonntag"/>
    <s v="Porz"/>
    <m/>
    <x v="2"/>
    <x v="13"/>
  </r>
  <r>
    <x v="1458"/>
    <s v="Montag"/>
    <s v="Porz"/>
    <m/>
    <x v="2"/>
    <x v="13"/>
  </r>
  <r>
    <x v="1459"/>
    <s v="Dienstag"/>
    <s v="Porz"/>
    <m/>
    <x v="2"/>
    <x v="13"/>
  </r>
  <r>
    <x v="1460"/>
    <s v="Mittwoch"/>
    <s v="Porz"/>
    <m/>
    <x v="2"/>
    <x v="13"/>
  </r>
  <r>
    <x v="1461"/>
    <s v="Donnerstag"/>
    <s v="Porz"/>
    <m/>
    <x v="2"/>
    <x v="13"/>
  </r>
  <r>
    <x v="1462"/>
    <s v="Freitag"/>
    <s v="Porz"/>
    <m/>
    <x v="2"/>
    <x v="13"/>
  </r>
  <r>
    <x v="1463"/>
    <s v="Samstag"/>
    <s v="Porz"/>
    <m/>
    <x v="2"/>
    <x v="13"/>
  </r>
  <r>
    <x v="1464"/>
    <s v="Sonntag"/>
    <s v="Porz"/>
    <m/>
    <x v="2"/>
    <x v="13"/>
  </r>
  <r>
    <x v="1465"/>
    <s v="Montag"/>
    <s v="Porz"/>
    <m/>
    <x v="2"/>
    <x v="13"/>
  </r>
  <r>
    <x v="1466"/>
    <s v="Dienstag"/>
    <s v="Porz"/>
    <m/>
    <x v="2"/>
    <x v="13"/>
  </r>
  <r>
    <x v="1467"/>
    <s v="Mittwoch"/>
    <s v="Porz"/>
    <m/>
    <x v="2"/>
    <x v="13"/>
  </r>
  <r>
    <x v="1468"/>
    <s v="Donnerstag"/>
    <s v="Porz"/>
    <m/>
    <x v="2"/>
    <x v="13"/>
  </r>
  <r>
    <x v="1469"/>
    <s v="Freitag"/>
    <s v="Porz"/>
    <m/>
    <x v="2"/>
    <x v="13"/>
  </r>
  <r>
    <x v="1470"/>
    <s v="Samstag"/>
    <s v="Porz"/>
    <m/>
    <x v="2"/>
    <x v="13"/>
  </r>
  <r>
    <x v="1471"/>
    <s v="Sonntag"/>
    <s v="Porz"/>
    <m/>
    <x v="2"/>
    <x v="13"/>
  </r>
  <r>
    <x v="1472"/>
    <s v="Montag"/>
    <s v="Porz"/>
    <m/>
    <x v="2"/>
    <x v="13"/>
  </r>
  <r>
    <x v="1473"/>
    <s v="Dienstag"/>
    <s v="Porz"/>
    <m/>
    <x v="2"/>
    <x v="13"/>
  </r>
  <r>
    <x v="1474"/>
    <s v="Mittwoch"/>
    <s v="Porz"/>
    <m/>
    <x v="2"/>
    <x v="13"/>
  </r>
  <r>
    <x v="1475"/>
    <s v="Donnerstag"/>
    <s v="Porz"/>
    <m/>
    <x v="2"/>
    <x v="13"/>
  </r>
  <r>
    <x v="1476"/>
    <s v="Freitag"/>
    <s v="Porz"/>
    <m/>
    <x v="2"/>
    <x v="13"/>
  </r>
  <r>
    <x v="1477"/>
    <s v="Samstag"/>
    <s v="Porz"/>
    <m/>
    <x v="2"/>
    <x v="13"/>
  </r>
  <r>
    <x v="1478"/>
    <s v="Sonntag"/>
    <s v="Porz"/>
    <m/>
    <x v="2"/>
    <x v="13"/>
  </r>
  <r>
    <x v="1479"/>
    <s v="Montag"/>
    <s v="Porz"/>
    <m/>
    <x v="2"/>
    <x v="13"/>
  </r>
  <r>
    <x v="1480"/>
    <s v="Dienstag"/>
    <s v="Porz"/>
    <m/>
    <x v="2"/>
    <x v="13"/>
  </r>
  <r>
    <x v="1481"/>
    <s v="Mittwoch"/>
    <s v="Porz"/>
    <m/>
    <x v="2"/>
    <x v="13"/>
  </r>
  <r>
    <x v="1482"/>
    <s v="Donnerstag"/>
    <s v="Porz"/>
    <m/>
    <x v="2"/>
    <x v="13"/>
  </r>
  <r>
    <x v="1483"/>
    <s v="Freitag"/>
    <s v="Porz"/>
    <m/>
    <x v="2"/>
    <x v="13"/>
  </r>
  <r>
    <x v="1484"/>
    <s v="Samstag"/>
    <s v="Porz"/>
    <m/>
    <x v="2"/>
    <x v="13"/>
  </r>
  <r>
    <x v="1485"/>
    <s v="Sonntag"/>
    <s v="Porz"/>
    <m/>
    <x v="2"/>
    <x v="13"/>
  </r>
  <r>
    <x v="1486"/>
    <s v="Montag"/>
    <s v="Porz"/>
    <m/>
    <x v="2"/>
    <x v="13"/>
  </r>
  <r>
    <x v="1487"/>
    <s v="Dienstag"/>
    <s v="Porz"/>
    <m/>
    <x v="2"/>
    <x v="13"/>
  </r>
  <r>
    <x v="1488"/>
    <s v="Mittwoch"/>
    <s v="Porz"/>
    <m/>
    <x v="2"/>
    <x v="13"/>
  </r>
  <r>
    <x v="1489"/>
    <s v="Donnerstag"/>
    <s v="Porz"/>
    <m/>
    <x v="2"/>
    <x v="13"/>
  </r>
  <r>
    <x v="1490"/>
    <s v="Freitag"/>
    <s v="Porz"/>
    <m/>
    <x v="2"/>
    <x v="13"/>
  </r>
  <r>
    <x v="1491"/>
    <s v="Samstag"/>
    <s v="Porz"/>
    <m/>
    <x v="2"/>
    <x v="13"/>
  </r>
  <r>
    <x v="1492"/>
    <s v="Sonntag"/>
    <s v="Porz"/>
    <m/>
    <x v="2"/>
    <x v="13"/>
  </r>
  <r>
    <x v="1493"/>
    <s v="Montag"/>
    <s v="Porz"/>
    <m/>
    <x v="2"/>
    <x v="13"/>
  </r>
  <r>
    <x v="1494"/>
    <s v="Dienstag"/>
    <s v="Porz"/>
    <m/>
    <x v="2"/>
    <x v="13"/>
  </r>
  <r>
    <x v="1495"/>
    <s v="Mittwoch"/>
    <s v="Porz"/>
    <m/>
    <x v="2"/>
    <x v="13"/>
  </r>
  <r>
    <x v="1496"/>
    <s v="Donnerstag"/>
    <s v="Porz"/>
    <m/>
    <x v="2"/>
    <x v="13"/>
  </r>
  <r>
    <x v="1497"/>
    <s v="Freitag"/>
    <s v="Porz"/>
    <m/>
    <x v="2"/>
    <x v="13"/>
  </r>
  <r>
    <x v="1498"/>
    <s v="Samstag"/>
    <s v="Porz"/>
    <m/>
    <x v="2"/>
    <x v="13"/>
  </r>
  <r>
    <x v="1499"/>
    <s v="Sonntag"/>
    <s v="Porz"/>
    <m/>
    <x v="2"/>
    <x v="13"/>
  </r>
  <r>
    <x v="1500"/>
    <s v="Montag"/>
    <s v="Porz"/>
    <m/>
    <x v="2"/>
    <x v="13"/>
  </r>
  <r>
    <x v="1501"/>
    <s v="Dienstag"/>
    <s v="Porz"/>
    <m/>
    <x v="2"/>
    <x v="13"/>
  </r>
  <r>
    <x v="1502"/>
    <s v="Mittwoch"/>
    <s v="Porz"/>
    <m/>
    <x v="2"/>
    <x v="13"/>
  </r>
  <r>
    <x v="1503"/>
    <s v="Donnerstag"/>
    <s v="Porz"/>
    <m/>
    <x v="2"/>
    <x v="13"/>
  </r>
  <r>
    <x v="1504"/>
    <s v="Freitag"/>
    <s v="Porz"/>
    <m/>
    <x v="2"/>
    <x v="13"/>
  </r>
  <r>
    <x v="1505"/>
    <s v="Samstag"/>
    <s v="Porz"/>
    <m/>
    <x v="2"/>
    <x v="13"/>
  </r>
  <r>
    <x v="1506"/>
    <s v="Sonntag"/>
    <s v="Porz"/>
    <m/>
    <x v="2"/>
    <x v="13"/>
  </r>
  <r>
    <x v="1507"/>
    <s v="Montag"/>
    <s v="Porz"/>
    <m/>
    <x v="2"/>
    <x v="13"/>
  </r>
  <r>
    <x v="1508"/>
    <s v="Dienstag"/>
    <s v="Porz"/>
    <m/>
    <x v="2"/>
    <x v="13"/>
  </r>
  <r>
    <x v="1509"/>
    <s v="Mittwoch"/>
    <s v="Porz"/>
    <m/>
    <x v="2"/>
    <x v="13"/>
  </r>
  <r>
    <x v="1510"/>
    <s v="Donnerstag"/>
    <s v="Porz"/>
    <m/>
    <x v="2"/>
    <x v="13"/>
  </r>
  <r>
    <x v="1511"/>
    <s v="Freitag"/>
    <s v="Porz"/>
    <m/>
    <x v="2"/>
    <x v="13"/>
  </r>
  <r>
    <x v="1512"/>
    <s v="Samstag"/>
    <s v="Porz"/>
    <m/>
    <x v="2"/>
    <x v="13"/>
  </r>
  <r>
    <x v="1513"/>
    <s v="Sonntag"/>
    <s v="Porz"/>
    <m/>
    <x v="2"/>
    <x v="13"/>
  </r>
  <r>
    <x v="1514"/>
    <s v="Montag"/>
    <s v="Porz"/>
    <m/>
    <x v="2"/>
    <x v="13"/>
  </r>
  <r>
    <x v="1515"/>
    <s v="Dienstag"/>
    <s v="Porz"/>
    <m/>
    <x v="2"/>
    <x v="13"/>
  </r>
  <r>
    <x v="1516"/>
    <s v="Mittwoch"/>
    <s v="Porz"/>
    <m/>
    <x v="2"/>
    <x v="13"/>
  </r>
  <r>
    <x v="1517"/>
    <s v="Donnerstag"/>
    <s v="Porz"/>
    <m/>
    <x v="2"/>
    <x v="13"/>
  </r>
  <r>
    <x v="1518"/>
    <s v="Freitag"/>
    <s v="Porz"/>
    <m/>
    <x v="2"/>
    <x v="13"/>
  </r>
  <r>
    <x v="1519"/>
    <s v="Samstag"/>
    <s v="Porz"/>
    <m/>
    <x v="2"/>
    <x v="13"/>
  </r>
  <r>
    <x v="1520"/>
    <s v="Sonntag"/>
    <s v="Porz"/>
    <m/>
    <x v="2"/>
    <x v="13"/>
  </r>
  <r>
    <x v="1521"/>
    <s v="Montag"/>
    <s v="Porz"/>
    <m/>
    <x v="2"/>
    <x v="13"/>
  </r>
  <r>
    <x v="1522"/>
    <s v="Dienstag"/>
    <s v="Porz"/>
    <m/>
    <x v="2"/>
    <x v="13"/>
  </r>
  <r>
    <x v="1523"/>
    <s v="Mittwoch"/>
    <s v="Porz"/>
    <m/>
    <x v="2"/>
    <x v="13"/>
  </r>
  <r>
    <x v="1524"/>
    <s v="Donnerstag"/>
    <s v="Porz"/>
    <m/>
    <x v="2"/>
    <x v="13"/>
  </r>
  <r>
    <x v="1525"/>
    <s v="Freitag"/>
    <s v="Porz"/>
    <m/>
    <x v="2"/>
    <x v="13"/>
  </r>
  <r>
    <x v="1526"/>
    <s v="Samstag"/>
    <s v="Porz"/>
    <m/>
    <x v="2"/>
    <x v="13"/>
  </r>
  <r>
    <x v="1527"/>
    <s v="Sonntag"/>
    <s v="Porz"/>
    <m/>
    <x v="2"/>
    <x v="13"/>
  </r>
  <r>
    <x v="1528"/>
    <s v="Montag"/>
    <s v="Porz"/>
    <m/>
    <x v="2"/>
    <x v="13"/>
  </r>
  <r>
    <x v="1529"/>
    <s v="Dienstag"/>
    <s v="Porz"/>
    <m/>
    <x v="2"/>
    <x v="13"/>
  </r>
  <r>
    <x v="1530"/>
    <s v="Mittwoch"/>
    <s v="Porz"/>
    <m/>
    <x v="2"/>
    <x v="13"/>
  </r>
  <r>
    <x v="1531"/>
    <s v="Donnerstag"/>
    <s v="Porz"/>
    <m/>
    <x v="2"/>
    <x v="13"/>
  </r>
  <r>
    <x v="1532"/>
    <s v="Freitag"/>
    <s v="Porz"/>
    <m/>
    <x v="2"/>
    <x v="13"/>
  </r>
  <r>
    <x v="1533"/>
    <s v="Samstag"/>
    <s v="Porz"/>
    <m/>
    <x v="2"/>
    <x v="13"/>
  </r>
  <r>
    <x v="1534"/>
    <s v="Sonntag"/>
    <s v="Porz"/>
    <m/>
    <x v="2"/>
    <x v="13"/>
  </r>
  <r>
    <x v="1535"/>
    <s v="Montag"/>
    <s v="Porz"/>
    <m/>
    <x v="2"/>
    <x v="13"/>
  </r>
  <r>
    <x v="1536"/>
    <s v="Dienstag"/>
    <s v="Porz"/>
    <m/>
    <x v="2"/>
    <x v="13"/>
  </r>
  <r>
    <x v="1537"/>
    <s v="Mittwoch"/>
    <s v="Porz"/>
    <m/>
    <x v="2"/>
    <x v="13"/>
  </r>
  <r>
    <x v="1538"/>
    <s v="Donnerstag"/>
    <s v="Porz"/>
    <m/>
    <x v="2"/>
    <x v="13"/>
  </r>
  <r>
    <x v="1539"/>
    <s v="Freitag"/>
    <s v="Porz"/>
    <m/>
    <x v="2"/>
    <x v="13"/>
  </r>
  <r>
    <x v="1540"/>
    <s v="Samstag"/>
    <s v="Porz"/>
    <m/>
    <x v="2"/>
    <x v="13"/>
  </r>
  <r>
    <x v="1541"/>
    <s v="Sonntag"/>
    <s v="Porz"/>
    <m/>
    <x v="2"/>
    <x v="13"/>
  </r>
  <r>
    <x v="1542"/>
    <s v="Montag"/>
    <s v="Porz"/>
    <m/>
    <x v="2"/>
    <x v="13"/>
  </r>
  <r>
    <x v="1543"/>
    <s v="Dienstag"/>
    <s v="Porz"/>
    <m/>
    <x v="2"/>
    <x v="13"/>
  </r>
  <r>
    <x v="1544"/>
    <s v="Mittwoch"/>
    <s v="Porz"/>
    <m/>
    <x v="2"/>
    <x v="13"/>
  </r>
  <r>
    <x v="1545"/>
    <s v="Donnerstag"/>
    <s v="Porz"/>
    <m/>
    <x v="2"/>
    <x v="13"/>
  </r>
  <r>
    <x v="1546"/>
    <s v="Freitag"/>
    <s v="Porz"/>
    <m/>
    <x v="2"/>
    <x v="13"/>
  </r>
  <r>
    <x v="1547"/>
    <s v="Samstag"/>
    <s v="Porz"/>
    <m/>
    <x v="2"/>
    <x v="13"/>
  </r>
  <r>
    <x v="1548"/>
    <s v="Sonntag"/>
    <s v="Porz"/>
    <m/>
    <x v="2"/>
    <x v="13"/>
  </r>
  <r>
    <x v="1549"/>
    <s v="Montag"/>
    <s v="Porz"/>
    <m/>
    <x v="2"/>
    <x v="13"/>
  </r>
  <r>
    <x v="1550"/>
    <s v="Dienstag"/>
    <s v="Porz"/>
    <m/>
    <x v="2"/>
    <x v="13"/>
  </r>
  <r>
    <x v="1551"/>
    <s v="Mittwoch"/>
    <s v="Porz"/>
    <m/>
    <x v="2"/>
    <x v="13"/>
  </r>
  <r>
    <x v="1552"/>
    <s v="Donnerstag"/>
    <s v="Porz"/>
    <m/>
    <x v="2"/>
    <x v="13"/>
  </r>
  <r>
    <x v="1553"/>
    <s v="Freitag"/>
    <s v="Porz"/>
    <m/>
    <x v="2"/>
    <x v="13"/>
  </r>
  <r>
    <x v="1554"/>
    <s v="Samstag"/>
    <s v="Porz"/>
    <m/>
    <x v="2"/>
    <x v="13"/>
  </r>
  <r>
    <x v="1555"/>
    <s v="Sonntag"/>
    <s v="Porz"/>
    <m/>
    <x v="2"/>
    <x v="13"/>
  </r>
  <r>
    <x v="1556"/>
    <s v="Montag"/>
    <s v="Porz"/>
    <m/>
    <x v="2"/>
    <x v="13"/>
  </r>
  <r>
    <x v="1557"/>
    <s v="Dienstag"/>
    <s v="Porz"/>
    <m/>
    <x v="2"/>
    <x v="13"/>
  </r>
  <r>
    <x v="1558"/>
    <s v="Mittwoch"/>
    <s v="Porz"/>
    <m/>
    <x v="2"/>
    <x v="13"/>
  </r>
  <r>
    <x v="1559"/>
    <s v="Donnerstag"/>
    <s v="Porz"/>
    <m/>
    <x v="2"/>
    <x v="13"/>
  </r>
  <r>
    <x v="1560"/>
    <s v="Freitag"/>
    <s v="Porz"/>
    <m/>
    <x v="2"/>
    <x v="13"/>
  </r>
  <r>
    <x v="1561"/>
    <s v="Samstag"/>
    <s v="Porz"/>
    <m/>
    <x v="2"/>
    <x v="13"/>
  </r>
  <r>
    <x v="1562"/>
    <s v="Sonntag"/>
    <s v="Porz"/>
    <m/>
    <x v="2"/>
    <x v="13"/>
  </r>
  <r>
    <x v="1563"/>
    <s v="Montag"/>
    <s v="Porz"/>
    <m/>
    <x v="2"/>
    <x v="13"/>
  </r>
  <r>
    <x v="1564"/>
    <s v="Dienstag"/>
    <s v="Porz"/>
    <m/>
    <x v="2"/>
    <x v="13"/>
  </r>
  <r>
    <x v="1565"/>
    <s v="Mittwoch"/>
    <s v="Porz"/>
    <m/>
    <x v="2"/>
    <x v="13"/>
  </r>
  <r>
    <x v="1566"/>
    <s v="Donnerstag"/>
    <s v="Porz"/>
    <m/>
    <x v="2"/>
    <x v="13"/>
  </r>
  <r>
    <x v="1567"/>
    <s v="Freitag"/>
    <s v="Porz"/>
    <m/>
    <x v="2"/>
    <x v="13"/>
  </r>
  <r>
    <x v="1568"/>
    <s v="Samstag"/>
    <s v="Porz"/>
    <m/>
    <x v="2"/>
    <x v="13"/>
  </r>
  <r>
    <x v="1569"/>
    <s v="Sonntag"/>
    <s v="Porz"/>
    <m/>
    <x v="2"/>
    <x v="13"/>
  </r>
  <r>
    <x v="1570"/>
    <s v="Montag"/>
    <s v="Porz"/>
    <m/>
    <x v="2"/>
    <x v="13"/>
  </r>
  <r>
    <x v="1571"/>
    <s v="Dienstag"/>
    <s v="Porz"/>
    <m/>
    <x v="2"/>
    <x v="13"/>
  </r>
  <r>
    <x v="1572"/>
    <s v="Mittwoch"/>
    <s v="Porz"/>
    <m/>
    <x v="2"/>
    <x v="13"/>
  </r>
  <r>
    <x v="1573"/>
    <s v="Donnerstag"/>
    <s v="Porz"/>
    <m/>
    <x v="2"/>
    <x v="13"/>
  </r>
  <r>
    <x v="1574"/>
    <s v="Freitag"/>
    <s v="Porz"/>
    <m/>
    <x v="2"/>
    <x v="13"/>
  </r>
  <r>
    <x v="1575"/>
    <s v="Samstag"/>
    <s v="Porz"/>
    <m/>
    <x v="2"/>
    <x v="13"/>
  </r>
  <r>
    <x v="1576"/>
    <s v="Sonntag"/>
    <s v="Porz"/>
    <m/>
    <x v="2"/>
    <x v="13"/>
  </r>
  <r>
    <x v="1577"/>
    <s v="Montag"/>
    <s v="Porz"/>
    <m/>
    <x v="2"/>
    <x v="13"/>
  </r>
  <r>
    <x v="1578"/>
    <s v="Dienstag"/>
    <s v="Porz"/>
    <m/>
    <x v="2"/>
    <x v="13"/>
  </r>
  <r>
    <x v="1579"/>
    <s v="Mittwoch"/>
    <s v="Porz"/>
    <m/>
    <x v="2"/>
    <x v="13"/>
  </r>
  <r>
    <x v="1580"/>
    <s v="Donnerstag"/>
    <s v="Porz"/>
    <m/>
    <x v="2"/>
    <x v="13"/>
  </r>
  <r>
    <x v="1581"/>
    <s v="Freitag"/>
    <s v="Porz"/>
    <m/>
    <x v="2"/>
    <x v="13"/>
  </r>
  <r>
    <x v="1582"/>
    <s v="Samstag"/>
    <s v="Porz"/>
    <m/>
    <x v="2"/>
    <x v="13"/>
  </r>
  <r>
    <x v="1583"/>
    <s v="Sonntag"/>
    <s v="Porz"/>
    <m/>
    <x v="2"/>
    <x v="13"/>
  </r>
  <r>
    <x v="1584"/>
    <s v="Montag"/>
    <s v="Porz"/>
    <m/>
    <x v="2"/>
    <x v="13"/>
  </r>
  <r>
    <x v="1585"/>
    <s v="Dienstag"/>
    <s v="Porz"/>
    <m/>
    <x v="2"/>
    <x v="13"/>
  </r>
  <r>
    <x v="1586"/>
    <s v="Mittwoch"/>
    <s v="Porz"/>
    <m/>
    <x v="2"/>
    <x v="13"/>
  </r>
  <r>
    <x v="1587"/>
    <s v="Donnerstag"/>
    <s v="Porz"/>
    <m/>
    <x v="2"/>
    <x v="13"/>
  </r>
  <r>
    <x v="1588"/>
    <s v="Freitag"/>
    <s v="Porz"/>
    <m/>
    <x v="2"/>
    <x v="13"/>
  </r>
  <r>
    <x v="1589"/>
    <s v="Samstag"/>
    <s v="Porz"/>
    <m/>
    <x v="2"/>
    <x v="13"/>
  </r>
  <r>
    <x v="1590"/>
    <s v="Sonntag"/>
    <s v="Porz"/>
    <m/>
    <x v="2"/>
    <x v="13"/>
  </r>
  <r>
    <x v="1591"/>
    <s v="Montag"/>
    <s v="Porz"/>
    <m/>
    <x v="2"/>
    <x v="13"/>
  </r>
  <r>
    <x v="1592"/>
    <s v="Dienstag"/>
    <s v="Porz"/>
    <m/>
    <x v="2"/>
    <x v="13"/>
  </r>
  <r>
    <x v="1593"/>
    <s v="Mittwoch"/>
    <s v="Porz"/>
    <m/>
    <x v="2"/>
    <x v="13"/>
  </r>
  <r>
    <x v="1594"/>
    <s v="Donnerstag"/>
    <s v="Porz"/>
    <m/>
    <x v="2"/>
    <x v="13"/>
  </r>
  <r>
    <x v="1595"/>
    <s v="Freitag"/>
    <s v="Porz"/>
    <m/>
    <x v="2"/>
    <x v="13"/>
  </r>
  <r>
    <x v="1596"/>
    <s v="Samstag"/>
    <s v="Porz"/>
    <m/>
    <x v="2"/>
    <x v="13"/>
  </r>
  <r>
    <x v="1597"/>
    <s v="Sonntag"/>
    <s v="Porz"/>
    <m/>
    <x v="2"/>
    <x v="13"/>
  </r>
  <r>
    <x v="1598"/>
    <s v="Montag"/>
    <s v="Porz"/>
    <m/>
    <x v="2"/>
    <x v="13"/>
  </r>
  <r>
    <x v="1599"/>
    <s v="Dienstag"/>
    <s v="Porz"/>
    <m/>
    <x v="2"/>
    <x v="13"/>
  </r>
  <r>
    <x v="1600"/>
    <s v="Mittwoch"/>
    <s v="Porz"/>
    <m/>
    <x v="2"/>
    <x v="13"/>
  </r>
  <r>
    <x v="1601"/>
    <s v="Donnerstag"/>
    <s v="Porz"/>
    <m/>
    <x v="2"/>
    <x v="13"/>
  </r>
  <r>
    <x v="1602"/>
    <s v="Freitag"/>
    <s v="Porz"/>
    <m/>
    <x v="2"/>
    <x v="13"/>
  </r>
  <r>
    <x v="1603"/>
    <s v="Samstag"/>
    <s v="Porz"/>
    <m/>
    <x v="2"/>
    <x v="13"/>
  </r>
  <r>
    <x v="1604"/>
    <s v="Sonntag"/>
    <s v="Porz"/>
    <m/>
    <x v="2"/>
    <x v="13"/>
  </r>
  <r>
    <x v="1605"/>
    <s v="Montag"/>
    <s v="Porz"/>
    <m/>
    <x v="2"/>
    <x v="13"/>
  </r>
  <r>
    <x v="1606"/>
    <s v="Dienstag"/>
    <s v="Porz"/>
    <m/>
    <x v="2"/>
    <x v="13"/>
  </r>
  <r>
    <x v="1607"/>
    <s v="Mittwoch"/>
    <s v="Porz"/>
    <m/>
    <x v="2"/>
    <x v="13"/>
  </r>
  <r>
    <x v="1608"/>
    <s v="Donnerstag"/>
    <s v="Porz"/>
    <m/>
    <x v="2"/>
    <x v="13"/>
  </r>
  <r>
    <x v="1609"/>
    <s v="Freitag"/>
    <s v="Porz"/>
    <m/>
    <x v="2"/>
    <x v="13"/>
  </r>
  <r>
    <x v="1610"/>
    <s v="Samstag"/>
    <s v="Porz"/>
    <m/>
    <x v="2"/>
    <x v="13"/>
  </r>
  <r>
    <x v="1611"/>
    <s v="Sonntag"/>
    <s v="Porz"/>
    <m/>
    <x v="2"/>
    <x v="13"/>
  </r>
  <r>
    <x v="1612"/>
    <s v="Montag"/>
    <s v="Porz"/>
    <m/>
    <x v="2"/>
    <x v="13"/>
  </r>
  <r>
    <x v="1613"/>
    <s v="Dienstag"/>
    <s v="Porz"/>
    <m/>
    <x v="2"/>
    <x v="13"/>
  </r>
  <r>
    <x v="1614"/>
    <s v="Mittwoch"/>
    <s v="Porz"/>
    <m/>
    <x v="2"/>
    <x v="13"/>
  </r>
  <r>
    <x v="1615"/>
    <s v="Donnerstag"/>
    <s v="Porz"/>
    <m/>
    <x v="2"/>
    <x v="13"/>
  </r>
  <r>
    <x v="1616"/>
    <s v="Freitag"/>
    <s v="Porz"/>
    <m/>
    <x v="2"/>
    <x v="13"/>
  </r>
  <r>
    <x v="1617"/>
    <s v="Samstag"/>
    <s v="Porz"/>
    <m/>
    <x v="2"/>
    <x v="13"/>
  </r>
  <r>
    <x v="1618"/>
    <s v="Sonntag"/>
    <s v="Porz"/>
    <m/>
    <x v="2"/>
    <x v="13"/>
  </r>
  <r>
    <x v="1619"/>
    <s v="Montag"/>
    <s v="Porz"/>
    <m/>
    <x v="2"/>
    <x v="13"/>
  </r>
  <r>
    <x v="1620"/>
    <s v="Dienstag"/>
    <s v="Porz"/>
    <m/>
    <x v="2"/>
    <x v="13"/>
  </r>
  <r>
    <x v="1621"/>
    <s v="Mittwoch"/>
    <s v="Porz"/>
    <m/>
    <x v="2"/>
    <x v="13"/>
  </r>
  <r>
    <x v="1622"/>
    <s v="Donnerstag"/>
    <s v="Porz"/>
    <m/>
    <x v="2"/>
    <x v="13"/>
  </r>
  <r>
    <x v="1623"/>
    <s v="Freitag"/>
    <s v="Porz"/>
    <m/>
    <x v="2"/>
    <x v="13"/>
  </r>
  <r>
    <x v="1624"/>
    <s v="Samstag"/>
    <s v="Porz"/>
    <m/>
    <x v="2"/>
    <x v="13"/>
  </r>
  <r>
    <x v="1625"/>
    <s v="Sonntag"/>
    <s v="Porz"/>
    <m/>
    <x v="2"/>
    <x v="13"/>
  </r>
  <r>
    <x v="1626"/>
    <s v="Montag"/>
    <s v="Porz"/>
    <m/>
    <x v="2"/>
    <x v="13"/>
  </r>
  <r>
    <x v="1627"/>
    <s v="Dienstag"/>
    <s v="Porz"/>
    <m/>
    <x v="2"/>
    <x v="13"/>
  </r>
  <r>
    <x v="1628"/>
    <s v="Mittwoch"/>
    <s v="Porz"/>
    <m/>
    <x v="2"/>
    <x v="13"/>
  </r>
  <r>
    <x v="1629"/>
    <s v="Donnerstag"/>
    <s v="Porz"/>
    <m/>
    <x v="2"/>
    <x v="13"/>
  </r>
  <r>
    <x v="1630"/>
    <s v="Freitag"/>
    <s v="Porz"/>
    <m/>
    <x v="2"/>
    <x v="13"/>
  </r>
  <r>
    <x v="1631"/>
    <s v="Samstag"/>
    <s v="Porz"/>
    <m/>
    <x v="2"/>
    <x v="13"/>
  </r>
  <r>
    <x v="1632"/>
    <s v="Sonntag"/>
    <s v="Porz"/>
    <m/>
    <x v="2"/>
    <x v="13"/>
  </r>
  <r>
    <x v="1633"/>
    <s v="Montag"/>
    <s v="Porz"/>
    <m/>
    <x v="2"/>
    <x v="13"/>
  </r>
  <r>
    <x v="1634"/>
    <s v="Dienstag"/>
    <s v="Porz"/>
    <m/>
    <x v="2"/>
    <x v="13"/>
  </r>
  <r>
    <x v="1635"/>
    <s v="Mittwoch"/>
    <s v="Porz"/>
    <m/>
    <x v="2"/>
    <x v="13"/>
  </r>
  <r>
    <x v="1636"/>
    <s v="Donnerstag"/>
    <s v="Porz"/>
    <m/>
    <x v="2"/>
    <x v="13"/>
  </r>
  <r>
    <x v="1637"/>
    <s v="Freitag"/>
    <s v="Porz"/>
    <m/>
    <x v="2"/>
    <x v="13"/>
  </r>
  <r>
    <x v="1638"/>
    <s v="Samstag"/>
    <s v="Porz"/>
    <m/>
    <x v="2"/>
    <x v="13"/>
  </r>
  <r>
    <x v="1639"/>
    <s v="Sonntag"/>
    <s v="Porz"/>
    <m/>
    <x v="2"/>
    <x v="13"/>
  </r>
  <r>
    <x v="1640"/>
    <s v="Montag"/>
    <s v="Porz"/>
    <m/>
    <x v="2"/>
    <x v="13"/>
  </r>
  <r>
    <x v="1641"/>
    <s v="Dienstag"/>
    <s v="Porz"/>
    <m/>
    <x v="2"/>
    <x v="13"/>
  </r>
  <r>
    <x v="1642"/>
    <s v="Mittwoch"/>
    <s v="Porz"/>
    <m/>
    <x v="2"/>
    <x v="13"/>
  </r>
  <r>
    <x v="1643"/>
    <s v="Donnerstag"/>
    <s v="Porz"/>
    <m/>
    <x v="2"/>
    <x v="13"/>
  </r>
  <r>
    <x v="1644"/>
    <s v="Freitag"/>
    <s v="Porz"/>
    <m/>
    <x v="2"/>
    <x v="13"/>
  </r>
  <r>
    <x v="1645"/>
    <s v="Samstag"/>
    <s v="Porz"/>
    <m/>
    <x v="2"/>
    <x v="13"/>
  </r>
  <r>
    <x v="1646"/>
    <s v="Sonntag"/>
    <s v="Porz"/>
    <m/>
    <x v="2"/>
    <x v="13"/>
  </r>
  <r>
    <x v="1647"/>
    <s v="Montag"/>
    <s v="Porz"/>
    <m/>
    <x v="2"/>
    <x v="13"/>
  </r>
  <r>
    <x v="1648"/>
    <s v="Dienstag"/>
    <s v="Porz"/>
    <m/>
    <x v="2"/>
    <x v="13"/>
  </r>
  <r>
    <x v="1649"/>
    <s v="Mittwoch"/>
    <s v="Porz"/>
    <m/>
    <x v="2"/>
    <x v="13"/>
  </r>
  <r>
    <x v="1650"/>
    <s v="Donnerstag"/>
    <s v="Porz"/>
    <m/>
    <x v="2"/>
    <x v="13"/>
  </r>
  <r>
    <x v="1651"/>
    <s v="Freitag"/>
    <s v="Porz"/>
    <m/>
    <x v="2"/>
    <x v="13"/>
  </r>
  <r>
    <x v="1652"/>
    <s v="Samstag"/>
    <s v="Porz"/>
    <m/>
    <x v="2"/>
    <x v="13"/>
  </r>
  <r>
    <x v="1653"/>
    <s v="Sonntag"/>
    <s v="Porz"/>
    <m/>
    <x v="2"/>
    <x v="13"/>
  </r>
  <r>
    <x v="1654"/>
    <s v="Montag"/>
    <s v="Porz"/>
    <m/>
    <x v="2"/>
    <x v="13"/>
  </r>
  <r>
    <x v="1655"/>
    <s v="Dienstag"/>
    <s v="Porz"/>
    <m/>
    <x v="2"/>
    <x v="13"/>
  </r>
  <r>
    <x v="1656"/>
    <s v="Mittwoch"/>
    <s v="Porz"/>
    <m/>
    <x v="2"/>
    <x v="13"/>
  </r>
  <r>
    <x v="1657"/>
    <s v="Donnerstag"/>
    <s v="Porz"/>
    <m/>
    <x v="2"/>
    <x v="13"/>
  </r>
  <r>
    <x v="1658"/>
    <s v="Freitag"/>
    <s v="Porz"/>
    <m/>
    <x v="2"/>
    <x v="13"/>
  </r>
  <r>
    <x v="1659"/>
    <s v="Samstag"/>
    <s v="Porz"/>
    <m/>
    <x v="2"/>
    <x v="13"/>
  </r>
  <r>
    <x v="1660"/>
    <s v="Sonntag"/>
    <s v="Porz"/>
    <m/>
    <x v="2"/>
    <x v="13"/>
  </r>
  <r>
    <x v="1661"/>
    <s v="Montag"/>
    <s v="Porz"/>
    <m/>
    <x v="2"/>
    <x v="13"/>
  </r>
  <r>
    <x v="1662"/>
    <s v="Dienstag"/>
    <s v="Porz"/>
    <m/>
    <x v="2"/>
    <x v="13"/>
  </r>
  <r>
    <x v="1663"/>
    <s v="Mittwoch"/>
    <s v="Porz"/>
    <m/>
    <x v="2"/>
    <x v="13"/>
  </r>
  <r>
    <x v="1664"/>
    <s v="Donnerstag"/>
    <s v="Porz"/>
    <m/>
    <x v="2"/>
    <x v="13"/>
  </r>
  <r>
    <x v="1665"/>
    <s v="Freitag"/>
    <s v="Porz"/>
    <m/>
    <x v="2"/>
    <x v="13"/>
  </r>
  <r>
    <x v="1666"/>
    <s v="Samstag"/>
    <s v="Porz"/>
    <m/>
    <x v="2"/>
    <x v="13"/>
  </r>
  <r>
    <x v="1667"/>
    <s v="Sonntag"/>
    <s v="Porz"/>
    <m/>
    <x v="2"/>
    <x v="13"/>
  </r>
  <r>
    <x v="1668"/>
    <s v="Montag"/>
    <s v="Porz"/>
    <m/>
    <x v="2"/>
    <x v="13"/>
  </r>
  <r>
    <x v="1669"/>
    <s v="Dienstag"/>
    <s v="Porz"/>
    <m/>
    <x v="2"/>
    <x v="13"/>
  </r>
  <r>
    <x v="1670"/>
    <s v="Mittwoch"/>
    <s v="Porz"/>
    <m/>
    <x v="2"/>
    <x v="13"/>
  </r>
  <r>
    <x v="1671"/>
    <s v="Donnerstag"/>
    <s v="Porz"/>
    <m/>
    <x v="2"/>
    <x v="13"/>
  </r>
  <r>
    <x v="1672"/>
    <s v="Freitag"/>
    <s v="Porz"/>
    <m/>
    <x v="2"/>
    <x v="13"/>
  </r>
  <r>
    <x v="1673"/>
    <s v="Samstag"/>
    <s v="Porz"/>
    <m/>
    <x v="2"/>
    <x v="13"/>
  </r>
  <r>
    <x v="1674"/>
    <s v="Sonntag"/>
    <s v="Porz"/>
    <m/>
    <x v="2"/>
    <x v="13"/>
  </r>
  <r>
    <x v="1675"/>
    <s v="Montag"/>
    <s v="Porz"/>
    <m/>
    <x v="2"/>
    <x v="13"/>
  </r>
  <r>
    <x v="1676"/>
    <s v="Dienstag"/>
    <s v="Porz"/>
    <m/>
    <x v="2"/>
    <x v="13"/>
  </r>
  <r>
    <x v="1677"/>
    <s v="Mittwoch"/>
    <s v="Porz"/>
    <m/>
    <x v="2"/>
    <x v="13"/>
  </r>
  <r>
    <x v="1678"/>
    <s v="Donnerstag"/>
    <s v="Porz"/>
    <m/>
    <x v="2"/>
    <x v="13"/>
  </r>
  <r>
    <x v="1679"/>
    <s v="Freitag"/>
    <s v="Porz"/>
    <m/>
    <x v="2"/>
    <x v="13"/>
  </r>
  <r>
    <x v="1680"/>
    <s v="Samstag"/>
    <s v="Porz"/>
    <m/>
    <x v="2"/>
    <x v="13"/>
  </r>
  <r>
    <x v="1681"/>
    <s v="Sonntag"/>
    <s v="Porz"/>
    <m/>
    <x v="2"/>
    <x v="13"/>
  </r>
  <r>
    <x v="1682"/>
    <s v="Montag"/>
    <s v="Porz"/>
    <m/>
    <x v="2"/>
    <x v="13"/>
  </r>
  <r>
    <x v="1683"/>
    <s v="Dienstag"/>
    <s v="Porz"/>
    <m/>
    <x v="2"/>
    <x v="13"/>
  </r>
  <r>
    <x v="1684"/>
    <s v="Mittwoch"/>
    <s v="Porz"/>
    <m/>
    <x v="2"/>
    <x v="13"/>
  </r>
  <r>
    <x v="1685"/>
    <s v="Donnerstag"/>
    <s v="Porz"/>
    <m/>
    <x v="2"/>
    <x v="13"/>
  </r>
  <r>
    <x v="1686"/>
    <s v="Freitag"/>
    <s v="Porz"/>
    <m/>
    <x v="2"/>
    <x v="13"/>
  </r>
  <r>
    <x v="1687"/>
    <s v="Samstag"/>
    <s v="Porz"/>
    <m/>
    <x v="2"/>
    <x v="13"/>
  </r>
  <r>
    <x v="1688"/>
    <s v="Sonntag"/>
    <s v="Porz"/>
    <m/>
    <x v="2"/>
    <x v="13"/>
  </r>
  <r>
    <x v="1689"/>
    <s v="Montag"/>
    <s v="Porz"/>
    <m/>
    <x v="2"/>
    <x v="13"/>
  </r>
  <r>
    <x v="1690"/>
    <s v="Dienstag"/>
    <s v="Porz"/>
    <m/>
    <x v="2"/>
    <x v="13"/>
  </r>
  <r>
    <x v="1691"/>
    <s v="Mittwoch"/>
    <s v="Porz"/>
    <m/>
    <x v="2"/>
    <x v="13"/>
  </r>
  <r>
    <x v="1692"/>
    <s v="Donnerstag"/>
    <s v="Porz"/>
    <m/>
    <x v="2"/>
    <x v="13"/>
  </r>
  <r>
    <x v="1693"/>
    <s v="Freitag"/>
    <s v="Porz"/>
    <m/>
    <x v="2"/>
    <x v="13"/>
  </r>
  <r>
    <x v="1694"/>
    <s v="Samstag"/>
    <s v="Porz"/>
    <m/>
    <x v="2"/>
    <x v="13"/>
  </r>
  <r>
    <x v="1695"/>
    <s v="Sonntag"/>
    <s v="Porz"/>
    <m/>
    <x v="2"/>
    <x v="13"/>
  </r>
  <r>
    <x v="1696"/>
    <s v="Montag"/>
    <s v="Porz"/>
    <m/>
    <x v="2"/>
    <x v="13"/>
  </r>
  <r>
    <x v="1697"/>
    <s v="Dienstag"/>
    <s v="Porz"/>
    <m/>
    <x v="2"/>
    <x v="13"/>
  </r>
  <r>
    <x v="1698"/>
    <s v="Mittwoch"/>
    <s v="Porz"/>
    <m/>
    <x v="2"/>
    <x v="13"/>
  </r>
  <r>
    <x v="1699"/>
    <s v="Donnerstag"/>
    <s v="Porz"/>
    <m/>
    <x v="2"/>
    <x v="13"/>
  </r>
  <r>
    <x v="1700"/>
    <s v="Freitag"/>
    <s v="Porz"/>
    <m/>
    <x v="2"/>
    <x v="13"/>
  </r>
  <r>
    <x v="1701"/>
    <s v="Samstag"/>
    <s v="Porz"/>
    <m/>
    <x v="2"/>
    <x v="13"/>
  </r>
  <r>
    <x v="1702"/>
    <s v="Sonntag"/>
    <s v="Porz"/>
    <m/>
    <x v="2"/>
    <x v="13"/>
  </r>
  <r>
    <x v="1703"/>
    <s v="Montag"/>
    <s v="Porz"/>
    <m/>
    <x v="2"/>
    <x v="13"/>
  </r>
  <r>
    <x v="1704"/>
    <s v="Dienstag"/>
    <s v="Porz"/>
    <m/>
    <x v="2"/>
    <x v="13"/>
  </r>
  <r>
    <x v="1705"/>
    <s v="Mittwoch"/>
    <s v="Porz"/>
    <m/>
    <x v="2"/>
    <x v="13"/>
  </r>
  <r>
    <x v="1706"/>
    <s v="Donnerstag"/>
    <s v="Porz"/>
    <m/>
    <x v="2"/>
    <x v="13"/>
  </r>
  <r>
    <x v="1707"/>
    <s v="Freitag"/>
    <s v="Porz"/>
    <m/>
    <x v="2"/>
    <x v="13"/>
  </r>
  <r>
    <x v="1708"/>
    <s v="Samstag"/>
    <s v="Porz"/>
    <m/>
    <x v="2"/>
    <x v="13"/>
  </r>
  <r>
    <x v="1709"/>
    <s v="Sonntag"/>
    <s v="Porz"/>
    <m/>
    <x v="2"/>
    <x v="13"/>
  </r>
  <r>
    <x v="1710"/>
    <s v="Montag"/>
    <s v="Porz"/>
    <m/>
    <x v="2"/>
    <x v="13"/>
  </r>
  <r>
    <x v="1711"/>
    <s v="Dienstag"/>
    <s v="Porz"/>
    <m/>
    <x v="2"/>
    <x v="13"/>
  </r>
  <r>
    <x v="1712"/>
    <s v="Mittwoch"/>
    <s v="Porz"/>
    <m/>
    <x v="2"/>
    <x v="13"/>
  </r>
  <r>
    <x v="1713"/>
    <s v="Donnerstag"/>
    <s v="Porz"/>
    <m/>
    <x v="2"/>
    <x v="13"/>
  </r>
  <r>
    <x v="1714"/>
    <s v="Freitag"/>
    <s v="Porz"/>
    <m/>
    <x v="2"/>
    <x v="13"/>
  </r>
  <r>
    <x v="1715"/>
    <s v="Samstag"/>
    <s v="Porz"/>
    <m/>
    <x v="2"/>
    <x v="13"/>
  </r>
  <r>
    <x v="1716"/>
    <s v="Sonntag"/>
    <s v="Porz"/>
    <m/>
    <x v="2"/>
    <x v="13"/>
  </r>
  <r>
    <x v="1717"/>
    <s v="Montag"/>
    <s v="Porz"/>
    <m/>
    <x v="2"/>
    <x v="13"/>
  </r>
  <r>
    <x v="1718"/>
    <s v="Dienstag"/>
    <s v="Porz"/>
    <m/>
    <x v="2"/>
    <x v="13"/>
  </r>
  <r>
    <x v="1719"/>
    <s v="Mittwoch"/>
    <s v="Porz"/>
    <m/>
    <x v="2"/>
    <x v="13"/>
  </r>
  <r>
    <x v="1720"/>
    <s v="Donnerstag"/>
    <s v="Porz"/>
    <m/>
    <x v="2"/>
    <x v="13"/>
  </r>
  <r>
    <x v="1721"/>
    <s v="Freitag"/>
    <s v="Porz"/>
    <m/>
    <x v="2"/>
    <x v="13"/>
  </r>
  <r>
    <x v="1722"/>
    <s v="Samstag"/>
    <s v="Porz"/>
    <m/>
    <x v="2"/>
    <x v="13"/>
  </r>
  <r>
    <x v="1723"/>
    <s v="Sonntag"/>
    <s v="Porz"/>
    <m/>
    <x v="2"/>
    <x v="13"/>
  </r>
  <r>
    <x v="1724"/>
    <s v="Montag"/>
    <s v="Porz"/>
    <m/>
    <x v="2"/>
    <x v="13"/>
  </r>
  <r>
    <x v="1725"/>
    <s v="Dienstag"/>
    <s v="Porz"/>
    <m/>
    <x v="2"/>
    <x v="13"/>
  </r>
  <r>
    <x v="1726"/>
    <s v="Mittwoch"/>
    <s v="Porz"/>
    <m/>
    <x v="2"/>
    <x v="13"/>
  </r>
  <r>
    <x v="1727"/>
    <s v="Donnerstag"/>
    <s v="Porz"/>
    <m/>
    <x v="2"/>
    <x v="13"/>
  </r>
  <r>
    <x v="1728"/>
    <s v="Freitag"/>
    <s v="Porz"/>
    <m/>
    <x v="2"/>
    <x v="13"/>
  </r>
  <r>
    <x v="1729"/>
    <s v="Samstag"/>
    <s v="Porz"/>
    <m/>
    <x v="2"/>
    <x v="13"/>
  </r>
  <r>
    <x v="1730"/>
    <s v="Sonntag"/>
    <s v="Porz"/>
    <m/>
    <x v="2"/>
    <x v="13"/>
  </r>
  <r>
    <x v="1731"/>
    <s v="Montag"/>
    <s v="Porz"/>
    <m/>
    <x v="2"/>
    <x v="13"/>
  </r>
  <r>
    <x v="1732"/>
    <s v="Dienstag"/>
    <s v="Porz"/>
    <m/>
    <x v="2"/>
    <x v="13"/>
  </r>
  <r>
    <x v="1733"/>
    <s v="Mittwoch"/>
    <s v="Porz"/>
    <m/>
    <x v="2"/>
    <x v="13"/>
  </r>
  <r>
    <x v="1734"/>
    <s v="Donnerstag"/>
    <s v="Porz"/>
    <m/>
    <x v="2"/>
    <x v="13"/>
  </r>
  <r>
    <x v="1735"/>
    <s v="Freitag"/>
    <s v="Porz"/>
    <m/>
    <x v="2"/>
    <x v="13"/>
  </r>
  <r>
    <x v="1736"/>
    <s v="Samstag"/>
    <s v="Porz"/>
    <m/>
    <x v="2"/>
    <x v="13"/>
  </r>
  <r>
    <x v="1737"/>
    <s v="Sonntag"/>
    <s v="Porz"/>
    <m/>
    <x v="2"/>
    <x v="13"/>
  </r>
  <r>
    <x v="1738"/>
    <s v="Montag"/>
    <s v="Porz"/>
    <m/>
    <x v="2"/>
    <x v="13"/>
  </r>
  <r>
    <x v="1739"/>
    <s v="Dienstag"/>
    <s v="Porz"/>
    <m/>
    <x v="2"/>
    <x v="13"/>
  </r>
  <r>
    <x v="1740"/>
    <s v="Mittwoch"/>
    <s v="Porz"/>
    <m/>
    <x v="2"/>
    <x v="13"/>
  </r>
  <r>
    <x v="1741"/>
    <s v="Donnerstag"/>
    <s v="Porz"/>
    <m/>
    <x v="2"/>
    <x v="13"/>
  </r>
  <r>
    <x v="1742"/>
    <s v="Freitag"/>
    <s v="Porz"/>
    <m/>
    <x v="2"/>
    <x v="13"/>
  </r>
  <r>
    <x v="1743"/>
    <s v="Samstag"/>
    <s v="Porz"/>
    <m/>
    <x v="2"/>
    <x v="13"/>
  </r>
  <r>
    <x v="1744"/>
    <s v="Sonntag"/>
    <s v="Porz"/>
    <m/>
    <x v="2"/>
    <x v="13"/>
  </r>
  <r>
    <x v="1745"/>
    <s v="Montag"/>
    <s v="Porz"/>
    <m/>
    <x v="2"/>
    <x v="13"/>
  </r>
  <r>
    <x v="1746"/>
    <s v="Dienstag"/>
    <s v="Porz"/>
    <m/>
    <x v="2"/>
    <x v="13"/>
  </r>
  <r>
    <x v="1747"/>
    <s v="Mittwoch"/>
    <s v="Porz"/>
    <m/>
    <x v="2"/>
    <x v="13"/>
  </r>
  <r>
    <x v="1748"/>
    <s v="Donnerstag"/>
    <s v="Porz"/>
    <m/>
    <x v="2"/>
    <x v="13"/>
  </r>
  <r>
    <x v="1749"/>
    <s v="Freitag"/>
    <s v="Porz"/>
    <m/>
    <x v="2"/>
    <x v="13"/>
  </r>
  <r>
    <x v="1750"/>
    <s v="Samstag"/>
    <s v="Porz"/>
    <m/>
    <x v="2"/>
    <x v="13"/>
  </r>
  <r>
    <x v="1751"/>
    <s v="Sonntag"/>
    <s v="Porz"/>
    <m/>
    <x v="2"/>
    <x v="13"/>
  </r>
  <r>
    <x v="1752"/>
    <s v="Montag"/>
    <s v="Porz"/>
    <m/>
    <x v="2"/>
    <x v="13"/>
  </r>
  <r>
    <x v="1753"/>
    <s v="Dienstag"/>
    <s v="Porz"/>
    <m/>
    <x v="2"/>
    <x v="13"/>
  </r>
  <r>
    <x v="1754"/>
    <s v="Mittwoch"/>
    <s v="Porz"/>
    <m/>
    <x v="2"/>
    <x v="13"/>
  </r>
  <r>
    <x v="1755"/>
    <s v="Donnerstag"/>
    <s v="Porz"/>
    <m/>
    <x v="2"/>
    <x v="13"/>
  </r>
  <r>
    <x v="1756"/>
    <s v="Freitag"/>
    <s v="Porz"/>
    <m/>
    <x v="2"/>
    <x v="13"/>
  </r>
  <r>
    <x v="1757"/>
    <s v="Samstag"/>
    <s v="Porz"/>
    <m/>
    <x v="2"/>
    <x v="13"/>
  </r>
  <r>
    <x v="1758"/>
    <s v="Sonntag"/>
    <s v="Porz"/>
    <m/>
    <x v="2"/>
    <x v="13"/>
  </r>
  <r>
    <x v="1759"/>
    <s v="Montag"/>
    <s v="Porz"/>
    <m/>
    <x v="2"/>
    <x v="13"/>
  </r>
  <r>
    <x v="1760"/>
    <s v="Dienstag"/>
    <s v="Porz"/>
    <m/>
    <x v="2"/>
    <x v="13"/>
  </r>
  <r>
    <x v="1761"/>
    <s v="Mittwoch"/>
    <s v="Porz"/>
    <m/>
    <x v="2"/>
    <x v="13"/>
  </r>
  <r>
    <x v="1762"/>
    <s v="Donnerstag"/>
    <s v="Porz"/>
    <m/>
    <x v="2"/>
    <x v="13"/>
  </r>
  <r>
    <x v="1763"/>
    <s v="Freitag"/>
    <s v="Porz"/>
    <m/>
    <x v="2"/>
    <x v="13"/>
  </r>
  <r>
    <x v="1764"/>
    <s v="Samstag"/>
    <s v="Porz"/>
    <m/>
    <x v="2"/>
    <x v="13"/>
  </r>
  <r>
    <x v="1765"/>
    <s v="Sonntag"/>
    <s v="Porz"/>
    <m/>
    <x v="2"/>
    <x v="13"/>
  </r>
  <r>
    <x v="1766"/>
    <s v="Montag"/>
    <s v="Porz"/>
    <m/>
    <x v="2"/>
    <x v="13"/>
  </r>
  <r>
    <x v="1767"/>
    <s v="Dienstag"/>
    <s v="Porz"/>
    <m/>
    <x v="2"/>
    <x v="13"/>
  </r>
  <r>
    <x v="1768"/>
    <s v="Mittwoch"/>
    <s v="Porz"/>
    <m/>
    <x v="2"/>
    <x v="13"/>
  </r>
  <r>
    <x v="1769"/>
    <s v="Donnerstag"/>
    <s v="Porz"/>
    <m/>
    <x v="2"/>
    <x v="13"/>
  </r>
  <r>
    <x v="1770"/>
    <s v="Freitag"/>
    <s v="Porz"/>
    <m/>
    <x v="2"/>
    <x v="13"/>
  </r>
  <r>
    <x v="1771"/>
    <s v="Samstag"/>
    <s v="Porz"/>
    <m/>
    <x v="2"/>
    <x v="13"/>
  </r>
  <r>
    <x v="1772"/>
    <s v="Sonntag"/>
    <s v="Porz"/>
    <m/>
    <x v="2"/>
    <x v="13"/>
  </r>
  <r>
    <x v="1773"/>
    <s v="Montag"/>
    <s v="Porz"/>
    <m/>
    <x v="2"/>
    <x v="13"/>
  </r>
  <r>
    <x v="1774"/>
    <s v="Dienstag"/>
    <s v="Porz"/>
    <m/>
    <x v="2"/>
    <x v="13"/>
  </r>
  <r>
    <x v="1775"/>
    <s v="Mittwoch"/>
    <s v="Porz"/>
    <m/>
    <x v="2"/>
    <x v="13"/>
  </r>
  <r>
    <x v="1776"/>
    <s v="Donnerstag"/>
    <s v="Porz"/>
    <m/>
    <x v="2"/>
    <x v="13"/>
  </r>
  <r>
    <x v="1777"/>
    <s v="Freitag"/>
    <s v="Porz"/>
    <m/>
    <x v="2"/>
    <x v="13"/>
  </r>
  <r>
    <x v="1778"/>
    <s v="Samstag"/>
    <s v="Porz"/>
    <m/>
    <x v="2"/>
    <x v="13"/>
  </r>
  <r>
    <x v="1779"/>
    <s v="Sonntag"/>
    <s v="Porz"/>
    <m/>
    <x v="2"/>
    <x v="13"/>
  </r>
  <r>
    <x v="1780"/>
    <s v="Montag"/>
    <s v="Porz"/>
    <m/>
    <x v="2"/>
    <x v="13"/>
  </r>
  <r>
    <x v="1781"/>
    <s v="Dienstag"/>
    <s v="Porz"/>
    <m/>
    <x v="2"/>
    <x v="13"/>
  </r>
  <r>
    <x v="1782"/>
    <s v="Mittwoch"/>
    <s v="Porz"/>
    <m/>
    <x v="2"/>
    <x v="13"/>
  </r>
  <r>
    <x v="1783"/>
    <s v="Donnerstag"/>
    <s v="Porz"/>
    <m/>
    <x v="2"/>
    <x v="13"/>
  </r>
  <r>
    <x v="1784"/>
    <s v="Freitag"/>
    <s v="Porz"/>
    <m/>
    <x v="2"/>
    <x v="13"/>
  </r>
  <r>
    <x v="1785"/>
    <s v="Samstag"/>
    <s v="Porz"/>
    <m/>
    <x v="2"/>
    <x v="13"/>
  </r>
  <r>
    <x v="1786"/>
    <s v="Sonntag"/>
    <s v="Porz"/>
    <m/>
    <x v="2"/>
    <x v="13"/>
  </r>
  <r>
    <x v="1787"/>
    <s v="Montag"/>
    <s v="Porz"/>
    <m/>
    <x v="2"/>
    <x v="13"/>
  </r>
  <r>
    <x v="1788"/>
    <s v="Dienstag"/>
    <s v="Porz"/>
    <m/>
    <x v="2"/>
    <x v="13"/>
  </r>
  <r>
    <x v="1789"/>
    <s v="Mittwoch"/>
    <s v="Porz"/>
    <m/>
    <x v="2"/>
    <x v="13"/>
  </r>
  <r>
    <x v="1790"/>
    <s v="Donnerstag"/>
    <s v="Porz"/>
    <m/>
    <x v="2"/>
    <x v="13"/>
  </r>
  <r>
    <x v="1791"/>
    <s v="Freitag"/>
    <s v="Porz"/>
    <m/>
    <x v="2"/>
    <x v="13"/>
  </r>
  <r>
    <x v="1792"/>
    <s v="Samstag"/>
    <s v="Porz"/>
    <m/>
    <x v="2"/>
    <x v="13"/>
  </r>
  <r>
    <x v="1793"/>
    <s v="Sonntag"/>
    <s v="Porz"/>
    <m/>
    <x v="2"/>
    <x v="13"/>
  </r>
  <r>
    <x v="1794"/>
    <s v="Montag"/>
    <s v="Porz"/>
    <m/>
    <x v="2"/>
    <x v="13"/>
  </r>
  <r>
    <x v="1795"/>
    <s v="Dienstag"/>
    <s v="Porz"/>
    <m/>
    <x v="2"/>
    <x v="13"/>
  </r>
  <r>
    <x v="1796"/>
    <s v="Mittwoch"/>
    <s v="Porz"/>
    <m/>
    <x v="2"/>
    <x v="13"/>
  </r>
  <r>
    <x v="1797"/>
    <s v="Donnerstag"/>
    <s v="Porz"/>
    <m/>
    <x v="2"/>
    <x v="13"/>
  </r>
  <r>
    <x v="1798"/>
    <s v="Freitag"/>
    <s v="Porz"/>
    <m/>
    <x v="2"/>
    <x v="13"/>
  </r>
  <r>
    <x v="1799"/>
    <s v="Samstag"/>
    <s v="Porz"/>
    <m/>
    <x v="2"/>
    <x v="13"/>
  </r>
  <r>
    <x v="1800"/>
    <s v="Sonntag"/>
    <s v="Porz"/>
    <m/>
    <x v="2"/>
    <x v="13"/>
  </r>
  <r>
    <x v="1801"/>
    <s v="Montag"/>
    <s v="Porz"/>
    <m/>
    <x v="2"/>
    <x v="13"/>
  </r>
  <r>
    <x v="1802"/>
    <s v="Dienstag"/>
    <s v="Porz"/>
    <m/>
    <x v="2"/>
    <x v="13"/>
  </r>
  <r>
    <x v="1803"/>
    <s v="Mittwoch"/>
    <s v="Porz"/>
    <m/>
    <x v="2"/>
    <x v="13"/>
  </r>
  <r>
    <x v="1804"/>
    <s v="Donnerstag"/>
    <s v="Porz"/>
    <m/>
    <x v="2"/>
    <x v="13"/>
  </r>
  <r>
    <x v="1805"/>
    <s v="Freitag"/>
    <s v="Porz"/>
    <m/>
    <x v="2"/>
    <x v="13"/>
  </r>
  <r>
    <x v="1806"/>
    <s v="Samstag"/>
    <s v="Porz"/>
    <m/>
    <x v="2"/>
    <x v="13"/>
  </r>
  <r>
    <x v="1807"/>
    <s v="Sonntag"/>
    <s v="Porz"/>
    <m/>
    <x v="2"/>
    <x v="13"/>
  </r>
  <r>
    <x v="1808"/>
    <s v="Montag"/>
    <s v="Porz"/>
    <m/>
    <x v="2"/>
    <x v="13"/>
  </r>
  <r>
    <x v="1809"/>
    <s v="Dienstag"/>
    <s v="Porz"/>
    <m/>
    <x v="2"/>
    <x v="13"/>
  </r>
  <r>
    <x v="1810"/>
    <s v="Mittwoch"/>
    <s v="Porz"/>
    <m/>
    <x v="2"/>
    <x v="13"/>
  </r>
  <r>
    <x v="1811"/>
    <s v="Donnerstag"/>
    <s v="Porz"/>
    <m/>
    <x v="2"/>
    <x v="13"/>
  </r>
  <r>
    <x v="1812"/>
    <s v="Freitag"/>
    <s v="Porz"/>
    <m/>
    <x v="2"/>
    <x v="13"/>
  </r>
  <r>
    <x v="1813"/>
    <s v="Samstag"/>
    <s v="Porz"/>
    <m/>
    <x v="2"/>
    <x v="13"/>
  </r>
  <r>
    <x v="1814"/>
    <s v="Sonntag"/>
    <s v="Porz"/>
    <m/>
    <x v="2"/>
    <x v="13"/>
  </r>
  <r>
    <x v="1815"/>
    <s v="Montag"/>
    <s v="Porz"/>
    <m/>
    <x v="2"/>
    <x v="13"/>
  </r>
  <r>
    <x v="1816"/>
    <s v="Dienstag"/>
    <s v="Porz"/>
    <m/>
    <x v="2"/>
    <x v="13"/>
  </r>
  <r>
    <x v="1817"/>
    <s v="Mittwoch"/>
    <s v="Porz"/>
    <m/>
    <x v="2"/>
    <x v="13"/>
  </r>
  <r>
    <x v="1818"/>
    <s v="Donnerstag"/>
    <s v="Porz"/>
    <m/>
    <x v="2"/>
    <x v="13"/>
  </r>
  <r>
    <x v="1819"/>
    <s v="Freitag"/>
    <s v="Porz"/>
    <m/>
    <x v="2"/>
    <x v="13"/>
  </r>
  <r>
    <x v="1820"/>
    <s v="Samstag"/>
    <s v="Porz"/>
    <m/>
    <x v="2"/>
    <x v="13"/>
  </r>
  <r>
    <x v="1821"/>
    <s v="Sonntag"/>
    <s v="Porz"/>
    <m/>
    <x v="2"/>
    <x v="13"/>
  </r>
  <r>
    <x v="1822"/>
    <s v="Montag"/>
    <s v="Porz"/>
    <m/>
    <x v="2"/>
    <x v="13"/>
  </r>
  <r>
    <x v="1823"/>
    <s v="Dienstag"/>
    <s v="Porz"/>
    <m/>
    <x v="2"/>
    <x v="13"/>
  </r>
  <r>
    <x v="1824"/>
    <s v="Mittwoch"/>
    <s v="Porz"/>
    <m/>
    <x v="2"/>
    <x v="13"/>
  </r>
  <r>
    <x v="1825"/>
    <s v="Donnerstag"/>
    <s v="Porz"/>
    <m/>
    <x v="2"/>
    <x v="13"/>
  </r>
  <r>
    <x v="1826"/>
    <s v="Freitag"/>
    <s v="Porz"/>
    <m/>
    <x v="2"/>
    <x v="13"/>
  </r>
  <r>
    <x v="1827"/>
    <s v="Samstag"/>
    <s v="Porz"/>
    <m/>
    <x v="2"/>
    <x v="13"/>
  </r>
  <r>
    <x v="1828"/>
    <s v="Sonntag"/>
    <s v="Porz"/>
    <m/>
    <x v="2"/>
    <x v="13"/>
  </r>
  <r>
    <x v="1829"/>
    <s v="Montag"/>
    <s v="Porz"/>
    <m/>
    <x v="2"/>
    <x v="13"/>
  </r>
  <r>
    <x v="1830"/>
    <s v="Dienstag"/>
    <s v="Porz"/>
    <m/>
    <x v="2"/>
    <x v="13"/>
  </r>
  <r>
    <x v="1831"/>
    <s v="Mittwoch"/>
    <s v="Porz"/>
    <m/>
    <x v="2"/>
    <x v="13"/>
  </r>
  <r>
    <x v="1832"/>
    <s v="Donnerstag"/>
    <s v="Porz"/>
    <m/>
    <x v="2"/>
    <x v="13"/>
  </r>
  <r>
    <x v="1833"/>
    <s v="Freitag"/>
    <s v="Porz"/>
    <m/>
    <x v="2"/>
    <x v="13"/>
  </r>
  <r>
    <x v="1834"/>
    <s v="Samstag"/>
    <s v="Porz"/>
    <m/>
    <x v="2"/>
    <x v="13"/>
  </r>
  <r>
    <x v="1835"/>
    <s v="Sonntag"/>
    <s v="Porz"/>
    <m/>
    <x v="2"/>
    <x v="13"/>
  </r>
  <r>
    <x v="1836"/>
    <s v="Montag"/>
    <s v="Porz"/>
    <m/>
    <x v="2"/>
    <x v="13"/>
  </r>
  <r>
    <x v="1837"/>
    <s v="Dienstag"/>
    <s v="Porz"/>
    <m/>
    <x v="2"/>
    <x v="13"/>
  </r>
  <r>
    <x v="1838"/>
    <s v="Mittwoch"/>
    <s v="Porz"/>
    <m/>
    <x v="2"/>
    <x v="13"/>
  </r>
  <r>
    <x v="1839"/>
    <s v="Donnerstag"/>
    <s v="Porz"/>
    <m/>
    <x v="2"/>
    <x v="13"/>
  </r>
  <r>
    <x v="1840"/>
    <s v="Freitag"/>
    <s v="Porz"/>
    <m/>
    <x v="2"/>
    <x v="13"/>
  </r>
  <r>
    <x v="1841"/>
    <s v="Samstag"/>
    <s v="Porz"/>
    <m/>
    <x v="2"/>
    <x v="13"/>
  </r>
  <r>
    <x v="1842"/>
    <s v="Sonntag"/>
    <s v="Porz"/>
    <m/>
    <x v="2"/>
    <x v="13"/>
  </r>
  <r>
    <x v="1843"/>
    <s v="Montag"/>
    <s v="Porz"/>
    <m/>
    <x v="2"/>
    <x v="13"/>
  </r>
  <r>
    <x v="1844"/>
    <s v="Dienstag"/>
    <s v="Porz"/>
    <m/>
    <x v="2"/>
    <x v="13"/>
  </r>
  <r>
    <x v="1845"/>
    <s v="Mittwoch"/>
    <s v="Porz"/>
    <m/>
    <x v="2"/>
    <x v="13"/>
  </r>
  <r>
    <x v="1846"/>
    <s v="Donnerstag"/>
    <s v="Porz"/>
    <m/>
    <x v="2"/>
    <x v="13"/>
  </r>
  <r>
    <x v="1847"/>
    <s v="Freitag"/>
    <s v="Porz"/>
    <m/>
    <x v="2"/>
    <x v="13"/>
  </r>
  <r>
    <x v="1848"/>
    <s v="Samstag"/>
    <s v="Porz"/>
    <m/>
    <x v="2"/>
    <x v="13"/>
  </r>
  <r>
    <x v="1849"/>
    <s v="Sonntag"/>
    <s v="Porz"/>
    <m/>
    <x v="2"/>
    <x v="13"/>
  </r>
  <r>
    <x v="1850"/>
    <s v="Montag"/>
    <s v="Porz"/>
    <m/>
    <x v="2"/>
    <x v="13"/>
  </r>
  <r>
    <x v="1851"/>
    <s v="Dienstag"/>
    <s v="Porz"/>
    <m/>
    <x v="2"/>
    <x v="13"/>
  </r>
  <r>
    <x v="1852"/>
    <s v="Mittwoch"/>
    <s v="Porz"/>
    <m/>
    <x v="2"/>
    <x v="13"/>
  </r>
  <r>
    <x v="1853"/>
    <s v="Donnerstag"/>
    <s v="Porz"/>
    <m/>
    <x v="2"/>
    <x v="13"/>
  </r>
  <r>
    <x v="1854"/>
    <s v="Freitag"/>
    <s v="Porz"/>
    <m/>
    <x v="2"/>
    <x v="13"/>
  </r>
  <r>
    <x v="1855"/>
    <s v="Samstag"/>
    <s v="Porz"/>
    <m/>
    <x v="2"/>
    <x v="13"/>
  </r>
  <r>
    <x v="1856"/>
    <s v="Sonntag"/>
    <s v="Porz"/>
    <m/>
    <x v="2"/>
    <x v="13"/>
  </r>
  <r>
    <x v="1857"/>
    <s v="Montag"/>
    <s v="Porz"/>
    <m/>
    <x v="2"/>
    <x v="13"/>
  </r>
  <r>
    <x v="1858"/>
    <s v="Dienstag"/>
    <s v="Porz"/>
    <m/>
    <x v="2"/>
    <x v="13"/>
  </r>
  <r>
    <x v="1859"/>
    <s v="Mittwoch"/>
    <s v="Porz"/>
    <m/>
    <x v="2"/>
    <x v="13"/>
  </r>
  <r>
    <x v="1860"/>
    <s v="Donnerstag"/>
    <s v="Porz"/>
    <m/>
    <x v="2"/>
    <x v="13"/>
  </r>
  <r>
    <x v="1861"/>
    <s v="Freitag"/>
    <s v="Porz"/>
    <m/>
    <x v="2"/>
    <x v="13"/>
  </r>
  <r>
    <x v="1862"/>
    <s v="Samstag"/>
    <s v="Porz"/>
    <m/>
    <x v="2"/>
    <x v="13"/>
  </r>
  <r>
    <x v="1863"/>
    <s v="Sonntag"/>
    <s v="Porz"/>
    <m/>
    <x v="2"/>
    <x v="13"/>
  </r>
  <r>
    <x v="1864"/>
    <s v="Montag"/>
    <s v="Porz"/>
    <m/>
    <x v="2"/>
    <x v="13"/>
  </r>
  <r>
    <x v="1865"/>
    <s v="Dienstag"/>
    <s v="Porz"/>
    <m/>
    <x v="2"/>
    <x v="13"/>
  </r>
  <r>
    <x v="1866"/>
    <s v="Mittwoch"/>
    <s v="Porz"/>
    <m/>
    <x v="2"/>
    <x v="13"/>
  </r>
  <r>
    <x v="1867"/>
    <s v="Donnerstag"/>
    <s v="Porz"/>
    <m/>
    <x v="2"/>
    <x v="13"/>
  </r>
  <r>
    <x v="1868"/>
    <s v="Freitag"/>
    <s v="Porz"/>
    <m/>
    <x v="2"/>
    <x v="13"/>
  </r>
  <r>
    <x v="1869"/>
    <s v="Samstag"/>
    <s v="Porz"/>
    <m/>
    <x v="2"/>
    <x v="13"/>
  </r>
  <r>
    <x v="1870"/>
    <s v="Sonntag"/>
    <s v="Porz"/>
    <m/>
    <x v="2"/>
    <x v="13"/>
  </r>
  <r>
    <x v="1871"/>
    <s v="Montag"/>
    <s v="Porz"/>
    <m/>
    <x v="2"/>
    <x v="13"/>
  </r>
  <r>
    <x v="1872"/>
    <s v="Dienstag"/>
    <s v="Porz"/>
    <m/>
    <x v="2"/>
    <x v="13"/>
  </r>
  <r>
    <x v="1873"/>
    <s v="Mittwoch"/>
    <s v="Porz"/>
    <m/>
    <x v="2"/>
    <x v="13"/>
  </r>
  <r>
    <x v="1874"/>
    <s v="Donnerstag"/>
    <s v="Porz"/>
    <m/>
    <x v="2"/>
    <x v="13"/>
  </r>
  <r>
    <x v="1875"/>
    <s v="Freitag"/>
    <s v="Porz"/>
    <m/>
    <x v="2"/>
    <x v="13"/>
  </r>
  <r>
    <x v="1876"/>
    <s v="Samstag"/>
    <s v="Porz"/>
    <m/>
    <x v="2"/>
    <x v="13"/>
  </r>
  <r>
    <x v="1877"/>
    <s v="Sonntag"/>
    <s v="Porz"/>
    <m/>
    <x v="2"/>
    <x v="13"/>
  </r>
  <r>
    <x v="1878"/>
    <s v="Montag"/>
    <s v="Porz"/>
    <m/>
    <x v="2"/>
    <x v="13"/>
  </r>
  <r>
    <x v="1879"/>
    <s v="Dienstag"/>
    <s v="Porz"/>
    <m/>
    <x v="2"/>
    <x v="13"/>
  </r>
  <r>
    <x v="1880"/>
    <s v="Mittwoch"/>
    <s v="Porz"/>
    <m/>
    <x v="2"/>
    <x v="13"/>
  </r>
  <r>
    <x v="1881"/>
    <s v="Donnerstag"/>
    <s v="Porz"/>
    <m/>
    <x v="2"/>
    <x v="13"/>
  </r>
  <r>
    <x v="1882"/>
    <s v="Freitag"/>
    <s v="Porz"/>
    <m/>
    <x v="2"/>
    <x v="13"/>
  </r>
  <r>
    <x v="1883"/>
    <s v="Samstag"/>
    <s v="Porz"/>
    <m/>
    <x v="2"/>
    <x v="13"/>
  </r>
  <r>
    <x v="1884"/>
    <s v="Sonntag"/>
    <s v="Porz"/>
    <m/>
    <x v="2"/>
    <x v="13"/>
  </r>
  <r>
    <x v="1885"/>
    <s v="Montag"/>
    <s v="Porz"/>
    <m/>
    <x v="2"/>
    <x v="13"/>
  </r>
  <r>
    <x v="1886"/>
    <s v="Dienstag"/>
    <s v="Porz"/>
    <m/>
    <x v="2"/>
    <x v="13"/>
  </r>
  <r>
    <x v="1887"/>
    <s v="Mittwoch"/>
    <s v="Porz"/>
    <m/>
    <x v="2"/>
    <x v="13"/>
  </r>
  <r>
    <x v="1888"/>
    <s v="Donnerstag"/>
    <s v="Porz"/>
    <m/>
    <x v="2"/>
    <x v="13"/>
  </r>
  <r>
    <x v="1889"/>
    <s v="Freitag"/>
    <s v="Porz"/>
    <m/>
    <x v="2"/>
    <x v="13"/>
  </r>
  <r>
    <x v="1890"/>
    <s v="Samstag"/>
    <s v="Porz"/>
    <m/>
    <x v="2"/>
    <x v="13"/>
  </r>
  <r>
    <x v="1891"/>
    <s v="Sonntag"/>
    <s v="Porz"/>
    <m/>
    <x v="2"/>
    <x v="13"/>
  </r>
  <r>
    <x v="1892"/>
    <s v="Montag"/>
    <s v="Porz"/>
    <m/>
    <x v="2"/>
    <x v="13"/>
  </r>
  <r>
    <x v="1893"/>
    <s v="Dienstag"/>
    <s v="Porz"/>
    <m/>
    <x v="2"/>
    <x v="13"/>
  </r>
  <r>
    <x v="1894"/>
    <s v="Mittwoch"/>
    <s v="Porz"/>
    <m/>
    <x v="2"/>
    <x v="13"/>
  </r>
  <r>
    <x v="1895"/>
    <s v="Donnerstag"/>
    <s v="Porz"/>
    <m/>
    <x v="2"/>
    <x v="13"/>
  </r>
  <r>
    <x v="1896"/>
    <s v="Freitag"/>
    <s v="Porz"/>
    <m/>
    <x v="2"/>
    <x v="13"/>
  </r>
  <r>
    <x v="1897"/>
    <s v="Samstag"/>
    <s v="Porz"/>
    <m/>
    <x v="2"/>
    <x v="13"/>
  </r>
  <r>
    <x v="1898"/>
    <s v="Sonntag"/>
    <s v="Porz"/>
    <m/>
    <x v="2"/>
    <x v="13"/>
  </r>
  <r>
    <x v="1899"/>
    <s v="Montag"/>
    <s v="Porz"/>
    <m/>
    <x v="2"/>
    <x v="13"/>
  </r>
  <r>
    <x v="1900"/>
    <s v="Dienstag"/>
    <s v="Porz"/>
    <m/>
    <x v="2"/>
    <x v="13"/>
  </r>
  <r>
    <x v="1901"/>
    <s v="Mittwoch"/>
    <s v="Porz"/>
    <m/>
    <x v="2"/>
    <x v="13"/>
  </r>
  <r>
    <x v="1902"/>
    <s v="Donnerstag"/>
    <s v="Porz"/>
    <m/>
    <x v="2"/>
    <x v="13"/>
  </r>
  <r>
    <x v="1903"/>
    <s v="Freitag"/>
    <s v="Porz"/>
    <m/>
    <x v="2"/>
    <x v="13"/>
  </r>
  <r>
    <x v="1904"/>
    <s v="Samstag"/>
    <s v="Porz"/>
    <m/>
    <x v="2"/>
    <x v="13"/>
  </r>
  <r>
    <x v="1905"/>
    <s v="Sonntag"/>
    <s v="Porz"/>
    <m/>
    <x v="2"/>
    <x v="13"/>
  </r>
  <r>
    <x v="1906"/>
    <s v="Montag"/>
    <s v="Porz"/>
    <m/>
    <x v="2"/>
    <x v="13"/>
  </r>
  <r>
    <x v="1907"/>
    <s v="Dienstag"/>
    <s v="Porz"/>
    <m/>
    <x v="2"/>
    <x v="13"/>
  </r>
  <r>
    <x v="1908"/>
    <s v="Mittwoch"/>
    <s v="Porz"/>
    <m/>
    <x v="2"/>
    <x v="13"/>
  </r>
  <r>
    <x v="1909"/>
    <s v="Donnerstag"/>
    <s v="Porz"/>
    <m/>
    <x v="2"/>
    <x v="13"/>
  </r>
  <r>
    <x v="1910"/>
    <s v="Freitag"/>
    <s v="Porz"/>
    <m/>
    <x v="2"/>
    <x v="13"/>
  </r>
  <r>
    <x v="1911"/>
    <s v="Samstag"/>
    <s v="Porz"/>
    <m/>
    <x v="2"/>
    <x v="13"/>
  </r>
  <r>
    <x v="1912"/>
    <s v="Sonntag"/>
    <s v="Porz"/>
    <m/>
    <x v="2"/>
    <x v="13"/>
  </r>
  <r>
    <x v="1913"/>
    <s v="Montag"/>
    <s v="Porz"/>
    <m/>
    <x v="2"/>
    <x v="13"/>
  </r>
  <r>
    <x v="1914"/>
    <s v="Dienstag"/>
    <s v="Porz"/>
    <m/>
    <x v="2"/>
    <x v="13"/>
  </r>
  <r>
    <x v="1915"/>
    <s v="Mittwoch"/>
    <s v="Porz"/>
    <m/>
    <x v="2"/>
    <x v="13"/>
  </r>
  <r>
    <x v="1916"/>
    <s v="Donnerstag"/>
    <s v="Porz"/>
    <m/>
    <x v="2"/>
    <x v="13"/>
  </r>
  <r>
    <x v="1917"/>
    <s v="Freitag"/>
    <s v="Porz"/>
    <m/>
    <x v="2"/>
    <x v="13"/>
  </r>
  <r>
    <x v="1918"/>
    <s v="Samstag"/>
    <s v="Porz"/>
    <m/>
    <x v="2"/>
    <x v="13"/>
  </r>
  <r>
    <x v="1919"/>
    <s v="Sonntag"/>
    <s v="Porz"/>
    <m/>
    <x v="2"/>
    <x v="13"/>
  </r>
  <r>
    <x v="1920"/>
    <s v="Montag"/>
    <s v="Porz"/>
    <m/>
    <x v="2"/>
    <x v="13"/>
  </r>
  <r>
    <x v="1921"/>
    <s v="Dienstag"/>
    <s v="Porz"/>
    <m/>
    <x v="2"/>
    <x v="13"/>
  </r>
  <r>
    <x v="1922"/>
    <s v="Mittwoch"/>
    <s v="Porz"/>
    <m/>
    <x v="2"/>
    <x v="13"/>
  </r>
  <r>
    <x v="1923"/>
    <s v="Donnerstag"/>
    <s v="Porz"/>
    <m/>
    <x v="2"/>
    <x v="13"/>
  </r>
  <r>
    <x v="1924"/>
    <s v="Freitag"/>
    <s v="Porz"/>
    <m/>
    <x v="2"/>
    <x v="13"/>
  </r>
  <r>
    <x v="1925"/>
    <s v="Samstag"/>
    <s v="Porz"/>
    <m/>
    <x v="2"/>
    <x v="13"/>
  </r>
  <r>
    <x v="1926"/>
    <s v="Sonntag"/>
    <s v="Porz"/>
    <m/>
    <x v="2"/>
    <x v="13"/>
  </r>
  <r>
    <x v="1927"/>
    <s v="Montag"/>
    <s v="Porz"/>
    <m/>
    <x v="2"/>
    <x v="13"/>
  </r>
  <r>
    <x v="1928"/>
    <s v="Dienstag"/>
    <s v="Porz"/>
    <m/>
    <x v="2"/>
    <x v="13"/>
  </r>
  <r>
    <x v="1929"/>
    <s v="Mittwoch"/>
    <s v="Porz"/>
    <m/>
    <x v="2"/>
    <x v="13"/>
  </r>
  <r>
    <x v="1930"/>
    <s v="Donnerstag"/>
    <s v="Porz"/>
    <m/>
    <x v="2"/>
    <x v="13"/>
  </r>
  <r>
    <x v="1931"/>
    <s v="Freitag"/>
    <s v="Porz"/>
    <m/>
    <x v="2"/>
    <x v="13"/>
  </r>
  <r>
    <x v="1932"/>
    <s v="Samstag"/>
    <s v="Porz"/>
    <m/>
    <x v="2"/>
    <x v="13"/>
  </r>
  <r>
    <x v="1933"/>
    <s v="Sonntag"/>
    <s v="Porz"/>
    <m/>
    <x v="2"/>
    <x v="13"/>
  </r>
  <r>
    <x v="1934"/>
    <s v="Montag"/>
    <s v="Porz"/>
    <m/>
    <x v="2"/>
    <x v="13"/>
  </r>
  <r>
    <x v="1935"/>
    <s v="Dienstag"/>
    <s v="Porz"/>
    <m/>
    <x v="2"/>
    <x v="13"/>
  </r>
  <r>
    <x v="1936"/>
    <s v="Mittwoch"/>
    <s v="Porz"/>
    <m/>
    <x v="2"/>
    <x v="13"/>
  </r>
  <r>
    <x v="1937"/>
    <s v="Donnerstag"/>
    <s v="Porz"/>
    <m/>
    <x v="2"/>
    <x v="13"/>
  </r>
  <r>
    <x v="1938"/>
    <s v="Freitag"/>
    <s v="Porz"/>
    <m/>
    <x v="2"/>
    <x v="13"/>
  </r>
  <r>
    <x v="1939"/>
    <s v="Samstag"/>
    <s v="Porz"/>
    <m/>
    <x v="2"/>
    <x v="13"/>
  </r>
  <r>
    <x v="1940"/>
    <s v="Sonntag"/>
    <s v="Porz"/>
    <m/>
    <x v="2"/>
    <x v="13"/>
  </r>
  <r>
    <x v="1941"/>
    <s v="Montag"/>
    <s v="Porz"/>
    <m/>
    <x v="2"/>
    <x v="13"/>
  </r>
  <r>
    <x v="1942"/>
    <s v="Dienstag"/>
    <s v="Porz"/>
    <m/>
    <x v="2"/>
    <x v="13"/>
  </r>
  <r>
    <x v="1943"/>
    <s v="Mittwoch"/>
    <s v="Porz"/>
    <m/>
    <x v="2"/>
    <x v="13"/>
  </r>
  <r>
    <x v="1944"/>
    <s v="Donnerstag"/>
    <s v="Porz"/>
    <m/>
    <x v="2"/>
    <x v="13"/>
  </r>
  <r>
    <x v="1945"/>
    <s v="Freitag"/>
    <s v="Porz"/>
    <m/>
    <x v="2"/>
    <x v="13"/>
  </r>
  <r>
    <x v="1946"/>
    <s v="Samstag"/>
    <s v="Porz"/>
    <m/>
    <x v="2"/>
    <x v="13"/>
  </r>
  <r>
    <x v="1947"/>
    <s v="Sonntag"/>
    <s v="Porz"/>
    <m/>
    <x v="2"/>
    <x v="13"/>
  </r>
  <r>
    <x v="1948"/>
    <s v="Montag"/>
    <s v="Porz"/>
    <m/>
    <x v="2"/>
    <x v="13"/>
  </r>
  <r>
    <x v="1949"/>
    <s v="Dienstag"/>
    <s v="Porz"/>
    <m/>
    <x v="2"/>
    <x v="13"/>
  </r>
  <r>
    <x v="1950"/>
    <s v="Mittwoch"/>
    <s v="Porz"/>
    <m/>
    <x v="2"/>
    <x v="13"/>
  </r>
  <r>
    <x v="1951"/>
    <s v="Donnerstag"/>
    <s v="Porz"/>
    <m/>
    <x v="2"/>
    <x v="13"/>
  </r>
  <r>
    <x v="1952"/>
    <s v="Freitag"/>
    <s v="Porz"/>
    <m/>
    <x v="2"/>
    <x v="13"/>
  </r>
  <r>
    <x v="1953"/>
    <s v="Samstag"/>
    <s v="Porz"/>
    <m/>
    <x v="2"/>
    <x v="13"/>
  </r>
  <r>
    <x v="1954"/>
    <s v="Sonntag"/>
    <s v="Porz"/>
    <m/>
    <x v="2"/>
    <x v="13"/>
  </r>
  <r>
    <x v="1955"/>
    <s v="Montag"/>
    <s v="Porz"/>
    <m/>
    <x v="2"/>
    <x v="13"/>
  </r>
  <r>
    <x v="1956"/>
    <s v="Dienstag"/>
    <s v="Porz"/>
    <m/>
    <x v="2"/>
    <x v="13"/>
  </r>
  <r>
    <x v="1957"/>
    <s v="Mittwoch"/>
    <s v="Porz"/>
    <m/>
    <x v="2"/>
    <x v="13"/>
  </r>
  <r>
    <x v="1958"/>
    <s v="Donnerstag"/>
    <s v="Porz"/>
    <m/>
    <x v="2"/>
    <x v="13"/>
  </r>
  <r>
    <x v="1959"/>
    <s v="Freitag"/>
    <s v="Porz"/>
    <m/>
    <x v="2"/>
    <x v="13"/>
  </r>
  <r>
    <x v="1960"/>
    <s v="Samstag"/>
    <s v="Porz"/>
    <m/>
    <x v="2"/>
    <x v="13"/>
  </r>
  <r>
    <x v="1961"/>
    <s v="Sonntag"/>
    <s v="Porz"/>
    <m/>
    <x v="2"/>
    <x v="13"/>
  </r>
  <r>
    <x v="1962"/>
    <s v="Montag"/>
    <s v="Porz"/>
    <m/>
    <x v="2"/>
    <x v="13"/>
  </r>
  <r>
    <x v="1963"/>
    <s v="Dienstag"/>
    <s v="Porz"/>
    <m/>
    <x v="2"/>
    <x v="13"/>
  </r>
  <r>
    <x v="1964"/>
    <s v="Mittwoch"/>
    <s v="Porz"/>
    <m/>
    <x v="2"/>
    <x v="13"/>
  </r>
  <r>
    <x v="1965"/>
    <s v="Donnerstag"/>
    <s v="Porz"/>
    <m/>
    <x v="2"/>
    <x v="13"/>
  </r>
  <r>
    <x v="1966"/>
    <s v="Freitag"/>
    <s v="Porz"/>
    <m/>
    <x v="2"/>
    <x v="13"/>
  </r>
  <r>
    <x v="1967"/>
    <s v="Samstag"/>
    <s v="Porz"/>
    <m/>
    <x v="2"/>
    <x v="13"/>
  </r>
  <r>
    <x v="1968"/>
    <s v="Sonntag"/>
    <s v="Porz"/>
    <m/>
    <x v="2"/>
    <x v="13"/>
  </r>
  <r>
    <x v="1969"/>
    <s v="Montag"/>
    <s v="Porz"/>
    <m/>
    <x v="2"/>
    <x v="13"/>
  </r>
  <r>
    <x v="1970"/>
    <s v="Dienstag"/>
    <s v="Porz"/>
    <m/>
    <x v="2"/>
    <x v="13"/>
  </r>
  <r>
    <x v="1971"/>
    <s v="Mittwoch"/>
    <s v="Porz"/>
    <m/>
    <x v="2"/>
    <x v="13"/>
  </r>
  <r>
    <x v="1972"/>
    <s v="Donnerstag"/>
    <s v="Porz"/>
    <m/>
    <x v="2"/>
    <x v="13"/>
  </r>
  <r>
    <x v="1973"/>
    <s v="Freitag"/>
    <s v="Porz"/>
    <m/>
    <x v="2"/>
    <x v="13"/>
  </r>
  <r>
    <x v="1974"/>
    <s v="Samstag"/>
    <s v="Porz"/>
    <m/>
    <x v="2"/>
    <x v="13"/>
  </r>
  <r>
    <x v="1975"/>
    <s v="Sonntag"/>
    <s v="Porz"/>
    <m/>
    <x v="2"/>
    <x v="13"/>
  </r>
  <r>
    <x v="1976"/>
    <s v="Montag"/>
    <s v="Porz"/>
    <m/>
    <x v="2"/>
    <x v="13"/>
  </r>
  <r>
    <x v="1977"/>
    <s v="Dienstag"/>
    <s v="Porz"/>
    <m/>
    <x v="2"/>
    <x v="13"/>
  </r>
  <r>
    <x v="1978"/>
    <s v="Mittwoch"/>
    <s v="Porz"/>
    <m/>
    <x v="2"/>
    <x v="13"/>
  </r>
  <r>
    <x v="1979"/>
    <s v="Donnerstag"/>
    <s v="Porz"/>
    <m/>
    <x v="2"/>
    <x v="13"/>
  </r>
  <r>
    <x v="1980"/>
    <s v="Freitag"/>
    <s v="Porz"/>
    <m/>
    <x v="2"/>
    <x v="13"/>
  </r>
  <r>
    <x v="1981"/>
    <s v="Samstag"/>
    <s v="Porz"/>
    <m/>
    <x v="2"/>
    <x v="13"/>
  </r>
  <r>
    <x v="1982"/>
    <s v="Sonntag"/>
    <s v="Porz"/>
    <m/>
    <x v="2"/>
    <x v="13"/>
  </r>
  <r>
    <x v="1983"/>
    <s v="Montag"/>
    <s v="Porz"/>
    <m/>
    <x v="2"/>
    <x v="13"/>
  </r>
  <r>
    <x v="1984"/>
    <s v="Dienstag"/>
    <s v="Porz"/>
    <m/>
    <x v="2"/>
    <x v="13"/>
  </r>
  <r>
    <x v="1985"/>
    <s v="Mittwoch"/>
    <s v="Porz"/>
    <m/>
    <x v="2"/>
    <x v="13"/>
  </r>
  <r>
    <x v="1986"/>
    <s v="Donnerstag"/>
    <s v="Porz"/>
    <m/>
    <x v="2"/>
    <x v="13"/>
  </r>
  <r>
    <x v="1987"/>
    <s v="Freitag"/>
    <s v="Porz"/>
    <m/>
    <x v="2"/>
    <x v="13"/>
  </r>
  <r>
    <x v="1988"/>
    <s v="Samstag"/>
    <s v="Porz"/>
    <m/>
    <x v="2"/>
    <x v="13"/>
  </r>
  <r>
    <x v="1989"/>
    <s v="Sonntag"/>
    <s v="Porz"/>
    <m/>
    <x v="2"/>
    <x v="13"/>
  </r>
  <r>
    <x v="1990"/>
    <s v="Montag"/>
    <s v="Porz"/>
    <m/>
    <x v="2"/>
    <x v="13"/>
  </r>
  <r>
    <x v="1991"/>
    <s v="Dienstag"/>
    <s v="Porz"/>
    <m/>
    <x v="2"/>
    <x v="13"/>
  </r>
  <r>
    <x v="1992"/>
    <s v="Mittwoch"/>
    <s v="Porz"/>
    <m/>
    <x v="2"/>
    <x v="13"/>
  </r>
  <r>
    <x v="1993"/>
    <s v="Donnerstag"/>
    <s v="Porz"/>
    <m/>
    <x v="2"/>
    <x v="13"/>
  </r>
  <r>
    <x v="1994"/>
    <s v="Freitag"/>
    <s v="Porz"/>
    <m/>
    <x v="2"/>
    <x v="13"/>
  </r>
  <r>
    <x v="1995"/>
    <s v="Samstag"/>
    <s v="Porz"/>
    <m/>
    <x v="2"/>
    <x v="13"/>
  </r>
  <r>
    <x v="1996"/>
    <s v="Sonntag"/>
    <s v="Porz"/>
    <m/>
    <x v="2"/>
    <x v="13"/>
  </r>
  <r>
    <x v="1997"/>
    <s v="Montag"/>
    <s v="Porz"/>
    <m/>
    <x v="2"/>
    <x v="13"/>
  </r>
  <r>
    <x v="1998"/>
    <s v="Dienstag"/>
    <s v="Porz"/>
    <m/>
    <x v="2"/>
    <x v="13"/>
  </r>
  <r>
    <x v="1999"/>
    <s v="Mittwoch"/>
    <s v="Porz"/>
    <m/>
    <x v="2"/>
    <x v="13"/>
  </r>
  <r>
    <x v="2000"/>
    <s v="Donnerstag"/>
    <s v="Porz"/>
    <m/>
    <x v="2"/>
    <x v="13"/>
  </r>
  <r>
    <x v="2001"/>
    <s v="Freitag"/>
    <s v="Porz"/>
    <m/>
    <x v="2"/>
    <x v="13"/>
  </r>
  <r>
    <x v="2002"/>
    <s v="Samstag"/>
    <s v="Porz"/>
    <m/>
    <x v="2"/>
    <x v="13"/>
  </r>
  <r>
    <x v="2003"/>
    <s v="Sonntag"/>
    <s v="Porz"/>
    <m/>
    <x v="2"/>
    <x v="13"/>
  </r>
  <r>
    <x v="2004"/>
    <s v="Montag"/>
    <s v="Porz"/>
    <m/>
    <x v="2"/>
    <x v="13"/>
  </r>
  <r>
    <x v="2005"/>
    <s v="Dienstag"/>
    <s v="Porz"/>
    <m/>
    <x v="2"/>
    <x v="13"/>
  </r>
  <r>
    <x v="2006"/>
    <s v="Mittwoch"/>
    <s v="Porz"/>
    <m/>
    <x v="2"/>
    <x v="13"/>
  </r>
  <r>
    <x v="2007"/>
    <s v="Donnerstag"/>
    <s v="Porz"/>
    <m/>
    <x v="2"/>
    <x v="13"/>
  </r>
  <r>
    <x v="2008"/>
    <s v="Freitag"/>
    <s v="Porz"/>
    <m/>
    <x v="2"/>
    <x v="13"/>
  </r>
  <r>
    <x v="2009"/>
    <s v="Samstag"/>
    <s v="Porz"/>
    <m/>
    <x v="2"/>
    <x v="13"/>
  </r>
  <r>
    <x v="2010"/>
    <s v="Sonntag"/>
    <s v="Porz"/>
    <m/>
    <x v="2"/>
    <x v="13"/>
  </r>
  <r>
    <x v="2011"/>
    <s v="Montag"/>
    <s v="Porz"/>
    <m/>
    <x v="2"/>
    <x v="13"/>
  </r>
  <r>
    <x v="2012"/>
    <s v="Dienstag"/>
    <s v="Porz"/>
    <m/>
    <x v="2"/>
    <x v="13"/>
  </r>
  <r>
    <x v="2013"/>
    <s v="Mittwoch"/>
    <s v="Porz"/>
    <m/>
    <x v="2"/>
    <x v="13"/>
  </r>
  <r>
    <x v="2014"/>
    <s v="Donnerstag"/>
    <s v="Porz"/>
    <m/>
    <x v="2"/>
    <x v="13"/>
  </r>
  <r>
    <x v="2015"/>
    <s v="Freitag"/>
    <s v="Porz"/>
    <m/>
    <x v="2"/>
    <x v="13"/>
  </r>
  <r>
    <x v="2016"/>
    <s v="Samstag"/>
    <s v="Porz"/>
    <m/>
    <x v="2"/>
    <x v="13"/>
  </r>
  <r>
    <x v="2017"/>
    <s v="Sonntag"/>
    <s v="Porz"/>
    <m/>
    <x v="2"/>
    <x v="13"/>
  </r>
  <r>
    <x v="2018"/>
    <s v="Montag"/>
    <s v="Porz"/>
    <m/>
    <x v="2"/>
    <x v="13"/>
  </r>
  <r>
    <x v="2019"/>
    <s v="Dienstag"/>
    <s v="Porz"/>
    <m/>
    <x v="2"/>
    <x v="13"/>
  </r>
  <r>
    <x v="2020"/>
    <s v="Mittwoch"/>
    <s v="Porz"/>
    <m/>
    <x v="2"/>
    <x v="13"/>
  </r>
  <r>
    <x v="2021"/>
    <s v="Donnerstag"/>
    <s v="Porz"/>
    <m/>
    <x v="2"/>
    <x v="13"/>
  </r>
  <r>
    <x v="2022"/>
    <s v="Freitag"/>
    <s v="Porz"/>
    <m/>
    <x v="2"/>
    <x v="13"/>
  </r>
  <r>
    <x v="2023"/>
    <s v="Samstag"/>
    <s v="Porz"/>
    <m/>
    <x v="2"/>
    <x v="13"/>
  </r>
  <r>
    <x v="2024"/>
    <s v="Sonntag"/>
    <s v="Porz"/>
    <m/>
    <x v="2"/>
    <x v="13"/>
  </r>
  <r>
    <x v="2025"/>
    <s v="Montag"/>
    <s v="Porz"/>
    <m/>
    <x v="2"/>
    <x v="13"/>
  </r>
  <r>
    <x v="2026"/>
    <s v="Dienstag"/>
    <s v="Porz"/>
    <m/>
    <x v="2"/>
    <x v="13"/>
  </r>
  <r>
    <x v="2027"/>
    <s v="Mittwoch"/>
    <s v="Porz"/>
    <m/>
    <x v="2"/>
    <x v="13"/>
  </r>
  <r>
    <x v="2028"/>
    <s v="Donnerstag"/>
    <s v="Porz"/>
    <m/>
    <x v="2"/>
    <x v="13"/>
  </r>
  <r>
    <x v="2029"/>
    <s v="Freitag"/>
    <s v="Porz"/>
    <m/>
    <x v="2"/>
    <x v="13"/>
  </r>
  <r>
    <x v="2030"/>
    <s v="Samstag"/>
    <s v="Porz"/>
    <m/>
    <x v="2"/>
    <x v="13"/>
  </r>
  <r>
    <x v="2031"/>
    <s v="Sonntag"/>
    <s v="Porz"/>
    <m/>
    <x v="2"/>
    <x v="13"/>
  </r>
  <r>
    <x v="2032"/>
    <s v="Montag"/>
    <s v="Porz"/>
    <m/>
    <x v="2"/>
    <x v="13"/>
  </r>
  <r>
    <x v="2033"/>
    <s v="Dienstag"/>
    <s v="Porz"/>
    <m/>
    <x v="2"/>
    <x v="13"/>
  </r>
  <r>
    <x v="2034"/>
    <s v="Mittwoch"/>
    <s v="Porz"/>
    <m/>
    <x v="2"/>
    <x v="13"/>
  </r>
  <r>
    <x v="2035"/>
    <s v="Donnerstag"/>
    <s v="Porz"/>
    <m/>
    <x v="2"/>
    <x v="13"/>
  </r>
  <r>
    <x v="2036"/>
    <s v="Freitag"/>
    <s v="Porz"/>
    <m/>
    <x v="2"/>
    <x v="13"/>
  </r>
  <r>
    <x v="2037"/>
    <s v="Samstag"/>
    <s v="Porz"/>
    <m/>
    <x v="2"/>
    <x v="13"/>
  </r>
  <r>
    <x v="2038"/>
    <s v="Sonntag"/>
    <s v="Porz"/>
    <m/>
    <x v="2"/>
    <x v="13"/>
  </r>
  <r>
    <x v="2039"/>
    <s v="Montag"/>
    <s v="Porz"/>
    <m/>
    <x v="2"/>
    <x v="13"/>
  </r>
  <r>
    <x v="2040"/>
    <s v="Dienstag"/>
    <s v="Porz"/>
    <m/>
    <x v="2"/>
    <x v="13"/>
  </r>
  <r>
    <x v="2041"/>
    <s v="Mittwoch"/>
    <s v="Porz"/>
    <m/>
    <x v="2"/>
    <x v="13"/>
  </r>
  <r>
    <x v="2042"/>
    <s v="Donnerstag"/>
    <s v="Porz"/>
    <m/>
    <x v="2"/>
    <x v="13"/>
  </r>
  <r>
    <x v="2043"/>
    <s v="Freitag"/>
    <s v="Porz"/>
    <m/>
    <x v="2"/>
    <x v="13"/>
  </r>
  <r>
    <x v="2044"/>
    <s v="Samstag"/>
    <s v="Porz"/>
    <m/>
    <x v="2"/>
    <x v="13"/>
  </r>
  <r>
    <x v="2045"/>
    <s v="Sonntag"/>
    <s v="Porz"/>
    <m/>
    <x v="2"/>
    <x v="13"/>
  </r>
  <r>
    <x v="2046"/>
    <s v="Montag"/>
    <s v="Porz"/>
    <m/>
    <x v="2"/>
    <x v="13"/>
  </r>
  <r>
    <x v="2047"/>
    <s v="Dienstag"/>
    <s v="Porz"/>
    <m/>
    <x v="2"/>
    <x v="13"/>
  </r>
  <r>
    <x v="2048"/>
    <s v="Mittwoch"/>
    <s v="Porz"/>
    <m/>
    <x v="2"/>
    <x v="13"/>
  </r>
  <r>
    <x v="2049"/>
    <s v="Donnerstag"/>
    <s v="Porz"/>
    <m/>
    <x v="2"/>
    <x v="13"/>
  </r>
  <r>
    <x v="2050"/>
    <s v="Freitag"/>
    <s v="Porz"/>
    <m/>
    <x v="2"/>
    <x v="13"/>
  </r>
  <r>
    <x v="2051"/>
    <s v="Samstag"/>
    <s v="Porz"/>
    <m/>
    <x v="2"/>
    <x v="13"/>
  </r>
  <r>
    <x v="2052"/>
    <s v="Sonntag"/>
    <s v="Porz"/>
    <m/>
    <x v="2"/>
    <x v="13"/>
  </r>
  <r>
    <x v="2053"/>
    <s v="Montag"/>
    <s v="Porz"/>
    <m/>
    <x v="2"/>
    <x v="13"/>
  </r>
  <r>
    <x v="2054"/>
    <s v="Dienstag"/>
    <s v="Porz"/>
    <m/>
    <x v="2"/>
    <x v="13"/>
  </r>
  <r>
    <x v="2055"/>
    <s v="Mittwoch"/>
    <s v="Porz"/>
    <m/>
    <x v="2"/>
    <x v="13"/>
  </r>
  <r>
    <x v="2056"/>
    <s v="Donnerstag"/>
    <s v="Porz"/>
    <m/>
    <x v="2"/>
    <x v="13"/>
  </r>
  <r>
    <x v="2057"/>
    <s v="Freitag"/>
    <s v="Porz"/>
    <m/>
    <x v="2"/>
    <x v="13"/>
  </r>
  <r>
    <x v="2058"/>
    <s v="Samstag"/>
    <s v="Porz"/>
    <m/>
    <x v="2"/>
    <x v="13"/>
  </r>
  <r>
    <x v="2059"/>
    <s v="Sonntag"/>
    <s v="Porz"/>
    <m/>
    <x v="2"/>
    <x v="13"/>
  </r>
  <r>
    <x v="2060"/>
    <s v="Montag"/>
    <s v="Porz"/>
    <m/>
    <x v="2"/>
    <x v="13"/>
  </r>
  <r>
    <x v="2061"/>
    <s v="Dienstag"/>
    <s v="Porz"/>
    <m/>
    <x v="2"/>
    <x v="13"/>
  </r>
  <r>
    <x v="2062"/>
    <s v="Mittwoch"/>
    <s v="Porz"/>
    <m/>
    <x v="2"/>
    <x v="13"/>
  </r>
  <r>
    <x v="2063"/>
    <s v="Donnerstag"/>
    <s v="Porz"/>
    <m/>
    <x v="2"/>
    <x v="13"/>
  </r>
  <r>
    <x v="2064"/>
    <s v="Freitag"/>
    <s v="Porz"/>
    <m/>
    <x v="2"/>
    <x v="13"/>
  </r>
  <r>
    <x v="2065"/>
    <s v="Samstag"/>
    <s v="Porz"/>
    <m/>
    <x v="2"/>
    <x v="13"/>
  </r>
  <r>
    <x v="2066"/>
    <s v="Sonntag"/>
    <s v="Porz"/>
    <m/>
    <x v="2"/>
    <x v="13"/>
  </r>
  <r>
    <x v="2067"/>
    <s v="Montag"/>
    <s v="Porz"/>
    <m/>
    <x v="2"/>
    <x v="13"/>
  </r>
  <r>
    <x v="2068"/>
    <s v="Dienstag"/>
    <s v="Porz"/>
    <m/>
    <x v="2"/>
    <x v="13"/>
  </r>
  <r>
    <x v="2069"/>
    <s v="Mittwoch"/>
    <s v="Porz"/>
    <m/>
    <x v="2"/>
    <x v="13"/>
  </r>
  <r>
    <x v="2070"/>
    <s v="Donnerstag"/>
    <s v="Porz"/>
    <m/>
    <x v="2"/>
    <x v="13"/>
  </r>
  <r>
    <x v="2071"/>
    <s v="Freitag"/>
    <s v="Porz"/>
    <m/>
    <x v="2"/>
    <x v="13"/>
  </r>
  <r>
    <x v="2072"/>
    <s v="Samstag"/>
    <s v="Porz"/>
    <m/>
    <x v="2"/>
    <x v="13"/>
  </r>
  <r>
    <x v="2073"/>
    <s v="Sonntag"/>
    <s v="Porz"/>
    <m/>
    <x v="2"/>
    <x v="13"/>
  </r>
  <r>
    <x v="2074"/>
    <s v="Montag"/>
    <s v="Porz"/>
    <m/>
    <x v="2"/>
    <x v="13"/>
  </r>
  <r>
    <x v="2075"/>
    <s v="Dienstag"/>
    <s v="Porz"/>
    <m/>
    <x v="2"/>
    <x v="13"/>
  </r>
  <r>
    <x v="2076"/>
    <s v="Mittwoch"/>
    <s v="Porz"/>
    <m/>
    <x v="2"/>
    <x v="13"/>
  </r>
  <r>
    <x v="2077"/>
    <s v="Donnerstag"/>
    <s v="Porz"/>
    <m/>
    <x v="2"/>
    <x v="13"/>
  </r>
  <r>
    <x v="2078"/>
    <s v="Freitag"/>
    <s v="Porz"/>
    <m/>
    <x v="2"/>
    <x v="13"/>
  </r>
  <r>
    <x v="2079"/>
    <s v="Samstag"/>
    <s v="Porz"/>
    <m/>
    <x v="2"/>
    <x v="13"/>
  </r>
  <r>
    <x v="2080"/>
    <s v="Sonntag"/>
    <s v="Porz"/>
    <m/>
    <x v="2"/>
    <x v="13"/>
  </r>
  <r>
    <x v="2081"/>
    <s v="Montag"/>
    <s v="Porz"/>
    <m/>
    <x v="2"/>
    <x v="13"/>
  </r>
  <r>
    <x v="2082"/>
    <s v="Dienstag"/>
    <s v="Porz"/>
    <m/>
    <x v="2"/>
    <x v="13"/>
  </r>
  <r>
    <x v="2083"/>
    <s v="Mittwoch"/>
    <s v="Porz"/>
    <m/>
    <x v="2"/>
    <x v="13"/>
  </r>
  <r>
    <x v="2084"/>
    <s v="Donnerstag"/>
    <s v="Porz"/>
    <m/>
    <x v="2"/>
    <x v="13"/>
  </r>
  <r>
    <x v="2085"/>
    <s v="Freitag"/>
    <s v="Porz"/>
    <m/>
    <x v="2"/>
    <x v="13"/>
  </r>
  <r>
    <x v="2086"/>
    <s v="Samstag"/>
    <s v="Porz"/>
    <m/>
    <x v="2"/>
    <x v="13"/>
  </r>
  <r>
    <x v="2087"/>
    <s v="Sonntag"/>
    <s v="Porz"/>
    <m/>
    <x v="2"/>
    <x v="13"/>
  </r>
  <r>
    <x v="2088"/>
    <s v="Montag"/>
    <s v="Porz"/>
    <m/>
    <x v="2"/>
    <x v="13"/>
  </r>
  <r>
    <x v="2089"/>
    <s v="Dienstag"/>
    <s v="Porz"/>
    <m/>
    <x v="2"/>
    <x v="13"/>
  </r>
  <r>
    <x v="2090"/>
    <s v="Mittwoch"/>
    <s v="Porz"/>
    <m/>
    <x v="2"/>
    <x v="13"/>
  </r>
  <r>
    <x v="2091"/>
    <s v="Donnerstag"/>
    <s v="Porz"/>
    <m/>
    <x v="2"/>
    <x v="13"/>
  </r>
  <r>
    <x v="2092"/>
    <s v="Freitag"/>
    <s v="Porz"/>
    <m/>
    <x v="2"/>
    <x v="13"/>
  </r>
  <r>
    <x v="2093"/>
    <s v="Samstag"/>
    <s v="Porz"/>
    <m/>
    <x v="2"/>
    <x v="13"/>
  </r>
  <r>
    <x v="2094"/>
    <s v="Sonntag"/>
    <s v="Porz"/>
    <m/>
    <x v="2"/>
    <x v="13"/>
  </r>
  <r>
    <x v="2095"/>
    <s v="Montag"/>
    <s v="Porz"/>
    <m/>
    <x v="2"/>
    <x v="13"/>
  </r>
  <r>
    <x v="2096"/>
    <s v="Dienstag"/>
    <s v="Porz"/>
    <m/>
    <x v="2"/>
    <x v="13"/>
  </r>
  <r>
    <x v="2097"/>
    <s v="Mittwoch"/>
    <s v="Porz"/>
    <m/>
    <x v="2"/>
    <x v="13"/>
  </r>
  <r>
    <x v="2098"/>
    <s v="Donnerstag"/>
    <s v="Porz"/>
    <m/>
    <x v="2"/>
    <x v="13"/>
  </r>
  <r>
    <x v="2099"/>
    <s v="Freitag"/>
    <s v="Porz"/>
    <m/>
    <x v="2"/>
    <x v="13"/>
  </r>
  <r>
    <x v="2100"/>
    <s v="Samstag"/>
    <s v="Porz"/>
    <m/>
    <x v="2"/>
    <x v="13"/>
  </r>
  <r>
    <x v="2101"/>
    <s v="Sonntag"/>
    <s v="Porz"/>
    <m/>
    <x v="2"/>
    <x v="13"/>
  </r>
  <r>
    <x v="2102"/>
    <s v="Montag"/>
    <s v="Porz"/>
    <m/>
    <x v="2"/>
    <x v="13"/>
  </r>
  <r>
    <x v="2103"/>
    <s v="Dienstag"/>
    <s v="Porz"/>
    <m/>
    <x v="2"/>
    <x v="13"/>
  </r>
  <r>
    <x v="2104"/>
    <s v="Mittwoch"/>
    <s v="Porz"/>
    <m/>
    <x v="2"/>
    <x v="13"/>
  </r>
  <r>
    <x v="2105"/>
    <s v="Donnerstag"/>
    <s v="Porz"/>
    <m/>
    <x v="2"/>
    <x v="13"/>
  </r>
  <r>
    <x v="2106"/>
    <s v="Freitag"/>
    <s v="Porz"/>
    <m/>
    <x v="2"/>
    <x v="13"/>
  </r>
  <r>
    <x v="2107"/>
    <s v="Samstag"/>
    <s v="Porz"/>
    <m/>
    <x v="2"/>
    <x v="13"/>
  </r>
  <r>
    <x v="2108"/>
    <s v="Sonntag"/>
    <s v="Porz"/>
    <m/>
    <x v="2"/>
    <x v="13"/>
  </r>
  <r>
    <x v="2109"/>
    <s v="Montag"/>
    <s v="Porz"/>
    <m/>
    <x v="2"/>
    <x v="13"/>
  </r>
  <r>
    <x v="2110"/>
    <s v="Dienstag"/>
    <s v="Porz"/>
    <m/>
    <x v="2"/>
    <x v="13"/>
  </r>
  <r>
    <x v="2111"/>
    <s v="Mittwoch"/>
    <s v="Porz"/>
    <m/>
    <x v="2"/>
    <x v="13"/>
  </r>
  <r>
    <x v="2112"/>
    <s v="Donnerstag"/>
    <s v="Porz"/>
    <m/>
    <x v="2"/>
    <x v="13"/>
  </r>
  <r>
    <x v="2113"/>
    <s v="Freitag"/>
    <s v="Porz"/>
    <m/>
    <x v="2"/>
    <x v="13"/>
  </r>
  <r>
    <x v="2114"/>
    <s v="Samstag"/>
    <s v="Porz"/>
    <m/>
    <x v="2"/>
    <x v="13"/>
  </r>
  <r>
    <x v="2115"/>
    <s v="Sonntag"/>
    <s v="Porz"/>
    <m/>
    <x v="2"/>
    <x v="13"/>
  </r>
  <r>
    <x v="2116"/>
    <s v="Montag"/>
    <s v="Porz"/>
    <m/>
    <x v="2"/>
    <x v="13"/>
  </r>
  <r>
    <x v="2117"/>
    <s v="Dienstag"/>
    <s v="Porz"/>
    <m/>
    <x v="2"/>
    <x v="13"/>
  </r>
  <r>
    <x v="2118"/>
    <s v="Mittwoch"/>
    <s v="Porz"/>
    <m/>
    <x v="2"/>
    <x v="13"/>
  </r>
  <r>
    <x v="2119"/>
    <s v="Donnerstag"/>
    <s v="Porz"/>
    <m/>
    <x v="2"/>
    <x v="13"/>
  </r>
  <r>
    <x v="2120"/>
    <s v="Freitag"/>
    <s v="Porz"/>
    <m/>
    <x v="2"/>
    <x v="13"/>
  </r>
  <r>
    <x v="2121"/>
    <s v="Samstag"/>
    <s v="Porz"/>
    <m/>
    <x v="2"/>
    <x v="13"/>
  </r>
  <r>
    <x v="2122"/>
    <s v="Sonntag"/>
    <s v="Porz"/>
    <m/>
    <x v="2"/>
    <x v="13"/>
  </r>
  <r>
    <x v="2123"/>
    <s v="Montag"/>
    <s v="Porz"/>
    <m/>
    <x v="2"/>
    <x v="13"/>
  </r>
  <r>
    <x v="2124"/>
    <s v="Dienstag"/>
    <s v="Porz"/>
    <m/>
    <x v="2"/>
    <x v="13"/>
  </r>
  <r>
    <x v="2125"/>
    <s v="Mittwoch"/>
    <s v="Porz"/>
    <m/>
    <x v="2"/>
    <x v="13"/>
  </r>
  <r>
    <x v="2126"/>
    <s v="Donnerstag"/>
    <s v="Porz"/>
    <m/>
    <x v="2"/>
    <x v="13"/>
  </r>
  <r>
    <x v="2127"/>
    <s v="Freitag"/>
    <s v="Porz"/>
    <m/>
    <x v="2"/>
    <x v="13"/>
  </r>
  <r>
    <x v="2128"/>
    <s v="Samstag"/>
    <s v="Porz"/>
    <m/>
    <x v="2"/>
    <x v="13"/>
  </r>
  <r>
    <x v="2129"/>
    <s v="Sonntag"/>
    <s v="Porz"/>
    <m/>
    <x v="2"/>
    <x v="13"/>
  </r>
  <r>
    <x v="2130"/>
    <s v="Montag"/>
    <s v="Porz"/>
    <m/>
    <x v="2"/>
    <x v="13"/>
  </r>
  <r>
    <x v="2131"/>
    <s v="Dienstag"/>
    <s v="Porz"/>
    <m/>
    <x v="2"/>
    <x v="13"/>
  </r>
  <r>
    <x v="2132"/>
    <s v="Mittwoch"/>
    <s v="Porz"/>
    <m/>
    <x v="2"/>
    <x v="13"/>
  </r>
  <r>
    <x v="2133"/>
    <s v="Donnerstag"/>
    <s v="Porz"/>
    <m/>
    <x v="2"/>
    <x v="13"/>
  </r>
  <r>
    <x v="2134"/>
    <s v="Freitag"/>
    <s v="Porz"/>
    <m/>
    <x v="2"/>
    <x v="13"/>
  </r>
  <r>
    <x v="2135"/>
    <s v="Samstag"/>
    <s v="Porz"/>
    <m/>
    <x v="2"/>
    <x v="13"/>
  </r>
  <r>
    <x v="2136"/>
    <s v="Sonntag"/>
    <s v="Porz"/>
    <m/>
    <x v="2"/>
    <x v="13"/>
  </r>
  <r>
    <x v="2137"/>
    <s v="Montag"/>
    <s v="Porz"/>
    <m/>
    <x v="2"/>
    <x v="13"/>
  </r>
  <r>
    <x v="2138"/>
    <s v="Dienstag"/>
    <s v="Porz"/>
    <m/>
    <x v="2"/>
    <x v="13"/>
  </r>
  <r>
    <x v="2139"/>
    <s v="Mittwoch"/>
    <s v="Porz"/>
    <m/>
    <x v="2"/>
    <x v="13"/>
  </r>
  <r>
    <x v="2140"/>
    <s v="Donnerstag"/>
    <s v="Porz"/>
    <m/>
    <x v="2"/>
    <x v="13"/>
  </r>
  <r>
    <x v="2141"/>
    <s v="Freitag"/>
    <s v="Porz"/>
    <m/>
    <x v="2"/>
    <x v="13"/>
  </r>
  <r>
    <x v="2142"/>
    <s v="Samstag"/>
    <s v="Porz"/>
    <m/>
    <x v="2"/>
    <x v="13"/>
  </r>
  <r>
    <x v="2143"/>
    <s v="Sonntag"/>
    <s v="Porz"/>
    <m/>
    <x v="2"/>
    <x v="13"/>
  </r>
  <r>
    <x v="2144"/>
    <s v="Montag"/>
    <s v="Porz"/>
    <m/>
    <x v="2"/>
    <x v="13"/>
  </r>
  <r>
    <x v="2145"/>
    <s v="Dienstag"/>
    <s v="Porz"/>
    <m/>
    <x v="2"/>
    <x v="13"/>
  </r>
  <r>
    <x v="2146"/>
    <s v="Mittwoch"/>
    <s v="Porz"/>
    <m/>
    <x v="2"/>
    <x v="13"/>
  </r>
  <r>
    <x v="2147"/>
    <s v="Donnerstag"/>
    <s v="Porz"/>
    <m/>
    <x v="2"/>
    <x v="13"/>
  </r>
  <r>
    <x v="2148"/>
    <s v="Freitag"/>
    <s v="Porz"/>
    <m/>
    <x v="2"/>
    <x v="13"/>
  </r>
  <r>
    <x v="2149"/>
    <s v="Samstag"/>
    <s v="Porz"/>
    <m/>
    <x v="2"/>
    <x v="13"/>
  </r>
  <r>
    <x v="2150"/>
    <s v="Sonntag"/>
    <s v="Porz"/>
    <m/>
    <x v="2"/>
    <x v="13"/>
  </r>
  <r>
    <x v="2151"/>
    <s v="Montag"/>
    <s v="Porz"/>
    <m/>
    <x v="2"/>
    <x v="13"/>
  </r>
  <r>
    <x v="2152"/>
    <s v="Dienstag"/>
    <s v="Porz"/>
    <m/>
    <x v="2"/>
    <x v="13"/>
  </r>
  <r>
    <x v="2153"/>
    <s v="Mittwoch"/>
    <s v="Porz"/>
    <m/>
    <x v="2"/>
    <x v="13"/>
  </r>
  <r>
    <x v="2154"/>
    <s v="Donnerstag"/>
    <s v="Porz"/>
    <m/>
    <x v="2"/>
    <x v="13"/>
  </r>
  <r>
    <x v="2155"/>
    <s v="Freitag"/>
    <s v="Porz"/>
    <m/>
    <x v="2"/>
    <x v="13"/>
  </r>
  <r>
    <x v="2156"/>
    <s v="Samstag"/>
    <s v="Porz"/>
    <m/>
    <x v="2"/>
    <x v="13"/>
  </r>
  <r>
    <x v="2157"/>
    <s v="Sonntag"/>
    <s v="Porz"/>
    <m/>
    <x v="2"/>
    <x v="13"/>
  </r>
  <r>
    <x v="2158"/>
    <s v="Montag"/>
    <s v="Porz"/>
    <m/>
    <x v="2"/>
    <x v="13"/>
  </r>
  <r>
    <x v="2159"/>
    <s v="Dienstag"/>
    <s v="Porz"/>
    <m/>
    <x v="2"/>
    <x v="13"/>
  </r>
  <r>
    <x v="2160"/>
    <s v="Mittwoch"/>
    <s v="Porz"/>
    <m/>
    <x v="2"/>
    <x v="13"/>
  </r>
  <r>
    <x v="2161"/>
    <s v="Donnerstag"/>
    <s v="Porz"/>
    <m/>
    <x v="2"/>
    <x v="13"/>
  </r>
  <r>
    <x v="2162"/>
    <s v="Freitag"/>
    <s v="Porz"/>
    <m/>
    <x v="2"/>
    <x v="13"/>
  </r>
  <r>
    <x v="2163"/>
    <s v="Samstag"/>
    <s v="Porz"/>
    <m/>
    <x v="2"/>
    <x v="13"/>
  </r>
  <r>
    <x v="2164"/>
    <s v="Sonntag"/>
    <s v="Porz"/>
    <m/>
    <x v="2"/>
    <x v="13"/>
  </r>
  <r>
    <x v="2165"/>
    <s v="Montag"/>
    <s v="Porz"/>
    <m/>
    <x v="2"/>
    <x v="13"/>
  </r>
  <r>
    <x v="2166"/>
    <s v="Dienstag"/>
    <s v="Porz"/>
    <m/>
    <x v="2"/>
    <x v="13"/>
  </r>
  <r>
    <x v="2167"/>
    <s v="Mittwoch"/>
    <s v="Porz"/>
    <m/>
    <x v="2"/>
    <x v="13"/>
  </r>
  <r>
    <x v="2168"/>
    <s v="Donnerstag"/>
    <s v="Porz"/>
    <m/>
    <x v="2"/>
    <x v="13"/>
  </r>
  <r>
    <x v="2169"/>
    <s v="Freitag"/>
    <s v="Porz"/>
    <m/>
    <x v="2"/>
    <x v="13"/>
  </r>
  <r>
    <x v="2170"/>
    <s v="Samstag"/>
    <s v="Porz"/>
    <m/>
    <x v="2"/>
    <x v="13"/>
  </r>
  <r>
    <x v="2171"/>
    <s v="Sonntag"/>
    <s v="Porz"/>
    <m/>
    <x v="2"/>
    <x v="13"/>
  </r>
  <r>
    <x v="2172"/>
    <s v="Montag"/>
    <s v="Porz"/>
    <m/>
    <x v="2"/>
    <x v="13"/>
  </r>
  <r>
    <x v="2173"/>
    <s v="Dienstag"/>
    <s v="Porz"/>
    <m/>
    <x v="2"/>
    <x v="13"/>
  </r>
  <r>
    <x v="2174"/>
    <s v="Mittwoch"/>
    <s v="Porz"/>
    <m/>
    <x v="2"/>
    <x v="13"/>
  </r>
  <r>
    <x v="2175"/>
    <s v="Donnerstag"/>
    <s v="Porz"/>
    <m/>
    <x v="2"/>
    <x v="13"/>
  </r>
  <r>
    <x v="2176"/>
    <s v="Freitag"/>
    <s v="Porz"/>
    <m/>
    <x v="2"/>
    <x v="13"/>
  </r>
  <r>
    <x v="2177"/>
    <s v="Samstag"/>
    <s v="Porz"/>
    <m/>
    <x v="2"/>
    <x v="13"/>
  </r>
  <r>
    <x v="2178"/>
    <s v="Sonntag"/>
    <s v="Porz"/>
    <m/>
    <x v="2"/>
    <x v="13"/>
  </r>
  <r>
    <x v="2179"/>
    <s v="Montag"/>
    <s v="Porz"/>
    <m/>
    <x v="2"/>
    <x v="13"/>
  </r>
  <r>
    <x v="2180"/>
    <s v="Dienstag"/>
    <s v="Porz"/>
    <m/>
    <x v="2"/>
    <x v="13"/>
  </r>
  <r>
    <x v="2181"/>
    <s v="Mittwoch"/>
    <s v="Porz"/>
    <m/>
    <x v="2"/>
    <x v="13"/>
  </r>
  <r>
    <x v="2182"/>
    <s v="Donnerstag"/>
    <s v="Porz"/>
    <m/>
    <x v="2"/>
    <x v="13"/>
  </r>
  <r>
    <x v="2183"/>
    <s v="Freitag"/>
    <s v="Porz"/>
    <m/>
    <x v="2"/>
    <x v="13"/>
  </r>
  <r>
    <x v="2184"/>
    <s v="Samstag"/>
    <s v="Porz"/>
    <m/>
    <x v="2"/>
    <x v="13"/>
  </r>
  <r>
    <x v="2185"/>
    <s v="Sonntag"/>
    <s v="Porz"/>
    <m/>
    <x v="2"/>
    <x v="13"/>
  </r>
  <r>
    <x v="2186"/>
    <s v="Montag"/>
    <s v="Porz"/>
    <m/>
    <x v="2"/>
    <x v="13"/>
  </r>
  <r>
    <x v="2187"/>
    <s v="Dienstag"/>
    <s v="Porz"/>
    <m/>
    <x v="2"/>
    <x v="13"/>
  </r>
  <r>
    <x v="2188"/>
    <s v="Mittwoch"/>
    <s v="Porz"/>
    <m/>
    <x v="2"/>
    <x v="13"/>
  </r>
  <r>
    <x v="2189"/>
    <s v="Donnerstag"/>
    <s v="Porz"/>
    <m/>
    <x v="2"/>
    <x v="13"/>
  </r>
  <r>
    <x v="2190"/>
    <s v="Freitag"/>
    <s v="Porz"/>
    <m/>
    <x v="2"/>
    <x v="13"/>
  </r>
  <r>
    <x v="2191"/>
    <s v="Samstag"/>
    <s v="Porz"/>
    <m/>
    <x v="2"/>
    <x v="13"/>
  </r>
  <r>
    <x v="2192"/>
    <s v="Sonntag"/>
    <s v="Porz"/>
    <m/>
    <x v="2"/>
    <x v="13"/>
  </r>
  <r>
    <x v="2193"/>
    <s v="Montag"/>
    <s v="Porz"/>
    <m/>
    <x v="2"/>
    <x v="13"/>
  </r>
  <r>
    <x v="2194"/>
    <s v="Dienstag"/>
    <s v="Porz"/>
    <m/>
    <x v="2"/>
    <x v="13"/>
  </r>
  <r>
    <x v="2195"/>
    <s v="Mittwoch"/>
    <s v="Porz"/>
    <m/>
    <x v="2"/>
    <x v="13"/>
  </r>
  <r>
    <x v="2196"/>
    <s v="Donnerstag"/>
    <s v="Porz"/>
    <m/>
    <x v="2"/>
    <x v="13"/>
  </r>
  <r>
    <x v="2197"/>
    <s v="Freitag"/>
    <s v="Porz"/>
    <m/>
    <x v="2"/>
    <x v="13"/>
  </r>
  <r>
    <x v="2198"/>
    <s v="Samstag"/>
    <s v="Porz"/>
    <m/>
    <x v="2"/>
    <x v="13"/>
  </r>
  <r>
    <x v="2199"/>
    <s v="Sonntag"/>
    <s v="Porz"/>
    <m/>
    <x v="2"/>
    <x v="13"/>
  </r>
  <r>
    <x v="2200"/>
    <s v="Montag"/>
    <s v="Porz"/>
    <m/>
    <x v="2"/>
    <x v="13"/>
  </r>
  <r>
    <x v="2201"/>
    <s v="Dienstag"/>
    <s v="Porz"/>
    <m/>
    <x v="2"/>
    <x v="13"/>
  </r>
  <r>
    <x v="2202"/>
    <s v="Mittwoch"/>
    <s v="Porz"/>
    <m/>
    <x v="2"/>
    <x v="13"/>
  </r>
  <r>
    <x v="2203"/>
    <s v="Donnerstag"/>
    <s v="Porz"/>
    <m/>
    <x v="2"/>
    <x v="13"/>
  </r>
  <r>
    <x v="2204"/>
    <s v="Freitag"/>
    <s v="Porz"/>
    <m/>
    <x v="2"/>
    <x v="13"/>
  </r>
  <r>
    <x v="2205"/>
    <s v="Samstag"/>
    <s v="Porz"/>
    <m/>
    <x v="2"/>
    <x v="13"/>
  </r>
  <r>
    <x v="2206"/>
    <s v="Sonntag"/>
    <s v="Porz"/>
    <m/>
    <x v="2"/>
    <x v="13"/>
  </r>
  <r>
    <x v="2207"/>
    <s v="Montag"/>
    <s v="Porz"/>
    <m/>
    <x v="2"/>
    <x v="13"/>
  </r>
  <r>
    <x v="2208"/>
    <s v="Dienstag"/>
    <s v="Porz"/>
    <m/>
    <x v="2"/>
    <x v="13"/>
  </r>
  <r>
    <x v="2209"/>
    <s v="Mittwoch"/>
    <s v="Porz"/>
    <m/>
    <x v="2"/>
    <x v="13"/>
  </r>
  <r>
    <x v="2210"/>
    <s v="Donnerstag"/>
    <s v="Porz"/>
    <m/>
    <x v="2"/>
    <x v="13"/>
  </r>
  <r>
    <x v="2211"/>
    <s v="Freitag"/>
    <s v="Porz"/>
    <m/>
    <x v="2"/>
    <x v="13"/>
  </r>
  <r>
    <x v="2212"/>
    <s v="Samstag"/>
    <s v="Porz"/>
    <m/>
    <x v="2"/>
    <x v="13"/>
  </r>
  <r>
    <x v="2213"/>
    <s v="Sonntag"/>
    <s v="Porz"/>
    <m/>
    <x v="2"/>
    <x v="13"/>
  </r>
  <r>
    <x v="2214"/>
    <s v="Montag"/>
    <s v="Porz"/>
    <m/>
    <x v="2"/>
    <x v="13"/>
  </r>
  <r>
    <x v="2215"/>
    <s v="Dienstag"/>
    <s v="Porz"/>
    <m/>
    <x v="2"/>
    <x v="13"/>
  </r>
  <r>
    <x v="2216"/>
    <s v="Mittwoch"/>
    <s v="Porz"/>
    <m/>
    <x v="2"/>
    <x v="13"/>
  </r>
  <r>
    <x v="2217"/>
    <s v="Donnerstag"/>
    <s v="Porz"/>
    <m/>
    <x v="2"/>
    <x v="13"/>
  </r>
  <r>
    <x v="2218"/>
    <s v="Freitag"/>
    <s v="Porz"/>
    <m/>
    <x v="2"/>
    <x v="13"/>
  </r>
  <r>
    <x v="2219"/>
    <s v="Samstag"/>
    <s v="Porz"/>
    <m/>
    <x v="2"/>
    <x v="13"/>
  </r>
  <r>
    <x v="2220"/>
    <s v="Sonntag"/>
    <s v="Porz"/>
    <m/>
    <x v="2"/>
    <x v="13"/>
  </r>
  <r>
    <x v="2221"/>
    <s v="Montag"/>
    <s v="Porz"/>
    <m/>
    <x v="2"/>
    <x v="13"/>
  </r>
  <r>
    <x v="2222"/>
    <s v="Dienstag"/>
    <s v="Porz"/>
    <m/>
    <x v="2"/>
    <x v="13"/>
  </r>
  <r>
    <x v="2223"/>
    <s v="Mittwoch"/>
    <s v="Porz"/>
    <m/>
    <x v="2"/>
    <x v="13"/>
  </r>
  <r>
    <x v="2224"/>
    <s v="Donnerstag"/>
    <s v="Porz"/>
    <m/>
    <x v="2"/>
    <x v="13"/>
  </r>
  <r>
    <x v="2225"/>
    <s v="Freitag"/>
    <s v="Porz"/>
    <m/>
    <x v="2"/>
    <x v="13"/>
  </r>
  <r>
    <x v="2226"/>
    <s v="Samstag"/>
    <s v="Porz"/>
    <m/>
    <x v="2"/>
    <x v="13"/>
  </r>
  <r>
    <x v="2227"/>
    <s v="Sonntag"/>
    <s v="Porz"/>
    <m/>
    <x v="2"/>
    <x v="13"/>
  </r>
  <r>
    <x v="2228"/>
    <s v="Montag"/>
    <s v="Porz"/>
    <m/>
    <x v="2"/>
    <x v="13"/>
  </r>
  <r>
    <x v="2229"/>
    <s v="Dienstag"/>
    <s v="Porz"/>
    <m/>
    <x v="2"/>
    <x v="13"/>
  </r>
  <r>
    <x v="2230"/>
    <s v="Mittwoch"/>
    <s v="Porz"/>
    <m/>
    <x v="2"/>
    <x v="13"/>
  </r>
  <r>
    <x v="2231"/>
    <s v="Donnerstag"/>
    <s v="Porz"/>
    <m/>
    <x v="2"/>
    <x v="13"/>
  </r>
  <r>
    <x v="2232"/>
    <s v="Freitag"/>
    <s v="Porz"/>
    <m/>
    <x v="2"/>
    <x v="13"/>
  </r>
  <r>
    <x v="2233"/>
    <s v="Samstag"/>
    <s v="Porz"/>
    <m/>
    <x v="2"/>
    <x v="13"/>
  </r>
  <r>
    <x v="2234"/>
    <s v="Sonntag"/>
    <s v="Porz"/>
    <m/>
    <x v="2"/>
    <x v="13"/>
  </r>
  <r>
    <x v="2235"/>
    <s v="Montag"/>
    <s v="Porz"/>
    <m/>
    <x v="2"/>
    <x v="13"/>
  </r>
  <r>
    <x v="2236"/>
    <s v="Dienstag"/>
    <s v="Porz"/>
    <m/>
    <x v="2"/>
    <x v="13"/>
  </r>
  <r>
    <x v="2237"/>
    <s v="Mittwoch"/>
    <s v="Porz"/>
    <m/>
    <x v="2"/>
    <x v="13"/>
  </r>
  <r>
    <x v="2238"/>
    <s v="Donnerstag"/>
    <s v="Porz"/>
    <m/>
    <x v="2"/>
    <x v="13"/>
  </r>
  <r>
    <x v="2239"/>
    <s v="Freitag"/>
    <s v="Porz"/>
    <m/>
    <x v="2"/>
    <x v="13"/>
  </r>
  <r>
    <x v="2240"/>
    <s v="Samstag"/>
    <s v="Porz"/>
    <m/>
    <x v="2"/>
    <x v="13"/>
  </r>
  <r>
    <x v="2241"/>
    <s v="Sonntag"/>
    <s v="Porz"/>
    <m/>
    <x v="2"/>
    <x v="13"/>
  </r>
  <r>
    <x v="2242"/>
    <s v="Montag"/>
    <s v="Porz"/>
    <m/>
    <x v="2"/>
    <x v="13"/>
  </r>
  <r>
    <x v="2243"/>
    <s v="Dienstag"/>
    <s v="Porz"/>
    <m/>
    <x v="2"/>
    <x v="13"/>
  </r>
  <r>
    <x v="2244"/>
    <s v="Mittwoch"/>
    <s v="Porz"/>
    <m/>
    <x v="2"/>
    <x v="13"/>
  </r>
  <r>
    <x v="2245"/>
    <s v="Donnerstag"/>
    <s v="Porz"/>
    <m/>
    <x v="2"/>
    <x v="13"/>
  </r>
  <r>
    <x v="2246"/>
    <s v="Freitag"/>
    <s v="Porz"/>
    <m/>
    <x v="2"/>
    <x v="13"/>
  </r>
  <r>
    <x v="2247"/>
    <s v="Samstag"/>
    <s v="Porz"/>
    <m/>
    <x v="2"/>
    <x v="13"/>
  </r>
  <r>
    <x v="2248"/>
    <s v="Sonntag"/>
    <s v="Porz"/>
    <m/>
    <x v="2"/>
    <x v="13"/>
  </r>
  <r>
    <x v="2249"/>
    <s v="Montag"/>
    <s v="Porz"/>
    <m/>
    <x v="2"/>
    <x v="13"/>
  </r>
  <r>
    <x v="2250"/>
    <s v="Dienstag"/>
    <s v="Porz"/>
    <m/>
    <x v="2"/>
    <x v="13"/>
  </r>
  <r>
    <x v="2251"/>
    <s v="Mittwoch"/>
    <s v="Porz"/>
    <m/>
    <x v="2"/>
    <x v="13"/>
  </r>
  <r>
    <x v="2252"/>
    <s v="Donnerstag"/>
    <s v="Porz"/>
    <m/>
    <x v="2"/>
    <x v="13"/>
  </r>
  <r>
    <x v="2253"/>
    <s v="Freitag"/>
    <s v="Porz"/>
    <m/>
    <x v="2"/>
    <x v="13"/>
  </r>
  <r>
    <x v="2254"/>
    <s v="Samstag"/>
    <s v="Porz"/>
    <m/>
    <x v="2"/>
    <x v="13"/>
  </r>
  <r>
    <x v="2255"/>
    <s v="Sonntag"/>
    <s v="Porz"/>
    <m/>
    <x v="2"/>
    <x v="13"/>
  </r>
  <r>
    <x v="2256"/>
    <s v="Montag"/>
    <s v="Porz"/>
    <m/>
    <x v="2"/>
    <x v="13"/>
  </r>
  <r>
    <x v="2257"/>
    <s v="Dienstag"/>
    <s v="Porz"/>
    <m/>
    <x v="2"/>
    <x v="13"/>
  </r>
  <r>
    <x v="2258"/>
    <s v="Mittwoch"/>
    <s v="Porz"/>
    <m/>
    <x v="2"/>
    <x v="13"/>
  </r>
  <r>
    <x v="2259"/>
    <s v="Donnerstag"/>
    <s v="Porz"/>
    <m/>
    <x v="2"/>
    <x v="13"/>
  </r>
  <r>
    <x v="2260"/>
    <s v="Freitag"/>
    <s v="Porz"/>
    <m/>
    <x v="2"/>
    <x v="13"/>
  </r>
  <r>
    <x v="2261"/>
    <s v="Samstag"/>
    <s v="Porz"/>
    <m/>
    <x v="2"/>
    <x v="13"/>
  </r>
  <r>
    <x v="2262"/>
    <s v="Sonntag"/>
    <s v="Porz"/>
    <m/>
    <x v="2"/>
    <x v="13"/>
  </r>
  <r>
    <x v="2263"/>
    <s v="Montag"/>
    <s v="Porz"/>
    <m/>
    <x v="2"/>
    <x v="13"/>
  </r>
  <r>
    <x v="2264"/>
    <s v="Dienstag"/>
    <s v="Porz"/>
    <m/>
    <x v="2"/>
    <x v="13"/>
  </r>
  <r>
    <x v="2265"/>
    <s v="Mittwoch"/>
    <s v="Porz"/>
    <m/>
    <x v="2"/>
    <x v="13"/>
  </r>
  <r>
    <x v="2266"/>
    <s v="Donnerstag"/>
    <s v="Porz"/>
    <m/>
    <x v="2"/>
    <x v="13"/>
  </r>
  <r>
    <x v="2267"/>
    <s v="Freitag"/>
    <s v="Porz"/>
    <m/>
    <x v="2"/>
    <x v="13"/>
  </r>
  <r>
    <x v="2268"/>
    <s v="Samstag"/>
    <s v="Porz"/>
    <m/>
    <x v="2"/>
    <x v="13"/>
  </r>
  <r>
    <x v="2269"/>
    <s v="Sonntag"/>
    <s v="Porz"/>
    <m/>
    <x v="2"/>
    <x v="13"/>
  </r>
  <r>
    <x v="2270"/>
    <s v="Montag"/>
    <s v="Porz"/>
    <m/>
    <x v="2"/>
    <x v="13"/>
  </r>
  <r>
    <x v="2271"/>
    <s v="Dienstag"/>
    <s v="Porz"/>
    <m/>
    <x v="2"/>
    <x v="13"/>
  </r>
  <r>
    <x v="2272"/>
    <s v="Mittwoch"/>
    <s v="Porz"/>
    <m/>
    <x v="2"/>
    <x v="13"/>
  </r>
  <r>
    <x v="2273"/>
    <s v="Donnerstag"/>
    <s v="Porz"/>
    <m/>
    <x v="2"/>
    <x v="13"/>
  </r>
  <r>
    <x v="2274"/>
    <s v="Freitag"/>
    <s v="Porz"/>
    <m/>
    <x v="2"/>
    <x v="13"/>
  </r>
  <r>
    <x v="2275"/>
    <s v="Samstag"/>
    <s v="Porz"/>
    <m/>
    <x v="2"/>
    <x v="13"/>
  </r>
  <r>
    <x v="2276"/>
    <s v="Sonntag"/>
    <s v="Porz"/>
    <m/>
    <x v="2"/>
    <x v="13"/>
  </r>
  <r>
    <x v="2277"/>
    <s v="Montag"/>
    <s v="Porz"/>
    <m/>
    <x v="2"/>
    <x v="13"/>
  </r>
  <r>
    <x v="2278"/>
    <s v="Dienstag"/>
    <s v="Porz"/>
    <m/>
    <x v="2"/>
    <x v="13"/>
  </r>
  <r>
    <x v="2279"/>
    <s v="Mittwoch"/>
    <s v="Porz"/>
    <m/>
    <x v="2"/>
    <x v="13"/>
  </r>
  <r>
    <x v="2280"/>
    <s v="Donnerstag"/>
    <s v="Porz"/>
    <m/>
    <x v="2"/>
    <x v="13"/>
  </r>
  <r>
    <x v="2281"/>
    <s v="Freitag"/>
    <s v="Porz"/>
    <m/>
    <x v="2"/>
    <x v="13"/>
  </r>
  <r>
    <x v="2282"/>
    <s v="Samstag"/>
    <s v="Porz"/>
    <m/>
    <x v="2"/>
    <x v="13"/>
  </r>
  <r>
    <x v="2283"/>
    <s v="Sonntag"/>
    <s v="Porz"/>
    <m/>
    <x v="2"/>
    <x v="13"/>
  </r>
  <r>
    <x v="2284"/>
    <s v="Montag"/>
    <s v="Porz"/>
    <m/>
    <x v="2"/>
    <x v="13"/>
  </r>
  <r>
    <x v="2285"/>
    <s v="Dienstag"/>
    <s v="Porz"/>
    <m/>
    <x v="2"/>
    <x v="13"/>
  </r>
  <r>
    <x v="2286"/>
    <s v="Mittwoch"/>
    <s v="Porz"/>
    <m/>
    <x v="2"/>
    <x v="13"/>
  </r>
  <r>
    <x v="2287"/>
    <s v="Donnerstag"/>
    <s v="Porz"/>
    <m/>
    <x v="2"/>
    <x v="13"/>
  </r>
  <r>
    <x v="2288"/>
    <s v="Freitag"/>
    <s v="Porz"/>
    <m/>
    <x v="2"/>
    <x v="13"/>
  </r>
  <r>
    <x v="2289"/>
    <s v="Samstag"/>
    <s v="Porz"/>
    <m/>
    <x v="2"/>
    <x v="13"/>
  </r>
  <r>
    <x v="2290"/>
    <s v="Sonntag"/>
    <s v="Porz"/>
    <m/>
    <x v="2"/>
    <x v="13"/>
  </r>
  <r>
    <x v="2291"/>
    <s v="Montag"/>
    <s v="Porz"/>
    <m/>
    <x v="2"/>
    <x v="13"/>
  </r>
  <r>
    <x v="2292"/>
    <s v="Dienstag"/>
    <s v="Porz"/>
    <m/>
    <x v="2"/>
    <x v="13"/>
  </r>
  <r>
    <x v="2293"/>
    <s v="Mittwoch"/>
    <s v="Porz"/>
    <m/>
    <x v="2"/>
    <x v="13"/>
  </r>
  <r>
    <x v="2294"/>
    <s v="Donnerstag"/>
    <s v="Porz"/>
    <m/>
    <x v="2"/>
    <x v="13"/>
  </r>
  <r>
    <x v="2295"/>
    <s v="Freitag"/>
    <s v="Porz"/>
    <m/>
    <x v="2"/>
    <x v="13"/>
  </r>
  <r>
    <x v="2296"/>
    <s v="Samstag"/>
    <s v="Porz"/>
    <m/>
    <x v="2"/>
    <x v="13"/>
  </r>
  <r>
    <x v="2297"/>
    <s v="Sonntag"/>
    <s v="Porz"/>
    <m/>
    <x v="2"/>
    <x v="13"/>
  </r>
  <r>
    <x v="2298"/>
    <s v="Montag"/>
    <s v="Porz"/>
    <m/>
    <x v="2"/>
    <x v="13"/>
  </r>
  <r>
    <x v="2299"/>
    <s v="Dienstag"/>
    <s v="Porz"/>
    <m/>
    <x v="2"/>
    <x v="13"/>
  </r>
  <r>
    <x v="2300"/>
    <s v="Mittwoch"/>
    <s v="Porz"/>
    <m/>
    <x v="2"/>
    <x v="13"/>
  </r>
  <r>
    <x v="2301"/>
    <s v="Donnerstag"/>
    <s v="Porz"/>
    <m/>
    <x v="2"/>
    <x v="13"/>
  </r>
  <r>
    <x v="2302"/>
    <s v="Freitag"/>
    <s v="Porz"/>
    <m/>
    <x v="2"/>
    <x v="13"/>
  </r>
  <r>
    <x v="2303"/>
    <s v="Samstag"/>
    <s v="Porz"/>
    <m/>
    <x v="2"/>
    <x v="13"/>
  </r>
  <r>
    <x v="2304"/>
    <s v="Sonntag"/>
    <s v="Porz"/>
    <m/>
    <x v="2"/>
    <x v="13"/>
  </r>
  <r>
    <x v="2305"/>
    <s v="Montag"/>
    <s v="Porz"/>
    <m/>
    <x v="2"/>
    <x v="13"/>
  </r>
  <r>
    <x v="2306"/>
    <s v="Dienstag"/>
    <s v="Porz"/>
    <m/>
    <x v="2"/>
    <x v="13"/>
  </r>
  <r>
    <x v="2307"/>
    <s v="Mittwoch"/>
    <s v="Porz"/>
    <m/>
    <x v="2"/>
    <x v="13"/>
  </r>
  <r>
    <x v="2308"/>
    <s v="Donnerstag"/>
    <s v="Porz"/>
    <m/>
    <x v="2"/>
    <x v="13"/>
  </r>
  <r>
    <x v="2309"/>
    <s v="Freitag"/>
    <s v="Porz"/>
    <m/>
    <x v="2"/>
    <x v="13"/>
  </r>
  <r>
    <x v="2310"/>
    <s v="Samstag"/>
    <s v="Porz"/>
    <m/>
    <x v="2"/>
    <x v="13"/>
  </r>
  <r>
    <x v="2311"/>
    <s v="Sonntag"/>
    <s v="Porz"/>
    <m/>
    <x v="2"/>
    <x v="13"/>
  </r>
  <r>
    <x v="2312"/>
    <s v="Montag"/>
    <s v="Porz"/>
    <m/>
    <x v="2"/>
    <x v="13"/>
  </r>
  <r>
    <x v="2313"/>
    <s v="Dienstag"/>
    <s v="Porz"/>
    <m/>
    <x v="2"/>
    <x v="13"/>
  </r>
  <r>
    <x v="2314"/>
    <s v="Mittwoch"/>
    <s v="Porz"/>
    <m/>
    <x v="2"/>
    <x v="13"/>
  </r>
  <r>
    <x v="2315"/>
    <s v="Donnerstag"/>
    <s v="Porz"/>
    <m/>
    <x v="2"/>
    <x v="13"/>
  </r>
  <r>
    <x v="2316"/>
    <s v="Freitag"/>
    <s v="Porz"/>
    <m/>
    <x v="2"/>
    <x v="13"/>
  </r>
  <r>
    <x v="2317"/>
    <s v="Samstag"/>
    <s v="Porz"/>
    <m/>
    <x v="2"/>
    <x v="13"/>
  </r>
  <r>
    <x v="2318"/>
    <s v="Sonntag"/>
    <s v="Porz"/>
    <m/>
    <x v="2"/>
    <x v="13"/>
  </r>
  <r>
    <x v="2319"/>
    <s v="Montag"/>
    <s v="Porz"/>
    <m/>
    <x v="2"/>
    <x v="13"/>
  </r>
  <r>
    <x v="2320"/>
    <s v="Dienstag"/>
    <s v="Porz"/>
    <m/>
    <x v="2"/>
    <x v="13"/>
  </r>
  <r>
    <x v="2321"/>
    <s v="Mittwoch"/>
    <s v="Porz"/>
    <m/>
    <x v="2"/>
    <x v="13"/>
  </r>
  <r>
    <x v="2322"/>
    <s v="Donnerstag"/>
    <s v="Porz"/>
    <m/>
    <x v="2"/>
    <x v="13"/>
  </r>
  <r>
    <x v="2323"/>
    <s v="Freitag"/>
    <s v="Porz"/>
    <m/>
    <x v="2"/>
    <x v="13"/>
  </r>
  <r>
    <x v="2324"/>
    <s v="Samstag"/>
    <s v="Porz"/>
    <m/>
    <x v="2"/>
    <x v="13"/>
  </r>
  <r>
    <x v="2325"/>
    <s v="Sonntag"/>
    <s v="Porz"/>
    <m/>
    <x v="2"/>
    <x v="13"/>
  </r>
  <r>
    <x v="2326"/>
    <s v="Montag"/>
    <s v="Porz"/>
    <m/>
    <x v="2"/>
    <x v="13"/>
  </r>
  <r>
    <x v="2327"/>
    <s v="Dienstag"/>
    <s v="Porz"/>
    <m/>
    <x v="2"/>
    <x v="13"/>
  </r>
  <r>
    <x v="2328"/>
    <s v="Mittwoch"/>
    <s v="Porz"/>
    <m/>
    <x v="2"/>
    <x v="13"/>
  </r>
  <r>
    <x v="2329"/>
    <s v="Donnerstag"/>
    <s v="Porz"/>
    <m/>
    <x v="2"/>
    <x v="13"/>
  </r>
  <r>
    <x v="2330"/>
    <s v="Freitag"/>
    <s v="Porz"/>
    <m/>
    <x v="2"/>
    <x v="13"/>
  </r>
  <r>
    <x v="2331"/>
    <s v="Samstag"/>
    <s v="Porz"/>
    <m/>
    <x v="2"/>
    <x v="13"/>
  </r>
  <r>
    <x v="2332"/>
    <s v="Sonntag"/>
    <s v="Porz"/>
    <m/>
    <x v="2"/>
    <x v="13"/>
  </r>
  <r>
    <x v="2333"/>
    <s v="Montag"/>
    <s v="Porz"/>
    <m/>
    <x v="2"/>
    <x v="13"/>
  </r>
  <r>
    <x v="2334"/>
    <s v="Dienstag"/>
    <s v="Porz"/>
    <m/>
    <x v="2"/>
    <x v="13"/>
  </r>
  <r>
    <x v="2335"/>
    <s v="Mittwoch"/>
    <s v="Porz"/>
    <m/>
    <x v="2"/>
    <x v="13"/>
  </r>
  <r>
    <x v="2336"/>
    <s v="Donnerstag"/>
    <s v="Porz"/>
    <m/>
    <x v="2"/>
    <x v="13"/>
  </r>
  <r>
    <x v="2337"/>
    <s v="Freitag"/>
    <s v="Porz"/>
    <m/>
    <x v="2"/>
    <x v="13"/>
  </r>
  <r>
    <x v="2338"/>
    <s v="Samstag"/>
    <s v="Porz"/>
    <m/>
    <x v="2"/>
    <x v="13"/>
  </r>
  <r>
    <x v="2339"/>
    <s v="Sonntag"/>
    <s v="Porz"/>
    <m/>
    <x v="2"/>
    <x v="13"/>
  </r>
  <r>
    <x v="2340"/>
    <s v="Montag"/>
    <s v="Porz"/>
    <m/>
    <x v="2"/>
    <x v="13"/>
  </r>
  <r>
    <x v="2341"/>
    <s v="Dienstag"/>
    <s v="Porz"/>
    <m/>
    <x v="2"/>
    <x v="13"/>
  </r>
  <r>
    <x v="2342"/>
    <s v="Mittwoch"/>
    <s v="Porz"/>
    <m/>
    <x v="2"/>
    <x v="13"/>
  </r>
  <r>
    <x v="2343"/>
    <s v="Donnerstag"/>
    <s v="Porz"/>
    <m/>
    <x v="2"/>
    <x v="13"/>
  </r>
  <r>
    <x v="2344"/>
    <s v="Freitag"/>
    <s v="Porz"/>
    <m/>
    <x v="2"/>
    <x v="13"/>
  </r>
  <r>
    <x v="2345"/>
    <s v="Samstag"/>
    <s v="Porz"/>
    <m/>
    <x v="2"/>
    <x v="13"/>
  </r>
  <r>
    <x v="2346"/>
    <s v="Sonntag"/>
    <s v="Porz"/>
    <m/>
    <x v="2"/>
    <x v="13"/>
  </r>
  <r>
    <x v="2347"/>
    <s v="Montag"/>
    <s v="Porz"/>
    <m/>
    <x v="2"/>
    <x v="13"/>
  </r>
  <r>
    <x v="2348"/>
    <s v="Dienstag"/>
    <s v="Porz"/>
    <m/>
    <x v="2"/>
    <x v="13"/>
  </r>
  <r>
    <x v="2349"/>
    <s v="Mittwoch"/>
    <s v="Porz"/>
    <m/>
    <x v="2"/>
    <x v="13"/>
  </r>
  <r>
    <x v="2350"/>
    <s v="Donnerstag"/>
    <s v="Porz"/>
    <m/>
    <x v="2"/>
    <x v="13"/>
  </r>
  <r>
    <x v="2351"/>
    <s v="Freitag"/>
    <s v="Porz"/>
    <m/>
    <x v="2"/>
    <x v="13"/>
  </r>
  <r>
    <x v="2352"/>
    <s v="Samstag"/>
    <s v="Porz"/>
    <m/>
    <x v="2"/>
    <x v="13"/>
  </r>
  <r>
    <x v="2353"/>
    <s v="Sonntag"/>
    <s v="Porz"/>
    <m/>
    <x v="2"/>
    <x v="13"/>
  </r>
  <r>
    <x v="2354"/>
    <s v="Montag"/>
    <s v="Porz"/>
    <m/>
    <x v="2"/>
    <x v="13"/>
  </r>
  <r>
    <x v="2355"/>
    <s v="Dienstag"/>
    <s v="Porz"/>
    <m/>
    <x v="2"/>
    <x v="13"/>
  </r>
  <r>
    <x v="2356"/>
    <s v="Mittwoch"/>
    <s v="Porz"/>
    <m/>
    <x v="2"/>
    <x v="13"/>
  </r>
  <r>
    <x v="2357"/>
    <s v="Donnerstag"/>
    <s v="Porz"/>
    <m/>
    <x v="2"/>
    <x v="13"/>
  </r>
  <r>
    <x v="2358"/>
    <s v="Freitag"/>
    <s v="Porz"/>
    <m/>
    <x v="2"/>
    <x v="13"/>
  </r>
  <r>
    <x v="2359"/>
    <s v="Samstag"/>
    <s v="Porz"/>
    <m/>
    <x v="2"/>
    <x v="13"/>
  </r>
  <r>
    <x v="2360"/>
    <s v="Sonntag"/>
    <s v="Porz"/>
    <m/>
    <x v="2"/>
    <x v="13"/>
  </r>
  <r>
    <x v="2361"/>
    <s v="Montag"/>
    <s v="Porz"/>
    <m/>
    <x v="2"/>
    <x v="13"/>
  </r>
  <r>
    <x v="2362"/>
    <s v="Dienstag"/>
    <s v="Porz"/>
    <m/>
    <x v="2"/>
    <x v="13"/>
  </r>
  <r>
    <x v="2363"/>
    <s v="Mittwoch"/>
    <s v="Porz"/>
    <m/>
    <x v="2"/>
    <x v="13"/>
  </r>
  <r>
    <x v="2364"/>
    <s v="Donnerstag"/>
    <s v="Porz"/>
    <m/>
    <x v="2"/>
    <x v="13"/>
  </r>
  <r>
    <x v="2365"/>
    <s v="Freitag"/>
    <s v="Porz"/>
    <m/>
    <x v="2"/>
    <x v="13"/>
  </r>
  <r>
    <x v="2366"/>
    <s v="Samstag"/>
    <s v="Porz"/>
    <m/>
    <x v="2"/>
    <x v="13"/>
  </r>
  <r>
    <x v="2367"/>
    <s v="Sonntag"/>
    <s v="Porz"/>
    <m/>
    <x v="2"/>
    <x v="13"/>
  </r>
  <r>
    <x v="2368"/>
    <s v="Montag"/>
    <s v="Porz"/>
    <m/>
    <x v="2"/>
    <x v="13"/>
  </r>
  <r>
    <x v="2369"/>
    <s v="Dienstag"/>
    <s v="Porz"/>
    <m/>
    <x v="2"/>
    <x v="13"/>
  </r>
  <r>
    <x v="2370"/>
    <s v="Mittwoch"/>
    <s v="Porz"/>
    <m/>
    <x v="2"/>
    <x v="13"/>
  </r>
  <r>
    <x v="2371"/>
    <s v="Donnerstag"/>
    <s v="Porz"/>
    <m/>
    <x v="2"/>
    <x v="13"/>
  </r>
  <r>
    <x v="2372"/>
    <s v="Freitag"/>
    <s v="Porz"/>
    <m/>
    <x v="2"/>
    <x v="13"/>
  </r>
  <r>
    <x v="2373"/>
    <s v="Samstag"/>
    <s v="Porz"/>
    <m/>
    <x v="2"/>
    <x v="13"/>
  </r>
  <r>
    <x v="2374"/>
    <s v="Sonntag"/>
    <s v="Porz"/>
    <m/>
    <x v="2"/>
    <x v="13"/>
  </r>
  <r>
    <x v="2375"/>
    <s v="Montag"/>
    <s v="Porz"/>
    <m/>
    <x v="2"/>
    <x v="13"/>
  </r>
  <r>
    <x v="2376"/>
    <s v="Dienstag"/>
    <s v="Porz"/>
    <m/>
    <x v="2"/>
    <x v="13"/>
  </r>
  <r>
    <x v="2377"/>
    <s v="Mittwoch"/>
    <s v="Porz"/>
    <m/>
    <x v="2"/>
    <x v="13"/>
  </r>
  <r>
    <x v="2378"/>
    <s v="Donnerstag"/>
    <s v="Porz"/>
    <m/>
    <x v="2"/>
    <x v="13"/>
  </r>
  <r>
    <x v="2379"/>
    <s v="Freitag"/>
    <s v="Porz"/>
    <m/>
    <x v="2"/>
    <x v="13"/>
  </r>
  <r>
    <x v="2380"/>
    <s v="Samstag"/>
    <s v="Porz"/>
    <m/>
    <x v="2"/>
    <x v="13"/>
  </r>
  <r>
    <x v="2381"/>
    <s v="Sonntag"/>
    <s v="Porz"/>
    <m/>
    <x v="2"/>
    <x v="13"/>
  </r>
  <r>
    <x v="2382"/>
    <s v="Montag"/>
    <s v="Porz"/>
    <m/>
    <x v="2"/>
    <x v="13"/>
  </r>
  <r>
    <x v="2383"/>
    <s v="Dienstag"/>
    <s v="Porz"/>
    <m/>
    <x v="2"/>
    <x v="13"/>
  </r>
  <r>
    <x v="2384"/>
    <s v="Mittwoch"/>
    <s v="Porz"/>
    <m/>
    <x v="2"/>
    <x v="13"/>
  </r>
  <r>
    <x v="2385"/>
    <s v="Donnerstag"/>
    <s v="Porz"/>
    <m/>
    <x v="2"/>
    <x v="13"/>
  </r>
  <r>
    <x v="2386"/>
    <s v="Freitag"/>
    <s v="Porz"/>
    <m/>
    <x v="2"/>
    <x v="13"/>
  </r>
  <r>
    <x v="2387"/>
    <s v="Samstag"/>
    <s v="Porz"/>
    <m/>
    <x v="2"/>
    <x v="13"/>
  </r>
  <r>
    <x v="2388"/>
    <s v="Sonntag"/>
    <s v="Porz"/>
    <m/>
    <x v="2"/>
    <x v="13"/>
  </r>
  <r>
    <x v="2389"/>
    <s v="Montag"/>
    <s v="Porz"/>
    <m/>
    <x v="2"/>
    <x v="13"/>
  </r>
  <r>
    <x v="2390"/>
    <s v="Dienstag"/>
    <s v="Porz"/>
    <m/>
    <x v="2"/>
    <x v="13"/>
  </r>
  <r>
    <x v="2391"/>
    <s v="Mittwoch"/>
    <s v="Porz"/>
    <m/>
    <x v="2"/>
    <x v="13"/>
  </r>
  <r>
    <x v="2392"/>
    <s v="Donnerstag"/>
    <s v="Porz"/>
    <m/>
    <x v="2"/>
    <x v="13"/>
  </r>
  <r>
    <x v="2393"/>
    <s v="Freitag"/>
    <s v="Porz"/>
    <m/>
    <x v="2"/>
    <x v="13"/>
  </r>
  <r>
    <x v="2394"/>
    <s v="Samstag"/>
    <s v="Porz"/>
    <m/>
    <x v="2"/>
    <x v="13"/>
  </r>
  <r>
    <x v="2395"/>
    <s v="Sonntag"/>
    <s v="Porz"/>
    <m/>
    <x v="2"/>
    <x v="13"/>
  </r>
  <r>
    <x v="2396"/>
    <s v="Montag"/>
    <s v="Porz"/>
    <m/>
    <x v="2"/>
    <x v="13"/>
  </r>
  <r>
    <x v="2397"/>
    <s v="Dienstag"/>
    <s v="Porz"/>
    <m/>
    <x v="2"/>
    <x v="13"/>
  </r>
  <r>
    <x v="2398"/>
    <s v="Mittwoch"/>
    <s v="Porz"/>
    <m/>
    <x v="2"/>
    <x v="13"/>
  </r>
  <r>
    <x v="2399"/>
    <s v="Donnerstag"/>
    <s v="Porz"/>
    <m/>
    <x v="2"/>
    <x v="13"/>
  </r>
  <r>
    <x v="2400"/>
    <s v="Freitag"/>
    <s v="Porz"/>
    <m/>
    <x v="2"/>
    <x v="13"/>
  </r>
  <r>
    <x v="2401"/>
    <s v="Samstag"/>
    <s v="Porz"/>
    <m/>
    <x v="2"/>
    <x v="13"/>
  </r>
  <r>
    <x v="2402"/>
    <s v="Sonntag"/>
    <s v="Porz"/>
    <m/>
    <x v="2"/>
    <x v="13"/>
  </r>
  <r>
    <x v="2403"/>
    <s v="Montag"/>
    <s v="Porz"/>
    <m/>
    <x v="2"/>
    <x v="13"/>
  </r>
  <r>
    <x v="2404"/>
    <s v="Dienstag"/>
    <s v="Porz"/>
    <m/>
    <x v="2"/>
    <x v="13"/>
  </r>
  <r>
    <x v="2405"/>
    <s v="Mittwoch"/>
    <s v="Porz"/>
    <m/>
    <x v="2"/>
    <x v="13"/>
  </r>
  <r>
    <x v="2406"/>
    <s v="Donnerstag"/>
    <s v="Porz"/>
    <m/>
    <x v="2"/>
    <x v="13"/>
  </r>
  <r>
    <x v="2407"/>
    <s v="Freitag"/>
    <s v="Porz"/>
    <m/>
    <x v="2"/>
    <x v="13"/>
  </r>
  <r>
    <x v="2408"/>
    <s v="Samstag"/>
    <s v="Porz"/>
    <m/>
    <x v="2"/>
    <x v="13"/>
  </r>
  <r>
    <x v="2409"/>
    <s v="Sonntag"/>
    <s v="Porz"/>
    <m/>
    <x v="2"/>
    <x v="13"/>
  </r>
  <r>
    <x v="2410"/>
    <s v="Montag"/>
    <s v="Porz"/>
    <m/>
    <x v="2"/>
    <x v="13"/>
  </r>
  <r>
    <x v="2411"/>
    <s v="Dienstag"/>
    <s v="Porz"/>
    <m/>
    <x v="2"/>
    <x v="13"/>
  </r>
  <r>
    <x v="2412"/>
    <s v="Mittwoch"/>
    <s v="Porz"/>
    <m/>
    <x v="2"/>
    <x v="13"/>
  </r>
  <r>
    <x v="2413"/>
    <s v="Donnerstag"/>
    <s v="Porz"/>
    <m/>
    <x v="2"/>
    <x v="13"/>
  </r>
  <r>
    <x v="2414"/>
    <s v="Freitag"/>
    <s v="Porz"/>
    <m/>
    <x v="2"/>
    <x v="13"/>
  </r>
  <r>
    <x v="2415"/>
    <s v="Samstag"/>
    <s v="Porz"/>
    <m/>
    <x v="2"/>
    <x v="13"/>
  </r>
  <r>
    <x v="2416"/>
    <s v="Sonntag"/>
    <s v="Porz"/>
    <m/>
    <x v="2"/>
    <x v="13"/>
  </r>
  <r>
    <x v="2417"/>
    <s v="Montag"/>
    <s v="Porz"/>
    <m/>
    <x v="2"/>
    <x v="13"/>
  </r>
  <r>
    <x v="2418"/>
    <s v="Dienstag"/>
    <s v="Porz"/>
    <m/>
    <x v="2"/>
    <x v="13"/>
  </r>
  <r>
    <x v="2419"/>
    <s v="Mittwoch"/>
    <s v="Porz"/>
    <m/>
    <x v="2"/>
    <x v="13"/>
  </r>
  <r>
    <x v="2420"/>
    <s v="Donnerstag"/>
    <s v="Porz"/>
    <m/>
    <x v="2"/>
    <x v="13"/>
  </r>
  <r>
    <x v="2421"/>
    <s v="Freitag"/>
    <s v="Porz"/>
    <m/>
    <x v="2"/>
    <x v="13"/>
  </r>
  <r>
    <x v="2422"/>
    <s v="Samstag"/>
    <s v="Porz"/>
    <m/>
    <x v="2"/>
    <x v="13"/>
  </r>
  <r>
    <x v="2423"/>
    <s v="Sonntag"/>
    <s v="Porz"/>
    <m/>
    <x v="2"/>
    <x v="13"/>
  </r>
  <r>
    <x v="2424"/>
    <s v="Montag"/>
    <s v="Porz"/>
    <m/>
    <x v="2"/>
    <x v="13"/>
  </r>
  <r>
    <x v="2425"/>
    <s v="Dienstag"/>
    <s v="Porz"/>
    <m/>
    <x v="2"/>
    <x v="13"/>
  </r>
  <r>
    <x v="2426"/>
    <s v="Mittwoch"/>
    <s v="Porz"/>
    <m/>
    <x v="2"/>
    <x v="13"/>
  </r>
  <r>
    <x v="2427"/>
    <s v="Donnerstag"/>
    <s v="Porz"/>
    <m/>
    <x v="2"/>
    <x v="13"/>
  </r>
  <r>
    <x v="2428"/>
    <s v="Freitag"/>
    <s v="Porz"/>
    <m/>
    <x v="2"/>
    <x v="13"/>
  </r>
  <r>
    <x v="2429"/>
    <s v="Samstag"/>
    <s v="Porz"/>
    <m/>
    <x v="2"/>
    <x v="13"/>
  </r>
  <r>
    <x v="2430"/>
    <s v="Sonntag"/>
    <s v="Porz"/>
    <m/>
    <x v="2"/>
    <x v="13"/>
  </r>
  <r>
    <x v="2431"/>
    <s v="Montag"/>
    <s v="Porz"/>
    <m/>
    <x v="2"/>
    <x v="13"/>
  </r>
  <r>
    <x v="2432"/>
    <s v="Dienstag"/>
    <s v="Porz"/>
    <m/>
    <x v="2"/>
    <x v="13"/>
  </r>
  <r>
    <x v="2433"/>
    <s v="Mittwoch"/>
    <s v="Porz"/>
    <m/>
    <x v="2"/>
    <x v="13"/>
  </r>
  <r>
    <x v="2434"/>
    <s v="Donnerstag"/>
    <s v="Porz"/>
    <m/>
    <x v="2"/>
    <x v="13"/>
  </r>
  <r>
    <x v="2435"/>
    <s v="Freitag"/>
    <s v="Porz"/>
    <m/>
    <x v="2"/>
    <x v="13"/>
  </r>
  <r>
    <x v="2436"/>
    <s v="Samstag"/>
    <s v="Porz"/>
    <m/>
    <x v="2"/>
    <x v="13"/>
  </r>
  <r>
    <x v="2437"/>
    <s v="Sonntag"/>
    <s v="Porz"/>
    <m/>
    <x v="2"/>
    <x v="13"/>
  </r>
  <r>
    <x v="2438"/>
    <s v="Montag"/>
    <s v="Porz"/>
    <m/>
    <x v="2"/>
    <x v="13"/>
  </r>
  <r>
    <x v="2439"/>
    <s v="Dienstag"/>
    <s v="Porz"/>
    <m/>
    <x v="2"/>
    <x v="13"/>
  </r>
  <r>
    <x v="2440"/>
    <s v="Mittwoch"/>
    <s v="Porz"/>
    <m/>
    <x v="2"/>
    <x v="13"/>
  </r>
  <r>
    <x v="2441"/>
    <s v="Donnerstag"/>
    <s v="Porz"/>
    <m/>
    <x v="2"/>
    <x v="13"/>
  </r>
  <r>
    <x v="2442"/>
    <s v="Freitag"/>
    <s v="Porz"/>
    <m/>
    <x v="2"/>
    <x v="13"/>
  </r>
  <r>
    <x v="2443"/>
    <s v="Samstag"/>
    <s v="Porz"/>
    <m/>
    <x v="2"/>
    <x v="13"/>
  </r>
  <r>
    <x v="2444"/>
    <s v="Sonntag"/>
    <s v="Porz"/>
    <m/>
    <x v="2"/>
    <x v="13"/>
  </r>
  <r>
    <x v="2445"/>
    <s v="Montag"/>
    <s v="Porz"/>
    <m/>
    <x v="2"/>
    <x v="13"/>
  </r>
  <r>
    <x v="2446"/>
    <s v="Dienstag"/>
    <s v="Porz"/>
    <m/>
    <x v="2"/>
    <x v="13"/>
  </r>
  <r>
    <x v="2447"/>
    <s v="Mittwoch"/>
    <s v="Porz"/>
    <m/>
    <x v="2"/>
    <x v="13"/>
  </r>
  <r>
    <x v="2448"/>
    <s v="Donnerstag"/>
    <s v="Porz"/>
    <m/>
    <x v="2"/>
    <x v="13"/>
  </r>
  <r>
    <x v="2449"/>
    <s v="Freitag"/>
    <s v="Porz"/>
    <m/>
    <x v="2"/>
    <x v="13"/>
  </r>
  <r>
    <x v="2450"/>
    <s v="Samstag"/>
    <s v="Porz"/>
    <m/>
    <x v="2"/>
    <x v="13"/>
  </r>
  <r>
    <x v="2451"/>
    <s v="Sonntag"/>
    <s v="Porz"/>
    <m/>
    <x v="2"/>
    <x v="13"/>
  </r>
  <r>
    <x v="2452"/>
    <s v="Montag"/>
    <s v="Porz"/>
    <m/>
    <x v="2"/>
    <x v="13"/>
  </r>
  <r>
    <x v="2453"/>
    <s v="Dienstag"/>
    <s v="Porz"/>
    <m/>
    <x v="2"/>
    <x v="13"/>
  </r>
  <r>
    <x v="2454"/>
    <s v="Mittwoch"/>
    <s v="Porz"/>
    <m/>
    <x v="2"/>
    <x v="13"/>
  </r>
  <r>
    <x v="2455"/>
    <s v="Donnerstag"/>
    <s v="Porz"/>
    <m/>
    <x v="2"/>
    <x v="13"/>
  </r>
  <r>
    <x v="2456"/>
    <s v="Freitag"/>
    <s v="Porz"/>
    <m/>
    <x v="2"/>
    <x v="13"/>
  </r>
  <r>
    <x v="2457"/>
    <s v="Samstag"/>
    <s v="Porz"/>
    <m/>
    <x v="2"/>
    <x v="13"/>
  </r>
  <r>
    <x v="2458"/>
    <s v="Sonntag"/>
    <s v="Porz"/>
    <m/>
    <x v="2"/>
    <x v="13"/>
  </r>
  <r>
    <x v="2459"/>
    <s v="Montag"/>
    <s v="Porz"/>
    <m/>
    <x v="2"/>
    <x v="13"/>
  </r>
  <r>
    <x v="2460"/>
    <s v="Dienstag"/>
    <s v="Porz"/>
    <m/>
    <x v="2"/>
    <x v="13"/>
  </r>
  <r>
    <x v="2461"/>
    <s v="Mittwoch"/>
    <s v="Porz"/>
    <m/>
    <x v="2"/>
    <x v="13"/>
  </r>
  <r>
    <x v="2462"/>
    <s v="Donnerstag"/>
    <s v="Porz"/>
    <m/>
    <x v="2"/>
    <x v="13"/>
  </r>
  <r>
    <x v="2463"/>
    <s v="Freitag"/>
    <s v="Porz"/>
    <m/>
    <x v="2"/>
    <x v="13"/>
  </r>
  <r>
    <x v="2464"/>
    <s v="Samstag"/>
    <s v="Porz"/>
    <m/>
    <x v="2"/>
    <x v="13"/>
  </r>
  <r>
    <x v="2465"/>
    <s v="Sonntag"/>
    <s v="Porz"/>
    <m/>
    <x v="2"/>
    <x v="13"/>
  </r>
  <r>
    <x v="2466"/>
    <s v="Montag"/>
    <s v="Porz"/>
    <m/>
    <x v="2"/>
    <x v="13"/>
  </r>
  <r>
    <x v="2467"/>
    <s v="Dienstag"/>
    <s v="Porz"/>
    <m/>
    <x v="2"/>
    <x v="13"/>
  </r>
  <r>
    <x v="2468"/>
    <s v="Mittwoch"/>
    <s v="Porz"/>
    <m/>
    <x v="2"/>
    <x v="13"/>
  </r>
  <r>
    <x v="2469"/>
    <s v="Donnerstag"/>
    <s v="Porz"/>
    <m/>
    <x v="2"/>
    <x v="13"/>
  </r>
  <r>
    <x v="2470"/>
    <s v="Freitag"/>
    <s v="Porz"/>
    <m/>
    <x v="2"/>
    <x v="13"/>
  </r>
  <r>
    <x v="2471"/>
    <s v="Samstag"/>
    <s v="Porz"/>
    <m/>
    <x v="2"/>
    <x v="13"/>
  </r>
  <r>
    <x v="2472"/>
    <s v="Sonntag"/>
    <s v="Porz"/>
    <m/>
    <x v="2"/>
    <x v="13"/>
  </r>
  <r>
    <x v="2473"/>
    <s v="Montag"/>
    <s v="Porz"/>
    <m/>
    <x v="2"/>
    <x v="13"/>
  </r>
  <r>
    <x v="2474"/>
    <s v="Dienstag"/>
    <s v="Porz"/>
    <m/>
    <x v="2"/>
    <x v="13"/>
  </r>
  <r>
    <x v="2475"/>
    <s v="Mittwoch"/>
    <s v="Porz"/>
    <m/>
    <x v="2"/>
    <x v="13"/>
  </r>
  <r>
    <x v="2476"/>
    <s v="Donnerstag"/>
    <s v="Porz"/>
    <m/>
    <x v="2"/>
    <x v="13"/>
  </r>
  <r>
    <x v="2477"/>
    <s v="Freitag"/>
    <s v="Porz"/>
    <m/>
    <x v="2"/>
    <x v="13"/>
  </r>
  <r>
    <x v="2478"/>
    <s v="Samstag"/>
    <s v="Porz"/>
    <m/>
    <x v="2"/>
    <x v="13"/>
  </r>
  <r>
    <x v="2479"/>
    <s v="Sonntag"/>
    <s v="Porz"/>
    <m/>
    <x v="2"/>
    <x v="13"/>
  </r>
  <r>
    <x v="2480"/>
    <s v="Montag"/>
    <s v="Porz"/>
    <m/>
    <x v="2"/>
    <x v="13"/>
  </r>
  <r>
    <x v="2481"/>
    <s v="Dienstag"/>
    <s v="Porz"/>
    <m/>
    <x v="2"/>
    <x v="13"/>
  </r>
  <r>
    <x v="2482"/>
    <s v="Mittwoch"/>
    <s v="Porz"/>
    <m/>
    <x v="2"/>
    <x v="13"/>
  </r>
  <r>
    <x v="2483"/>
    <s v="Donnerstag"/>
    <s v="Porz"/>
    <m/>
    <x v="2"/>
    <x v="13"/>
  </r>
  <r>
    <x v="2484"/>
    <s v="Freitag"/>
    <s v="Porz"/>
    <m/>
    <x v="2"/>
    <x v="13"/>
  </r>
  <r>
    <x v="2485"/>
    <s v="Samstag"/>
    <s v="Porz"/>
    <m/>
    <x v="2"/>
    <x v="13"/>
  </r>
  <r>
    <x v="2486"/>
    <s v="Sonntag"/>
    <s v="Porz"/>
    <m/>
    <x v="2"/>
    <x v="13"/>
  </r>
  <r>
    <x v="2487"/>
    <s v="Montag"/>
    <s v="Porz"/>
    <m/>
    <x v="2"/>
    <x v="13"/>
  </r>
  <r>
    <x v="2488"/>
    <s v="Dienstag"/>
    <s v="Porz"/>
    <m/>
    <x v="2"/>
    <x v="13"/>
  </r>
  <r>
    <x v="2489"/>
    <s v="Mittwoch"/>
    <s v="Porz"/>
    <m/>
    <x v="2"/>
    <x v="13"/>
  </r>
  <r>
    <x v="2490"/>
    <s v="Donnerstag"/>
    <s v="Porz"/>
    <m/>
    <x v="2"/>
    <x v="13"/>
  </r>
  <r>
    <x v="2491"/>
    <s v="Freitag"/>
    <s v="Porz"/>
    <m/>
    <x v="2"/>
    <x v="13"/>
  </r>
  <r>
    <x v="2492"/>
    <s v="Samstag"/>
    <s v="Porz"/>
    <m/>
    <x v="2"/>
    <x v="13"/>
  </r>
  <r>
    <x v="2493"/>
    <s v="Sonntag"/>
    <s v="Porz"/>
    <m/>
    <x v="2"/>
    <x v="13"/>
  </r>
  <r>
    <x v="2494"/>
    <s v="Montag"/>
    <s v="Porz"/>
    <m/>
    <x v="2"/>
    <x v="13"/>
  </r>
  <r>
    <x v="2495"/>
    <s v="Dienstag"/>
    <s v="Porz"/>
    <m/>
    <x v="2"/>
    <x v="13"/>
  </r>
  <r>
    <x v="2496"/>
    <s v="Mittwoch"/>
    <s v="Porz"/>
    <m/>
    <x v="2"/>
    <x v="13"/>
  </r>
  <r>
    <x v="2497"/>
    <s v="Donnerstag"/>
    <s v="Porz"/>
    <m/>
    <x v="2"/>
    <x v="13"/>
  </r>
  <r>
    <x v="2498"/>
    <s v="Freitag"/>
    <s v="Porz"/>
    <m/>
    <x v="2"/>
    <x v="13"/>
  </r>
  <r>
    <x v="2499"/>
    <s v="Samstag"/>
    <s v="Porz"/>
    <m/>
    <x v="2"/>
    <x v="13"/>
  </r>
  <r>
    <x v="2500"/>
    <s v="Sonntag"/>
    <s v="Porz"/>
    <m/>
    <x v="2"/>
    <x v="13"/>
  </r>
  <r>
    <x v="2501"/>
    <s v="Montag"/>
    <s v="Porz"/>
    <m/>
    <x v="2"/>
    <x v="13"/>
  </r>
  <r>
    <x v="2502"/>
    <s v="Dienstag"/>
    <s v="Porz"/>
    <m/>
    <x v="2"/>
    <x v="13"/>
  </r>
  <r>
    <x v="2503"/>
    <s v="Mittwoch"/>
    <s v="Porz"/>
    <m/>
    <x v="2"/>
    <x v="13"/>
  </r>
  <r>
    <x v="2504"/>
    <s v="Donnerstag"/>
    <s v="Porz"/>
    <m/>
    <x v="2"/>
    <x v="13"/>
  </r>
  <r>
    <x v="2505"/>
    <s v="Freitag"/>
    <s v="Porz"/>
    <m/>
    <x v="2"/>
    <x v="13"/>
  </r>
  <r>
    <x v="2506"/>
    <s v="Samstag"/>
    <s v="Porz"/>
    <m/>
    <x v="2"/>
    <x v="13"/>
  </r>
  <r>
    <x v="2507"/>
    <s v="Sonntag"/>
    <s v="Porz"/>
    <m/>
    <x v="2"/>
    <x v="13"/>
  </r>
  <r>
    <x v="2508"/>
    <s v="Montag"/>
    <s v="Porz"/>
    <m/>
    <x v="2"/>
    <x v="13"/>
  </r>
  <r>
    <x v="2509"/>
    <s v="Dienstag"/>
    <s v="Porz"/>
    <m/>
    <x v="2"/>
    <x v="13"/>
  </r>
  <r>
    <x v="2510"/>
    <s v="Mittwoch"/>
    <s v="Porz"/>
    <m/>
    <x v="2"/>
    <x v="13"/>
  </r>
  <r>
    <x v="2511"/>
    <s v="Donnerstag"/>
    <s v="Porz"/>
    <m/>
    <x v="2"/>
    <x v="13"/>
  </r>
  <r>
    <x v="2512"/>
    <s v="Freitag"/>
    <s v="Porz"/>
    <m/>
    <x v="2"/>
    <x v="13"/>
  </r>
  <r>
    <x v="2513"/>
    <s v="Samstag"/>
    <s v="Porz"/>
    <m/>
    <x v="2"/>
    <x v="13"/>
  </r>
  <r>
    <x v="2514"/>
    <s v="Sonntag"/>
    <s v="Porz"/>
    <m/>
    <x v="2"/>
    <x v="13"/>
  </r>
  <r>
    <x v="2515"/>
    <s v="Montag"/>
    <s v="Porz"/>
    <m/>
    <x v="2"/>
    <x v="13"/>
  </r>
  <r>
    <x v="2516"/>
    <s v="Dienstag"/>
    <s v="Porz"/>
    <m/>
    <x v="2"/>
    <x v="13"/>
  </r>
  <r>
    <x v="2517"/>
    <s v="Mittwoch"/>
    <s v="Porz"/>
    <m/>
    <x v="2"/>
    <x v="13"/>
  </r>
  <r>
    <x v="2518"/>
    <s v="Donnerstag"/>
    <s v="Porz"/>
    <m/>
    <x v="2"/>
    <x v="13"/>
  </r>
  <r>
    <x v="2519"/>
    <s v="Freitag"/>
    <s v="Porz"/>
    <m/>
    <x v="2"/>
    <x v="13"/>
  </r>
  <r>
    <x v="2520"/>
    <s v="Samstag"/>
    <s v="Porz"/>
    <m/>
    <x v="2"/>
    <x v="13"/>
  </r>
  <r>
    <x v="2521"/>
    <s v="Sonntag"/>
    <s v="Porz"/>
    <m/>
    <x v="2"/>
    <x v="13"/>
  </r>
  <r>
    <x v="2522"/>
    <s v="Montag"/>
    <s v="Porz"/>
    <m/>
    <x v="2"/>
    <x v="13"/>
  </r>
  <r>
    <x v="2523"/>
    <s v="Dienstag"/>
    <s v="Porz"/>
    <m/>
    <x v="2"/>
    <x v="13"/>
  </r>
  <r>
    <x v="2524"/>
    <s v="Mittwoch"/>
    <s v="Porz"/>
    <m/>
    <x v="2"/>
    <x v="13"/>
  </r>
  <r>
    <x v="2525"/>
    <s v="Donnerstag"/>
    <s v="Porz"/>
    <m/>
    <x v="2"/>
    <x v="13"/>
  </r>
  <r>
    <x v="2526"/>
    <s v="Freitag"/>
    <s v="Porz"/>
    <m/>
    <x v="2"/>
    <x v="13"/>
  </r>
  <r>
    <x v="2527"/>
    <s v="Samstag"/>
    <s v="Porz"/>
    <m/>
    <x v="2"/>
    <x v="13"/>
  </r>
  <r>
    <x v="2528"/>
    <s v="Sonntag"/>
    <s v="Porz"/>
    <m/>
    <x v="2"/>
    <x v="13"/>
  </r>
  <r>
    <x v="2529"/>
    <s v="Montag"/>
    <s v="Porz"/>
    <m/>
    <x v="2"/>
    <x v="13"/>
  </r>
  <r>
    <x v="2530"/>
    <s v="Dienstag"/>
    <s v="Porz"/>
    <m/>
    <x v="2"/>
    <x v="13"/>
  </r>
  <r>
    <x v="2531"/>
    <s v="Mittwoch"/>
    <s v="Porz"/>
    <m/>
    <x v="2"/>
    <x v="13"/>
  </r>
  <r>
    <x v="2532"/>
    <s v="Donnerstag"/>
    <s v="Porz"/>
    <m/>
    <x v="2"/>
    <x v="13"/>
  </r>
  <r>
    <x v="2533"/>
    <s v="Freitag"/>
    <s v="Porz"/>
    <m/>
    <x v="2"/>
    <x v="13"/>
  </r>
  <r>
    <x v="2534"/>
    <s v="Samstag"/>
    <s v="Porz"/>
    <m/>
    <x v="2"/>
    <x v="13"/>
  </r>
  <r>
    <x v="2535"/>
    <s v="Sonntag"/>
    <s v="Porz"/>
    <m/>
    <x v="2"/>
    <x v="13"/>
  </r>
  <r>
    <x v="2536"/>
    <s v="Montag"/>
    <s v="Porz"/>
    <m/>
    <x v="2"/>
    <x v="13"/>
  </r>
  <r>
    <x v="2537"/>
    <s v="Dienstag"/>
    <s v="Porz"/>
    <m/>
    <x v="2"/>
    <x v="13"/>
  </r>
  <r>
    <x v="2538"/>
    <s v="Mittwoch"/>
    <s v="Porz"/>
    <m/>
    <x v="2"/>
    <x v="13"/>
  </r>
  <r>
    <x v="2539"/>
    <s v="Donnerstag"/>
    <s v="Porz"/>
    <m/>
    <x v="2"/>
    <x v="13"/>
  </r>
  <r>
    <x v="2540"/>
    <s v="Freitag"/>
    <s v="Porz"/>
    <m/>
    <x v="2"/>
    <x v="13"/>
  </r>
  <r>
    <x v="2541"/>
    <s v="Samstag"/>
    <s v="Porz"/>
    <m/>
    <x v="2"/>
    <x v="13"/>
  </r>
  <r>
    <x v="2542"/>
    <s v="Sonntag"/>
    <s v="Porz"/>
    <m/>
    <x v="2"/>
    <x v="13"/>
  </r>
  <r>
    <x v="2543"/>
    <s v="Montag"/>
    <s v="Porz"/>
    <m/>
    <x v="2"/>
    <x v="13"/>
  </r>
  <r>
    <x v="2544"/>
    <s v="Dienstag"/>
    <s v="Porz"/>
    <m/>
    <x v="2"/>
    <x v="13"/>
  </r>
  <r>
    <x v="2545"/>
    <s v="Mittwoch"/>
    <s v="Porz"/>
    <m/>
    <x v="2"/>
    <x v="13"/>
  </r>
  <r>
    <x v="2546"/>
    <s v="Donnerstag"/>
    <s v="Porz"/>
    <m/>
    <x v="2"/>
    <x v="13"/>
  </r>
  <r>
    <x v="2547"/>
    <s v="Freitag"/>
    <s v="Porz"/>
    <m/>
    <x v="2"/>
    <x v="13"/>
  </r>
  <r>
    <x v="2548"/>
    <s v="Samstag"/>
    <s v="Porz"/>
    <m/>
    <x v="2"/>
    <x v="13"/>
  </r>
  <r>
    <x v="2549"/>
    <s v="Sonntag"/>
    <s v="Porz"/>
    <m/>
    <x v="2"/>
    <x v="13"/>
  </r>
  <r>
    <x v="2550"/>
    <s v="Montag"/>
    <s v="Porz"/>
    <m/>
    <x v="2"/>
    <x v="13"/>
  </r>
  <r>
    <x v="2551"/>
    <s v="Dienstag"/>
    <s v="Porz"/>
    <m/>
    <x v="2"/>
    <x v="13"/>
  </r>
  <r>
    <x v="2552"/>
    <s v="Mittwoch"/>
    <s v="Porz"/>
    <m/>
    <x v="2"/>
    <x v="13"/>
  </r>
  <r>
    <x v="2553"/>
    <s v="Donnerstag"/>
    <s v="Porz"/>
    <m/>
    <x v="2"/>
    <x v="13"/>
  </r>
  <r>
    <x v="2554"/>
    <s v="Freitag"/>
    <s v="Porz"/>
    <m/>
    <x v="2"/>
    <x v="13"/>
  </r>
  <r>
    <x v="2555"/>
    <s v="Samstag"/>
    <s v="Porz"/>
    <m/>
    <x v="2"/>
    <x v="13"/>
  </r>
  <r>
    <x v="2556"/>
    <s v="Sonntag"/>
    <s v="Porz"/>
    <m/>
    <x v="2"/>
    <x v="13"/>
  </r>
  <r>
    <x v="2557"/>
    <s v="Montag"/>
    <s v="Porz"/>
    <m/>
    <x v="2"/>
    <x v="13"/>
  </r>
  <r>
    <x v="2558"/>
    <s v="Dienstag"/>
    <s v="Porz"/>
    <m/>
    <x v="2"/>
    <x v="13"/>
  </r>
  <r>
    <x v="2559"/>
    <s v="Mittwoch"/>
    <s v="Porz"/>
    <m/>
    <x v="2"/>
    <x v="13"/>
  </r>
  <r>
    <x v="2560"/>
    <s v="Donnerstag"/>
    <s v="Porz"/>
    <m/>
    <x v="2"/>
    <x v="13"/>
  </r>
  <r>
    <x v="2561"/>
    <s v="Freitag"/>
    <s v="Porz"/>
    <m/>
    <x v="2"/>
    <x v="13"/>
  </r>
  <r>
    <x v="2562"/>
    <s v="Samstag"/>
    <s v="Porz"/>
    <m/>
    <x v="2"/>
    <x v="13"/>
  </r>
  <r>
    <x v="2563"/>
    <s v="Sonntag"/>
    <s v="Porz"/>
    <m/>
    <x v="2"/>
    <x v="13"/>
  </r>
  <r>
    <x v="2564"/>
    <s v="Montag"/>
    <s v="Porz"/>
    <m/>
    <x v="2"/>
    <x v="13"/>
  </r>
  <r>
    <x v="2565"/>
    <s v="Dienstag"/>
    <s v="Porz"/>
    <m/>
    <x v="2"/>
    <x v="13"/>
  </r>
  <r>
    <x v="2566"/>
    <s v="Mittwoch"/>
    <s v="Porz"/>
    <m/>
    <x v="2"/>
    <x v="13"/>
  </r>
  <r>
    <x v="2567"/>
    <s v="Donnerstag"/>
    <s v="Porz"/>
    <m/>
    <x v="2"/>
    <x v="13"/>
  </r>
  <r>
    <x v="2568"/>
    <s v="Freitag"/>
    <s v="Porz"/>
    <m/>
    <x v="2"/>
    <x v="13"/>
  </r>
  <r>
    <x v="2569"/>
    <s v="Samstag"/>
    <s v="Porz"/>
    <m/>
    <x v="2"/>
    <x v="13"/>
  </r>
  <r>
    <x v="2570"/>
    <s v="Sonntag"/>
    <s v="Porz"/>
    <m/>
    <x v="2"/>
    <x v="13"/>
  </r>
  <r>
    <x v="2571"/>
    <s v="Montag"/>
    <s v="Porz"/>
    <m/>
    <x v="2"/>
    <x v="13"/>
  </r>
  <r>
    <x v="2572"/>
    <s v="Dienstag"/>
    <s v="Porz"/>
    <m/>
    <x v="2"/>
    <x v="13"/>
  </r>
  <r>
    <x v="2573"/>
    <s v="Mittwoch"/>
    <s v="Porz"/>
    <m/>
    <x v="2"/>
    <x v="13"/>
  </r>
  <r>
    <x v="2574"/>
    <s v="Donnerstag"/>
    <s v="Porz"/>
    <m/>
    <x v="2"/>
    <x v="13"/>
  </r>
  <r>
    <x v="2575"/>
    <s v="Freitag"/>
    <s v="Porz"/>
    <m/>
    <x v="2"/>
    <x v="13"/>
  </r>
  <r>
    <x v="2576"/>
    <s v="Samstag"/>
    <s v="Porz"/>
    <m/>
    <x v="2"/>
    <x v="13"/>
  </r>
  <r>
    <x v="2577"/>
    <s v="Sonntag"/>
    <s v="Porz"/>
    <m/>
    <x v="2"/>
    <x v="13"/>
  </r>
  <r>
    <x v="2578"/>
    <s v="Montag"/>
    <s v="Porz"/>
    <m/>
    <x v="2"/>
    <x v="13"/>
  </r>
  <r>
    <x v="2579"/>
    <s v="Dienstag"/>
    <s v="Porz"/>
    <m/>
    <x v="2"/>
    <x v="13"/>
  </r>
  <r>
    <x v="2580"/>
    <s v="Mittwoch"/>
    <s v="Porz"/>
    <m/>
    <x v="2"/>
    <x v="13"/>
  </r>
  <r>
    <x v="2581"/>
    <s v="Donnerstag"/>
    <s v="Porz"/>
    <m/>
    <x v="2"/>
    <x v="13"/>
  </r>
  <r>
    <x v="2582"/>
    <s v="Freitag"/>
    <s v="Porz"/>
    <m/>
    <x v="2"/>
    <x v="13"/>
  </r>
  <r>
    <x v="2583"/>
    <s v="Samstag"/>
    <s v="Porz"/>
    <m/>
    <x v="2"/>
    <x v="13"/>
  </r>
  <r>
    <x v="2584"/>
    <s v="Sonntag"/>
    <s v="Porz"/>
    <m/>
    <x v="2"/>
    <x v="13"/>
  </r>
  <r>
    <x v="2585"/>
    <s v="Montag"/>
    <s v="Porz"/>
    <m/>
    <x v="2"/>
    <x v="13"/>
  </r>
  <r>
    <x v="2586"/>
    <s v="Dienstag"/>
    <s v="Porz"/>
    <m/>
    <x v="2"/>
    <x v="13"/>
  </r>
  <r>
    <x v="2587"/>
    <s v="Mittwoch"/>
    <s v="Porz"/>
    <m/>
    <x v="2"/>
    <x v="13"/>
  </r>
  <r>
    <x v="2588"/>
    <s v="Donnerstag"/>
    <s v="Porz"/>
    <m/>
    <x v="2"/>
    <x v="13"/>
  </r>
  <r>
    <x v="2589"/>
    <s v="Freitag"/>
    <s v="Porz"/>
    <m/>
    <x v="2"/>
    <x v="13"/>
  </r>
  <r>
    <x v="2590"/>
    <s v="Samstag"/>
    <s v="Porz"/>
    <m/>
    <x v="2"/>
    <x v="13"/>
  </r>
  <r>
    <x v="2591"/>
    <s v="Sonntag"/>
    <s v="Porz"/>
    <m/>
    <x v="2"/>
    <x v="13"/>
  </r>
  <r>
    <x v="2592"/>
    <s v="Montag"/>
    <s v="Porz"/>
    <m/>
    <x v="2"/>
    <x v="13"/>
  </r>
  <r>
    <x v="2593"/>
    <s v="Dienstag"/>
    <s v="Porz"/>
    <m/>
    <x v="2"/>
    <x v="13"/>
  </r>
  <r>
    <x v="2594"/>
    <s v="Mittwoch"/>
    <s v="Porz"/>
    <m/>
    <x v="2"/>
    <x v="13"/>
  </r>
  <r>
    <x v="2595"/>
    <s v="Donnerstag"/>
    <s v="Porz"/>
    <m/>
    <x v="2"/>
    <x v="13"/>
  </r>
  <r>
    <x v="2596"/>
    <s v="Freitag"/>
    <s v="Porz"/>
    <m/>
    <x v="2"/>
    <x v="13"/>
  </r>
  <r>
    <x v="2597"/>
    <s v="Samstag"/>
    <s v="Porz"/>
    <m/>
    <x v="2"/>
    <x v="13"/>
  </r>
  <r>
    <x v="2598"/>
    <s v="Sonntag"/>
    <s v="Porz"/>
    <m/>
    <x v="2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7B1E2-6193-40AA-A06F-74E4518CDE9A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46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5">
        <item x="0"/>
        <item x="2"/>
        <item x="1"/>
        <item x="3"/>
        <item x="4"/>
        <item x="7"/>
        <item x="5"/>
        <item x="6"/>
        <item x="9"/>
        <item x="8"/>
        <item x="10"/>
        <item x="11"/>
        <item x="12"/>
        <item x="13"/>
        <item t="default"/>
      </items>
    </pivotField>
  </pivotFields>
  <rowFields count="2">
    <field x="0"/>
    <field x="5"/>
  </rowFields>
  <rowItems count="43">
    <i>
      <x/>
    </i>
    <i r="1">
      <x v="1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3"/>
    </i>
    <i>
      <x v="4"/>
    </i>
    <i r="1">
      <x v="13"/>
    </i>
    <i>
      <x v="5"/>
    </i>
    <i r="1">
      <x/>
    </i>
    <i r="1">
      <x v="13"/>
    </i>
    <i>
      <x v="6"/>
    </i>
    <i r="1">
      <x v="13"/>
    </i>
    <i>
      <x v="7"/>
    </i>
    <i r="1">
      <x v="13"/>
    </i>
    <i>
      <x v="8"/>
    </i>
    <i r="1">
      <x v="13"/>
    </i>
    <i>
      <x v="9"/>
    </i>
    <i r="1">
      <x v="13"/>
    </i>
    <i t="grand">
      <x/>
    </i>
  </rowItems>
  <colItems count="1">
    <i/>
  </colItems>
  <dataFields count="1">
    <dataField name="Anzahl von da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EDC6-E876-4E99-B38D-4B4DEEC29746}">
  <dimension ref="A3:G4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22.42578125" bestFit="1" customWidth="1"/>
    <col min="2" max="2" width="14.28515625" bestFit="1" customWidth="1"/>
  </cols>
  <sheetData>
    <row r="3" spans="1:7" x14ac:dyDescent="0.25">
      <c r="A3" s="163" t="s">
        <v>0</v>
      </c>
      <c r="B3" t="s">
        <v>1</v>
      </c>
    </row>
    <row r="4" spans="1:7" x14ac:dyDescent="0.25">
      <c r="A4" s="164" t="s">
        <v>2</v>
      </c>
    </row>
    <row r="5" spans="1:7" x14ac:dyDescent="0.25">
      <c r="A5" s="165" t="s">
        <v>2</v>
      </c>
    </row>
    <row r="6" spans="1:7" x14ac:dyDescent="0.25">
      <c r="A6" s="164" t="s">
        <v>3</v>
      </c>
      <c r="B6">
        <v>18</v>
      </c>
    </row>
    <row r="7" spans="1:7" x14ac:dyDescent="0.25">
      <c r="A7" s="165">
        <v>3.9</v>
      </c>
      <c r="B7">
        <v>12</v>
      </c>
    </row>
    <row r="8" spans="1:7" x14ac:dyDescent="0.25">
      <c r="A8" s="165">
        <v>4.9000000000000004</v>
      </c>
      <c r="B8">
        <v>3</v>
      </c>
    </row>
    <row r="9" spans="1:7" x14ac:dyDescent="0.25">
      <c r="A9" s="165">
        <v>5.9</v>
      </c>
      <c r="B9">
        <v>3</v>
      </c>
    </row>
    <row r="10" spans="1:7" x14ac:dyDescent="0.25">
      <c r="A10" s="164" t="s">
        <v>4</v>
      </c>
      <c r="B10">
        <v>365</v>
      </c>
      <c r="F10" t="s">
        <v>5</v>
      </c>
      <c r="G10" t="s">
        <v>6</v>
      </c>
    </row>
    <row r="11" spans="1:7" x14ac:dyDescent="0.25">
      <c r="A11" s="165">
        <v>3.9</v>
      </c>
      <c r="B11">
        <v>156</v>
      </c>
      <c r="C11" s="168">
        <f>B11/365</f>
        <v>0.42739726027397262</v>
      </c>
      <c r="D11" s="169">
        <f>C21</f>
        <v>0.46302250803858519</v>
      </c>
      <c r="F11">
        <f>A11</f>
        <v>3.9</v>
      </c>
      <c r="G11" s="169">
        <f t="shared" ref="G11:G18" si="0">AVERAGE(C11:D11)</f>
        <v>0.44520988415627893</v>
      </c>
    </row>
    <row r="12" spans="1:7" x14ac:dyDescent="0.25">
      <c r="A12" s="165">
        <v>4.9000000000000004</v>
      </c>
      <c r="B12">
        <v>26</v>
      </c>
      <c r="C12" s="168">
        <f t="shared" ref="C12:C19" si="1">B12/365</f>
        <v>7.1232876712328766E-2</v>
      </c>
      <c r="D12" s="169">
        <f t="shared" ref="D12:D18" si="2">C22</f>
        <v>7.7170418006430874E-2</v>
      </c>
      <c r="F12">
        <f t="shared" ref="F12:F18" si="3">A12</f>
        <v>4.9000000000000004</v>
      </c>
      <c r="G12" s="169">
        <f t="shared" si="0"/>
        <v>7.4201647359379813E-2</v>
      </c>
    </row>
    <row r="13" spans="1:7" x14ac:dyDescent="0.25">
      <c r="A13" s="165">
        <v>5.9</v>
      </c>
      <c r="B13">
        <v>74</v>
      </c>
      <c r="C13" s="168">
        <f t="shared" si="1"/>
        <v>0.20273972602739726</v>
      </c>
      <c r="D13" s="169">
        <f t="shared" si="2"/>
        <v>0.23151125401929259</v>
      </c>
      <c r="F13">
        <f t="shared" si="3"/>
        <v>5.9</v>
      </c>
      <c r="G13" s="169">
        <f t="shared" si="0"/>
        <v>0.21712549002334491</v>
      </c>
    </row>
    <row r="14" spans="1:7" x14ac:dyDescent="0.25">
      <c r="A14" s="165">
        <v>8</v>
      </c>
      <c r="B14">
        <v>42</v>
      </c>
      <c r="C14" s="168">
        <f t="shared" si="1"/>
        <v>0.11506849315068493</v>
      </c>
      <c r="D14" s="169">
        <f t="shared" si="2"/>
        <v>0.11254019292604502</v>
      </c>
      <c r="F14">
        <f t="shared" si="3"/>
        <v>8</v>
      </c>
      <c r="G14" s="169">
        <f t="shared" si="0"/>
        <v>0.11380434303836498</v>
      </c>
    </row>
    <row r="15" spans="1:7" x14ac:dyDescent="0.25">
      <c r="A15" s="165">
        <v>10</v>
      </c>
      <c r="B15">
        <v>36</v>
      </c>
      <c r="C15" s="168">
        <f t="shared" si="1"/>
        <v>9.8630136986301367E-2</v>
      </c>
      <c r="D15" s="169">
        <f t="shared" si="2"/>
        <v>9.3247588424437297E-2</v>
      </c>
      <c r="F15">
        <f t="shared" si="3"/>
        <v>10</v>
      </c>
      <c r="G15" s="169">
        <f t="shared" si="0"/>
        <v>9.5938862705369332E-2</v>
      </c>
    </row>
    <row r="16" spans="1:7" x14ac:dyDescent="0.25">
      <c r="A16" s="165">
        <v>12</v>
      </c>
      <c r="B16">
        <v>20</v>
      </c>
      <c r="C16" s="168">
        <f t="shared" si="1"/>
        <v>5.4794520547945202E-2</v>
      </c>
      <c r="D16" s="169">
        <f t="shared" si="2"/>
        <v>2.8938906752411574E-2</v>
      </c>
      <c r="F16">
        <f t="shared" si="3"/>
        <v>12</v>
      </c>
      <c r="G16" s="169">
        <f t="shared" si="0"/>
        <v>4.186671365017839E-2</v>
      </c>
    </row>
    <row r="17" spans="1:7" x14ac:dyDescent="0.25">
      <c r="A17" s="165">
        <v>15</v>
      </c>
      <c r="B17">
        <v>7</v>
      </c>
      <c r="C17" s="168">
        <f t="shared" si="1"/>
        <v>1.9178082191780823E-2</v>
      </c>
      <c r="D17" s="169">
        <f t="shared" si="2"/>
        <v>6.4308681672025723E-3</v>
      </c>
      <c r="F17">
        <f t="shared" si="3"/>
        <v>15</v>
      </c>
      <c r="G17" s="169">
        <f t="shared" si="0"/>
        <v>1.2804475179491698E-2</v>
      </c>
    </row>
    <row r="18" spans="1:7" x14ac:dyDescent="0.25">
      <c r="A18" s="165">
        <v>19</v>
      </c>
      <c r="B18">
        <v>3</v>
      </c>
      <c r="C18" s="168">
        <f t="shared" si="1"/>
        <v>8.21917808219178E-3</v>
      </c>
      <c r="D18" s="169">
        <f t="shared" si="2"/>
        <v>6.4308681672025723E-3</v>
      </c>
      <c r="F18">
        <f t="shared" si="3"/>
        <v>19</v>
      </c>
      <c r="G18" s="169">
        <f t="shared" si="0"/>
        <v>7.3250231246971761E-3</v>
      </c>
    </row>
    <row r="19" spans="1:7" x14ac:dyDescent="0.25">
      <c r="A19" s="165" t="s">
        <v>7</v>
      </c>
      <c r="B19">
        <v>1</v>
      </c>
      <c r="C19" s="167">
        <f t="shared" si="1"/>
        <v>2.7397260273972603E-3</v>
      </c>
    </row>
    <row r="20" spans="1:7" x14ac:dyDescent="0.25">
      <c r="A20" s="164" t="s">
        <v>8</v>
      </c>
      <c r="B20">
        <v>365</v>
      </c>
      <c r="D20" s="166">
        <v>44873</v>
      </c>
      <c r="E20" s="166">
        <v>44562</v>
      </c>
      <c r="F20">
        <f>D20-E20</f>
        <v>311</v>
      </c>
    </row>
    <row r="21" spans="1:7" x14ac:dyDescent="0.25">
      <c r="A21" s="165">
        <v>3.9</v>
      </c>
      <c r="B21">
        <v>144</v>
      </c>
      <c r="C21" s="167">
        <f>B21/$F$20</f>
        <v>0.46302250803858519</v>
      </c>
    </row>
    <row r="22" spans="1:7" x14ac:dyDescent="0.25">
      <c r="A22" s="165">
        <v>4.9000000000000004</v>
      </c>
      <c r="B22">
        <v>24</v>
      </c>
      <c r="C22" s="167">
        <f t="shared" ref="C22:C31" si="4">B22/$F$20</f>
        <v>7.7170418006430874E-2</v>
      </c>
    </row>
    <row r="23" spans="1:7" x14ac:dyDescent="0.25">
      <c r="A23" s="165">
        <v>5.9</v>
      </c>
      <c r="B23">
        <v>72</v>
      </c>
      <c r="C23" s="167">
        <f t="shared" si="4"/>
        <v>0.23151125401929259</v>
      </c>
    </row>
    <row r="24" spans="1:7" x14ac:dyDescent="0.25">
      <c r="A24" s="165">
        <v>8</v>
      </c>
      <c r="B24">
        <v>35</v>
      </c>
      <c r="C24" s="167">
        <f t="shared" si="4"/>
        <v>0.11254019292604502</v>
      </c>
    </row>
    <row r="25" spans="1:7" x14ac:dyDescent="0.25">
      <c r="A25" s="165">
        <v>10</v>
      </c>
      <c r="B25">
        <v>29</v>
      </c>
      <c r="C25" s="167">
        <f t="shared" si="4"/>
        <v>9.3247588424437297E-2</v>
      </c>
    </row>
    <row r="26" spans="1:7" x14ac:dyDescent="0.25">
      <c r="A26" s="165">
        <v>12</v>
      </c>
      <c r="B26">
        <v>9</v>
      </c>
      <c r="C26" s="167">
        <f t="shared" si="4"/>
        <v>2.8938906752411574E-2</v>
      </c>
    </row>
    <row r="27" spans="1:7" x14ac:dyDescent="0.25">
      <c r="A27" s="165">
        <v>15</v>
      </c>
      <c r="B27">
        <v>2</v>
      </c>
      <c r="C27" s="167">
        <f t="shared" si="4"/>
        <v>6.4308681672025723E-3</v>
      </c>
    </row>
    <row r="28" spans="1:7" x14ac:dyDescent="0.25">
      <c r="A28" s="165" t="s">
        <v>9</v>
      </c>
      <c r="B28">
        <v>2</v>
      </c>
      <c r="C28" s="167">
        <f t="shared" si="4"/>
        <v>6.4308681672025723E-3</v>
      </c>
    </row>
    <row r="29" spans="1:7" x14ac:dyDescent="0.25">
      <c r="A29" s="165" t="s">
        <v>10</v>
      </c>
      <c r="B29">
        <v>2</v>
      </c>
      <c r="C29" s="167">
        <f t="shared" si="4"/>
        <v>6.4308681672025723E-3</v>
      </c>
    </row>
    <row r="30" spans="1:7" x14ac:dyDescent="0.25">
      <c r="A30" s="165" t="s">
        <v>11</v>
      </c>
      <c r="B30">
        <v>1</v>
      </c>
      <c r="C30" s="167">
        <f t="shared" si="4"/>
        <v>3.2154340836012861E-3</v>
      </c>
    </row>
    <row r="31" spans="1:7" x14ac:dyDescent="0.25">
      <c r="A31" s="165" t="s">
        <v>12</v>
      </c>
      <c r="B31">
        <v>1</v>
      </c>
      <c r="C31" s="167">
        <f t="shared" si="4"/>
        <v>3.2154340836012861E-3</v>
      </c>
    </row>
    <row r="32" spans="1:7" x14ac:dyDescent="0.25">
      <c r="A32" s="165" t="s">
        <v>2</v>
      </c>
      <c r="B32">
        <v>44</v>
      </c>
      <c r="C32" s="167"/>
    </row>
    <row r="33" spans="1:2" x14ac:dyDescent="0.25">
      <c r="A33" s="164" t="s">
        <v>13</v>
      </c>
      <c r="B33">
        <v>365</v>
      </c>
    </row>
    <row r="34" spans="1:2" x14ac:dyDescent="0.25">
      <c r="A34" s="165" t="s">
        <v>2</v>
      </c>
      <c r="B34">
        <v>365</v>
      </c>
    </row>
    <row r="35" spans="1:2" x14ac:dyDescent="0.25">
      <c r="A35" s="164" t="s">
        <v>14</v>
      </c>
      <c r="B35">
        <v>360</v>
      </c>
    </row>
    <row r="36" spans="1:2" x14ac:dyDescent="0.25">
      <c r="A36" s="165">
        <v>3.9</v>
      </c>
      <c r="B36">
        <v>132</v>
      </c>
    </row>
    <row r="37" spans="1:2" x14ac:dyDescent="0.25">
      <c r="A37" s="165" t="s">
        <v>2</v>
      </c>
      <c r="B37">
        <v>228</v>
      </c>
    </row>
    <row r="38" spans="1:2" x14ac:dyDescent="0.25">
      <c r="A38" s="164" t="s">
        <v>15</v>
      </c>
      <c r="B38">
        <v>365</v>
      </c>
    </row>
    <row r="39" spans="1:2" x14ac:dyDescent="0.25">
      <c r="A39" s="165" t="s">
        <v>2</v>
      </c>
      <c r="B39">
        <v>365</v>
      </c>
    </row>
    <row r="40" spans="1:2" x14ac:dyDescent="0.25">
      <c r="A40" s="164" t="s">
        <v>16</v>
      </c>
      <c r="B40">
        <v>365</v>
      </c>
    </row>
    <row r="41" spans="1:2" x14ac:dyDescent="0.25">
      <c r="A41" s="165" t="s">
        <v>2</v>
      </c>
      <c r="B41">
        <v>365</v>
      </c>
    </row>
    <row r="42" spans="1:2" x14ac:dyDescent="0.25">
      <c r="A42" s="164" t="s">
        <v>17</v>
      </c>
      <c r="B42">
        <v>365</v>
      </c>
    </row>
    <row r="43" spans="1:2" x14ac:dyDescent="0.25">
      <c r="A43" s="165" t="s">
        <v>2</v>
      </c>
      <c r="B43">
        <v>365</v>
      </c>
    </row>
    <row r="44" spans="1:2" x14ac:dyDescent="0.25">
      <c r="A44" s="164" t="s">
        <v>18</v>
      </c>
      <c r="B44">
        <v>30</v>
      </c>
    </row>
    <row r="45" spans="1:2" x14ac:dyDescent="0.25">
      <c r="A45" s="165" t="s">
        <v>2</v>
      </c>
      <c r="B45">
        <v>30</v>
      </c>
    </row>
    <row r="46" spans="1:2" x14ac:dyDescent="0.25">
      <c r="A46" s="164" t="s">
        <v>19</v>
      </c>
      <c r="B46">
        <v>2598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 filterMode="1">
    <pageSetUpPr fitToPage="1"/>
  </sheetPr>
  <dimension ref="A1:AZ2605"/>
  <sheetViews>
    <sheetView showGridLines="0" tabSelected="1" zoomScaleNormal="100" workbookViewId="0">
      <pane ySplit="1" topLeftCell="A1754" activePane="bottomLeft" state="frozen"/>
      <selection pane="bottomLeft" activeCell="L1768" sqref="L1768:L1770"/>
    </sheetView>
  </sheetViews>
  <sheetFormatPr baseColWidth="10" defaultColWidth="9.140625" defaultRowHeight="15" x14ac:dyDescent="0.25"/>
  <cols>
    <col min="1" max="1" width="5.42578125" bestFit="1" customWidth="1"/>
    <col min="2" max="2" width="9.42578125" style="99" customWidth="1"/>
    <col min="3" max="3" width="10.5703125" style="8" customWidth="1"/>
    <col min="4" max="4" width="5.28515625" style="8" customWidth="1"/>
    <col min="5" max="5" width="12.5703125" style="8" customWidth="1"/>
    <col min="6" max="6" width="14.42578125" style="8" customWidth="1"/>
    <col min="7" max="7" width="7.7109375" style="12" customWidth="1"/>
    <col min="8" max="8" width="12.28515625" style="8" customWidth="1"/>
    <col min="9" max="10" width="9.140625" style="8" customWidth="1"/>
    <col min="11" max="11" width="9.5703125" style="8" customWidth="1"/>
    <col min="12" max="12" width="11.85546875" style="106" customWidth="1"/>
    <col min="13" max="13" width="16.42578125" style="8" customWidth="1"/>
    <col min="14" max="14" width="13" style="106" customWidth="1"/>
    <col min="15" max="15" width="37.7109375" style="11" customWidth="1"/>
    <col min="16" max="16" width="25.140625" style="9" hidden="1" customWidth="1"/>
    <col min="17" max="17" width="6.85546875" style="8" hidden="1" customWidth="1"/>
    <col min="18" max="18" width="6.28515625" style="8" hidden="1" customWidth="1"/>
    <col min="19" max="19" width="9.140625" style="8" hidden="1" customWidth="1"/>
    <col min="20" max="20" width="13.140625" style="8" hidden="1" customWidth="1"/>
    <col min="21" max="21" width="9" style="8" hidden="1" customWidth="1"/>
    <col min="22" max="22" width="10" style="8" hidden="1" customWidth="1"/>
    <col min="23" max="23" width="9.28515625" style="8" hidden="1" customWidth="1"/>
    <col min="24" max="24" width="6.5703125" style="8" hidden="1" customWidth="1"/>
    <col min="25" max="25" width="8.5703125" style="8" hidden="1" customWidth="1"/>
    <col min="26" max="26" width="12.7109375" style="8" hidden="1" customWidth="1"/>
    <col min="27" max="27" width="4.42578125" style="8" hidden="1" customWidth="1"/>
    <col min="28" max="28" width="7.7109375" hidden="1" customWidth="1"/>
    <col min="29" max="29" width="5" hidden="1" customWidth="1"/>
    <col min="30" max="30" width="9.85546875" hidden="1" customWidth="1"/>
    <col min="31" max="31" width="14.42578125" hidden="1" customWidth="1"/>
    <col min="32" max="32" width="7.42578125" hidden="1" customWidth="1"/>
    <col min="33" max="33" width="18" style="108" bestFit="1" customWidth="1"/>
    <col min="34" max="34" width="10.140625" bestFit="1" customWidth="1"/>
    <col min="16380" max="16384" width="2.85546875" customWidth="1"/>
  </cols>
  <sheetData>
    <row r="1" spans="1:33" ht="37.5" customHeight="1" thickBot="1" x14ac:dyDescent="0.3">
      <c r="A1" s="1" t="s">
        <v>20</v>
      </c>
      <c r="B1" s="95" t="s">
        <v>21</v>
      </c>
      <c r="C1" s="2" t="s">
        <v>22</v>
      </c>
      <c r="D1" s="2" t="s">
        <v>23</v>
      </c>
      <c r="E1" s="2" t="s">
        <v>24</v>
      </c>
      <c r="F1" s="2" t="s">
        <v>5</v>
      </c>
      <c r="G1" s="2" t="s">
        <v>25</v>
      </c>
      <c r="H1" s="2" t="s">
        <v>26</v>
      </c>
      <c r="I1" s="2" t="s">
        <v>27</v>
      </c>
      <c r="J1" s="2" t="s">
        <v>28</v>
      </c>
      <c r="K1" s="3" t="s">
        <v>29</v>
      </c>
      <c r="L1" s="180" t="s">
        <v>30</v>
      </c>
      <c r="M1" s="2" t="s">
        <v>31</v>
      </c>
      <c r="N1" s="100" t="s">
        <v>32</v>
      </c>
      <c r="O1" s="10" t="s">
        <v>33</v>
      </c>
      <c r="P1" s="4" t="s">
        <v>34</v>
      </c>
      <c r="Q1" s="5" t="s">
        <v>23</v>
      </c>
      <c r="R1" s="5" t="s">
        <v>35</v>
      </c>
      <c r="S1" s="5" t="s">
        <v>24</v>
      </c>
      <c r="T1" s="5" t="s">
        <v>5</v>
      </c>
      <c r="U1" s="5" t="s">
        <v>26</v>
      </c>
      <c r="V1" s="5" t="s">
        <v>27</v>
      </c>
      <c r="W1" s="5" t="s">
        <v>28</v>
      </c>
      <c r="X1" s="6" t="s">
        <v>29</v>
      </c>
      <c r="Y1" s="5" t="s">
        <v>30</v>
      </c>
      <c r="Z1" s="5" t="s">
        <v>31</v>
      </c>
      <c r="AA1" s="5" t="s">
        <v>32</v>
      </c>
      <c r="AC1" s="7" t="s">
        <v>23</v>
      </c>
      <c r="AD1" s="7" t="s">
        <v>24</v>
      </c>
      <c r="AE1" s="7" t="s">
        <v>5</v>
      </c>
      <c r="AF1" s="7" t="s">
        <v>25</v>
      </c>
      <c r="AG1" s="107" t="s">
        <v>36</v>
      </c>
    </row>
    <row r="2" spans="1:33" hidden="1" x14ac:dyDescent="0.25">
      <c r="A2" s="223">
        <v>51</v>
      </c>
      <c r="B2" s="96">
        <v>44179</v>
      </c>
      <c r="C2" s="40" t="s">
        <v>37</v>
      </c>
      <c r="D2" s="40" t="s">
        <v>38</v>
      </c>
      <c r="E2" s="41" t="s">
        <v>39</v>
      </c>
      <c r="F2" s="42" t="s">
        <v>40</v>
      </c>
      <c r="G2" s="43">
        <v>3.9</v>
      </c>
      <c r="H2" s="42">
        <v>900</v>
      </c>
      <c r="I2" s="41">
        <v>900</v>
      </c>
      <c r="J2" s="41">
        <v>0</v>
      </c>
      <c r="K2" s="44">
        <v>0.85</v>
      </c>
      <c r="L2" s="44">
        <v>697</v>
      </c>
      <c r="M2" s="44">
        <v>0.03</v>
      </c>
      <c r="N2" s="45">
        <f t="shared" ref="N2:N19" si="0">+IF(I2&gt;J2,I2*0.85,J2*0.85)</f>
        <v>765</v>
      </c>
      <c r="O2" s="46"/>
      <c r="P2" s="47" t="s">
        <v>41</v>
      </c>
      <c r="Q2" s="48" t="s">
        <v>38</v>
      </c>
      <c r="R2" s="48">
        <v>2024</v>
      </c>
      <c r="S2" s="48" t="s">
        <v>39</v>
      </c>
      <c r="T2" s="48" t="s">
        <v>40</v>
      </c>
      <c r="U2" s="49">
        <v>900</v>
      </c>
      <c r="V2" s="49">
        <v>700</v>
      </c>
      <c r="W2" s="48"/>
      <c r="X2" s="50">
        <v>0.85</v>
      </c>
      <c r="Y2" s="48">
        <v>723</v>
      </c>
      <c r="Z2" s="50">
        <v>0.03</v>
      </c>
      <c r="AA2" s="48">
        <v>701</v>
      </c>
      <c r="AB2" s="51"/>
      <c r="AC2" s="51" t="s">
        <v>38</v>
      </c>
      <c r="AD2" s="51" t="s">
        <v>39</v>
      </c>
      <c r="AE2" s="51" t="s">
        <v>40</v>
      </c>
      <c r="AF2" s="51">
        <v>2.9</v>
      </c>
      <c r="AG2"/>
    </row>
    <row r="3" spans="1:33" hidden="1" x14ac:dyDescent="0.25">
      <c r="A3" s="224"/>
      <c r="B3" s="96">
        <v>44180</v>
      </c>
      <c r="C3" s="52" t="s">
        <v>42</v>
      </c>
      <c r="D3" s="52" t="s">
        <v>38</v>
      </c>
      <c r="E3" s="41" t="s">
        <v>39</v>
      </c>
      <c r="F3" s="53" t="s">
        <v>40</v>
      </c>
      <c r="G3" s="54">
        <v>3.9</v>
      </c>
      <c r="H3" s="53">
        <v>900</v>
      </c>
      <c r="I3" s="53">
        <v>900</v>
      </c>
      <c r="J3" s="53">
        <v>0</v>
      </c>
      <c r="K3" s="55">
        <v>0.85</v>
      </c>
      <c r="L3" s="55">
        <v>671.5</v>
      </c>
      <c r="M3" s="55">
        <v>0.03</v>
      </c>
      <c r="N3" s="56">
        <f t="shared" si="0"/>
        <v>765</v>
      </c>
      <c r="O3" s="57"/>
      <c r="P3" s="47" t="s">
        <v>43</v>
      </c>
      <c r="Q3" s="48" t="s">
        <v>38</v>
      </c>
      <c r="R3" s="48">
        <v>2024</v>
      </c>
      <c r="S3" s="48" t="s">
        <v>39</v>
      </c>
      <c r="T3" s="48" t="s">
        <v>44</v>
      </c>
      <c r="U3" s="49">
        <v>900</v>
      </c>
      <c r="V3" s="49">
        <v>700</v>
      </c>
      <c r="W3" s="48">
        <v>670</v>
      </c>
      <c r="X3" s="50">
        <v>0.77</v>
      </c>
      <c r="Y3" s="48">
        <v>516</v>
      </c>
      <c r="Z3" s="50">
        <v>0.03</v>
      </c>
      <c r="AA3" s="48">
        <v>500</v>
      </c>
      <c r="AB3" s="51"/>
      <c r="AC3" s="51"/>
      <c r="AD3" s="51" t="s">
        <v>45</v>
      </c>
      <c r="AE3" s="51" t="s">
        <v>44</v>
      </c>
      <c r="AF3" s="51">
        <v>3.9</v>
      </c>
      <c r="AG3"/>
    </row>
    <row r="4" spans="1:33" hidden="1" x14ac:dyDescent="0.25">
      <c r="A4" s="224"/>
      <c r="B4" s="96">
        <v>44181</v>
      </c>
      <c r="C4" s="52" t="s">
        <v>46</v>
      </c>
      <c r="D4" s="52" t="s">
        <v>38</v>
      </c>
      <c r="E4" s="41" t="s">
        <v>39</v>
      </c>
      <c r="F4" s="53" t="s">
        <v>40</v>
      </c>
      <c r="G4" s="54">
        <v>5.9</v>
      </c>
      <c r="H4" s="53">
        <v>900</v>
      </c>
      <c r="I4" s="53">
        <v>900</v>
      </c>
      <c r="J4" s="53">
        <v>0</v>
      </c>
      <c r="K4" s="55">
        <v>0.85</v>
      </c>
      <c r="L4" s="55">
        <v>646</v>
      </c>
      <c r="M4" s="55">
        <v>0.03</v>
      </c>
      <c r="N4" s="56">
        <f t="shared" si="0"/>
        <v>765</v>
      </c>
      <c r="O4" s="57"/>
      <c r="P4" s="47" t="s">
        <v>47</v>
      </c>
      <c r="Q4" s="48" t="s">
        <v>38</v>
      </c>
      <c r="R4" s="48">
        <v>2024</v>
      </c>
      <c r="S4" s="48" t="s">
        <v>45</v>
      </c>
      <c r="T4" s="48" t="s">
        <v>40</v>
      </c>
      <c r="U4" s="49">
        <v>830</v>
      </c>
      <c r="V4" s="49">
        <v>700</v>
      </c>
      <c r="W4" s="48"/>
      <c r="X4" s="50">
        <v>0.83</v>
      </c>
      <c r="Y4" s="48">
        <v>681</v>
      </c>
      <c r="Z4" s="50">
        <v>0.03</v>
      </c>
      <c r="AA4" s="48">
        <v>660</v>
      </c>
      <c r="AB4" s="51"/>
      <c r="AC4" s="51"/>
      <c r="AD4" s="51" t="s">
        <v>48</v>
      </c>
      <c r="AE4" s="51" t="s">
        <v>49</v>
      </c>
      <c r="AF4" s="51">
        <v>4.9000000000000004</v>
      </c>
      <c r="AG4"/>
    </row>
    <row r="5" spans="1:33" hidden="1" x14ac:dyDescent="0.25">
      <c r="A5" s="224"/>
      <c r="B5" s="96">
        <v>44182</v>
      </c>
      <c r="C5" s="52" t="s">
        <v>50</v>
      </c>
      <c r="D5" s="52" t="s">
        <v>38</v>
      </c>
      <c r="E5" s="41" t="s">
        <v>39</v>
      </c>
      <c r="F5" s="53" t="s">
        <v>40</v>
      </c>
      <c r="G5" s="54">
        <v>5.9</v>
      </c>
      <c r="H5" s="53">
        <v>900</v>
      </c>
      <c r="I5" s="53">
        <v>900</v>
      </c>
      <c r="J5" s="53">
        <v>0</v>
      </c>
      <c r="K5" s="55">
        <v>0.85</v>
      </c>
      <c r="L5" s="55">
        <v>620.5</v>
      </c>
      <c r="M5" s="55">
        <v>0.03</v>
      </c>
      <c r="N5" s="56">
        <f t="shared" si="0"/>
        <v>765</v>
      </c>
      <c r="O5" s="57"/>
      <c r="P5" s="47" t="s">
        <v>51</v>
      </c>
      <c r="Q5" s="48" t="s">
        <v>38</v>
      </c>
      <c r="R5" s="48">
        <v>2024</v>
      </c>
      <c r="S5" s="48" t="s">
        <v>45</v>
      </c>
      <c r="T5" s="48" t="s">
        <v>44</v>
      </c>
      <c r="U5" s="49">
        <v>830</v>
      </c>
      <c r="V5" s="49">
        <v>700</v>
      </c>
      <c r="W5" s="48">
        <v>670</v>
      </c>
      <c r="X5" s="50">
        <v>0.77</v>
      </c>
      <c r="Y5" s="48">
        <v>516</v>
      </c>
      <c r="Z5" s="50">
        <v>0.03</v>
      </c>
      <c r="AA5" s="48">
        <v>500</v>
      </c>
      <c r="AB5" s="51"/>
      <c r="AC5" s="51"/>
      <c r="AD5" s="51" t="s">
        <v>52</v>
      </c>
      <c r="AE5" s="51"/>
      <c r="AF5" s="51">
        <v>5.9</v>
      </c>
      <c r="AG5"/>
    </row>
    <row r="6" spans="1:33" hidden="1" x14ac:dyDescent="0.25">
      <c r="A6" s="224"/>
      <c r="B6" s="96">
        <v>44183</v>
      </c>
      <c r="C6" s="52" t="s">
        <v>53</v>
      </c>
      <c r="D6" s="52" t="s">
        <v>38</v>
      </c>
      <c r="E6" s="41" t="s">
        <v>39</v>
      </c>
      <c r="F6" s="53" t="s">
        <v>40</v>
      </c>
      <c r="G6" s="54">
        <v>5.9</v>
      </c>
      <c r="H6" s="53">
        <v>900</v>
      </c>
      <c r="I6" s="53">
        <v>900</v>
      </c>
      <c r="J6" s="53">
        <v>0</v>
      </c>
      <c r="K6" s="55">
        <v>0.85</v>
      </c>
      <c r="L6" s="55">
        <v>595</v>
      </c>
      <c r="M6" s="55">
        <v>0.03</v>
      </c>
      <c r="N6" s="56">
        <f t="shared" si="0"/>
        <v>765</v>
      </c>
      <c r="O6" s="57"/>
      <c r="P6" s="47" t="s">
        <v>54</v>
      </c>
      <c r="Q6" s="48" t="s">
        <v>38</v>
      </c>
      <c r="R6" s="48">
        <v>2024</v>
      </c>
      <c r="S6" s="48" t="s">
        <v>55</v>
      </c>
      <c r="T6" s="48" t="s">
        <v>40</v>
      </c>
      <c r="U6" s="49">
        <v>850</v>
      </c>
      <c r="V6" s="49">
        <v>700</v>
      </c>
      <c r="W6" s="48"/>
      <c r="X6" s="50">
        <v>0.85</v>
      </c>
      <c r="Y6" s="48">
        <v>710</v>
      </c>
      <c r="Z6" s="50">
        <v>0.03</v>
      </c>
      <c r="AA6" s="48">
        <v>688</v>
      </c>
      <c r="AB6" s="51"/>
      <c r="AC6" s="51"/>
      <c r="AD6" s="51" t="s">
        <v>56</v>
      </c>
      <c r="AE6" s="51"/>
      <c r="AF6" s="51">
        <v>8</v>
      </c>
      <c r="AG6"/>
    </row>
    <row r="7" spans="1:33" hidden="1" x14ac:dyDescent="0.25">
      <c r="A7" s="224"/>
      <c r="B7" s="97">
        <v>44184</v>
      </c>
      <c r="C7" s="58" t="s">
        <v>57</v>
      </c>
      <c r="D7" s="59" t="s">
        <v>38</v>
      </c>
      <c r="E7" s="60" t="s">
        <v>39</v>
      </c>
      <c r="F7" s="60" t="s">
        <v>40</v>
      </c>
      <c r="G7" s="61">
        <v>4.9000000000000004</v>
      </c>
      <c r="H7" s="60">
        <v>900</v>
      </c>
      <c r="I7" s="60">
        <v>900</v>
      </c>
      <c r="J7" s="60">
        <v>0</v>
      </c>
      <c r="K7" s="62">
        <v>0.85</v>
      </c>
      <c r="L7" s="62">
        <v>569.5</v>
      </c>
      <c r="M7" s="62">
        <v>0.03</v>
      </c>
      <c r="N7" s="63">
        <f t="shared" si="0"/>
        <v>765</v>
      </c>
      <c r="O7" s="64"/>
      <c r="P7" s="47" t="s">
        <v>58</v>
      </c>
      <c r="Q7" s="48" t="s">
        <v>38</v>
      </c>
      <c r="R7" s="48">
        <v>2024</v>
      </c>
      <c r="S7" s="48" t="s">
        <v>39</v>
      </c>
      <c r="T7" s="48" t="s">
        <v>49</v>
      </c>
      <c r="U7" s="49">
        <v>900</v>
      </c>
      <c r="V7" s="49">
        <v>700</v>
      </c>
      <c r="W7" s="48">
        <v>720</v>
      </c>
      <c r="X7" s="65">
        <v>0.8</v>
      </c>
      <c r="Y7" s="48">
        <v>576</v>
      </c>
      <c r="Z7" s="50">
        <v>0.03</v>
      </c>
      <c r="AA7" s="48">
        <v>559</v>
      </c>
      <c r="AB7" s="51"/>
      <c r="AC7" s="51"/>
      <c r="AD7" s="51" t="s">
        <v>55</v>
      </c>
      <c r="AE7" s="51"/>
      <c r="AF7" s="51">
        <v>10</v>
      </c>
      <c r="AG7"/>
    </row>
    <row r="8" spans="1:33" ht="15.75" hidden="1" thickBot="1" x14ac:dyDescent="0.3">
      <c r="A8" s="225"/>
      <c r="B8" s="98">
        <v>44185</v>
      </c>
      <c r="C8" s="66" t="s">
        <v>59</v>
      </c>
      <c r="D8" s="67" t="s">
        <v>38</v>
      </c>
      <c r="E8" s="67" t="s">
        <v>39</v>
      </c>
      <c r="F8" s="67" t="s">
        <v>40</v>
      </c>
      <c r="G8" s="68">
        <v>4.9000000000000004</v>
      </c>
      <c r="H8" s="67">
        <v>900</v>
      </c>
      <c r="I8" s="67">
        <v>900</v>
      </c>
      <c r="J8" s="67">
        <v>0</v>
      </c>
      <c r="K8" s="69">
        <v>0.85</v>
      </c>
      <c r="L8" s="69">
        <v>569.5</v>
      </c>
      <c r="M8" s="69">
        <v>0.03</v>
      </c>
      <c r="N8" s="70">
        <f t="shared" si="0"/>
        <v>765</v>
      </c>
      <c r="O8" s="71"/>
      <c r="P8" s="47" t="s">
        <v>60</v>
      </c>
      <c r="Q8" s="48" t="s">
        <v>38</v>
      </c>
      <c r="R8" s="48">
        <v>2024</v>
      </c>
      <c r="S8" s="48"/>
      <c r="T8" s="48"/>
      <c r="U8" s="49"/>
      <c r="V8" s="49">
        <v>700</v>
      </c>
      <c r="W8" s="48"/>
      <c r="X8" s="49"/>
      <c r="Y8" s="48"/>
      <c r="Z8" s="49"/>
      <c r="AA8" s="48"/>
      <c r="AB8" s="51"/>
      <c r="AC8" s="51"/>
      <c r="AD8" s="51"/>
      <c r="AE8" s="51"/>
      <c r="AF8" s="51">
        <v>12</v>
      </c>
      <c r="AG8"/>
    </row>
    <row r="9" spans="1:33" hidden="1" x14ac:dyDescent="0.25">
      <c r="A9" s="223">
        <v>52</v>
      </c>
      <c r="B9" s="96">
        <v>44186</v>
      </c>
      <c r="C9" s="72" t="s">
        <v>37</v>
      </c>
      <c r="D9" s="72" t="s">
        <v>38</v>
      </c>
      <c r="E9" s="41" t="s">
        <v>39</v>
      </c>
      <c r="F9" s="41" t="s">
        <v>40</v>
      </c>
      <c r="G9" s="43">
        <v>3.9</v>
      </c>
      <c r="H9" s="41">
        <v>900</v>
      </c>
      <c r="I9" s="41">
        <v>900</v>
      </c>
      <c r="J9" s="41">
        <v>0</v>
      </c>
      <c r="K9" s="73">
        <v>0.77</v>
      </c>
      <c r="L9" s="73">
        <v>515.9</v>
      </c>
      <c r="M9" s="73">
        <v>0.03</v>
      </c>
      <c r="N9" s="74">
        <f t="shared" si="0"/>
        <v>765</v>
      </c>
      <c r="O9" s="46"/>
      <c r="P9" s="47" t="s">
        <v>60</v>
      </c>
      <c r="Q9" s="48" t="s">
        <v>38</v>
      </c>
      <c r="R9" s="48">
        <v>2024</v>
      </c>
      <c r="S9" s="48"/>
      <c r="T9" s="48"/>
      <c r="U9" s="49"/>
      <c r="V9" s="49">
        <v>700</v>
      </c>
      <c r="W9" s="48"/>
      <c r="X9" s="49"/>
      <c r="Y9" s="48"/>
      <c r="Z9" s="49"/>
      <c r="AA9" s="48"/>
      <c r="AB9" s="51"/>
      <c r="AC9" s="51"/>
      <c r="AD9" s="51"/>
      <c r="AE9" s="51"/>
      <c r="AF9" s="51">
        <v>15</v>
      </c>
      <c r="AG9"/>
    </row>
    <row r="10" spans="1:33" hidden="1" x14ac:dyDescent="0.25">
      <c r="A10" s="224"/>
      <c r="B10" s="96">
        <v>44187</v>
      </c>
      <c r="C10" s="52" t="s">
        <v>42</v>
      </c>
      <c r="D10" s="52" t="s">
        <v>38</v>
      </c>
      <c r="E10" s="41" t="s">
        <v>39</v>
      </c>
      <c r="F10" s="53" t="s">
        <v>40</v>
      </c>
      <c r="G10" s="54">
        <v>3.9</v>
      </c>
      <c r="H10" s="53">
        <v>900</v>
      </c>
      <c r="I10" s="53">
        <v>900</v>
      </c>
      <c r="J10" s="53">
        <v>0</v>
      </c>
      <c r="K10" s="55">
        <v>0.77</v>
      </c>
      <c r="L10" s="55">
        <v>515.9</v>
      </c>
      <c r="M10" s="55">
        <v>0.03</v>
      </c>
      <c r="N10" s="56">
        <f t="shared" si="0"/>
        <v>765</v>
      </c>
      <c r="O10" s="57"/>
      <c r="P10" s="47" t="s">
        <v>61</v>
      </c>
      <c r="Q10" s="48" t="s">
        <v>38</v>
      </c>
      <c r="R10" s="48">
        <v>2024</v>
      </c>
      <c r="S10" s="48" t="s">
        <v>39</v>
      </c>
      <c r="T10" s="48" t="s">
        <v>40</v>
      </c>
      <c r="U10" s="49">
        <v>900</v>
      </c>
      <c r="V10" s="49">
        <v>700</v>
      </c>
      <c r="W10" s="48"/>
      <c r="X10" s="50">
        <v>0.85</v>
      </c>
      <c r="Y10" s="48">
        <v>723</v>
      </c>
      <c r="Z10" s="50">
        <v>0.03</v>
      </c>
      <c r="AA10" s="48">
        <v>701</v>
      </c>
      <c r="AB10" s="51"/>
      <c r="AC10" s="51"/>
      <c r="AD10" s="51"/>
      <c r="AE10" s="51"/>
      <c r="AF10" s="51">
        <v>19</v>
      </c>
      <c r="AG10"/>
    </row>
    <row r="11" spans="1:33" hidden="1" x14ac:dyDescent="0.25">
      <c r="A11" s="224"/>
      <c r="B11" s="96">
        <v>44188</v>
      </c>
      <c r="C11" s="52" t="s">
        <v>46</v>
      </c>
      <c r="D11" s="52" t="s">
        <v>38</v>
      </c>
      <c r="E11" s="41" t="s">
        <v>39</v>
      </c>
      <c r="F11" s="53" t="s">
        <v>40</v>
      </c>
      <c r="G11" s="54">
        <v>3.9</v>
      </c>
      <c r="H11" s="53">
        <v>900</v>
      </c>
      <c r="I11" s="53">
        <v>900</v>
      </c>
      <c r="J11" s="53">
        <v>0</v>
      </c>
      <c r="K11" s="55">
        <v>0.77</v>
      </c>
      <c r="L11" s="55">
        <v>515.9</v>
      </c>
      <c r="M11" s="55">
        <v>0.03</v>
      </c>
      <c r="N11" s="56">
        <f t="shared" si="0"/>
        <v>765</v>
      </c>
      <c r="O11" s="57"/>
      <c r="P11" s="47" t="s">
        <v>43</v>
      </c>
      <c r="Q11" s="48" t="s">
        <v>38</v>
      </c>
      <c r="R11" s="48">
        <v>2024</v>
      </c>
      <c r="S11" s="48" t="s">
        <v>39</v>
      </c>
      <c r="T11" s="48" t="s">
        <v>44</v>
      </c>
      <c r="U11" s="49">
        <v>900</v>
      </c>
      <c r="V11" s="49">
        <v>700</v>
      </c>
      <c r="W11" s="48">
        <v>670</v>
      </c>
      <c r="X11" s="50">
        <v>0.77</v>
      </c>
      <c r="Y11" s="48">
        <v>516</v>
      </c>
      <c r="Z11" s="50">
        <v>0.03</v>
      </c>
      <c r="AA11" s="48">
        <v>500</v>
      </c>
      <c r="AB11" s="51"/>
      <c r="AC11" s="51"/>
      <c r="AD11" s="51"/>
      <c r="AE11" s="51"/>
      <c r="AF11" s="77" t="s">
        <v>10</v>
      </c>
      <c r="AG11"/>
    </row>
    <row r="12" spans="1:33" hidden="1" x14ac:dyDescent="0.25">
      <c r="A12" s="224"/>
      <c r="B12" s="96">
        <v>44189</v>
      </c>
      <c r="C12" s="52" t="s">
        <v>50</v>
      </c>
      <c r="D12" s="52" t="s">
        <v>38</v>
      </c>
      <c r="E12" s="41" t="s">
        <v>39</v>
      </c>
      <c r="F12" s="53" t="s">
        <v>40</v>
      </c>
      <c r="G12" s="54">
        <v>3.9</v>
      </c>
      <c r="H12" s="53">
        <v>900</v>
      </c>
      <c r="I12" s="53">
        <v>900</v>
      </c>
      <c r="J12" s="53">
        <v>0</v>
      </c>
      <c r="K12" s="55">
        <v>0.77</v>
      </c>
      <c r="L12" s="55">
        <v>515.9</v>
      </c>
      <c r="M12" s="55">
        <v>0.03</v>
      </c>
      <c r="N12" s="56">
        <f t="shared" si="0"/>
        <v>765</v>
      </c>
      <c r="O12" s="57"/>
      <c r="P12" s="47" t="s">
        <v>62</v>
      </c>
      <c r="Q12" s="48" t="s">
        <v>38</v>
      </c>
      <c r="R12" s="48">
        <v>2024</v>
      </c>
      <c r="S12" s="48" t="s">
        <v>45</v>
      </c>
      <c r="T12" s="48" t="s">
        <v>40</v>
      </c>
      <c r="U12" s="49">
        <v>830</v>
      </c>
      <c r="V12" s="49">
        <v>700</v>
      </c>
      <c r="W12" s="48"/>
      <c r="X12" s="50">
        <v>0.83</v>
      </c>
      <c r="Y12" s="48">
        <v>681</v>
      </c>
      <c r="Z12" s="50">
        <v>0.03</v>
      </c>
      <c r="AA12" s="48">
        <v>660</v>
      </c>
      <c r="AB12" s="51"/>
      <c r="AC12" s="51"/>
      <c r="AD12" s="51"/>
      <c r="AE12" s="51"/>
      <c r="AF12" s="77" t="s">
        <v>9</v>
      </c>
      <c r="AG12"/>
    </row>
    <row r="13" spans="1:33" hidden="1" x14ac:dyDescent="0.25">
      <c r="A13" s="224"/>
      <c r="B13" s="96">
        <v>44190</v>
      </c>
      <c r="C13" s="52" t="s">
        <v>53</v>
      </c>
      <c r="D13" s="52" t="s">
        <v>38</v>
      </c>
      <c r="E13" s="53" t="s">
        <v>39</v>
      </c>
      <c r="F13" s="53" t="s">
        <v>40</v>
      </c>
      <c r="G13" s="54">
        <v>3.9</v>
      </c>
      <c r="H13" s="53">
        <v>900</v>
      </c>
      <c r="I13" s="53">
        <v>900</v>
      </c>
      <c r="J13" s="53">
        <v>0</v>
      </c>
      <c r="K13" s="55">
        <v>0.77</v>
      </c>
      <c r="L13" s="55">
        <v>515.9</v>
      </c>
      <c r="M13" s="55">
        <v>0.03</v>
      </c>
      <c r="N13" s="56">
        <f t="shared" si="0"/>
        <v>765</v>
      </c>
      <c r="O13" s="78"/>
      <c r="P13" s="47" t="s">
        <v>63</v>
      </c>
      <c r="Q13" s="48" t="s">
        <v>38</v>
      </c>
      <c r="R13" s="48">
        <v>2024</v>
      </c>
      <c r="S13" s="48" t="s">
        <v>45</v>
      </c>
      <c r="T13" s="48" t="s">
        <v>44</v>
      </c>
      <c r="U13" s="49">
        <v>830</v>
      </c>
      <c r="V13" s="49">
        <v>700</v>
      </c>
      <c r="W13" s="48">
        <v>670</v>
      </c>
      <c r="X13" s="50">
        <v>0.77</v>
      </c>
      <c r="Y13" s="48">
        <v>516</v>
      </c>
      <c r="Z13" s="50">
        <v>0.03</v>
      </c>
      <c r="AA13" s="48">
        <v>500</v>
      </c>
      <c r="AB13" s="51"/>
      <c r="AC13" s="51"/>
      <c r="AD13" s="51"/>
      <c r="AE13" s="51"/>
      <c r="AF13" s="77" t="s">
        <v>64</v>
      </c>
      <c r="AG13"/>
    </row>
    <row r="14" spans="1:33" hidden="1" x14ac:dyDescent="0.25">
      <c r="A14" s="224"/>
      <c r="B14" s="97">
        <v>44191</v>
      </c>
      <c r="C14" s="58" t="s">
        <v>57</v>
      </c>
      <c r="D14" s="59" t="s">
        <v>38</v>
      </c>
      <c r="E14" s="60" t="s">
        <v>39</v>
      </c>
      <c r="F14" s="60" t="s">
        <v>40</v>
      </c>
      <c r="G14" s="61">
        <v>3.9</v>
      </c>
      <c r="H14" s="60">
        <v>900</v>
      </c>
      <c r="I14" s="60">
        <v>900</v>
      </c>
      <c r="J14" s="60">
        <v>0</v>
      </c>
      <c r="K14" s="62">
        <v>0.85</v>
      </c>
      <c r="L14" s="62">
        <v>569.5</v>
      </c>
      <c r="M14" s="62">
        <v>0.03</v>
      </c>
      <c r="N14" s="63">
        <f t="shared" si="0"/>
        <v>765</v>
      </c>
      <c r="O14" s="79"/>
      <c r="P14" s="47" t="s">
        <v>65</v>
      </c>
      <c r="Q14" s="48" t="s">
        <v>38</v>
      </c>
      <c r="R14" s="48">
        <v>2024</v>
      </c>
      <c r="S14" s="48" t="s">
        <v>55</v>
      </c>
      <c r="T14" s="48" t="s">
        <v>40</v>
      </c>
      <c r="U14" s="49">
        <v>850</v>
      </c>
      <c r="V14" s="49">
        <v>700</v>
      </c>
      <c r="W14" s="48"/>
      <c r="X14" s="50">
        <v>0.85</v>
      </c>
      <c r="Y14" s="48">
        <v>710</v>
      </c>
      <c r="Z14" s="50">
        <v>0.03</v>
      </c>
      <c r="AA14" s="48">
        <v>688</v>
      </c>
      <c r="AB14" s="51"/>
      <c r="AC14" s="51"/>
      <c r="AD14" s="51"/>
      <c r="AE14" s="51"/>
      <c r="AF14" s="77" t="s">
        <v>66</v>
      </c>
      <c r="AG14"/>
    </row>
    <row r="15" spans="1:33" ht="15.75" hidden="1" thickBot="1" x14ac:dyDescent="0.3">
      <c r="A15" s="225"/>
      <c r="B15" s="98">
        <v>44192</v>
      </c>
      <c r="C15" s="66" t="s">
        <v>59</v>
      </c>
      <c r="D15" s="67" t="s">
        <v>38</v>
      </c>
      <c r="E15" s="67" t="s">
        <v>39</v>
      </c>
      <c r="F15" s="67" t="s">
        <v>40</v>
      </c>
      <c r="G15" s="68">
        <v>3.9</v>
      </c>
      <c r="H15" s="67">
        <v>900</v>
      </c>
      <c r="I15" s="67">
        <v>900</v>
      </c>
      <c r="J15" s="67">
        <v>0</v>
      </c>
      <c r="K15" s="69">
        <v>0.85</v>
      </c>
      <c r="L15" s="69">
        <v>569.5</v>
      </c>
      <c r="M15" s="69">
        <v>0.03</v>
      </c>
      <c r="N15" s="70">
        <f t="shared" si="0"/>
        <v>765</v>
      </c>
      <c r="O15" s="80"/>
      <c r="P15" s="47" t="s">
        <v>67</v>
      </c>
      <c r="Q15" s="48" t="s">
        <v>38</v>
      </c>
      <c r="R15" s="48">
        <v>2024</v>
      </c>
      <c r="S15" s="48" t="s">
        <v>39</v>
      </c>
      <c r="T15" s="48" t="s">
        <v>49</v>
      </c>
      <c r="U15" s="49">
        <v>900</v>
      </c>
      <c r="V15" s="49">
        <v>700</v>
      </c>
      <c r="W15" s="48">
        <v>720</v>
      </c>
      <c r="X15" s="65">
        <v>0.8</v>
      </c>
      <c r="Y15" s="48">
        <v>576</v>
      </c>
      <c r="Z15" s="50">
        <v>0.03</v>
      </c>
      <c r="AA15" s="48">
        <v>559</v>
      </c>
      <c r="AB15" s="51"/>
      <c r="AC15" s="51"/>
      <c r="AD15" s="51"/>
      <c r="AE15" s="51"/>
      <c r="AF15" s="77" t="s">
        <v>68</v>
      </c>
      <c r="AG15"/>
    </row>
    <row r="16" spans="1:33" hidden="1" x14ac:dyDescent="0.25">
      <c r="A16" s="223">
        <v>53</v>
      </c>
      <c r="B16" s="96">
        <v>44193</v>
      </c>
      <c r="C16" s="72" t="s">
        <v>37</v>
      </c>
      <c r="D16" s="72" t="s">
        <v>38</v>
      </c>
      <c r="E16" s="41" t="s">
        <v>39</v>
      </c>
      <c r="F16" s="41" t="s">
        <v>40</v>
      </c>
      <c r="G16" s="43">
        <v>3.9</v>
      </c>
      <c r="H16" s="41">
        <v>900</v>
      </c>
      <c r="I16" s="41">
        <v>900</v>
      </c>
      <c r="J16" s="41">
        <v>0</v>
      </c>
      <c r="K16" s="73">
        <v>0.85</v>
      </c>
      <c r="L16" s="73">
        <v>620.5</v>
      </c>
      <c r="M16" s="73">
        <v>0.03</v>
      </c>
      <c r="N16" s="74">
        <f t="shared" si="0"/>
        <v>765</v>
      </c>
      <c r="O16" s="81"/>
      <c r="P16" s="47" t="s">
        <v>69</v>
      </c>
      <c r="Q16" s="48" t="s">
        <v>38</v>
      </c>
      <c r="R16" s="48">
        <v>2024</v>
      </c>
      <c r="S16" s="48"/>
      <c r="T16" s="48"/>
      <c r="U16" s="49"/>
      <c r="V16" s="49"/>
      <c r="W16" s="48"/>
      <c r="X16" s="49"/>
      <c r="Y16" s="48"/>
      <c r="Z16" s="49"/>
      <c r="AA16" s="48"/>
      <c r="AB16" s="51"/>
      <c r="AC16" s="51"/>
      <c r="AD16" s="51"/>
      <c r="AE16" s="51"/>
      <c r="AF16" s="77" t="s">
        <v>70</v>
      </c>
      <c r="AG16"/>
    </row>
    <row r="17" spans="1:33" hidden="1" x14ac:dyDescent="0.25">
      <c r="A17" s="224"/>
      <c r="B17" s="96">
        <v>44194</v>
      </c>
      <c r="C17" s="52" t="s">
        <v>42</v>
      </c>
      <c r="D17" s="52" t="s">
        <v>38</v>
      </c>
      <c r="E17" s="41" t="s">
        <v>39</v>
      </c>
      <c r="F17" s="53" t="s">
        <v>40</v>
      </c>
      <c r="G17" s="54">
        <v>3.9</v>
      </c>
      <c r="H17" s="53">
        <v>900</v>
      </c>
      <c r="I17" s="53">
        <v>900</v>
      </c>
      <c r="J17" s="53">
        <v>0</v>
      </c>
      <c r="K17" s="55">
        <v>0.85</v>
      </c>
      <c r="L17" s="55">
        <v>671.5</v>
      </c>
      <c r="M17" s="55">
        <v>0.03</v>
      </c>
      <c r="N17" s="56">
        <f t="shared" si="0"/>
        <v>765</v>
      </c>
      <c r="O17" s="82"/>
      <c r="P17" s="47" t="s">
        <v>69</v>
      </c>
      <c r="Q17" s="48" t="s">
        <v>38</v>
      </c>
      <c r="R17" s="48">
        <v>2024</v>
      </c>
      <c r="S17" s="48"/>
      <c r="T17" s="48"/>
      <c r="U17" s="49"/>
      <c r="V17" s="49"/>
      <c r="W17" s="48"/>
      <c r="X17" s="49"/>
      <c r="Y17" s="48"/>
      <c r="Z17" s="49"/>
      <c r="AA17" s="48"/>
      <c r="AB17" s="51"/>
      <c r="AC17" s="51"/>
      <c r="AD17" s="51"/>
      <c r="AE17" s="51"/>
      <c r="AF17" s="77" t="s">
        <v>71</v>
      </c>
      <c r="AG17"/>
    </row>
    <row r="18" spans="1:33" hidden="1" x14ac:dyDescent="0.25">
      <c r="A18" s="224"/>
      <c r="B18" s="96">
        <v>44195</v>
      </c>
      <c r="C18" s="52" t="s">
        <v>46</v>
      </c>
      <c r="D18" s="52" t="s">
        <v>38</v>
      </c>
      <c r="E18" s="41" t="s">
        <v>39</v>
      </c>
      <c r="F18" s="53" t="s">
        <v>40</v>
      </c>
      <c r="G18" s="54">
        <v>3.9</v>
      </c>
      <c r="H18" s="53">
        <v>900</v>
      </c>
      <c r="I18" s="53">
        <v>900</v>
      </c>
      <c r="J18" s="53">
        <v>0</v>
      </c>
      <c r="K18" s="55">
        <v>0.85</v>
      </c>
      <c r="L18" s="55">
        <v>697</v>
      </c>
      <c r="M18" s="55">
        <v>0.03</v>
      </c>
      <c r="N18" s="56">
        <f t="shared" si="0"/>
        <v>765</v>
      </c>
      <c r="O18" s="82"/>
      <c r="P18" s="108" t="s">
        <v>72</v>
      </c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51"/>
      <c r="AC18" s="51"/>
      <c r="AD18" s="51"/>
      <c r="AE18" s="51"/>
      <c r="AF18" s="77" t="s">
        <v>7</v>
      </c>
      <c r="AG18"/>
    </row>
    <row r="19" spans="1:33" hidden="1" x14ac:dyDescent="0.25">
      <c r="A19" s="224"/>
      <c r="B19" s="96">
        <v>44196</v>
      </c>
      <c r="C19" s="52" t="s">
        <v>50</v>
      </c>
      <c r="D19" s="52" t="s">
        <v>38</v>
      </c>
      <c r="E19" s="41" t="s">
        <v>39</v>
      </c>
      <c r="F19" s="53" t="s">
        <v>40</v>
      </c>
      <c r="G19" s="54">
        <v>4.9000000000000004</v>
      </c>
      <c r="H19" s="53">
        <v>900</v>
      </c>
      <c r="I19" s="53">
        <v>900</v>
      </c>
      <c r="J19" s="53">
        <v>0</v>
      </c>
      <c r="K19" s="55">
        <v>0.85</v>
      </c>
      <c r="L19" s="55">
        <v>697</v>
      </c>
      <c r="M19" s="55">
        <v>0.03</v>
      </c>
      <c r="N19" s="56">
        <f t="shared" si="0"/>
        <v>765</v>
      </c>
      <c r="O19" s="82"/>
      <c r="P19" s="75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1"/>
      <c r="AC19" s="51"/>
      <c r="AD19" s="51"/>
      <c r="AE19" s="51"/>
      <c r="AF19" s="51"/>
      <c r="AG19"/>
    </row>
    <row r="20" spans="1:33" hidden="1" x14ac:dyDescent="0.25">
      <c r="A20" s="224"/>
      <c r="B20" s="96">
        <v>44197</v>
      </c>
      <c r="C20" s="52" t="s">
        <v>53</v>
      </c>
      <c r="D20" s="52" t="s">
        <v>38</v>
      </c>
      <c r="E20" s="41" t="s">
        <v>39</v>
      </c>
      <c r="F20" s="53" t="s">
        <v>40</v>
      </c>
      <c r="G20" s="54">
        <v>4.9000000000000004</v>
      </c>
      <c r="H20" s="53">
        <f>VLOOKUP($D20&amp;$E20&amp;$F20&amp;YEAR($B20),$P:$AA,6,FALSE)</f>
        <v>900</v>
      </c>
      <c r="I20" s="53">
        <v>900</v>
      </c>
      <c r="J20" s="53">
        <v>0</v>
      </c>
      <c r="K20" s="55">
        <f t="shared" ref="K20:K36" si="1">VLOOKUP($D20&amp;$E20&amp;$F20&amp;YEAR($B20),$P:$AA,9,FALSE)</f>
        <v>0.85</v>
      </c>
      <c r="L20" s="55">
        <f t="shared" ref="L20:L36" si="2">IF(J20&lt;&gt;0,J20,I20)*K20</f>
        <v>765</v>
      </c>
      <c r="M20" s="55">
        <f>VLOOKUP($D20&amp;$E20&amp;$F20&amp;YEAR($B20),$P:$AA,11,FALSE)</f>
        <v>0.03</v>
      </c>
      <c r="N20" s="101">
        <f t="shared" ref="N20:N36" si="3">L20*(1-M20)</f>
        <v>742.05</v>
      </c>
      <c r="O20" s="78"/>
      <c r="P20" s="75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51"/>
      <c r="AC20" s="51"/>
      <c r="AD20" s="51"/>
      <c r="AE20" s="51"/>
      <c r="AF20" s="51"/>
    </row>
    <row r="21" spans="1:33" hidden="1" x14ac:dyDescent="0.25">
      <c r="A21" s="224"/>
      <c r="B21" s="97">
        <v>44198</v>
      </c>
      <c r="C21" s="58" t="s">
        <v>57</v>
      </c>
      <c r="D21" s="59" t="s">
        <v>38</v>
      </c>
      <c r="E21" s="60" t="s">
        <v>39</v>
      </c>
      <c r="F21" s="60" t="s">
        <v>40</v>
      </c>
      <c r="G21" s="61">
        <v>5.9</v>
      </c>
      <c r="H21" s="60">
        <v>850</v>
      </c>
      <c r="I21" s="60">
        <v>900</v>
      </c>
      <c r="J21" s="60">
        <v>0</v>
      </c>
      <c r="K21" s="62">
        <f t="shared" si="1"/>
        <v>0.85</v>
      </c>
      <c r="L21" s="62">
        <f t="shared" si="2"/>
        <v>765</v>
      </c>
      <c r="M21" s="62">
        <v>0.03</v>
      </c>
      <c r="N21" s="102">
        <f t="shared" si="3"/>
        <v>742.05</v>
      </c>
      <c r="O21" s="79"/>
      <c r="P21" s="75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51"/>
      <c r="AC21" s="51"/>
      <c r="AD21" s="51"/>
      <c r="AE21" s="51"/>
      <c r="AF21" s="51"/>
    </row>
    <row r="22" spans="1:33" ht="15.75" hidden="1" thickBot="1" x14ac:dyDescent="0.3">
      <c r="A22" s="225"/>
      <c r="B22" s="98">
        <v>44199</v>
      </c>
      <c r="C22" s="66" t="s">
        <v>59</v>
      </c>
      <c r="D22" s="67" t="s">
        <v>38</v>
      </c>
      <c r="E22" s="67" t="s">
        <v>39</v>
      </c>
      <c r="F22" s="67" t="s">
        <v>40</v>
      </c>
      <c r="G22" s="68">
        <v>5.9</v>
      </c>
      <c r="H22" s="67">
        <v>850</v>
      </c>
      <c r="I22" s="67">
        <v>880</v>
      </c>
      <c r="J22" s="67">
        <v>0</v>
      </c>
      <c r="K22" s="69">
        <f t="shared" si="1"/>
        <v>0.85</v>
      </c>
      <c r="L22" s="69">
        <f t="shared" si="2"/>
        <v>748</v>
      </c>
      <c r="M22" s="69">
        <v>0.03</v>
      </c>
      <c r="N22" s="103">
        <f t="shared" si="3"/>
        <v>725.56</v>
      </c>
      <c r="O22" s="80"/>
      <c r="P22" s="75"/>
      <c r="Q22" s="76"/>
      <c r="R22" s="76"/>
      <c r="S22" s="76"/>
      <c r="T22" s="53"/>
      <c r="U22" s="76"/>
      <c r="V22" s="76"/>
      <c r="W22" s="76"/>
      <c r="X22" s="76"/>
      <c r="Y22" s="76"/>
      <c r="Z22" s="76"/>
      <c r="AA22" s="76"/>
      <c r="AB22" s="51"/>
      <c r="AC22" s="51"/>
      <c r="AD22" s="51"/>
      <c r="AE22" s="51"/>
      <c r="AF22" s="51"/>
    </row>
    <row r="23" spans="1:33" hidden="1" x14ac:dyDescent="0.25">
      <c r="A23" s="223">
        <v>1</v>
      </c>
      <c r="B23" s="96">
        <v>44200</v>
      </c>
      <c r="C23" s="40" t="s">
        <v>37</v>
      </c>
      <c r="D23" s="40" t="s">
        <v>38</v>
      </c>
      <c r="E23" s="41" t="s">
        <v>39</v>
      </c>
      <c r="F23" s="42" t="s">
        <v>40</v>
      </c>
      <c r="G23" s="43">
        <v>5.9</v>
      </c>
      <c r="H23" s="42">
        <v>900</v>
      </c>
      <c r="I23" s="41">
        <v>860</v>
      </c>
      <c r="J23" s="41">
        <v>820</v>
      </c>
      <c r="K23" s="44">
        <f t="shared" si="1"/>
        <v>0.85</v>
      </c>
      <c r="L23" s="44">
        <f t="shared" si="2"/>
        <v>697</v>
      </c>
      <c r="M23" s="44">
        <v>0.03</v>
      </c>
      <c r="N23" s="104">
        <f t="shared" si="3"/>
        <v>676.09</v>
      </c>
      <c r="O23" s="46"/>
      <c r="P23" s="47" t="s">
        <v>41</v>
      </c>
      <c r="Q23" s="48" t="s">
        <v>38</v>
      </c>
      <c r="R23" s="48">
        <v>2021</v>
      </c>
      <c r="S23" s="48" t="s">
        <v>39</v>
      </c>
      <c r="T23" s="48" t="s">
        <v>40</v>
      </c>
      <c r="U23" s="49">
        <v>900</v>
      </c>
      <c r="V23" s="49">
        <v>850</v>
      </c>
      <c r="W23" s="48"/>
      <c r="X23" s="50">
        <v>0.85</v>
      </c>
      <c r="Y23" s="48">
        <v>723</v>
      </c>
      <c r="Z23" s="50">
        <v>0.03</v>
      </c>
      <c r="AA23" s="48">
        <v>701</v>
      </c>
      <c r="AB23" s="51"/>
      <c r="AC23" s="51" t="s">
        <v>38</v>
      </c>
      <c r="AD23" s="51" t="s">
        <v>39</v>
      </c>
      <c r="AE23" s="51" t="s">
        <v>40</v>
      </c>
      <c r="AF23" s="51">
        <v>2.9</v>
      </c>
    </row>
    <row r="24" spans="1:33" hidden="1" x14ac:dyDescent="0.25">
      <c r="A24" s="224"/>
      <c r="B24" s="96">
        <v>44201</v>
      </c>
      <c r="C24" s="52" t="s">
        <v>42</v>
      </c>
      <c r="D24" s="52" t="s">
        <v>38</v>
      </c>
      <c r="E24" s="41" t="s">
        <v>39</v>
      </c>
      <c r="F24" s="53" t="s">
        <v>40</v>
      </c>
      <c r="G24" s="54">
        <v>5.9</v>
      </c>
      <c r="H24" s="53">
        <v>900</v>
      </c>
      <c r="I24" s="53">
        <v>850</v>
      </c>
      <c r="J24" s="53">
        <v>790</v>
      </c>
      <c r="K24" s="55">
        <f t="shared" si="1"/>
        <v>0.85</v>
      </c>
      <c r="L24" s="55">
        <f t="shared" si="2"/>
        <v>671.5</v>
      </c>
      <c r="M24" s="55">
        <v>0.03</v>
      </c>
      <c r="N24" s="101">
        <f t="shared" si="3"/>
        <v>651.35500000000002</v>
      </c>
      <c r="O24" s="57"/>
      <c r="P24" s="47" t="s">
        <v>43</v>
      </c>
      <c r="Q24" s="48" t="s">
        <v>38</v>
      </c>
      <c r="R24" s="48">
        <v>2021</v>
      </c>
      <c r="S24" s="48" t="s">
        <v>39</v>
      </c>
      <c r="T24" s="48" t="s">
        <v>44</v>
      </c>
      <c r="U24" s="49">
        <v>900</v>
      </c>
      <c r="V24" s="49">
        <v>750</v>
      </c>
      <c r="W24" s="48">
        <v>670</v>
      </c>
      <c r="X24" s="50">
        <v>0.77</v>
      </c>
      <c r="Y24" s="48">
        <v>516</v>
      </c>
      <c r="Z24" s="50">
        <v>0.03</v>
      </c>
      <c r="AA24" s="48">
        <v>500</v>
      </c>
      <c r="AB24" s="51"/>
      <c r="AC24" s="51"/>
      <c r="AD24" s="51" t="s">
        <v>45</v>
      </c>
      <c r="AE24" s="51" t="s">
        <v>44</v>
      </c>
      <c r="AF24" s="51">
        <v>3.9</v>
      </c>
    </row>
    <row r="25" spans="1:33" hidden="1" x14ac:dyDescent="0.25">
      <c r="A25" s="224"/>
      <c r="B25" s="96">
        <v>44202</v>
      </c>
      <c r="C25" s="52" t="s">
        <v>46</v>
      </c>
      <c r="D25" s="52" t="s">
        <v>38</v>
      </c>
      <c r="E25" s="41" t="s">
        <v>39</v>
      </c>
      <c r="F25" s="53" t="s">
        <v>40</v>
      </c>
      <c r="G25" s="54">
        <v>8</v>
      </c>
      <c r="H25" s="53">
        <v>900</v>
      </c>
      <c r="I25" s="53">
        <v>840</v>
      </c>
      <c r="J25" s="53">
        <v>760</v>
      </c>
      <c r="K25" s="55">
        <f t="shared" si="1"/>
        <v>0.85</v>
      </c>
      <c r="L25" s="55">
        <f t="shared" si="2"/>
        <v>646</v>
      </c>
      <c r="M25" s="55">
        <v>0.03</v>
      </c>
      <c r="N25" s="101">
        <f t="shared" si="3"/>
        <v>626.62</v>
      </c>
      <c r="O25" s="57"/>
      <c r="P25" s="47" t="s">
        <v>47</v>
      </c>
      <c r="Q25" s="48" t="s">
        <v>38</v>
      </c>
      <c r="R25" s="48">
        <v>2021</v>
      </c>
      <c r="S25" s="48" t="s">
        <v>45</v>
      </c>
      <c r="T25" s="48" t="s">
        <v>40</v>
      </c>
      <c r="U25" s="49">
        <v>830</v>
      </c>
      <c r="V25" s="49">
        <v>820</v>
      </c>
      <c r="W25" s="48"/>
      <c r="X25" s="50">
        <v>0.83</v>
      </c>
      <c r="Y25" s="48">
        <v>681</v>
      </c>
      <c r="Z25" s="50">
        <v>0.03</v>
      </c>
      <c r="AA25" s="48">
        <v>660</v>
      </c>
      <c r="AB25" s="51"/>
      <c r="AC25" s="51"/>
      <c r="AD25" s="51" t="s">
        <v>48</v>
      </c>
      <c r="AE25" s="51" t="s">
        <v>49</v>
      </c>
      <c r="AF25" s="51">
        <v>4.9000000000000004</v>
      </c>
    </row>
    <row r="26" spans="1:33" hidden="1" x14ac:dyDescent="0.25">
      <c r="A26" s="224"/>
      <c r="B26" s="96">
        <v>44203</v>
      </c>
      <c r="C26" s="52" t="s">
        <v>50</v>
      </c>
      <c r="D26" s="52" t="s">
        <v>38</v>
      </c>
      <c r="E26" s="41" t="s">
        <v>39</v>
      </c>
      <c r="F26" s="53" t="s">
        <v>40</v>
      </c>
      <c r="G26" s="54">
        <v>8</v>
      </c>
      <c r="H26" s="53">
        <v>900</v>
      </c>
      <c r="I26" s="53">
        <v>830</v>
      </c>
      <c r="J26" s="53">
        <v>730</v>
      </c>
      <c r="K26" s="55">
        <f t="shared" si="1"/>
        <v>0.85</v>
      </c>
      <c r="L26" s="55">
        <f t="shared" si="2"/>
        <v>620.5</v>
      </c>
      <c r="M26" s="55">
        <v>0.03</v>
      </c>
      <c r="N26" s="101">
        <f t="shared" si="3"/>
        <v>601.88499999999999</v>
      </c>
      <c r="O26" s="57"/>
      <c r="P26" s="47" t="s">
        <v>51</v>
      </c>
      <c r="Q26" s="48" t="s">
        <v>38</v>
      </c>
      <c r="R26" s="48">
        <v>2021</v>
      </c>
      <c r="S26" s="48" t="s">
        <v>45</v>
      </c>
      <c r="T26" s="48" t="s">
        <v>44</v>
      </c>
      <c r="U26" s="49">
        <v>830</v>
      </c>
      <c r="V26" s="49">
        <v>820</v>
      </c>
      <c r="W26" s="48">
        <v>670</v>
      </c>
      <c r="X26" s="50">
        <v>0.77</v>
      </c>
      <c r="Y26" s="48">
        <v>516</v>
      </c>
      <c r="Z26" s="50">
        <v>0.03</v>
      </c>
      <c r="AA26" s="48">
        <v>500</v>
      </c>
      <c r="AB26" s="51"/>
      <c r="AC26" s="51"/>
      <c r="AD26" s="51" t="s">
        <v>52</v>
      </c>
      <c r="AE26" s="51"/>
      <c r="AF26" s="51">
        <v>5.9</v>
      </c>
    </row>
    <row r="27" spans="1:33" hidden="1" x14ac:dyDescent="0.25">
      <c r="A27" s="224"/>
      <c r="B27" s="96">
        <v>44204</v>
      </c>
      <c r="C27" s="52" t="s">
        <v>53</v>
      </c>
      <c r="D27" s="52" t="s">
        <v>38</v>
      </c>
      <c r="E27" s="41" t="s">
        <v>39</v>
      </c>
      <c r="F27" s="53" t="s">
        <v>40</v>
      </c>
      <c r="G27" s="54">
        <v>10</v>
      </c>
      <c r="H27" s="53">
        <v>900</v>
      </c>
      <c r="I27" s="53">
        <v>820</v>
      </c>
      <c r="J27" s="53">
        <v>700</v>
      </c>
      <c r="K27" s="55">
        <f t="shared" si="1"/>
        <v>0.85</v>
      </c>
      <c r="L27" s="55">
        <f t="shared" si="2"/>
        <v>595</v>
      </c>
      <c r="M27" s="55">
        <v>0.03</v>
      </c>
      <c r="N27" s="101">
        <f t="shared" si="3"/>
        <v>577.15</v>
      </c>
      <c r="O27" s="57"/>
      <c r="P27" s="47" t="s">
        <v>54</v>
      </c>
      <c r="Q27" s="48" t="s">
        <v>38</v>
      </c>
      <c r="R27" s="48">
        <v>2021</v>
      </c>
      <c r="S27" s="48" t="s">
        <v>55</v>
      </c>
      <c r="T27" s="48" t="s">
        <v>40</v>
      </c>
      <c r="U27" s="49">
        <v>850</v>
      </c>
      <c r="V27" s="49">
        <v>835</v>
      </c>
      <c r="W27" s="48"/>
      <c r="X27" s="50">
        <v>0.85</v>
      </c>
      <c r="Y27" s="48">
        <v>710</v>
      </c>
      <c r="Z27" s="50">
        <v>0.03</v>
      </c>
      <c r="AA27" s="48">
        <v>688</v>
      </c>
      <c r="AB27" s="51"/>
      <c r="AC27" s="51"/>
      <c r="AD27" s="51" t="s">
        <v>56</v>
      </c>
      <c r="AE27" s="51"/>
      <c r="AF27" s="51">
        <v>8</v>
      </c>
    </row>
    <row r="28" spans="1:33" hidden="1" x14ac:dyDescent="0.25">
      <c r="A28" s="224"/>
      <c r="B28" s="97">
        <v>44205</v>
      </c>
      <c r="C28" s="58" t="s">
        <v>57</v>
      </c>
      <c r="D28" s="59" t="s">
        <v>38</v>
      </c>
      <c r="E28" s="60" t="s">
        <v>39</v>
      </c>
      <c r="F28" s="60" t="s">
        <v>40</v>
      </c>
      <c r="G28" s="61">
        <v>10</v>
      </c>
      <c r="H28" s="60">
        <v>900</v>
      </c>
      <c r="I28" s="60">
        <v>820</v>
      </c>
      <c r="J28" s="60">
        <v>670</v>
      </c>
      <c r="K28" s="62">
        <f t="shared" si="1"/>
        <v>0.85</v>
      </c>
      <c r="L28" s="62">
        <f t="shared" si="2"/>
        <v>569.5</v>
      </c>
      <c r="M28" s="62">
        <v>0.03</v>
      </c>
      <c r="N28" s="102">
        <f t="shared" si="3"/>
        <v>552.41499999999996</v>
      </c>
      <c r="O28" s="64"/>
      <c r="P28" s="47" t="s">
        <v>58</v>
      </c>
      <c r="Q28" s="48" t="s">
        <v>38</v>
      </c>
      <c r="R28" s="48">
        <v>2021</v>
      </c>
      <c r="S28" s="48" t="s">
        <v>39</v>
      </c>
      <c r="T28" s="48" t="s">
        <v>49</v>
      </c>
      <c r="U28" s="49">
        <v>900</v>
      </c>
      <c r="V28" s="49">
        <v>750</v>
      </c>
      <c r="W28" s="48">
        <v>720</v>
      </c>
      <c r="X28" s="65">
        <v>0.8</v>
      </c>
      <c r="Y28" s="48">
        <v>576</v>
      </c>
      <c r="Z28" s="50">
        <v>0.03</v>
      </c>
      <c r="AA28" s="48">
        <v>559</v>
      </c>
      <c r="AB28" s="51"/>
      <c r="AC28" s="51"/>
      <c r="AD28" s="51" t="s">
        <v>55</v>
      </c>
      <c r="AE28" s="51"/>
      <c r="AF28" s="51">
        <v>10</v>
      </c>
    </row>
    <row r="29" spans="1:33" ht="15.75" hidden="1" thickBot="1" x14ac:dyDescent="0.3">
      <c r="A29" s="225"/>
      <c r="B29" s="98">
        <v>44206</v>
      </c>
      <c r="C29" s="66" t="s">
        <v>59</v>
      </c>
      <c r="D29" s="67" t="s">
        <v>38</v>
      </c>
      <c r="E29" s="67" t="s">
        <v>39</v>
      </c>
      <c r="F29" s="67" t="s">
        <v>40</v>
      </c>
      <c r="G29" s="68">
        <v>10</v>
      </c>
      <c r="H29" s="67">
        <v>900</v>
      </c>
      <c r="I29" s="67">
        <v>820</v>
      </c>
      <c r="J29" s="67">
        <v>670</v>
      </c>
      <c r="K29" s="69">
        <f t="shared" si="1"/>
        <v>0.85</v>
      </c>
      <c r="L29" s="69">
        <f t="shared" si="2"/>
        <v>569.5</v>
      </c>
      <c r="M29" s="69">
        <v>0.03</v>
      </c>
      <c r="N29" s="103">
        <f t="shared" si="3"/>
        <v>552.41499999999996</v>
      </c>
      <c r="O29" s="71"/>
      <c r="P29" s="47" t="s">
        <v>60</v>
      </c>
      <c r="Q29" s="48" t="s">
        <v>38</v>
      </c>
      <c r="R29" s="48">
        <v>2021</v>
      </c>
      <c r="S29" s="48"/>
      <c r="T29" s="48"/>
      <c r="U29" s="49"/>
      <c r="V29" s="49"/>
      <c r="W29" s="48"/>
      <c r="X29" s="49"/>
      <c r="Y29" s="48"/>
      <c r="Z29" s="49"/>
      <c r="AA29" s="48"/>
      <c r="AB29" s="51"/>
      <c r="AC29" s="51"/>
      <c r="AD29" s="51"/>
      <c r="AE29" s="51"/>
      <c r="AF29" s="51">
        <v>12</v>
      </c>
    </row>
    <row r="30" spans="1:33" hidden="1" x14ac:dyDescent="0.25">
      <c r="A30" s="223">
        <v>2</v>
      </c>
      <c r="B30" s="96">
        <v>44207</v>
      </c>
      <c r="C30" s="72" t="s">
        <v>37</v>
      </c>
      <c r="D30" s="72" t="s">
        <v>38</v>
      </c>
      <c r="E30" s="41" t="s">
        <v>39</v>
      </c>
      <c r="F30" s="41" t="s">
        <v>44</v>
      </c>
      <c r="G30" s="43">
        <v>15</v>
      </c>
      <c r="H30" s="41">
        <v>900</v>
      </c>
      <c r="I30" s="41">
        <v>820</v>
      </c>
      <c r="J30" s="41">
        <v>670</v>
      </c>
      <c r="K30" s="73">
        <f t="shared" si="1"/>
        <v>0.77</v>
      </c>
      <c r="L30" s="73">
        <f t="shared" si="2"/>
        <v>515.9</v>
      </c>
      <c r="M30" s="73">
        <v>0.03</v>
      </c>
      <c r="N30" s="105">
        <f t="shared" si="3"/>
        <v>500.42299999999994</v>
      </c>
      <c r="O30" s="46"/>
      <c r="P30" s="47" t="s">
        <v>60</v>
      </c>
      <c r="Q30" s="48" t="s">
        <v>38</v>
      </c>
      <c r="R30" s="48">
        <v>2021</v>
      </c>
      <c r="S30" s="48"/>
      <c r="T30" s="48"/>
      <c r="U30" s="49"/>
      <c r="V30" s="49"/>
      <c r="W30" s="48"/>
      <c r="X30" s="49"/>
      <c r="Y30" s="48"/>
      <c r="Z30" s="49"/>
      <c r="AA30" s="48"/>
      <c r="AB30" s="51"/>
      <c r="AC30" s="51"/>
      <c r="AD30" s="51"/>
      <c r="AE30" s="51"/>
      <c r="AF30" s="51">
        <v>15</v>
      </c>
    </row>
    <row r="31" spans="1:33" hidden="1" x14ac:dyDescent="0.25">
      <c r="A31" s="224"/>
      <c r="B31" s="96">
        <v>44208</v>
      </c>
      <c r="C31" s="52" t="s">
        <v>42</v>
      </c>
      <c r="D31" s="52" t="s">
        <v>38</v>
      </c>
      <c r="E31" s="41" t="s">
        <v>39</v>
      </c>
      <c r="F31" s="53" t="s">
        <v>44</v>
      </c>
      <c r="G31" s="54">
        <v>19</v>
      </c>
      <c r="H31" s="53">
        <v>900</v>
      </c>
      <c r="I31" s="53">
        <v>820</v>
      </c>
      <c r="J31" s="53">
        <v>670</v>
      </c>
      <c r="K31" s="55">
        <f t="shared" si="1"/>
        <v>0.77</v>
      </c>
      <c r="L31" s="55">
        <f t="shared" si="2"/>
        <v>515.9</v>
      </c>
      <c r="M31" s="55">
        <v>0.03</v>
      </c>
      <c r="N31" s="101">
        <f t="shared" si="3"/>
        <v>500.42299999999994</v>
      </c>
      <c r="O31" s="57"/>
      <c r="P31" s="47" t="s">
        <v>61</v>
      </c>
      <c r="Q31" s="48" t="s">
        <v>38</v>
      </c>
      <c r="R31" s="48">
        <v>2022</v>
      </c>
      <c r="S31" s="48" t="s">
        <v>39</v>
      </c>
      <c r="T31" s="48" t="s">
        <v>40</v>
      </c>
      <c r="U31" s="49">
        <v>900</v>
      </c>
      <c r="V31" s="49">
        <v>850</v>
      </c>
      <c r="W31" s="48"/>
      <c r="X31" s="50">
        <v>0.85</v>
      </c>
      <c r="Y31" s="48">
        <v>723</v>
      </c>
      <c r="Z31" s="50">
        <v>0.03</v>
      </c>
      <c r="AA31" s="48">
        <v>701</v>
      </c>
      <c r="AB31" s="51"/>
      <c r="AC31" s="51"/>
      <c r="AD31" s="51"/>
      <c r="AE31" s="51"/>
      <c r="AF31" s="51">
        <v>19</v>
      </c>
    </row>
    <row r="32" spans="1:33" hidden="1" x14ac:dyDescent="0.25">
      <c r="A32" s="224"/>
      <c r="B32" s="96">
        <v>44209</v>
      </c>
      <c r="C32" s="52" t="s">
        <v>46</v>
      </c>
      <c r="D32" s="52" t="s">
        <v>38</v>
      </c>
      <c r="E32" s="41" t="s">
        <v>39</v>
      </c>
      <c r="F32" s="53" t="s">
        <v>44</v>
      </c>
      <c r="G32" s="54">
        <v>19</v>
      </c>
      <c r="H32" s="53">
        <v>900</v>
      </c>
      <c r="I32" s="53">
        <v>820</v>
      </c>
      <c r="J32" s="53">
        <v>670</v>
      </c>
      <c r="K32" s="55">
        <f t="shared" si="1"/>
        <v>0.77</v>
      </c>
      <c r="L32" s="55">
        <f t="shared" si="2"/>
        <v>515.9</v>
      </c>
      <c r="M32" s="55">
        <v>0.03</v>
      </c>
      <c r="N32" s="101">
        <f t="shared" si="3"/>
        <v>500.42299999999994</v>
      </c>
      <c r="O32" s="57"/>
      <c r="P32" s="47" t="s">
        <v>43</v>
      </c>
      <c r="Q32" s="48" t="s">
        <v>38</v>
      </c>
      <c r="R32" s="48">
        <v>2022</v>
      </c>
      <c r="S32" s="48" t="s">
        <v>39</v>
      </c>
      <c r="T32" s="48" t="s">
        <v>44</v>
      </c>
      <c r="U32" s="49">
        <v>900</v>
      </c>
      <c r="V32" s="49">
        <v>750</v>
      </c>
      <c r="W32" s="48">
        <v>670</v>
      </c>
      <c r="X32" s="50">
        <v>0.77</v>
      </c>
      <c r="Y32" s="48">
        <v>516</v>
      </c>
      <c r="Z32" s="50">
        <v>0.03</v>
      </c>
      <c r="AA32" s="48">
        <v>500</v>
      </c>
      <c r="AB32" s="51"/>
      <c r="AC32" s="51"/>
      <c r="AD32" s="51"/>
      <c r="AE32" s="51"/>
      <c r="AF32" s="77" t="s">
        <v>10</v>
      </c>
    </row>
    <row r="33" spans="1:32" hidden="1" x14ac:dyDescent="0.25">
      <c r="A33" s="224"/>
      <c r="B33" s="96">
        <v>44210</v>
      </c>
      <c r="C33" s="52" t="s">
        <v>50</v>
      </c>
      <c r="D33" s="52" t="s">
        <v>38</v>
      </c>
      <c r="E33" s="41" t="s">
        <v>39</v>
      </c>
      <c r="F33" s="53" t="s">
        <v>44</v>
      </c>
      <c r="G33" s="54">
        <v>19</v>
      </c>
      <c r="H33" s="53">
        <v>900</v>
      </c>
      <c r="I33" s="53">
        <v>820</v>
      </c>
      <c r="J33" s="53">
        <v>670</v>
      </c>
      <c r="K33" s="55">
        <f t="shared" si="1"/>
        <v>0.77</v>
      </c>
      <c r="L33" s="55">
        <f t="shared" si="2"/>
        <v>515.9</v>
      </c>
      <c r="M33" s="55">
        <v>0.03</v>
      </c>
      <c r="N33" s="101">
        <f t="shared" si="3"/>
        <v>500.42299999999994</v>
      </c>
      <c r="O33" s="57"/>
      <c r="P33" s="47" t="s">
        <v>62</v>
      </c>
      <c r="Q33" s="48" t="s">
        <v>38</v>
      </c>
      <c r="R33" s="48">
        <v>2022</v>
      </c>
      <c r="S33" s="48" t="s">
        <v>45</v>
      </c>
      <c r="T33" s="48" t="s">
        <v>40</v>
      </c>
      <c r="U33" s="49">
        <v>830</v>
      </c>
      <c r="V33" s="49">
        <v>820</v>
      </c>
      <c r="W33" s="48"/>
      <c r="X33" s="50">
        <v>0.83</v>
      </c>
      <c r="Y33" s="48">
        <v>681</v>
      </c>
      <c r="Z33" s="50">
        <v>0.03</v>
      </c>
      <c r="AA33" s="48">
        <v>660</v>
      </c>
      <c r="AB33" s="51"/>
      <c r="AC33" s="51"/>
      <c r="AD33" s="51"/>
      <c r="AE33" s="51"/>
      <c r="AF33" s="77" t="s">
        <v>9</v>
      </c>
    </row>
    <row r="34" spans="1:32" hidden="1" x14ac:dyDescent="0.25">
      <c r="A34" s="224"/>
      <c r="B34" s="96">
        <v>44211</v>
      </c>
      <c r="C34" s="52" t="s">
        <v>53</v>
      </c>
      <c r="D34" s="52" t="s">
        <v>38</v>
      </c>
      <c r="E34" s="53" t="s">
        <v>39</v>
      </c>
      <c r="F34" s="53" t="s">
        <v>44</v>
      </c>
      <c r="G34" s="54">
        <v>12</v>
      </c>
      <c r="H34" s="53">
        <v>900</v>
      </c>
      <c r="I34" s="53">
        <v>820</v>
      </c>
      <c r="J34" s="53">
        <v>680</v>
      </c>
      <c r="K34" s="55">
        <f t="shared" si="1"/>
        <v>0.77</v>
      </c>
      <c r="L34" s="55">
        <f t="shared" si="2"/>
        <v>523.6</v>
      </c>
      <c r="M34" s="55">
        <v>0.03</v>
      </c>
      <c r="N34" s="101">
        <f t="shared" si="3"/>
        <v>507.892</v>
      </c>
      <c r="O34" s="78"/>
      <c r="P34" s="47" t="s">
        <v>63</v>
      </c>
      <c r="Q34" s="48" t="s">
        <v>38</v>
      </c>
      <c r="R34" s="48">
        <v>2022</v>
      </c>
      <c r="S34" s="48" t="s">
        <v>45</v>
      </c>
      <c r="T34" s="48" t="s">
        <v>44</v>
      </c>
      <c r="U34" s="49">
        <v>830</v>
      </c>
      <c r="V34" s="49">
        <v>820</v>
      </c>
      <c r="W34" s="48">
        <v>670</v>
      </c>
      <c r="X34" s="50">
        <v>0.77</v>
      </c>
      <c r="Y34" s="48">
        <v>516</v>
      </c>
      <c r="Z34" s="50">
        <v>0.03</v>
      </c>
      <c r="AA34" s="48">
        <v>500</v>
      </c>
      <c r="AB34" s="51"/>
      <c r="AC34" s="51"/>
      <c r="AD34" s="51"/>
      <c r="AE34" s="51"/>
      <c r="AF34" s="77" t="s">
        <v>64</v>
      </c>
    </row>
    <row r="35" spans="1:32" hidden="1" x14ac:dyDescent="0.25">
      <c r="A35" s="224"/>
      <c r="B35" s="97">
        <v>44212</v>
      </c>
      <c r="C35" s="58" t="s">
        <v>57</v>
      </c>
      <c r="D35" s="59" t="s">
        <v>38</v>
      </c>
      <c r="E35" s="60" t="s">
        <v>39</v>
      </c>
      <c r="F35" s="60" t="s">
        <v>40</v>
      </c>
      <c r="G35" s="61">
        <v>12</v>
      </c>
      <c r="H35" s="60">
        <v>900</v>
      </c>
      <c r="I35" s="60">
        <v>820</v>
      </c>
      <c r="J35" s="60">
        <v>680</v>
      </c>
      <c r="K35" s="62">
        <f t="shared" si="1"/>
        <v>0.85</v>
      </c>
      <c r="L35" s="62">
        <f t="shared" si="2"/>
        <v>578</v>
      </c>
      <c r="M35" s="62">
        <v>0.03</v>
      </c>
      <c r="N35" s="102">
        <f t="shared" si="3"/>
        <v>560.66</v>
      </c>
      <c r="O35" s="79"/>
      <c r="P35" s="47" t="s">
        <v>65</v>
      </c>
      <c r="Q35" s="48" t="s">
        <v>38</v>
      </c>
      <c r="R35" s="48">
        <v>2022</v>
      </c>
      <c r="S35" s="48" t="s">
        <v>55</v>
      </c>
      <c r="T35" s="48" t="s">
        <v>40</v>
      </c>
      <c r="U35" s="49">
        <v>850</v>
      </c>
      <c r="V35" s="49">
        <v>835</v>
      </c>
      <c r="W35" s="48"/>
      <c r="X35" s="50">
        <v>0.85</v>
      </c>
      <c r="Y35" s="48">
        <v>710</v>
      </c>
      <c r="Z35" s="50">
        <v>0.03</v>
      </c>
      <c r="AA35" s="48">
        <v>688</v>
      </c>
      <c r="AB35" s="51"/>
      <c r="AC35" s="51"/>
      <c r="AD35" s="51"/>
      <c r="AE35" s="51"/>
      <c r="AF35" s="77" t="s">
        <v>66</v>
      </c>
    </row>
    <row r="36" spans="1:32" ht="15.75" hidden="1" thickBot="1" x14ac:dyDescent="0.3">
      <c r="A36" s="225"/>
      <c r="B36" s="98">
        <v>44213</v>
      </c>
      <c r="C36" s="66" t="s">
        <v>59</v>
      </c>
      <c r="D36" s="67" t="s">
        <v>38</v>
      </c>
      <c r="E36" s="67" t="s">
        <v>39</v>
      </c>
      <c r="F36" s="67" t="s">
        <v>40</v>
      </c>
      <c r="G36" s="68">
        <v>12</v>
      </c>
      <c r="H36" s="67">
        <v>900</v>
      </c>
      <c r="I36" s="67">
        <v>820</v>
      </c>
      <c r="J36" s="67">
        <v>680</v>
      </c>
      <c r="K36" s="69">
        <f t="shared" si="1"/>
        <v>0.85</v>
      </c>
      <c r="L36" s="69">
        <f t="shared" si="2"/>
        <v>578</v>
      </c>
      <c r="M36" s="69">
        <v>0.03</v>
      </c>
      <c r="N36" s="103">
        <f t="shared" si="3"/>
        <v>560.66</v>
      </c>
      <c r="O36" s="80"/>
      <c r="P36" s="47" t="s">
        <v>67</v>
      </c>
      <c r="Q36" s="48" t="s">
        <v>38</v>
      </c>
      <c r="R36" s="48">
        <v>2022</v>
      </c>
      <c r="S36" s="48" t="s">
        <v>39</v>
      </c>
      <c r="T36" s="48" t="s">
        <v>49</v>
      </c>
      <c r="U36" s="49">
        <v>900</v>
      </c>
      <c r="V36" s="49">
        <v>750</v>
      </c>
      <c r="W36" s="48">
        <v>720</v>
      </c>
      <c r="X36" s="65">
        <v>0.8</v>
      </c>
      <c r="Y36" s="48">
        <v>576</v>
      </c>
      <c r="Z36" s="50">
        <v>0.03</v>
      </c>
      <c r="AA36" s="48">
        <v>559</v>
      </c>
      <c r="AB36" s="51"/>
      <c r="AC36" s="51"/>
      <c r="AD36" s="51"/>
      <c r="AE36" s="51"/>
      <c r="AF36" s="77" t="s">
        <v>68</v>
      </c>
    </row>
    <row r="37" spans="1:32" hidden="1" x14ac:dyDescent="0.25">
      <c r="A37" s="223">
        <v>3</v>
      </c>
      <c r="B37" s="109">
        <v>44214</v>
      </c>
      <c r="C37" s="72" t="s">
        <v>37</v>
      </c>
      <c r="D37" s="72" t="s">
        <v>38</v>
      </c>
      <c r="E37" s="110" t="s">
        <v>39</v>
      </c>
      <c r="F37" s="41" t="s">
        <v>40</v>
      </c>
      <c r="G37" s="110">
        <v>8</v>
      </c>
      <c r="H37" s="41">
        <v>900</v>
      </c>
      <c r="I37" s="41">
        <v>820</v>
      </c>
      <c r="J37" s="41">
        <v>730</v>
      </c>
      <c r="K37" s="73">
        <v>0.85</v>
      </c>
      <c r="L37" s="73">
        <v>620.5</v>
      </c>
      <c r="M37" s="73">
        <v>0.03</v>
      </c>
      <c r="N37" s="74">
        <v>602</v>
      </c>
      <c r="O37" s="81"/>
      <c r="P37" s="47" t="s">
        <v>69</v>
      </c>
      <c r="Q37" s="48" t="s">
        <v>38</v>
      </c>
      <c r="R37" s="48">
        <v>2022</v>
      </c>
      <c r="S37" s="48"/>
      <c r="T37" s="48"/>
      <c r="U37" s="49"/>
      <c r="V37" s="49"/>
      <c r="W37" s="48"/>
      <c r="X37" s="49"/>
      <c r="Y37" s="48"/>
      <c r="Z37" s="49"/>
      <c r="AA37" s="48"/>
      <c r="AB37" s="51"/>
      <c r="AC37" s="51"/>
      <c r="AD37" s="51"/>
      <c r="AE37" s="51"/>
      <c r="AF37" s="77" t="s">
        <v>70</v>
      </c>
    </row>
    <row r="38" spans="1:32" hidden="1" x14ac:dyDescent="0.25">
      <c r="A38" s="224"/>
      <c r="B38" s="109">
        <v>44215</v>
      </c>
      <c r="C38" s="52" t="s">
        <v>42</v>
      </c>
      <c r="D38" s="52" t="s">
        <v>38</v>
      </c>
      <c r="E38" s="110" t="s">
        <v>39</v>
      </c>
      <c r="F38" s="53" t="s">
        <v>40</v>
      </c>
      <c r="G38" s="110">
        <v>5.9</v>
      </c>
      <c r="H38" s="53">
        <v>900</v>
      </c>
      <c r="I38" s="53">
        <v>820</v>
      </c>
      <c r="J38" s="53">
        <v>790</v>
      </c>
      <c r="K38" s="55">
        <v>0.85</v>
      </c>
      <c r="L38" s="55">
        <v>671.5</v>
      </c>
      <c r="M38" s="55">
        <v>0.03</v>
      </c>
      <c r="N38" s="56">
        <v>651</v>
      </c>
      <c r="O38" s="82"/>
      <c r="P38" s="47" t="s">
        <v>69</v>
      </c>
      <c r="Q38" s="48" t="s">
        <v>38</v>
      </c>
      <c r="R38" s="48">
        <v>2022</v>
      </c>
      <c r="S38" s="48"/>
      <c r="T38" s="48"/>
      <c r="U38" s="49"/>
      <c r="V38" s="49"/>
      <c r="W38" s="48"/>
      <c r="X38" s="49"/>
      <c r="Y38" s="48"/>
      <c r="Z38" s="49"/>
      <c r="AA38" s="48"/>
      <c r="AB38" s="51"/>
      <c r="AC38" s="51"/>
      <c r="AD38" s="51"/>
      <c r="AE38" s="51"/>
      <c r="AF38" s="77" t="s">
        <v>71</v>
      </c>
    </row>
    <row r="39" spans="1:32" hidden="1" x14ac:dyDescent="0.25">
      <c r="A39" s="224"/>
      <c r="B39" s="109">
        <v>44216</v>
      </c>
      <c r="C39" s="52" t="s">
        <v>46</v>
      </c>
      <c r="D39" s="52" t="s">
        <v>38</v>
      </c>
      <c r="E39" s="110" t="s">
        <v>39</v>
      </c>
      <c r="F39" s="53" t="s">
        <v>40</v>
      </c>
      <c r="G39" s="110">
        <v>5.9</v>
      </c>
      <c r="H39" s="53">
        <v>900</v>
      </c>
      <c r="I39" s="53">
        <v>820</v>
      </c>
      <c r="J39" s="53">
        <v>0</v>
      </c>
      <c r="K39" s="55">
        <v>0.85</v>
      </c>
      <c r="L39" s="55">
        <v>697</v>
      </c>
      <c r="M39" s="55">
        <v>0.03</v>
      </c>
      <c r="N39" s="56">
        <v>676</v>
      </c>
      <c r="O39" s="82"/>
      <c r="P39" s="75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51"/>
      <c r="AC39" s="51"/>
      <c r="AD39" s="51"/>
      <c r="AE39" s="51"/>
      <c r="AF39" s="77" t="s">
        <v>7</v>
      </c>
    </row>
    <row r="40" spans="1:32" hidden="1" x14ac:dyDescent="0.25">
      <c r="A40" s="224"/>
      <c r="B40" s="109">
        <v>44217</v>
      </c>
      <c r="C40" s="52" t="s">
        <v>50</v>
      </c>
      <c r="D40" s="52" t="s">
        <v>38</v>
      </c>
      <c r="E40" s="110" t="s">
        <v>39</v>
      </c>
      <c r="F40" s="53" t="s">
        <v>40</v>
      </c>
      <c r="G40" s="110">
        <v>5.9</v>
      </c>
      <c r="H40" s="53">
        <v>900</v>
      </c>
      <c r="I40" s="53">
        <v>820</v>
      </c>
      <c r="J40" s="53">
        <v>0</v>
      </c>
      <c r="K40" s="55">
        <v>0.85</v>
      </c>
      <c r="L40" s="55">
        <v>697</v>
      </c>
      <c r="M40" s="55">
        <v>0.03</v>
      </c>
      <c r="N40" s="56">
        <v>676</v>
      </c>
      <c r="O40" s="82"/>
      <c r="P40" s="75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51"/>
      <c r="AC40" s="51"/>
      <c r="AD40" s="51"/>
      <c r="AE40" s="51"/>
      <c r="AF40" s="51"/>
    </row>
    <row r="41" spans="1:32" hidden="1" x14ac:dyDescent="0.25">
      <c r="A41" s="224"/>
      <c r="B41" s="109">
        <v>44218</v>
      </c>
      <c r="C41" s="52" t="s">
        <v>53</v>
      </c>
      <c r="D41" s="52" t="s">
        <v>38</v>
      </c>
      <c r="E41" s="110" t="s">
        <v>39</v>
      </c>
      <c r="F41" s="53" t="s">
        <v>40</v>
      </c>
      <c r="G41" s="110">
        <v>3.9</v>
      </c>
      <c r="H41" s="53">
        <v>900</v>
      </c>
      <c r="I41" s="53">
        <v>900</v>
      </c>
      <c r="J41" s="53">
        <v>0</v>
      </c>
      <c r="K41" s="55">
        <v>0.85</v>
      </c>
      <c r="L41" s="55">
        <v>765</v>
      </c>
      <c r="M41" s="55">
        <v>0.03</v>
      </c>
      <c r="N41" s="56">
        <v>742</v>
      </c>
      <c r="O41" s="78"/>
      <c r="P41" s="75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51"/>
      <c r="AC41" s="51"/>
      <c r="AD41" s="51"/>
      <c r="AE41" s="51"/>
      <c r="AF41" s="51"/>
    </row>
    <row r="42" spans="1:32" hidden="1" x14ac:dyDescent="0.25">
      <c r="A42" s="224"/>
      <c r="B42" s="111">
        <v>44219</v>
      </c>
      <c r="C42" s="58" t="s">
        <v>57</v>
      </c>
      <c r="D42" s="59" t="s">
        <v>38</v>
      </c>
      <c r="E42" s="112" t="s">
        <v>39</v>
      </c>
      <c r="F42" s="60" t="s">
        <v>40</v>
      </c>
      <c r="G42" s="112">
        <v>3.9</v>
      </c>
      <c r="H42" s="60">
        <v>900</v>
      </c>
      <c r="I42" s="60">
        <v>900</v>
      </c>
      <c r="J42" s="60">
        <v>0</v>
      </c>
      <c r="K42" s="62">
        <v>0.85</v>
      </c>
      <c r="L42" s="62">
        <v>765</v>
      </c>
      <c r="M42" s="62">
        <v>0.03</v>
      </c>
      <c r="N42" s="63">
        <v>742</v>
      </c>
      <c r="O42" s="79"/>
      <c r="P42" s="75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51"/>
      <c r="AC42" s="51"/>
      <c r="AD42" s="51"/>
      <c r="AE42" s="51"/>
      <c r="AF42" s="51"/>
    </row>
    <row r="43" spans="1:32" ht="15.75" hidden="1" thickBot="1" x14ac:dyDescent="0.3">
      <c r="A43" s="225"/>
      <c r="B43" s="113">
        <v>44220</v>
      </c>
      <c r="C43" s="66" t="s">
        <v>59</v>
      </c>
      <c r="D43" s="67" t="s">
        <v>38</v>
      </c>
      <c r="E43" s="114" t="s">
        <v>39</v>
      </c>
      <c r="F43" s="67" t="s">
        <v>40</v>
      </c>
      <c r="G43" s="114">
        <v>3.9</v>
      </c>
      <c r="H43" s="67">
        <v>900</v>
      </c>
      <c r="I43" s="67">
        <v>900</v>
      </c>
      <c r="J43" s="67">
        <v>0</v>
      </c>
      <c r="K43" s="69">
        <v>0.85</v>
      </c>
      <c r="L43" s="69">
        <v>765</v>
      </c>
      <c r="M43" s="69">
        <v>0.03</v>
      </c>
      <c r="N43" s="70">
        <v>742</v>
      </c>
      <c r="O43" s="115" t="s">
        <v>73</v>
      </c>
      <c r="P43" s="75"/>
      <c r="Q43" s="76"/>
      <c r="R43" s="76"/>
      <c r="S43" s="76"/>
      <c r="T43" s="53"/>
      <c r="U43" s="76"/>
      <c r="V43" s="76"/>
      <c r="W43" s="76"/>
      <c r="X43" s="76"/>
      <c r="Y43" s="76"/>
      <c r="Z43" s="76"/>
      <c r="AA43" s="76"/>
      <c r="AB43" s="51"/>
      <c r="AC43" s="51"/>
      <c r="AD43" s="51"/>
      <c r="AE43" s="51"/>
      <c r="AF43" s="51"/>
    </row>
    <row r="44" spans="1:32" hidden="1" x14ac:dyDescent="0.25">
      <c r="A44" s="223">
        <v>4</v>
      </c>
      <c r="B44" s="109">
        <v>44221</v>
      </c>
      <c r="C44" s="72" t="s">
        <v>37</v>
      </c>
      <c r="D44" s="72" t="s">
        <v>38</v>
      </c>
      <c r="E44" s="110" t="s">
        <v>55</v>
      </c>
      <c r="F44" s="41" t="s">
        <v>40</v>
      </c>
      <c r="G44" s="116">
        <v>3.9</v>
      </c>
      <c r="H44" s="41">
        <v>900</v>
      </c>
      <c r="I44" s="41">
        <v>835</v>
      </c>
      <c r="J44" s="41">
        <v>0</v>
      </c>
      <c r="K44" s="73">
        <v>0.85</v>
      </c>
      <c r="L44" s="73">
        <v>709.75</v>
      </c>
      <c r="M44" s="73">
        <v>0.03</v>
      </c>
      <c r="N44" s="74">
        <v>688</v>
      </c>
      <c r="O44" s="81"/>
      <c r="P44" s="75"/>
      <c r="Q44" s="76"/>
      <c r="R44" s="76"/>
      <c r="S44" s="76"/>
      <c r="T44" s="53"/>
      <c r="U44" s="76"/>
      <c r="V44" s="76"/>
      <c r="W44" s="76"/>
      <c r="X44" s="76"/>
      <c r="Y44" s="76"/>
      <c r="Z44" s="76"/>
      <c r="AA44" s="76"/>
      <c r="AB44" s="51"/>
      <c r="AC44" s="51"/>
      <c r="AD44" s="51"/>
      <c r="AE44" s="51"/>
      <c r="AF44" s="51"/>
    </row>
    <row r="45" spans="1:32" hidden="1" x14ac:dyDescent="0.25">
      <c r="A45" s="224"/>
      <c r="B45" s="109">
        <v>44222</v>
      </c>
      <c r="C45" s="52" t="s">
        <v>42</v>
      </c>
      <c r="D45" s="52" t="s">
        <v>38</v>
      </c>
      <c r="E45" s="110" t="s">
        <v>55</v>
      </c>
      <c r="F45" s="53" t="s">
        <v>40</v>
      </c>
      <c r="G45" s="110">
        <v>3.9</v>
      </c>
      <c r="H45" s="53">
        <v>900</v>
      </c>
      <c r="I45" s="53">
        <v>835</v>
      </c>
      <c r="J45" s="53">
        <v>0</v>
      </c>
      <c r="K45" s="55">
        <v>0.85</v>
      </c>
      <c r="L45" s="55">
        <v>709.75</v>
      </c>
      <c r="M45" s="55">
        <v>0.03</v>
      </c>
      <c r="N45" s="56">
        <v>688</v>
      </c>
      <c r="O45" s="78"/>
      <c r="P45" s="75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51"/>
      <c r="AC45" s="51"/>
      <c r="AD45" s="51"/>
      <c r="AE45" s="51"/>
      <c r="AF45" s="51"/>
    </row>
    <row r="46" spans="1:32" hidden="1" x14ac:dyDescent="0.25">
      <c r="A46" s="224"/>
      <c r="B46" s="109">
        <v>44223</v>
      </c>
      <c r="C46" s="52" t="s">
        <v>46</v>
      </c>
      <c r="D46" s="52" t="s">
        <v>38</v>
      </c>
      <c r="E46" s="110" t="s">
        <v>55</v>
      </c>
      <c r="F46" s="53" t="s">
        <v>40</v>
      </c>
      <c r="G46" s="110">
        <v>3.9</v>
      </c>
      <c r="H46" s="53">
        <v>900</v>
      </c>
      <c r="I46" s="53">
        <v>835</v>
      </c>
      <c r="J46" s="53">
        <v>0</v>
      </c>
      <c r="K46" s="55">
        <v>0.85</v>
      </c>
      <c r="L46" s="55">
        <v>709.75</v>
      </c>
      <c r="M46" s="55">
        <v>0.03</v>
      </c>
      <c r="N46" s="56">
        <v>688</v>
      </c>
      <c r="O46" s="82"/>
      <c r="P46" s="75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51"/>
      <c r="AC46" s="51"/>
      <c r="AD46" s="51"/>
      <c r="AE46" s="51"/>
      <c r="AF46" s="51"/>
    </row>
    <row r="47" spans="1:32" hidden="1" x14ac:dyDescent="0.25">
      <c r="A47" s="224"/>
      <c r="B47" s="109">
        <v>44224</v>
      </c>
      <c r="C47" s="52" t="s">
        <v>50</v>
      </c>
      <c r="D47" s="52" t="s">
        <v>38</v>
      </c>
      <c r="E47" s="110" t="s">
        <v>55</v>
      </c>
      <c r="F47" s="53" t="s">
        <v>40</v>
      </c>
      <c r="G47" s="110">
        <v>3.9</v>
      </c>
      <c r="H47" s="53">
        <v>900</v>
      </c>
      <c r="I47" s="53">
        <v>835</v>
      </c>
      <c r="J47" s="53">
        <v>0</v>
      </c>
      <c r="K47" s="55">
        <v>0.85</v>
      </c>
      <c r="L47" s="55">
        <v>709.75</v>
      </c>
      <c r="M47" s="55">
        <v>0.03</v>
      </c>
      <c r="N47" s="56">
        <v>688</v>
      </c>
      <c r="O47" s="82"/>
      <c r="P47" s="75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51"/>
      <c r="AC47" s="51"/>
      <c r="AD47" s="51"/>
      <c r="AE47" s="51"/>
      <c r="AF47" s="51"/>
    </row>
    <row r="48" spans="1:32" hidden="1" x14ac:dyDescent="0.25">
      <c r="A48" s="224"/>
      <c r="B48" s="109">
        <v>44225</v>
      </c>
      <c r="C48" s="52" t="s">
        <v>53</v>
      </c>
      <c r="D48" s="52" t="s">
        <v>38</v>
      </c>
      <c r="E48" s="117" t="s">
        <v>45</v>
      </c>
      <c r="F48" s="53" t="s">
        <v>40</v>
      </c>
      <c r="G48" s="110">
        <v>3.9</v>
      </c>
      <c r="H48" s="53">
        <v>830</v>
      </c>
      <c r="I48" s="53">
        <v>820</v>
      </c>
      <c r="J48" s="53">
        <v>0</v>
      </c>
      <c r="K48" s="55">
        <v>0.83</v>
      </c>
      <c r="L48" s="55">
        <v>680.6</v>
      </c>
      <c r="M48" s="55">
        <v>0.03</v>
      </c>
      <c r="N48" s="56">
        <v>660</v>
      </c>
      <c r="O48" s="82" t="s">
        <v>74</v>
      </c>
      <c r="P48" s="75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51"/>
      <c r="AC48" s="51"/>
      <c r="AD48" s="51"/>
      <c r="AE48" s="51"/>
      <c r="AF48" s="51"/>
    </row>
    <row r="49" spans="1:32" hidden="1" x14ac:dyDescent="0.25">
      <c r="A49" s="224"/>
      <c r="B49" s="111">
        <v>44226</v>
      </c>
      <c r="C49" s="58" t="s">
        <v>57</v>
      </c>
      <c r="D49" s="59" t="s">
        <v>38</v>
      </c>
      <c r="E49" s="117" t="s">
        <v>45</v>
      </c>
      <c r="F49" s="60" t="s">
        <v>40</v>
      </c>
      <c r="G49" s="112">
        <v>3.9</v>
      </c>
      <c r="H49" s="60">
        <v>830</v>
      </c>
      <c r="I49" s="60">
        <v>820</v>
      </c>
      <c r="J49" s="60">
        <v>0</v>
      </c>
      <c r="K49" s="62">
        <v>0.83</v>
      </c>
      <c r="L49" s="62">
        <v>680.6</v>
      </c>
      <c r="M49" s="62">
        <v>0.03</v>
      </c>
      <c r="N49" s="63">
        <v>660</v>
      </c>
      <c r="O49" s="64"/>
      <c r="P49" s="75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51"/>
      <c r="AC49" s="51"/>
      <c r="AD49" s="51"/>
      <c r="AE49" s="51"/>
      <c r="AF49" s="51"/>
    </row>
    <row r="50" spans="1:32" ht="15.75" hidden="1" thickBot="1" x14ac:dyDescent="0.3">
      <c r="A50" s="225"/>
      <c r="B50" s="113">
        <v>44227</v>
      </c>
      <c r="C50" s="66" t="s">
        <v>59</v>
      </c>
      <c r="D50" s="67" t="s">
        <v>38</v>
      </c>
      <c r="E50" s="118" t="s">
        <v>45</v>
      </c>
      <c r="F50" s="67" t="s">
        <v>40</v>
      </c>
      <c r="G50" s="114">
        <v>4.9000000000000004</v>
      </c>
      <c r="H50" s="67">
        <v>830</v>
      </c>
      <c r="I50" s="67">
        <v>820</v>
      </c>
      <c r="J50" s="67">
        <v>0</v>
      </c>
      <c r="K50" s="69">
        <v>0.83</v>
      </c>
      <c r="L50" s="69">
        <v>680.6</v>
      </c>
      <c r="M50" s="69">
        <v>0.03</v>
      </c>
      <c r="N50" s="70">
        <v>660</v>
      </c>
      <c r="O50" s="71" t="s">
        <v>75</v>
      </c>
      <c r="P50" s="75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51"/>
      <c r="AC50" s="51"/>
      <c r="AD50" s="51"/>
      <c r="AE50" s="51"/>
      <c r="AF50" s="51"/>
    </row>
    <row r="51" spans="1:32" hidden="1" x14ac:dyDescent="0.25">
      <c r="A51" s="223">
        <v>5</v>
      </c>
      <c r="B51" s="109">
        <v>44228</v>
      </c>
      <c r="C51" s="72" t="s">
        <v>37</v>
      </c>
      <c r="D51" s="72" t="s">
        <v>38</v>
      </c>
      <c r="E51" s="119" t="s">
        <v>45</v>
      </c>
      <c r="F51" s="41" t="s">
        <v>40</v>
      </c>
      <c r="G51" s="116">
        <v>5.9</v>
      </c>
      <c r="H51" s="41">
        <v>830</v>
      </c>
      <c r="I51" s="41">
        <v>820</v>
      </c>
      <c r="J51" s="41">
        <v>0</v>
      </c>
      <c r="K51" s="73">
        <v>0.83</v>
      </c>
      <c r="L51" s="73">
        <v>680.6</v>
      </c>
      <c r="M51" s="73">
        <v>0.03</v>
      </c>
      <c r="N51" s="74">
        <v>660</v>
      </c>
      <c r="O51" s="81"/>
      <c r="P51" s="75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51"/>
      <c r="AC51" s="51"/>
      <c r="AD51" s="51"/>
      <c r="AE51" s="51"/>
      <c r="AF51" s="51"/>
    </row>
    <row r="52" spans="1:32" hidden="1" x14ac:dyDescent="0.25">
      <c r="A52" s="224"/>
      <c r="B52" s="109">
        <v>44229</v>
      </c>
      <c r="C52" s="52" t="s">
        <v>42</v>
      </c>
      <c r="D52" s="52" t="s">
        <v>38</v>
      </c>
      <c r="E52" s="117" t="s">
        <v>45</v>
      </c>
      <c r="F52" s="53" t="s">
        <v>40</v>
      </c>
      <c r="G52" s="110">
        <v>5.9</v>
      </c>
      <c r="H52" s="53">
        <v>830</v>
      </c>
      <c r="I52" s="53">
        <v>820</v>
      </c>
      <c r="J52" s="53">
        <v>0</v>
      </c>
      <c r="K52" s="55">
        <v>0.83</v>
      </c>
      <c r="L52" s="55">
        <v>680.6</v>
      </c>
      <c r="M52" s="55">
        <v>0.03</v>
      </c>
      <c r="N52" s="56">
        <v>660</v>
      </c>
      <c r="O52" s="83"/>
      <c r="P52" s="75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51"/>
      <c r="AC52" s="51"/>
      <c r="AD52" s="51"/>
      <c r="AE52" s="51"/>
      <c r="AF52" s="51"/>
    </row>
    <row r="53" spans="1:32" hidden="1" x14ac:dyDescent="0.25">
      <c r="A53" s="224"/>
      <c r="B53" s="109">
        <v>44230</v>
      </c>
      <c r="C53" s="52" t="s">
        <v>46</v>
      </c>
      <c r="D53" s="52" t="s">
        <v>38</v>
      </c>
      <c r="E53" s="117" t="s">
        <v>45</v>
      </c>
      <c r="F53" s="53" t="s">
        <v>40</v>
      </c>
      <c r="G53" s="110">
        <v>5.9</v>
      </c>
      <c r="H53" s="53">
        <v>830</v>
      </c>
      <c r="I53" s="53">
        <v>820</v>
      </c>
      <c r="J53" s="53">
        <v>0</v>
      </c>
      <c r="K53" s="55">
        <v>0.83</v>
      </c>
      <c r="L53" s="55">
        <v>680.6</v>
      </c>
      <c r="M53" s="55">
        <v>0.03</v>
      </c>
      <c r="N53" s="56">
        <v>660</v>
      </c>
      <c r="O53" s="57" t="s">
        <v>76</v>
      </c>
      <c r="P53" s="75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51"/>
      <c r="AC53" s="51"/>
      <c r="AD53" s="51"/>
      <c r="AE53" s="51"/>
      <c r="AF53" s="51"/>
    </row>
    <row r="54" spans="1:32" hidden="1" x14ac:dyDescent="0.25">
      <c r="A54" s="224"/>
      <c r="B54" s="109">
        <v>44231</v>
      </c>
      <c r="C54" s="52" t="s">
        <v>50</v>
      </c>
      <c r="D54" s="52" t="s">
        <v>38</v>
      </c>
      <c r="E54" s="117" t="s">
        <v>45</v>
      </c>
      <c r="F54" s="53" t="s">
        <v>40</v>
      </c>
      <c r="G54" s="110">
        <v>8</v>
      </c>
      <c r="H54" s="53">
        <v>830</v>
      </c>
      <c r="I54" s="53">
        <v>820</v>
      </c>
      <c r="J54" s="53">
        <v>0</v>
      </c>
      <c r="K54" s="55">
        <v>0.83</v>
      </c>
      <c r="L54" s="55">
        <v>680.6</v>
      </c>
      <c r="M54" s="55">
        <v>0.03</v>
      </c>
      <c r="N54" s="56">
        <v>660</v>
      </c>
      <c r="O54" s="57"/>
      <c r="P54" s="75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51"/>
      <c r="AC54" s="51"/>
      <c r="AD54" s="51"/>
      <c r="AE54" s="51"/>
      <c r="AF54" s="51"/>
    </row>
    <row r="55" spans="1:32" hidden="1" x14ac:dyDescent="0.25">
      <c r="A55" s="224"/>
      <c r="B55" s="109">
        <v>44232</v>
      </c>
      <c r="C55" s="52" t="s">
        <v>53</v>
      </c>
      <c r="D55" s="52" t="s">
        <v>38</v>
      </c>
      <c r="E55" s="117" t="s">
        <v>45</v>
      </c>
      <c r="F55" s="53" t="s">
        <v>40</v>
      </c>
      <c r="G55" s="110">
        <v>8</v>
      </c>
      <c r="H55" s="53">
        <v>830</v>
      </c>
      <c r="I55" s="53">
        <v>820</v>
      </c>
      <c r="J55" s="53">
        <v>0</v>
      </c>
      <c r="K55" s="55">
        <v>0.83</v>
      </c>
      <c r="L55" s="55">
        <v>680.6</v>
      </c>
      <c r="M55" s="55">
        <v>0.03</v>
      </c>
      <c r="N55" s="56">
        <v>660</v>
      </c>
      <c r="O55" s="57"/>
      <c r="P55" s="75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51"/>
      <c r="AC55" s="51"/>
      <c r="AD55" s="51"/>
      <c r="AE55" s="51"/>
      <c r="AF55" s="51"/>
    </row>
    <row r="56" spans="1:32" hidden="1" x14ac:dyDescent="0.25">
      <c r="A56" s="224"/>
      <c r="B56" s="111">
        <v>44233</v>
      </c>
      <c r="C56" s="58" t="s">
        <v>57</v>
      </c>
      <c r="D56" s="59" t="s">
        <v>38</v>
      </c>
      <c r="E56" s="117" t="s">
        <v>45</v>
      </c>
      <c r="F56" s="60" t="s">
        <v>40</v>
      </c>
      <c r="G56" s="112">
        <v>8</v>
      </c>
      <c r="H56" s="60">
        <v>830</v>
      </c>
      <c r="I56" s="60">
        <v>820</v>
      </c>
      <c r="J56" s="60">
        <v>0</v>
      </c>
      <c r="K56" s="62">
        <v>0.83</v>
      </c>
      <c r="L56" s="62">
        <v>680.6</v>
      </c>
      <c r="M56" s="62">
        <v>0.03</v>
      </c>
      <c r="N56" s="63">
        <v>660</v>
      </c>
      <c r="O56" s="64" t="s">
        <v>77</v>
      </c>
      <c r="P56" s="75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51"/>
      <c r="AC56" s="51"/>
      <c r="AD56" s="51"/>
      <c r="AE56" s="51"/>
      <c r="AF56" s="51"/>
    </row>
    <row r="57" spans="1:32" ht="15.75" hidden="1" thickBot="1" x14ac:dyDescent="0.3">
      <c r="A57" s="225"/>
      <c r="B57" s="113">
        <v>44234</v>
      </c>
      <c r="C57" s="66" t="s">
        <v>59</v>
      </c>
      <c r="D57" s="67" t="s">
        <v>38</v>
      </c>
      <c r="E57" s="118" t="s">
        <v>45</v>
      </c>
      <c r="F57" s="67" t="s">
        <v>40</v>
      </c>
      <c r="G57" s="114">
        <v>8</v>
      </c>
      <c r="H57" s="67">
        <v>830</v>
      </c>
      <c r="I57" s="67">
        <v>820</v>
      </c>
      <c r="J57" s="67">
        <v>0</v>
      </c>
      <c r="K57" s="69">
        <v>0.83</v>
      </c>
      <c r="L57" s="69">
        <v>680.6</v>
      </c>
      <c r="M57" s="69">
        <v>0.03</v>
      </c>
      <c r="N57" s="70">
        <v>660</v>
      </c>
      <c r="O57" s="84"/>
      <c r="P57" s="75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51"/>
      <c r="AC57" s="51"/>
      <c r="AD57" s="51"/>
      <c r="AE57" s="51"/>
      <c r="AF57" s="51"/>
    </row>
    <row r="58" spans="1:32" hidden="1" x14ac:dyDescent="0.25">
      <c r="A58" s="223">
        <v>6</v>
      </c>
      <c r="B58" s="109">
        <v>44235</v>
      </c>
      <c r="C58" s="72" t="s">
        <v>37</v>
      </c>
      <c r="D58" s="72" t="s">
        <v>38</v>
      </c>
      <c r="E58" s="119" t="s">
        <v>45</v>
      </c>
      <c r="F58" s="41" t="s">
        <v>40</v>
      </c>
      <c r="G58" s="110">
        <v>12</v>
      </c>
      <c r="H58" s="41">
        <v>830</v>
      </c>
      <c r="I58" s="53">
        <v>820</v>
      </c>
      <c r="J58" s="41">
        <v>0</v>
      </c>
      <c r="K58" s="73">
        <v>0.83</v>
      </c>
      <c r="L58" s="73">
        <v>680.6</v>
      </c>
      <c r="M58" s="73">
        <v>0.03</v>
      </c>
      <c r="N58" s="74">
        <v>660</v>
      </c>
      <c r="O58" s="85"/>
      <c r="P58" s="75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51"/>
      <c r="AC58" s="51"/>
      <c r="AD58" s="51"/>
      <c r="AE58" s="51"/>
      <c r="AF58" s="51"/>
    </row>
    <row r="59" spans="1:32" hidden="1" x14ac:dyDescent="0.25">
      <c r="A59" s="224"/>
      <c r="B59" s="109">
        <v>44236</v>
      </c>
      <c r="C59" s="52" t="s">
        <v>42</v>
      </c>
      <c r="D59" s="52" t="s">
        <v>38</v>
      </c>
      <c r="E59" s="119" t="s">
        <v>45</v>
      </c>
      <c r="F59" s="53" t="s">
        <v>40</v>
      </c>
      <c r="G59" s="110">
        <v>12</v>
      </c>
      <c r="H59" s="53">
        <v>830</v>
      </c>
      <c r="I59" s="53">
        <v>820</v>
      </c>
      <c r="J59" s="53">
        <v>0</v>
      </c>
      <c r="K59" s="55">
        <v>0.83</v>
      </c>
      <c r="L59" s="55">
        <v>680.6</v>
      </c>
      <c r="M59" s="55">
        <v>0.03</v>
      </c>
      <c r="N59" s="56">
        <v>660</v>
      </c>
      <c r="O59" s="57" t="s">
        <v>78</v>
      </c>
      <c r="P59" s="75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51"/>
      <c r="AC59" s="51"/>
      <c r="AD59" s="51"/>
      <c r="AE59" s="51"/>
      <c r="AF59" s="51"/>
    </row>
    <row r="60" spans="1:32" hidden="1" x14ac:dyDescent="0.25">
      <c r="A60" s="224"/>
      <c r="B60" s="109">
        <v>44237</v>
      </c>
      <c r="C60" s="52" t="s">
        <v>46</v>
      </c>
      <c r="D60" s="52" t="s">
        <v>38</v>
      </c>
      <c r="E60" s="119" t="s">
        <v>45</v>
      </c>
      <c r="F60" s="53" t="s">
        <v>40</v>
      </c>
      <c r="G60" s="110">
        <v>15</v>
      </c>
      <c r="H60" s="53">
        <v>830</v>
      </c>
      <c r="I60" s="53">
        <v>820</v>
      </c>
      <c r="J60" s="53">
        <v>0</v>
      </c>
      <c r="K60" s="55">
        <v>0.83</v>
      </c>
      <c r="L60" s="55">
        <v>680.6</v>
      </c>
      <c r="M60" s="55">
        <v>0.03</v>
      </c>
      <c r="N60" s="56">
        <v>660</v>
      </c>
      <c r="O60" s="57" t="s">
        <v>79</v>
      </c>
      <c r="P60" s="75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51"/>
      <c r="AC60" s="51"/>
      <c r="AD60" s="51"/>
      <c r="AE60" s="51"/>
      <c r="AF60" s="51"/>
    </row>
    <row r="61" spans="1:32" hidden="1" x14ac:dyDescent="0.25">
      <c r="A61" s="224"/>
      <c r="B61" s="109">
        <v>44238</v>
      </c>
      <c r="C61" s="52" t="s">
        <v>50</v>
      </c>
      <c r="D61" s="52" t="s">
        <v>38</v>
      </c>
      <c r="E61" s="119" t="s">
        <v>45</v>
      </c>
      <c r="F61" s="53" t="s">
        <v>40</v>
      </c>
      <c r="G61" s="110">
        <v>10</v>
      </c>
      <c r="H61" s="53">
        <v>830</v>
      </c>
      <c r="I61" s="53">
        <v>820</v>
      </c>
      <c r="J61" s="53">
        <v>0</v>
      </c>
      <c r="K61" s="55">
        <v>0.83</v>
      </c>
      <c r="L61" s="55">
        <v>680.6</v>
      </c>
      <c r="M61" s="55">
        <v>0.03</v>
      </c>
      <c r="N61" s="56">
        <v>660</v>
      </c>
      <c r="O61" s="57"/>
      <c r="P61" s="75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51"/>
      <c r="AC61" s="51"/>
      <c r="AD61" s="51"/>
      <c r="AE61" s="51"/>
      <c r="AF61" s="51"/>
    </row>
    <row r="62" spans="1:32" hidden="1" x14ac:dyDescent="0.25">
      <c r="A62" s="224"/>
      <c r="B62" s="109">
        <v>44239</v>
      </c>
      <c r="C62" s="52" t="s">
        <v>53</v>
      </c>
      <c r="D62" s="52" t="s">
        <v>38</v>
      </c>
      <c r="E62" s="119" t="s">
        <v>45</v>
      </c>
      <c r="F62" s="53" t="s">
        <v>40</v>
      </c>
      <c r="G62" s="110">
        <v>10</v>
      </c>
      <c r="H62" s="53">
        <v>830</v>
      </c>
      <c r="I62" s="53">
        <v>820</v>
      </c>
      <c r="J62" s="53">
        <v>0</v>
      </c>
      <c r="K62" s="55">
        <v>0.83</v>
      </c>
      <c r="L62" s="55">
        <v>680.6</v>
      </c>
      <c r="M62" s="55">
        <v>0.03</v>
      </c>
      <c r="N62" s="56">
        <v>660</v>
      </c>
      <c r="O62" s="57" t="s">
        <v>80</v>
      </c>
      <c r="P62" s="75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51"/>
      <c r="AC62" s="51"/>
      <c r="AD62" s="51"/>
      <c r="AE62" s="51"/>
      <c r="AF62" s="51"/>
    </row>
    <row r="63" spans="1:32" hidden="1" x14ac:dyDescent="0.25">
      <c r="A63" s="224"/>
      <c r="B63" s="111">
        <v>44240</v>
      </c>
      <c r="C63" s="58" t="s">
        <v>57</v>
      </c>
      <c r="D63" s="59" t="s">
        <v>38</v>
      </c>
      <c r="E63" s="119" t="s">
        <v>45</v>
      </c>
      <c r="F63" s="60" t="s">
        <v>40</v>
      </c>
      <c r="G63" s="112">
        <v>10</v>
      </c>
      <c r="H63" s="60">
        <v>830</v>
      </c>
      <c r="I63" s="53">
        <v>820</v>
      </c>
      <c r="J63" s="60">
        <v>0</v>
      </c>
      <c r="K63" s="62">
        <v>0.83</v>
      </c>
      <c r="L63" s="62">
        <v>680.6</v>
      </c>
      <c r="M63" s="62">
        <v>0.03</v>
      </c>
      <c r="N63" s="63">
        <v>660</v>
      </c>
      <c r="O63" s="64"/>
      <c r="P63" s="75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51"/>
      <c r="AC63" s="51"/>
      <c r="AD63" s="51"/>
      <c r="AE63" s="51"/>
      <c r="AF63" s="51"/>
    </row>
    <row r="64" spans="1:32" ht="15.75" hidden="1" thickBot="1" x14ac:dyDescent="0.3">
      <c r="A64" s="225"/>
      <c r="B64" s="113">
        <v>44241</v>
      </c>
      <c r="C64" s="66" t="s">
        <v>59</v>
      </c>
      <c r="D64" s="67" t="s">
        <v>38</v>
      </c>
      <c r="E64" s="118" t="s">
        <v>45</v>
      </c>
      <c r="F64" s="67" t="s">
        <v>40</v>
      </c>
      <c r="G64" s="114">
        <v>10</v>
      </c>
      <c r="H64" s="67">
        <v>830</v>
      </c>
      <c r="I64" s="53">
        <v>820</v>
      </c>
      <c r="J64" s="67">
        <v>0</v>
      </c>
      <c r="K64" s="69">
        <v>0.83</v>
      </c>
      <c r="L64" s="69">
        <v>680.6</v>
      </c>
      <c r="M64" s="69">
        <v>0.03</v>
      </c>
      <c r="N64" s="70">
        <v>660</v>
      </c>
      <c r="O64" s="71"/>
      <c r="P64" s="75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51"/>
      <c r="AC64" s="51"/>
      <c r="AD64" s="51"/>
      <c r="AE64" s="51"/>
      <c r="AF64" s="51"/>
    </row>
    <row r="65" spans="1:32" hidden="1" x14ac:dyDescent="0.25">
      <c r="A65" s="223">
        <v>7</v>
      </c>
      <c r="B65" s="96">
        <v>44242</v>
      </c>
      <c r="C65" s="72" t="s">
        <v>37</v>
      </c>
      <c r="D65" s="72" t="s">
        <v>38</v>
      </c>
      <c r="E65" s="119" t="s">
        <v>45</v>
      </c>
      <c r="F65" s="41" t="s">
        <v>40</v>
      </c>
      <c r="G65" s="54">
        <v>10</v>
      </c>
      <c r="H65" s="41">
        <v>850</v>
      </c>
      <c r="I65" s="8">
        <v>820</v>
      </c>
      <c r="J65" s="41">
        <v>0</v>
      </c>
      <c r="K65" s="73">
        <f t="shared" ref="K65:K71" si="4">VLOOKUP($D65&amp;$E65&amp;$F65&amp;YEAR($B65),$P:$AA,9,FALSE)</f>
        <v>0.83</v>
      </c>
      <c r="L65" s="73">
        <f t="shared" ref="L65:L71" si="5">IF(J65&lt;&gt;0,J65,I65)*K65</f>
        <v>680.6</v>
      </c>
      <c r="M65" s="73">
        <v>0.03</v>
      </c>
      <c r="N65" s="105">
        <f t="shared" ref="N65:N71" si="6">L65*(1-M65)</f>
        <v>660.18200000000002</v>
      </c>
      <c r="O65" s="46"/>
      <c r="P65" s="75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51"/>
      <c r="AC65" s="51"/>
      <c r="AD65" s="51"/>
      <c r="AE65" s="51"/>
      <c r="AF65" s="51"/>
    </row>
    <row r="66" spans="1:32" hidden="1" x14ac:dyDescent="0.25">
      <c r="A66" s="224"/>
      <c r="B66" s="96">
        <v>44243</v>
      </c>
      <c r="C66" s="52" t="s">
        <v>42</v>
      </c>
      <c r="D66" s="52" t="s">
        <v>38</v>
      </c>
      <c r="E66" s="119" t="s">
        <v>45</v>
      </c>
      <c r="F66" s="53" t="s">
        <v>40</v>
      </c>
      <c r="G66" s="54">
        <v>5.9</v>
      </c>
      <c r="H66" s="53">
        <v>850</v>
      </c>
      <c r="I66" s="8">
        <v>820</v>
      </c>
      <c r="J66" s="53">
        <v>0</v>
      </c>
      <c r="K66" s="55">
        <f t="shared" si="4"/>
        <v>0.83</v>
      </c>
      <c r="L66" s="55">
        <f t="shared" si="5"/>
        <v>680.6</v>
      </c>
      <c r="M66" s="55">
        <v>0.03</v>
      </c>
      <c r="N66" s="101">
        <f t="shared" si="6"/>
        <v>660.18200000000002</v>
      </c>
      <c r="O66" s="57"/>
      <c r="P66" s="75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51"/>
      <c r="AC66" s="51"/>
      <c r="AD66" s="51"/>
      <c r="AE66" s="51"/>
      <c r="AF66" s="51"/>
    </row>
    <row r="67" spans="1:32" hidden="1" x14ac:dyDescent="0.25">
      <c r="A67" s="224"/>
      <c r="B67" s="96">
        <v>44244</v>
      </c>
      <c r="C67" s="52" t="s">
        <v>46</v>
      </c>
      <c r="D67" s="52" t="s">
        <v>38</v>
      </c>
      <c r="E67" s="119" t="s">
        <v>45</v>
      </c>
      <c r="F67" s="53" t="s">
        <v>40</v>
      </c>
      <c r="G67" s="54">
        <v>3.9</v>
      </c>
      <c r="H67" s="53">
        <v>850</v>
      </c>
      <c r="I67" s="8">
        <v>820</v>
      </c>
      <c r="J67" s="53">
        <v>0</v>
      </c>
      <c r="K67" s="55">
        <f t="shared" si="4"/>
        <v>0.83</v>
      </c>
      <c r="L67" s="55">
        <f t="shared" si="5"/>
        <v>680.6</v>
      </c>
      <c r="M67" s="55">
        <v>0.03</v>
      </c>
      <c r="N67" s="101">
        <f t="shared" si="6"/>
        <v>660.18200000000002</v>
      </c>
      <c r="O67" s="57" t="s">
        <v>81</v>
      </c>
      <c r="P67" s="75"/>
      <c r="Q67" s="76"/>
      <c r="R67" s="76"/>
      <c r="S67" s="53"/>
      <c r="T67" s="53"/>
      <c r="U67" s="53"/>
      <c r="V67" s="53"/>
      <c r="W67" s="53"/>
      <c r="X67" s="53"/>
      <c r="Y67" s="53"/>
      <c r="Z67" s="53"/>
      <c r="AA67" s="53"/>
      <c r="AB67" s="51"/>
      <c r="AC67" s="51"/>
      <c r="AD67" s="51"/>
      <c r="AE67" s="51"/>
      <c r="AF67" s="51"/>
    </row>
    <row r="68" spans="1:32" hidden="1" x14ac:dyDescent="0.25">
      <c r="A68" s="224"/>
      <c r="B68" s="96">
        <v>44245</v>
      </c>
      <c r="C68" s="52" t="s">
        <v>50</v>
      </c>
      <c r="D68" s="52" t="s">
        <v>38</v>
      </c>
      <c r="E68" s="41" t="s">
        <v>55</v>
      </c>
      <c r="F68" s="53" t="s">
        <v>40</v>
      </c>
      <c r="G68" s="54">
        <v>3.9</v>
      </c>
      <c r="H68" s="53">
        <v>900</v>
      </c>
      <c r="I68" s="8">
        <v>830</v>
      </c>
      <c r="J68" s="53">
        <v>0</v>
      </c>
      <c r="K68" s="55">
        <f t="shared" si="4"/>
        <v>0.85</v>
      </c>
      <c r="L68" s="55">
        <f t="shared" si="5"/>
        <v>705.5</v>
      </c>
      <c r="M68" s="55">
        <v>0.03</v>
      </c>
      <c r="N68" s="101">
        <f t="shared" si="6"/>
        <v>684.33500000000004</v>
      </c>
      <c r="O68" s="57"/>
      <c r="P68" s="75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51"/>
      <c r="AC68" s="51"/>
      <c r="AD68" s="51"/>
      <c r="AE68" s="51"/>
      <c r="AF68" s="51"/>
    </row>
    <row r="69" spans="1:32" hidden="1" x14ac:dyDescent="0.25">
      <c r="A69" s="224"/>
      <c r="B69" s="96">
        <v>44246</v>
      </c>
      <c r="C69" s="52" t="s">
        <v>53</v>
      </c>
      <c r="D69" s="52" t="s">
        <v>38</v>
      </c>
      <c r="E69" s="53" t="s">
        <v>55</v>
      </c>
      <c r="F69" s="53" t="s">
        <v>40</v>
      </c>
      <c r="G69" s="54">
        <v>3.9</v>
      </c>
      <c r="H69" s="53">
        <v>900</v>
      </c>
      <c r="I69" s="8">
        <v>840</v>
      </c>
      <c r="J69" s="53">
        <v>0</v>
      </c>
      <c r="K69" s="55">
        <f t="shared" si="4"/>
        <v>0.85</v>
      </c>
      <c r="L69" s="55">
        <f t="shared" si="5"/>
        <v>714</v>
      </c>
      <c r="M69" s="55">
        <v>0.03</v>
      </c>
      <c r="N69" s="101">
        <f t="shared" si="6"/>
        <v>692.57999999999993</v>
      </c>
      <c r="O69" s="57"/>
      <c r="P69" s="75"/>
      <c r="Q69" s="76"/>
      <c r="R69" s="76"/>
      <c r="S69" s="53"/>
      <c r="T69" s="53"/>
      <c r="U69" s="53"/>
      <c r="V69" s="53"/>
      <c r="W69" s="53"/>
      <c r="X69" s="53"/>
      <c r="Y69" s="53"/>
      <c r="Z69" s="53"/>
      <c r="AA69" s="53"/>
      <c r="AB69" s="51"/>
      <c r="AC69" s="51"/>
      <c r="AD69" s="51"/>
      <c r="AE69" s="51"/>
      <c r="AF69" s="51"/>
    </row>
    <row r="70" spans="1:32" hidden="1" x14ac:dyDescent="0.25">
      <c r="A70" s="224"/>
      <c r="B70" s="97">
        <v>44247</v>
      </c>
      <c r="C70" s="58" t="s">
        <v>57</v>
      </c>
      <c r="D70" s="59" t="s">
        <v>38</v>
      </c>
      <c r="E70" s="60" t="s">
        <v>55</v>
      </c>
      <c r="F70" s="60" t="s">
        <v>40</v>
      </c>
      <c r="G70" s="61">
        <v>3.9</v>
      </c>
      <c r="H70" s="60">
        <v>900</v>
      </c>
      <c r="I70" s="13">
        <v>850</v>
      </c>
      <c r="J70" s="60">
        <v>0</v>
      </c>
      <c r="K70" s="62">
        <f t="shared" si="4"/>
        <v>0.85</v>
      </c>
      <c r="L70" s="62">
        <f t="shared" si="5"/>
        <v>722.5</v>
      </c>
      <c r="M70" s="62">
        <v>0.03</v>
      </c>
      <c r="N70" s="102">
        <f t="shared" si="6"/>
        <v>700.82499999999993</v>
      </c>
      <c r="O70" s="64"/>
      <c r="P70" s="75"/>
      <c r="Q70" s="76"/>
      <c r="R70" s="76"/>
      <c r="S70" s="53"/>
      <c r="T70" s="53"/>
      <c r="U70" s="53"/>
      <c r="V70" s="53"/>
      <c r="W70" s="53"/>
      <c r="X70" s="53"/>
      <c r="Y70" s="53"/>
      <c r="Z70" s="53"/>
      <c r="AA70" s="53"/>
      <c r="AB70" s="51"/>
      <c r="AC70" s="51"/>
      <c r="AD70" s="51"/>
      <c r="AE70" s="51"/>
      <c r="AF70" s="51"/>
    </row>
    <row r="71" spans="1:32" ht="15.75" hidden="1" thickBot="1" x14ac:dyDescent="0.3">
      <c r="A71" s="225"/>
      <c r="B71" s="98">
        <v>44248</v>
      </c>
      <c r="C71" s="66" t="s">
        <v>59</v>
      </c>
      <c r="D71" s="67" t="s">
        <v>38</v>
      </c>
      <c r="E71" s="67" t="s">
        <v>39</v>
      </c>
      <c r="F71" s="67" t="s">
        <v>40</v>
      </c>
      <c r="G71" s="68">
        <v>3.9</v>
      </c>
      <c r="H71" s="67">
        <v>900</v>
      </c>
      <c r="I71" s="14">
        <v>860</v>
      </c>
      <c r="J71" s="67">
        <v>0</v>
      </c>
      <c r="K71" s="69">
        <f t="shared" si="4"/>
        <v>0.85</v>
      </c>
      <c r="L71" s="69">
        <f t="shared" si="5"/>
        <v>731</v>
      </c>
      <c r="M71" s="69">
        <v>0.03</v>
      </c>
      <c r="N71" s="103">
        <f t="shared" si="6"/>
        <v>709.06999999999994</v>
      </c>
      <c r="O71" s="71"/>
      <c r="P71" s="75"/>
      <c r="Q71" s="76"/>
      <c r="R71" s="76"/>
      <c r="S71" s="53"/>
      <c r="T71" s="53"/>
      <c r="U71" s="53"/>
      <c r="V71" s="53"/>
      <c r="W71" s="53"/>
      <c r="X71" s="53"/>
      <c r="Y71" s="53"/>
      <c r="Z71" s="53"/>
      <c r="AA71" s="53"/>
      <c r="AB71" s="51"/>
      <c r="AC71" s="51"/>
      <c r="AD71" s="51"/>
      <c r="AE71" s="51"/>
      <c r="AF71" s="51"/>
    </row>
    <row r="72" spans="1:32" hidden="1" x14ac:dyDescent="0.25">
      <c r="A72" s="223">
        <v>8</v>
      </c>
      <c r="B72" s="109">
        <v>44249</v>
      </c>
      <c r="C72" s="72" t="s">
        <v>37</v>
      </c>
      <c r="D72" s="72" t="s">
        <v>38</v>
      </c>
      <c r="E72" s="41" t="s">
        <v>39</v>
      </c>
      <c r="F72" s="41" t="s">
        <v>40</v>
      </c>
      <c r="G72" s="43">
        <v>3.9</v>
      </c>
      <c r="H72" s="41">
        <v>900</v>
      </c>
      <c r="I72" s="41">
        <v>870</v>
      </c>
      <c r="J72" s="41">
        <v>0</v>
      </c>
      <c r="K72" s="73">
        <v>0.85</v>
      </c>
      <c r="L72" s="73">
        <v>765</v>
      </c>
      <c r="M72" s="73">
        <v>0.03</v>
      </c>
      <c r="N72" s="74">
        <v>742</v>
      </c>
      <c r="O72" s="46"/>
      <c r="P72" s="75"/>
      <c r="Q72" s="76"/>
      <c r="R72" s="76"/>
      <c r="S72" s="53"/>
      <c r="T72" s="53"/>
      <c r="U72" s="53"/>
      <c r="V72" s="53"/>
      <c r="W72" s="53"/>
      <c r="X72" s="53"/>
      <c r="Y72" s="53"/>
      <c r="Z72" s="53"/>
      <c r="AA72" s="53"/>
      <c r="AB72" s="51"/>
      <c r="AC72" s="51"/>
      <c r="AD72" s="51"/>
      <c r="AE72" s="51"/>
      <c r="AF72" s="51"/>
    </row>
    <row r="73" spans="1:32" hidden="1" x14ac:dyDescent="0.25">
      <c r="A73" s="224"/>
      <c r="B73" s="109">
        <v>44250</v>
      </c>
      <c r="C73" s="52" t="s">
        <v>42</v>
      </c>
      <c r="D73" s="52" t="s">
        <v>38</v>
      </c>
      <c r="E73" s="53" t="s">
        <v>39</v>
      </c>
      <c r="F73" s="53" t="s">
        <v>40</v>
      </c>
      <c r="G73" s="54">
        <v>3.9</v>
      </c>
      <c r="H73" s="53">
        <v>900</v>
      </c>
      <c r="I73" s="53">
        <v>880</v>
      </c>
      <c r="J73" s="53">
        <v>0</v>
      </c>
      <c r="K73" s="55">
        <v>0.85</v>
      </c>
      <c r="L73" s="55">
        <v>765</v>
      </c>
      <c r="M73" s="55">
        <v>0.03</v>
      </c>
      <c r="N73" s="56">
        <v>742</v>
      </c>
      <c r="O73" s="57"/>
      <c r="P73" s="75"/>
      <c r="Q73" s="76"/>
      <c r="R73" s="76"/>
      <c r="S73" s="53"/>
      <c r="T73" s="53"/>
      <c r="U73" s="53"/>
      <c r="V73" s="53"/>
      <c r="W73" s="53"/>
      <c r="X73" s="53"/>
      <c r="Y73" s="53"/>
      <c r="Z73" s="53"/>
      <c r="AA73" s="53"/>
      <c r="AB73" s="51"/>
      <c r="AC73" s="51"/>
      <c r="AD73" s="51"/>
      <c r="AE73" s="51"/>
      <c r="AF73" s="51"/>
    </row>
    <row r="74" spans="1:32" hidden="1" x14ac:dyDescent="0.25">
      <c r="A74" s="224"/>
      <c r="B74" s="109">
        <v>44251</v>
      </c>
      <c r="C74" s="52" t="s">
        <v>46</v>
      </c>
      <c r="D74" s="52" t="s">
        <v>38</v>
      </c>
      <c r="E74" s="53" t="s">
        <v>39</v>
      </c>
      <c r="F74" s="53" t="s">
        <v>40</v>
      </c>
      <c r="G74" s="54">
        <v>3.9</v>
      </c>
      <c r="H74" s="53">
        <v>900</v>
      </c>
      <c r="I74" s="53">
        <v>890</v>
      </c>
      <c r="J74" s="53">
        <v>0</v>
      </c>
      <c r="K74" s="55">
        <v>0.85</v>
      </c>
      <c r="L74" s="55">
        <v>765</v>
      </c>
      <c r="M74" s="55">
        <v>0.03</v>
      </c>
      <c r="N74" s="56">
        <v>742</v>
      </c>
      <c r="O74" s="57" t="s">
        <v>82</v>
      </c>
      <c r="P74" s="75"/>
      <c r="Q74" s="76"/>
      <c r="R74" s="76"/>
      <c r="S74" s="53"/>
      <c r="T74" s="53"/>
      <c r="U74" s="53"/>
      <c r="V74" s="53"/>
      <c r="W74" s="53"/>
      <c r="X74" s="53"/>
      <c r="Y74" s="53"/>
      <c r="Z74" s="53"/>
      <c r="AA74" s="53"/>
      <c r="AB74" s="51"/>
      <c r="AC74" s="51"/>
      <c r="AD74" s="51"/>
      <c r="AE74" s="51"/>
      <c r="AF74" s="51"/>
    </row>
    <row r="75" spans="1:32" hidden="1" x14ac:dyDescent="0.25">
      <c r="A75" s="224"/>
      <c r="B75" s="109">
        <v>44252</v>
      </c>
      <c r="C75" s="52" t="s">
        <v>50</v>
      </c>
      <c r="D75" s="52" t="s">
        <v>38</v>
      </c>
      <c r="E75" s="53" t="s">
        <v>39</v>
      </c>
      <c r="F75" s="53" t="s">
        <v>40</v>
      </c>
      <c r="G75" s="54">
        <v>3.9</v>
      </c>
      <c r="H75" s="53">
        <v>900</v>
      </c>
      <c r="I75" s="53">
        <v>900</v>
      </c>
      <c r="J75" s="53">
        <v>0</v>
      </c>
      <c r="K75" s="55">
        <v>0.85</v>
      </c>
      <c r="L75" s="55">
        <v>765</v>
      </c>
      <c r="M75" s="55">
        <v>0.03</v>
      </c>
      <c r="N75" s="56">
        <v>742</v>
      </c>
      <c r="O75" s="57"/>
      <c r="P75" s="75"/>
      <c r="Q75" s="76"/>
      <c r="R75" s="76"/>
      <c r="S75" s="53"/>
      <c r="T75" s="53"/>
      <c r="U75" s="53"/>
      <c r="V75" s="53"/>
      <c r="W75" s="53"/>
      <c r="X75" s="53"/>
      <c r="Y75" s="53"/>
      <c r="Z75" s="53"/>
      <c r="AA75" s="53"/>
      <c r="AB75" s="51"/>
      <c r="AC75" s="51"/>
      <c r="AD75" s="51"/>
      <c r="AE75" s="51"/>
      <c r="AF75" s="51"/>
    </row>
    <row r="76" spans="1:32" hidden="1" x14ac:dyDescent="0.25">
      <c r="A76" s="224"/>
      <c r="B76" s="109">
        <v>44253</v>
      </c>
      <c r="C76" s="52" t="s">
        <v>53</v>
      </c>
      <c r="D76" s="52" t="s">
        <v>38</v>
      </c>
      <c r="E76" s="53" t="s">
        <v>39</v>
      </c>
      <c r="F76" s="53" t="s">
        <v>40</v>
      </c>
      <c r="G76" s="54">
        <v>3.9</v>
      </c>
      <c r="H76" s="53">
        <v>900</v>
      </c>
      <c r="I76" s="53">
        <v>900</v>
      </c>
      <c r="J76" s="53">
        <v>0</v>
      </c>
      <c r="K76" s="55">
        <v>0.85</v>
      </c>
      <c r="L76" s="55">
        <v>765</v>
      </c>
      <c r="M76" s="55">
        <v>0.03</v>
      </c>
      <c r="N76" s="56">
        <v>742</v>
      </c>
      <c r="O76" s="57"/>
      <c r="P76" s="75"/>
      <c r="Q76" s="76"/>
      <c r="R76" s="76"/>
      <c r="S76" s="53"/>
      <c r="T76" s="53"/>
      <c r="U76" s="53"/>
      <c r="V76" s="53"/>
      <c r="W76" s="53"/>
      <c r="X76" s="53"/>
      <c r="Y76" s="53"/>
      <c r="Z76" s="53"/>
      <c r="AA76" s="53"/>
      <c r="AB76" s="51"/>
      <c r="AC76" s="51"/>
      <c r="AD76" s="51"/>
      <c r="AE76" s="51"/>
      <c r="AF76" s="51"/>
    </row>
    <row r="77" spans="1:32" hidden="1" x14ac:dyDescent="0.25">
      <c r="A77" s="224"/>
      <c r="B77" s="111">
        <v>44254</v>
      </c>
      <c r="C77" s="58" t="s">
        <v>57</v>
      </c>
      <c r="D77" s="59" t="s">
        <v>38</v>
      </c>
      <c r="E77" s="60" t="s">
        <v>39</v>
      </c>
      <c r="F77" s="60" t="s">
        <v>40</v>
      </c>
      <c r="G77" s="61">
        <v>3.9</v>
      </c>
      <c r="H77" s="60">
        <v>900</v>
      </c>
      <c r="I77" s="60">
        <v>900</v>
      </c>
      <c r="J77" s="60">
        <v>0</v>
      </c>
      <c r="K77" s="62">
        <v>0.85</v>
      </c>
      <c r="L77" s="62">
        <v>765</v>
      </c>
      <c r="M77" s="62">
        <v>0.03</v>
      </c>
      <c r="N77" s="63">
        <v>742</v>
      </c>
      <c r="O77" s="64"/>
      <c r="P77" s="75"/>
      <c r="Q77" s="76"/>
      <c r="R77" s="76"/>
      <c r="S77" s="53"/>
      <c r="T77" s="53"/>
      <c r="U77" s="53"/>
      <c r="V77" s="53"/>
      <c r="W77" s="53"/>
      <c r="X77" s="53"/>
      <c r="Y77" s="53"/>
      <c r="Z77" s="53"/>
      <c r="AA77" s="53"/>
      <c r="AB77" s="51"/>
      <c r="AC77" s="51"/>
      <c r="AD77" s="51"/>
      <c r="AE77" s="51"/>
      <c r="AF77" s="51"/>
    </row>
    <row r="78" spans="1:32" ht="15.75" hidden="1" thickBot="1" x14ac:dyDescent="0.3">
      <c r="A78" s="225"/>
      <c r="B78" s="113">
        <v>44255</v>
      </c>
      <c r="C78" s="66" t="s">
        <v>59</v>
      </c>
      <c r="D78" s="67" t="s">
        <v>38</v>
      </c>
      <c r="E78" s="67" t="s">
        <v>39</v>
      </c>
      <c r="F78" s="67" t="s">
        <v>40</v>
      </c>
      <c r="G78" s="68" t="s">
        <v>7</v>
      </c>
      <c r="H78" s="67">
        <v>900</v>
      </c>
      <c r="I78" s="67">
        <v>900</v>
      </c>
      <c r="J78" s="67">
        <v>0</v>
      </c>
      <c r="K78" s="69">
        <v>0.85</v>
      </c>
      <c r="L78" s="69">
        <v>765</v>
      </c>
      <c r="M78" s="69">
        <v>0.03</v>
      </c>
      <c r="N78" s="70">
        <v>742</v>
      </c>
      <c r="O78" s="71"/>
      <c r="P78" s="75"/>
      <c r="Q78" s="76"/>
      <c r="R78" s="76"/>
      <c r="S78" s="53"/>
      <c r="T78" s="53"/>
      <c r="U78" s="53"/>
      <c r="V78" s="53"/>
      <c r="W78" s="53"/>
      <c r="X78" s="53"/>
      <c r="Y78" s="53"/>
      <c r="Z78" s="53"/>
      <c r="AA78" s="53"/>
      <c r="AB78" s="51"/>
      <c r="AC78" s="51"/>
      <c r="AD78" s="51"/>
      <c r="AE78" s="51"/>
      <c r="AF78" s="51"/>
    </row>
    <row r="79" spans="1:32" hidden="1" x14ac:dyDescent="0.25">
      <c r="A79" s="223">
        <v>9</v>
      </c>
      <c r="B79" s="109">
        <v>44256</v>
      </c>
      <c r="C79" s="72" t="s">
        <v>37</v>
      </c>
      <c r="D79" s="72" t="s">
        <v>38</v>
      </c>
      <c r="E79" s="41" t="s">
        <v>39</v>
      </c>
      <c r="F79" s="41" t="s">
        <v>40</v>
      </c>
      <c r="G79" s="43">
        <v>5.9</v>
      </c>
      <c r="H79" s="41">
        <v>900</v>
      </c>
      <c r="I79" s="41">
        <v>900</v>
      </c>
      <c r="J79" s="41">
        <v>0</v>
      </c>
      <c r="K79" s="73">
        <v>0.85</v>
      </c>
      <c r="L79" s="73">
        <v>765</v>
      </c>
      <c r="M79" s="73">
        <v>0.03</v>
      </c>
      <c r="N79" s="74">
        <v>742</v>
      </c>
      <c r="O79" s="87"/>
      <c r="P79" s="75"/>
      <c r="Q79" s="76"/>
      <c r="R79" s="76"/>
      <c r="S79" s="53"/>
      <c r="T79" s="53"/>
      <c r="U79" s="53"/>
      <c r="V79" s="53"/>
      <c r="W79" s="53"/>
      <c r="X79" s="53"/>
      <c r="Y79" s="53"/>
      <c r="Z79" s="53"/>
      <c r="AA79" s="53"/>
      <c r="AB79" s="51"/>
      <c r="AC79" s="51"/>
      <c r="AD79" s="51"/>
      <c r="AE79" s="51"/>
      <c r="AF79" s="51"/>
    </row>
    <row r="80" spans="1:32" hidden="1" x14ac:dyDescent="0.25">
      <c r="A80" s="224"/>
      <c r="B80" s="109">
        <v>44257</v>
      </c>
      <c r="C80" s="52" t="s">
        <v>42</v>
      </c>
      <c r="D80" s="52" t="s">
        <v>38</v>
      </c>
      <c r="E80" s="53" t="s">
        <v>39</v>
      </c>
      <c r="F80" s="53" t="s">
        <v>40</v>
      </c>
      <c r="G80" s="54">
        <v>5.9</v>
      </c>
      <c r="H80" s="53">
        <v>900</v>
      </c>
      <c r="I80" s="53">
        <v>900</v>
      </c>
      <c r="J80" s="53">
        <v>0</v>
      </c>
      <c r="K80" s="55">
        <v>0.85</v>
      </c>
      <c r="L80" s="55">
        <v>765</v>
      </c>
      <c r="M80" s="55">
        <v>0.03</v>
      </c>
      <c r="N80" s="56">
        <v>742</v>
      </c>
      <c r="O80" s="57" t="s">
        <v>83</v>
      </c>
      <c r="P80" s="75"/>
      <c r="Q80" s="76"/>
      <c r="R80" s="76"/>
      <c r="S80" s="53"/>
      <c r="T80" s="53"/>
      <c r="U80" s="53"/>
      <c r="V80" s="53"/>
      <c r="W80" s="53"/>
      <c r="X80" s="53"/>
      <c r="Y80" s="53"/>
      <c r="Z80" s="53"/>
      <c r="AA80" s="53"/>
      <c r="AB80" s="51"/>
      <c r="AC80" s="51"/>
      <c r="AD80" s="51"/>
      <c r="AE80" s="51"/>
      <c r="AF80" s="51"/>
    </row>
    <row r="81" spans="1:32" hidden="1" x14ac:dyDescent="0.25">
      <c r="A81" s="224"/>
      <c r="B81" s="109">
        <v>44258</v>
      </c>
      <c r="C81" s="52" t="s">
        <v>46</v>
      </c>
      <c r="D81" s="52" t="s">
        <v>38</v>
      </c>
      <c r="E81" s="53" t="s">
        <v>39</v>
      </c>
      <c r="F81" s="53" t="s">
        <v>40</v>
      </c>
      <c r="G81" s="54">
        <v>8</v>
      </c>
      <c r="H81" s="53">
        <v>900</v>
      </c>
      <c r="I81" s="53">
        <v>900</v>
      </c>
      <c r="J81" s="53">
        <v>0</v>
      </c>
      <c r="K81" s="55">
        <v>0.85</v>
      </c>
      <c r="L81" s="55">
        <v>765</v>
      </c>
      <c r="M81" s="55">
        <v>0.03</v>
      </c>
      <c r="N81" s="56">
        <v>742</v>
      </c>
      <c r="O81" s="88"/>
      <c r="P81" s="75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51"/>
      <c r="AC81" s="51"/>
      <c r="AD81" s="51"/>
      <c r="AE81" s="51"/>
      <c r="AF81" s="51"/>
    </row>
    <row r="82" spans="1:32" hidden="1" x14ac:dyDescent="0.25">
      <c r="A82" s="224"/>
      <c r="B82" s="109">
        <v>44259</v>
      </c>
      <c r="C82" s="52" t="s">
        <v>50</v>
      </c>
      <c r="D82" s="52" t="s">
        <v>38</v>
      </c>
      <c r="E82" s="53" t="s">
        <v>39</v>
      </c>
      <c r="F82" s="53" t="s">
        <v>40</v>
      </c>
      <c r="G82" s="54">
        <v>8</v>
      </c>
      <c r="H82" s="53">
        <v>900</v>
      </c>
      <c r="I82" s="53">
        <v>900</v>
      </c>
      <c r="J82" s="53">
        <v>0</v>
      </c>
      <c r="K82" s="55">
        <v>0.85</v>
      </c>
      <c r="L82" s="55">
        <v>765</v>
      </c>
      <c r="M82" s="55">
        <v>0.03</v>
      </c>
      <c r="N82" s="56">
        <v>742</v>
      </c>
      <c r="O82" s="57"/>
      <c r="P82" s="75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51"/>
      <c r="AC82" s="51"/>
      <c r="AD82" s="51"/>
      <c r="AE82" s="51"/>
      <c r="AF82" s="51"/>
    </row>
    <row r="83" spans="1:32" hidden="1" x14ac:dyDescent="0.25">
      <c r="A83" s="224"/>
      <c r="B83" s="109">
        <v>44260</v>
      </c>
      <c r="C83" s="52" t="s">
        <v>53</v>
      </c>
      <c r="D83" s="52" t="s">
        <v>38</v>
      </c>
      <c r="E83" s="53" t="s">
        <v>39</v>
      </c>
      <c r="F83" s="53" t="s">
        <v>40</v>
      </c>
      <c r="G83" s="54">
        <v>10</v>
      </c>
      <c r="H83" s="53">
        <v>900</v>
      </c>
      <c r="I83" s="53">
        <v>900</v>
      </c>
      <c r="J83" s="53">
        <v>0</v>
      </c>
      <c r="K83" s="55">
        <v>0.85</v>
      </c>
      <c r="L83" s="55">
        <v>765</v>
      </c>
      <c r="M83" s="55">
        <v>0.03</v>
      </c>
      <c r="N83" s="56">
        <v>742</v>
      </c>
      <c r="O83" s="57"/>
      <c r="P83" s="75"/>
      <c r="Q83" s="76"/>
      <c r="R83" s="76"/>
      <c r="S83" s="76"/>
      <c r="T83" s="53"/>
      <c r="U83" s="76"/>
      <c r="V83" s="76"/>
      <c r="W83" s="76"/>
      <c r="X83" s="76"/>
      <c r="Y83" s="76"/>
      <c r="Z83" s="76"/>
      <c r="AA83" s="76"/>
      <c r="AB83" s="51"/>
      <c r="AC83" s="51"/>
      <c r="AD83" s="51"/>
      <c r="AE83" s="51"/>
      <c r="AF83" s="51"/>
    </row>
    <row r="84" spans="1:32" hidden="1" x14ac:dyDescent="0.25">
      <c r="A84" s="224"/>
      <c r="B84" s="111">
        <v>44261</v>
      </c>
      <c r="C84" s="58" t="s">
        <v>57</v>
      </c>
      <c r="D84" s="59" t="s">
        <v>38</v>
      </c>
      <c r="E84" s="60" t="s">
        <v>39</v>
      </c>
      <c r="F84" s="60" t="s">
        <v>40</v>
      </c>
      <c r="G84" s="61">
        <v>5.9</v>
      </c>
      <c r="H84" s="60">
        <v>900</v>
      </c>
      <c r="I84" s="60">
        <v>900</v>
      </c>
      <c r="J84" s="60">
        <v>0</v>
      </c>
      <c r="K84" s="62">
        <v>0.85</v>
      </c>
      <c r="L84" s="62">
        <v>765</v>
      </c>
      <c r="M84" s="62">
        <v>0.03</v>
      </c>
      <c r="N84" s="63">
        <v>742</v>
      </c>
      <c r="O84" s="64"/>
      <c r="P84" s="75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51"/>
      <c r="AC84" s="51"/>
      <c r="AD84" s="51"/>
      <c r="AE84" s="51"/>
      <c r="AF84" s="51"/>
    </row>
    <row r="85" spans="1:32" ht="15.75" hidden="1" thickBot="1" x14ac:dyDescent="0.3">
      <c r="A85" s="225"/>
      <c r="B85" s="113">
        <v>44262</v>
      </c>
      <c r="C85" s="66" t="s">
        <v>59</v>
      </c>
      <c r="D85" s="67" t="s">
        <v>38</v>
      </c>
      <c r="E85" s="67" t="s">
        <v>39</v>
      </c>
      <c r="F85" s="67" t="s">
        <v>40</v>
      </c>
      <c r="G85" s="68">
        <v>5.9</v>
      </c>
      <c r="H85" s="67">
        <v>900</v>
      </c>
      <c r="I85" s="67">
        <v>900</v>
      </c>
      <c r="J85" s="67">
        <v>0</v>
      </c>
      <c r="K85" s="69">
        <v>0.85</v>
      </c>
      <c r="L85" s="69">
        <v>765</v>
      </c>
      <c r="M85" s="69">
        <v>0.03</v>
      </c>
      <c r="N85" s="70">
        <v>742</v>
      </c>
      <c r="O85" s="71"/>
      <c r="P85" s="75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51"/>
      <c r="AC85" s="51"/>
      <c r="AD85" s="51"/>
      <c r="AE85" s="51"/>
      <c r="AF85" s="51"/>
    </row>
    <row r="86" spans="1:32" hidden="1" x14ac:dyDescent="0.25">
      <c r="A86" s="223">
        <v>10</v>
      </c>
      <c r="B86" s="109">
        <v>44263</v>
      </c>
      <c r="C86" s="72" t="s">
        <v>37</v>
      </c>
      <c r="D86" s="72" t="s">
        <v>38</v>
      </c>
      <c r="E86" s="41" t="s">
        <v>39</v>
      </c>
      <c r="F86" s="41" t="s">
        <v>40</v>
      </c>
      <c r="G86" s="43">
        <v>4.9000000000000004</v>
      </c>
      <c r="H86" s="41">
        <v>900</v>
      </c>
      <c r="I86" s="41">
        <v>900</v>
      </c>
      <c r="J86" s="41">
        <v>0</v>
      </c>
      <c r="K86" s="73">
        <v>0.85</v>
      </c>
      <c r="L86" s="73">
        <v>765</v>
      </c>
      <c r="M86" s="73">
        <v>0.03</v>
      </c>
      <c r="N86" s="74">
        <v>742</v>
      </c>
      <c r="O86" s="46"/>
      <c r="P86" s="75"/>
      <c r="Q86" s="76"/>
      <c r="R86" s="76"/>
      <c r="S86" s="76"/>
      <c r="T86" s="53"/>
      <c r="U86" s="76"/>
      <c r="V86" s="76"/>
      <c r="W86" s="76"/>
      <c r="X86" s="76"/>
      <c r="Y86" s="76"/>
      <c r="Z86" s="76"/>
      <c r="AA86" s="76"/>
      <c r="AB86" s="51"/>
      <c r="AC86" s="51"/>
      <c r="AD86" s="51"/>
      <c r="AE86" s="51"/>
      <c r="AF86" s="51"/>
    </row>
    <row r="87" spans="1:32" hidden="1" x14ac:dyDescent="0.25">
      <c r="A87" s="224"/>
      <c r="B87" s="109">
        <v>44264</v>
      </c>
      <c r="C87" s="52" t="s">
        <v>42</v>
      </c>
      <c r="D87" s="52" t="s">
        <v>38</v>
      </c>
      <c r="E87" s="53" t="s">
        <v>39</v>
      </c>
      <c r="F87" s="41" t="s">
        <v>40</v>
      </c>
      <c r="G87" s="54">
        <v>4.9000000000000004</v>
      </c>
      <c r="H87" s="53">
        <v>900</v>
      </c>
      <c r="I87" s="53">
        <v>900</v>
      </c>
      <c r="J87" s="53">
        <v>0</v>
      </c>
      <c r="K87" s="55">
        <v>0.85</v>
      </c>
      <c r="L87" s="55">
        <v>765</v>
      </c>
      <c r="M87" s="55">
        <v>0.03</v>
      </c>
      <c r="N87" s="56">
        <v>742</v>
      </c>
      <c r="O87" s="57" t="s">
        <v>84</v>
      </c>
      <c r="P87" s="75"/>
      <c r="Q87" s="76"/>
      <c r="R87" s="76"/>
      <c r="S87" s="76"/>
      <c r="T87" s="53"/>
      <c r="U87" s="76"/>
      <c r="V87" s="76"/>
      <c r="W87" s="76"/>
      <c r="X87" s="76"/>
      <c r="Y87" s="76"/>
      <c r="Z87" s="76"/>
      <c r="AA87" s="76"/>
      <c r="AB87" s="51"/>
      <c r="AC87" s="51"/>
      <c r="AD87" s="51"/>
      <c r="AE87" s="51"/>
      <c r="AF87" s="51"/>
    </row>
    <row r="88" spans="1:32" hidden="1" x14ac:dyDescent="0.25">
      <c r="A88" s="224"/>
      <c r="B88" s="109">
        <v>44265</v>
      </c>
      <c r="C88" s="52" t="s">
        <v>46</v>
      </c>
      <c r="D88" s="52" t="s">
        <v>38</v>
      </c>
      <c r="E88" s="53" t="s">
        <v>39</v>
      </c>
      <c r="F88" s="41" t="s">
        <v>40</v>
      </c>
      <c r="G88" s="54">
        <v>3.9</v>
      </c>
      <c r="H88" s="53">
        <v>900</v>
      </c>
      <c r="I88" s="53">
        <v>900</v>
      </c>
      <c r="J88" s="53">
        <v>0</v>
      </c>
      <c r="K88" s="55">
        <v>0.85</v>
      </c>
      <c r="L88" s="55">
        <v>765</v>
      </c>
      <c r="M88" s="55">
        <v>0.03</v>
      </c>
      <c r="N88" s="56">
        <v>742</v>
      </c>
      <c r="O88" s="57"/>
      <c r="P88" s="75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51"/>
      <c r="AC88" s="51"/>
      <c r="AD88" s="51"/>
      <c r="AE88" s="51"/>
      <c r="AF88" s="51"/>
    </row>
    <row r="89" spans="1:32" hidden="1" x14ac:dyDescent="0.25">
      <c r="A89" s="224"/>
      <c r="B89" s="109">
        <v>44266</v>
      </c>
      <c r="C89" s="52" t="s">
        <v>50</v>
      </c>
      <c r="D89" s="52" t="s">
        <v>38</v>
      </c>
      <c r="E89" s="53" t="s">
        <v>39</v>
      </c>
      <c r="F89" s="41" t="s">
        <v>40</v>
      </c>
      <c r="G89" s="54">
        <v>3.9</v>
      </c>
      <c r="H89" s="53">
        <v>900</v>
      </c>
      <c r="I89" s="53">
        <v>900</v>
      </c>
      <c r="J89" s="53">
        <v>0</v>
      </c>
      <c r="K89" s="55">
        <v>0.85</v>
      </c>
      <c r="L89" s="55">
        <v>765</v>
      </c>
      <c r="M89" s="55">
        <v>0.03</v>
      </c>
      <c r="N89" s="56">
        <v>742</v>
      </c>
      <c r="O89" s="57"/>
      <c r="P89" s="53"/>
      <c r="Q89" s="51"/>
      <c r="R89" s="51"/>
      <c r="S89" s="53"/>
      <c r="T89" s="53"/>
      <c r="U89" s="53"/>
      <c r="V89" s="53"/>
      <c r="W89" s="53"/>
      <c r="X89" s="53"/>
      <c r="Y89" s="53"/>
      <c r="Z89" s="53"/>
      <c r="AA89" s="53"/>
      <c r="AB89" s="51"/>
      <c r="AC89" s="51"/>
      <c r="AD89" s="51"/>
      <c r="AE89" s="51"/>
      <c r="AF89" s="51"/>
    </row>
    <row r="90" spans="1:32" hidden="1" x14ac:dyDescent="0.25">
      <c r="A90" s="224"/>
      <c r="B90" s="109">
        <v>44267</v>
      </c>
      <c r="C90" s="52" t="s">
        <v>53</v>
      </c>
      <c r="D90" s="52" t="s">
        <v>38</v>
      </c>
      <c r="E90" s="53" t="s">
        <v>39</v>
      </c>
      <c r="F90" s="53" t="s">
        <v>40</v>
      </c>
      <c r="G90" s="54">
        <v>3.9</v>
      </c>
      <c r="H90" s="53">
        <v>900</v>
      </c>
      <c r="I90" s="53">
        <v>900</v>
      </c>
      <c r="J90" s="53">
        <v>0</v>
      </c>
      <c r="K90" s="55">
        <v>0.85</v>
      </c>
      <c r="L90" s="55">
        <v>765</v>
      </c>
      <c r="M90" s="55">
        <v>0.03</v>
      </c>
      <c r="N90" s="56">
        <v>742</v>
      </c>
      <c r="O90" s="57" t="s">
        <v>85</v>
      </c>
      <c r="P90" s="53"/>
      <c r="Q90" s="51"/>
      <c r="R90" s="51"/>
      <c r="S90" s="53"/>
      <c r="T90" s="53"/>
      <c r="U90" s="53"/>
      <c r="V90" s="53"/>
      <c r="W90" s="53"/>
      <c r="X90" s="53"/>
      <c r="Y90" s="53"/>
      <c r="Z90" s="53"/>
      <c r="AA90" s="53"/>
      <c r="AB90" s="51"/>
      <c r="AC90" s="51"/>
      <c r="AD90" s="51"/>
      <c r="AE90" s="51"/>
      <c r="AF90" s="51"/>
    </row>
    <row r="91" spans="1:32" hidden="1" x14ac:dyDescent="0.25">
      <c r="A91" s="224"/>
      <c r="B91" s="111">
        <v>44268</v>
      </c>
      <c r="C91" s="58" t="s">
        <v>57</v>
      </c>
      <c r="D91" s="59" t="s">
        <v>38</v>
      </c>
      <c r="E91" s="60" t="s">
        <v>39</v>
      </c>
      <c r="F91" s="60" t="s">
        <v>40</v>
      </c>
      <c r="G91" s="61">
        <v>3.9</v>
      </c>
      <c r="H91" s="60">
        <v>900</v>
      </c>
      <c r="I91" s="60">
        <v>900</v>
      </c>
      <c r="J91" s="60">
        <v>0</v>
      </c>
      <c r="K91" s="62">
        <v>0.85</v>
      </c>
      <c r="L91" s="62">
        <v>765</v>
      </c>
      <c r="M91" s="62">
        <v>0.03</v>
      </c>
      <c r="N91" s="63">
        <v>742</v>
      </c>
      <c r="O91" s="64"/>
      <c r="P91" s="53"/>
      <c r="Q91" s="51"/>
      <c r="R91" s="51"/>
      <c r="S91" s="53"/>
      <c r="T91" s="53"/>
      <c r="U91" s="53"/>
      <c r="V91" s="53"/>
      <c r="W91" s="53"/>
      <c r="X91" s="53"/>
      <c r="Y91" s="53"/>
      <c r="Z91" s="53"/>
      <c r="AA91" s="53"/>
      <c r="AB91" s="51"/>
      <c r="AC91" s="51"/>
      <c r="AD91" s="51"/>
      <c r="AE91" s="51"/>
      <c r="AF91" s="51"/>
    </row>
    <row r="92" spans="1:32" ht="15.75" hidden="1" thickBot="1" x14ac:dyDescent="0.3">
      <c r="A92" s="225"/>
      <c r="B92" s="113">
        <v>44269</v>
      </c>
      <c r="C92" s="66" t="s">
        <v>59</v>
      </c>
      <c r="D92" s="67" t="s">
        <v>38</v>
      </c>
      <c r="E92" s="67" t="s">
        <v>39</v>
      </c>
      <c r="F92" s="67" t="s">
        <v>40</v>
      </c>
      <c r="G92" s="68">
        <v>3.9</v>
      </c>
      <c r="H92" s="67">
        <v>900</v>
      </c>
      <c r="I92" s="67">
        <v>900</v>
      </c>
      <c r="J92" s="67">
        <v>0</v>
      </c>
      <c r="K92" s="69">
        <v>0.85</v>
      </c>
      <c r="L92" s="69">
        <v>765</v>
      </c>
      <c r="M92" s="69">
        <v>0.03</v>
      </c>
      <c r="N92" s="70">
        <v>742</v>
      </c>
      <c r="O92" s="71"/>
      <c r="P92" s="53"/>
      <c r="Q92" s="51"/>
      <c r="R92" s="51"/>
      <c r="S92" s="53"/>
      <c r="T92" s="53"/>
      <c r="U92" s="53"/>
      <c r="V92" s="53"/>
      <c r="W92" s="53"/>
      <c r="X92" s="53"/>
      <c r="Y92" s="53"/>
      <c r="Z92" s="53"/>
      <c r="AA92" s="53"/>
      <c r="AB92" s="51"/>
      <c r="AC92" s="51"/>
      <c r="AD92" s="51"/>
      <c r="AE92" s="51"/>
      <c r="AF92" s="51"/>
    </row>
    <row r="93" spans="1:32" hidden="1" x14ac:dyDescent="0.25">
      <c r="A93" s="223">
        <v>11</v>
      </c>
      <c r="B93" s="109">
        <v>44270</v>
      </c>
      <c r="C93" s="72" t="s">
        <v>37</v>
      </c>
      <c r="D93" s="72" t="s">
        <v>38</v>
      </c>
      <c r="E93" s="41" t="s">
        <v>39</v>
      </c>
      <c r="F93" s="41" t="s">
        <v>40</v>
      </c>
      <c r="G93" s="43">
        <v>3.9</v>
      </c>
      <c r="H93" s="41">
        <v>900</v>
      </c>
      <c r="I93" s="41">
        <v>900</v>
      </c>
      <c r="J93" s="41">
        <v>0</v>
      </c>
      <c r="K93" s="73">
        <v>0.85</v>
      </c>
      <c r="L93" s="73">
        <v>765</v>
      </c>
      <c r="M93" s="73">
        <v>0.03</v>
      </c>
      <c r="N93" s="74">
        <v>742</v>
      </c>
      <c r="O93" s="46"/>
      <c r="P93" s="53"/>
      <c r="Q93" s="51"/>
      <c r="R93" s="51"/>
      <c r="S93" s="53"/>
      <c r="T93" s="53"/>
      <c r="U93" s="53"/>
      <c r="V93" s="53"/>
      <c r="W93" s="53"/>
      <c r="X93" s="53"/>
      <c r="Y93" s="53"/>
      <c r="Z93" s="53"/>
      <c r="AA93" s="53"/>
      <c r="AB93" s="51"/>
      <c r="AC93" s="51"/>
      <c r="AD93" s="51"/>
      <c r="AE93" s="51"/>
      <c r="AF93" s="51"/>
    </row>
    <row r="94" spans="1:32" hidden="1" x14ac:dyDescent="0.25">
      <c r="A94" s="224"/>
      <c r="B94" s="109">
        <v>44271</v>
      </c>
      <c r="C94" s="52" t="s">
        <v>42</v>
      </c>
      <c r="D94" s="52" t="s">
        <v>38</v>
      </c>
      <c r="E94" s="53" t="s">
        <v>39</v>
      </c>
      <c r="F94" s="53" t="s">
        <v>40</v>
      </c>
      <c r="G94" s="54">
        <v>3.9</v>
      </c>
      <c r="H94" s="53">
        <v>900</v>
      </c>
      <c r="I94" s="53">
        <v>900</v>
      </c>
      <c r="J94" s="53">
        <v>0</v>
      </c>
      <c r="K94" s="55">
        <v>0.85</v>
      </c>
      <c r="L94" s="55">
        <v>765</v>
      </c>
      <c r="M94" s="55">
        <v>0.03</v>
      </c>
      <c r="N94" s="56">
        <v>742</v>
      </c>
      <c r="O94" s="57"/>
      <c r="P94" s="53"/>
      <c r="Q94" s="51"/>
      <c r="R94" s="51"/>
      <c r="S94" s="53"/>
      <c r="T94" s="53"/>
      <c r="U94" s="53"/>
      <c r="V94" s="53"/>
      <c r="W94" s="53"/>
      <c r="X94" s="53"/>
      <c r="Y94" s="53"/>
      <c r="Z94" s="53"/>
      <c r="AA94" s="53"/>
      <c r="AB94" s="51"/>
      <c r="AC94" s="51"/>
      <c r="AD94" s="51"/>
      <c r="AE94" s="51"/>
      <c r="AF94" s="51"/>
    </row>
    <row r="95" spans="1:32" hidden="1" x14ac:dyDescent="0.25">
      <c r="A95" s="224"/>
      <c r="B95" s="109">
        <v>44272</v>
      </c>
      <c r="C95" s="52" t="s">
        <v>46</v>
      </c>
      <c r="D95" s="52" t="s">
        <v>38</v>
      </c>
      <c r="E95" s="53" t="s">
        <v>39</v>
      </c>
      <c r="F95" s="53" t="s">
        <v>40</v>
      </c>
      <c r="G95" s="54">
        <v>3.9</v>
      </c>
      <c r="H95" s="53">
        <v>900</v>
      </c>
      <c r="I95" s="53">
        <v>900</v>
      </c>
      <c r="J95" s="53">
        <v>0</v>
      </c>
      <c r="K95" s="55">
        <v>0.85</v>
      </c>
      <c r="L95" s="55">
        <v>765</v>
      </c>
      <c r="M95" s="55">
        <v>0.03</v>
      </c>
      <c r="N95" s="56">
        <v>742</v>
      </c>
      <c r="O95" s="57"/>
      <c r="P95" s="53"/>
      <c r="Q95" s="51"/>
      <c r="R95" s="51"/>
      <c r="S95" s="53"/>
      <c r="T95" s="53"/>
      <c r="U95" s="53"/>
      <c r="V95" s="53"/>
      <c r="W95" s="53"/>
      <c r="X95" s="53"/>
      <c r="Y95" s="53"/>
      <c r="Z95" s="53"/>
      <c r="AA95" s="53"/>
      <c r="AB95" s="51"/>
      <c r="AC95" s="51"/>
      <c r="AD95" s="51"/>
      <c r="AE95" s="51"/>
      <c r="AF95" s="51"/>
    </row>
    <row r="96" spans="1:32" hidden="1" x14ac:dyDescent="0.25">
      <c r="A96" s="224"/>
      <c r="B96" s="109">
        <v>44273</v>
      </c>
      <c r="C96" s="52" t="s">
        <v>50</v>
      </c>
      <c r="D96" s="52" t="s">
        <v>38</v>
      </c>
      <c r="E96" s="53" t="s">
        <v>39</v>
      </c>
      <c r="F96" s="53" t="s">
        <v>40</v>
      </c>
      <c r="G96" s="54">
        <v>3.9</v>
      </c>
      <c r="H96" s="53">
        <v>900</v>
      </c>
      <c r="I96" s="53">
        <v>900</v>
      </c>
      <c r="J96" s="53">
        <v>0</v>
      </c>
      <c r="K96" s="55">
        <v>0.85</v>
      </c>
      <c r="L96" s="55">
        <v>765</v>
      </c>
      <c r="M96" s="55">
        <v>0.03</v>
      </c>
      <c r="N96" s="56">
        <v>742</v>
      </c>
      <c r="O96" s="57"/>
      <c r="P96" s="53"/>
      <c r="Q96" s="51"/>
      <c r="R96" s="51"/>
      <c r="S96" s="53"/>
      <c r="T96" s="53"/>
      <c r="U96" s="53"/>
      <c r="V96" s="53"/>
      <c r="W96" s="53"/>
      <c r="X96" s="53"/>
      <c r="Y96" s="53"/>
      <c r="Z96" s="53"/>
      <c r="AA96" s="53"/>
      <c r="AB96" s="51"/>
      <c r="AC96" s="51"/>
      <c r="AD96" s="51"/>
      <c r="AE96" s="51"/>
      <c r="AF96" s="51"/>
    </row>
    <row r="97" spans="1:32" hidden="1" x14ac:dyDescent="0.25">
      <c r="A97" s="224"/>
      <c r="B97" s="109">
        <v>44274</v>
      </c>
      <c r="C97" s="52" t="s">
        <v>53</v>
      </c>
      <c r="D97" s="52" t="s">
        <v>38</v>
      </c>
      <c r="E97" s="53" t="s">
        <v>39</v>
      </c>
      <c r="F97" s="53" t="s">
        <v>40</v>
      </c>
      <c r="G97" s="54">
        <v>5.9</v>
      </c>
      <c r="H97" s="53">
        <v>900</v>
      </c>
      <c r="I97" s="53">
        <v>900</v>
      </c>
      <c r="J97" s="53">
        <v>0</v>
      </c>
      <c r="K97" s="55">
        <v>0.85</v>
      </c>
      <c r="L97" s="55">
        <v>765</v>
      </c>
      <c r="M97" s="55">
        <v>0.03</v>
      </c>
      <c r="N97" s="56">
        <v>742</v>
      </c>
      <c r="O97" s="57"/>
      <c r="P97" s="53"/>
      <c r="Q97" s="51"/>
      <c r="R97" s="51"/>
      <c r="S97" s="53"/>
      <c r="T97" s="53"/>
      <c r="U97" s="53"/>
      <c r="V97" s="53"/>
      <c r="W97" s="53"/>
      <c r="X97" s="53"/>
      <c r="Y97" s="53"/>
      <c r="Z97" s="53"/>
      <c r="AA97" s="53"/>
      <c r="AB97" s="51"/>
      <c r="AC97" s="51"/>
      <c r="AD97" s="51"/>
      <c r="AE97" s="51"/>
      <c r="AF97" s="51"/>
    </row>
    <row r="98" spans="1:32" hidden="1" x14ac:dyDescent="0.25">
      <c r="A98" s="224"/>
      <c r="B98" s="111">
        <v>44275</v>
      </c>
      <c r="C98" s="58" t="s">
        <v>57</v>
      </c>
      <c r="D98" s="59" t="s">
        <v>38</v>
      </c>
      <c r="E98" s="60" t="s">
        <v>39</v>
      </c>
      <c r="F98" s="60" t="s">
        <v>40</v>
      </c>
      <c r="G98" s="61">
        <v>5.9</v>
      </c>
      <c r="H98" s="60">
        <v>900</v>
      </c>
      <c r="I98" s="60">
        <v>900</v>
      </c>
      <c r="J98" s="60">
        <v>0</v>
      </c>
      <c r="K98" s="62">
        <v>0.85</v>
      </c>
      <c r="L98" s="62">
        <v>765</v>
      </c>
      <c r="M98" s="62">
        <v>0.03</v>
      </c>
      <c r="N98" s="63">
        <v>742</v>
      </c>
      <c r="O98" s="64" t="s">
        <v>86</v>
      </c>
      <c r="P98" s="53"/>
      <c r="Q98" s="51"/>
      <c r="R98" s="51"/>
      <c r="S98" s="53"/>
      <c r="T98" s="53"/>
      <c r="U98" s="53"/>
      <c r="V98" s="53"/>
      <c r="W98" s="53"/>
      <c r="X98" s="53"/>
      <c r="Y98" s="53"/>
      <c r="Z98" s="53"/>
      <c r="AA98" s="53"/>
      <c r="AB98" s="51"/>
      <c r="AC98" s="51"/>
      <c r="AD98" s="51"/>
      <c r="AE98" s="51"/>
      <c r="AF98" s="51"/>
    </row>
    <row r="99" spans="1:32" ht="15.75" hidden="1" thickBot="1" x14ac:dyDescent="0.3">
      <c r="A99" s="225"/>
      <c r="B99" s="113">
        <v>44276</v>
      </c>
      <c r="C99" s="66" t="s">
        <v>59</v>
      </c>
      <c r="D99" s="67" t="s">
        <v>38</v>
      </c>
      <c r="E99" s="67" t="s">
        <v>39</v>
      </c>
      <c r="F99" s="67" t="s">
        <v>40</v>
      </c>
      <c r="G99" s="68">
        <v>5.9</v>
      </c>
      <c r="H99" s="67">
        <v>900</v>
      </c>
      <c r="I99" s="67">
        <v>900</v>
      </c>
      <c r="J99" s="67">
        <v>0</v>
      </c>
      <c r="K99" s="69">
        <v>0.85</v>
      </c>
      <c r="L99" s="69">
        <v>765</v>
      </c>
      <c r="M99" s="69">
        <v>0.03</v>
      </c>
      <c r="N99" s="70">
        <v>742</v>
      </c>
      <c r="O99" s="71"/>
      <c r="P99" s="53"/>
      <c r="Q99" s="51"/>
      <c r="R99" s="51"/>
      <c r="S99" s="53"/>
      <c r="T99" s="53"/>
      <c r="U99" s="53"/>
      <c r="V99" s="53"/>
      <c r="W99" s="53"/>
      <c r="X99" s="53"/>
      <c r="Y99" s="53"/>
      <c r="Z99" s="53"/>
      <c r="AA99" s="53"/>
      <c r="AB99" s="51"/>
      <c r="AC99" s="51"/>
      <c r="AD99" s="51"/>
      <c r="AE99" s="51"/>
      <c r="AF99" s="51"/>
    </row>
    <row r="100" spans="1:32" hidden="1" x14ac:dyDescent="0.25">
      <c r="A100" s="223">
        <v>12</v>
      </c>
      <c r="B100" s="109">
        <v>44277</v>
      </c>
      <c r="C100" s="72" t="s">
        <v>37</v>
      </c>
      <c r="D100" s="72" t="s">
        <v>38</v>
      </c>
      <c r="E100" s="41" t="s">
        <v>39</v>
      </c>
      <c r="F100" s="41" t="s">
        <v>40</v>
      </c>
      <c r="G100" s="43">
        <v>3.9</v>
      </c>
      <c r="H100" s="41">
        <v>900</v>
      </c>
      <c r="I100" s="41">
        <v>900</v>
      </c>
      <c r="J100" s="41">
        <v>0</v>
      </c>
      <c r="K100" s="73">
        <v>0.85</v>
      </c>
      <c r="L100" s="73">
        <v>765</v>
      </c>
      <c r="M100" s="73">
        <v>0.03</v>
      </c>
      <c r="N100" s="74">
        <v>742</v>
      </c>
      <c r="O100" s="46"/>
      <c r="P100" s="53"/>
      <c r="Q100" s="51"/>
      <c r="R100" s="51"/>
      <c r="S100" s="53"/>
      <c r="T100" s="53"/>
      <c r="U100" s="53"/>
      <c r="V100" s="53"/>
      <c r="W100" s="53"/>
      <c r="X100" s="53"/>
      <c r="Y100" s="53"/>
      <c r="Z100" s="53"/>
      <c r="AA100" s="53"/>
      <c r="AB100" s="51"/>
      <c r="AC100" s="51"/>
      <c r="AD100" s="51"/>
      <c r="AE100" s="51"/>
      <c r="AF100" s="51"/>
    </row>
    <row r="101" spans="1:32" hidden="1" x14ac:dyDescent="0.25">
      <c r="A101" s="224"/>
      <c r="B101" s="109">
        <v>44278</v>
      </c>
      <c r="C101" s="52" t="s">
        <v>42</v>
      </c>
      <c r="D101" s="52" t="s">
        <v>38</v>
      </c>
      <c r="E101" s="53" t="s">
        <v>39</v>
      </c>
      <c r="F101" s="53" t="s">
        <v>40</v>
      </c>
      <c r="G101" s="54">
        <v>3.9</v>
      </c>
      <c r="H101" s="53">
        <v>900</v>
      </c>
      <c r="I101" s="53">
        <v>900</v>
      </c>
      <c r="J101" s="53">
        <v>0</v>
      </c>
      <c r="K101" s="55">
        <v>0.85</v>
      </c>
      <c r="L101" s="55">
        <v>765</v>
      </c>
      <c r="M101" s="55">
        <v>0.03</v>
      </c>
      <c r="N101" s="56">
        <v>742</v>
      </c>
      <c r="O101" s="57"/>
      <c r="P101" s="53"/>
      <c r="Q101" s="51"/>
      <c r="R101" s="51"/>
      <c r="S101" s="53"/>
      <c r="T101" s="53"/>
      <c r="U101" s="53"/>
      <c r="V101" s="53"/>
      <c r="W101" s="53"/>
      <c r="X101" s="53"/>
      <c r="Y101" s="53"/>
      <c r="Z101" s="53"/>
      <c r="AA101" s="53"/>
      <c r="AB101" s="51"/>
      <c r="AC101" s="51"/>
      <c r="AD101" s="51"/>
      <c r="AE101" s="51"/>
      <c r="AF101" s="51"/>
    </row>
    <row r="102" spans="1:32" hidden="1" x14ac:dyDescent="0.25">
      <c r="A102" s="224"/>
      <c r="B102" s="109">
        <v>44279</v>
      </c>
      <c r="C102" s="52" t="s">
        <v>46</v>
      </c>
      <c r="D102" s="52" t="s">
        <v>38</v>
      </c>
      <c r="E102" s="53" t="s">
        <v>39</v>
      </c>
      <c r="F102" s="53" t="s">
        <v>40</v>
      </c>
      <c r="G102" s="54">
        <v>3.9</v>
      </c>
      <c r="H102" s="53">
        <v>900</v>
      </c>
      <c r="I102" s="53">
        <v>900</v>
      </c>
      <c r="J102" s="53">
        <v>0</v>
      </c>
      <c r="K102" s="55">
        <v>0.85</v>
      </c>
      <c r="L102" s="55">
        <v>765</v>
      </c>
      <c r="M102" s="55">
        <v>0.03</v>
      </c>
      <c r="N102" s="56">
        <v>742</v>
      </c>
      <c r="O102" s="57"/>
      <c r="P102" s="53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 spans="1:32" hidden="1" x14ac:dyDescent="0.25">
      <c r="A103" s="224"/>
      <c r="B103" s="109">
        <v>44280</v>
      </c>
      <c r="C103" s="52" t="s">
        <v>50</v>
      </c>
      <c r="D103" s="52" t="s">
        <v>38</v>
      </c>
      <c r="E103" s="53" t="s">
        <v>39</v>
      </c>
      <c r="F103" s="53" t="s">
        <v>40</v>
      </c>
      <c r="G103" s="54">
        <v>4.9000000000000004</v>
      </c>
      <c r="H103" s="53">
        <v>900</v>
      </c>
      <c r="I103" s="53">
        <v>900</v>
      </c>
      <c r="J103" s="53">
        <v>0</v>
      </c>
      <c r="K103" s="55">
        <v>0.85</v>
      </c>
      <c r="L103" s="55">
        <v>765</v>
      </c>
      <c r="M103" s="55">
        <v>0.03</v>
      </c>
      <c r="N103" s="56">
        <v>742</v>
      </c>
      <c r="O103" s="57" t="s">
        <v>87</v>
      </c>
      <c r="P103" s="53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spans="1:32" hidden="1" x14ac:dyDescent="0.25">
      <c r="A104" s="224"/>
      <c r="B104" s="109">
        <v>44281</v>
      </c>
      <c r="C104" s="52" t="s">
        <v>53</v>
      </c>
      <c r="D104" s="52" t="s">
        <v>38</v>
      </c>
      <c r="E104" s="53" t="s">
        <v>39</v>
      </c>
      <c r="F104" s="53" t="s">
        <v>40</v>
      </c>
      <c r="G104" s="54">
        <v>8</v>
      </c>
      <c r="H104" s="53">
        <v>900</v>
      </c>
      <c r="I104" s="53">
        <v>900</v>
      </c>
      <c r="J104" s="53">
        <v>0</v>
      </c>
      <c r="K104" s="55">
        <v>0.85</v>
      </c>
      <c r="L104" s="55">
        <v>765</v>
      </c>
      <c r="M104" s="55">
        <v>0.03</v>
      </c>
      <c r="N104" s="56">
        <v>742</v>
      </c>
      <c r="O104" s="57"/>
      <c r="P104" s="53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spans="1:32" hidden="1" x14ac:dyDescent="0.25">
      <c r="A105" s="224"/>
      <c r="B105" s="111">
        <v>44282</v>
      </c>
      <c r="C105" s="58" t="s">
        <v>57</v>
      </c>
      <c r="D105" s="59" t="s">
        <v>38</v>
      </c>
      <c r="E105" s="60" t="s">
        <v>39</v>
      </c>
      <c r="F105" s="60" t="s">
        <v>40</v>
      </c>
      <c r="G105" s="61">
        <v>8</v>
      </c>
      <c r="H105" s="60">
        <v>900</v>
      </c>
      <c r="I105" s="60">
        <v>900</v>
      </c>
      <c r="J105" s="60">
        <v>0</v>
      </c>
      <c r="K105" s="62">
        <v>0.85</v>
      </c>
      <c r="L105" s="62">
        <v>765</v>
      </c>
      <c r="M105" s="62">
        <v>0.03</v>
      </c>
      <c r="N105" s="63">
        <v>742</v>
      </c>
      <c r="O105" s="64" t="s">
        <v>88</v>
      </c>
      <c r="P105" s="53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</row>
    <row r="106" spans="1:32" ht="15.75" hidden="1" thickBot="1" x14ac:dyDescent="0.3">
      <c r="A106" s="225"/>
      <c r="B106" s="113">
        <v>44283</v>
      </c>
      <c r="C106" s="66" t="s">
        <v>59</v>
      </c>
      <c r="D106" s="67" t="s">
        <v>38</v>
      </c>
      <c r="E106" s="67" t="s">
        <v>39</v>
      </c>
      <c r="F106" s="67" t="s">
        <v>40</v>
      </c>
      <c r="G106" s="68">
        <v>8</v>
      </c>
      <c r="H106" s="67">
        <v>900</v>
      </c>
      <c r="I106" s="67">
        <v>900</v>
      </c>
      <c r="J106" s="67">
        <v>0</v>
      </c>
      <c r="K106" s="69">
        <v>0.85</v>
      </c>
      <c r="L106" s="69">
        <v>765</v>
      </c>
      <c r="M106" s="69">
        <v>0.03</v>
      </c>
      <c r="N106" s="70">
        <v>742</v>
      </c>
      <c r="O106" s="71"/>
      <c r="P106" s="53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 spans="1:32" hidden="1" x14ac:dyDescent="0.25">
      <c r="A107" s="223">
        <v>13</v>
      </c>
      <c r="B107" s="109">
        <v>44284</v>
      </c>
      <c r="C107" s="72" t="s">
        <v>37</v>
      </c>
      <c r="D107" s="72" t="s">
        <v>38</v>
      </c>
      <c r="E107" s="41" t="s">
        <v>39</v>
      </c>
      <c r="F107" s="41" t="s">
        <v>40</v>
      </c>
      <c r="G107" s="43">
        <v>12</v>
      </c>
      <c r="H107" s="41">
        <v>900</v>
      </c>
      <c r="I107" s="41">
        <v>870</v>
      </c>
      <c r="J107" s="41">
        <v>0</v>
      </c>
      <c r="K107" s="73">
        <v>0.85</v>
      </c>
      <c r="L107" s="73">
        <v>765</v>
      </c>
      <c r="M107" s="73">
        <v>0.03</v>
      </c>
      <c r="N107" s="74">
        <v>742</v>
      </c>
      <c r="O107" s="46"/>
      <c r="P107" s="53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 spans="1:32" hidden="1" x14ac:dyDescent="0.25">
      <c r="A108" s="224"/>
      <c r="B108" s="109">
        <v>44285</v>
      </c>
      <c r="C108" s="52" t="s">
        <v>42</v>
      </c>
      <c r="D108" s="52" t="s">
        <v>38</v>
      </c>
      <c r="E108" s="53" t="s">
        <v>39</v>
      </c>
      <c r="F108" s="41" t="s">
        <v>40</v>
      </c>
      <c r="G108" s="54">
        <v>12</v>
      </c>
      <c r="H108" s="53">
        <v>900</v>
      </c>
      <c r="I108" s="53">
        <v>870</v>
      </c>
      <c r="J108" s="53">
        <v>0</v>
      </c>
      <c r="K108" s="55">
        <v>0.85</v>
      </c>
      <c r="L108" s="55">
        <v>765</v>
      </c>
      <c r="M108" s="55">
        <v>0.03</v>
      </c>
      <c r="N108" s="56">
        <v>742</v>
      </c>
      <c r="O108" s="57"/>
      <c r="P108" s="53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 spans="1:32" hidden="1" x14ac:dyDescent="0.25">
      <c r="A109" s="224"/>
      <c r="B109" s="109">
        <v>44286</v>
      </c>
      <c r="C109" s="52" t="s">
        <v>46</v>
      </c>
      <c r="D109" s="52" t="s">
        <v>38</v>
      </c>
      <c r="E109" s="53" t="s">
        <v>39</v>
      </c>
      <c r="F109" s="41" t="s">
        <v>40</v>
      </c>
      <c r="G109" s="54">
        <v>10</v>
      </c>
      <c r="H109" s="53">
        <v>900</v>
      </c>
      <c r="I109" s="53">
        <v>900</v>
      </c>
      <c r="J109" s="53">
        <v>0</v>
      </c>
      <c r="K109" s="55">
        <v>0.85</v>
      </c>
      <c r="L109" s="55">
        <v>765</v>
      </c>
      <c r="M109" s="55">
        <v>0.03</v>
      </c>
      <c r="N109" s="56">
        <v>742</v>
      </c>
      <c r="O109" s="57"/>
      <c r="P109" s="53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</row>
    <row r="110" spans="1:32" hidden="1" x14ac:dyDescent="0.25">
      <c r="A110" s="224"/>
      <c r="B110" s="109">
        <v>44287</v>
      </c>
      <c r="C110" s="52" t="s">
        <v>50</v>
      </c>
      <c r="D110" s="52" t="s">
        <v>38</v>
      </c>
      <c r="E110" s="53" t="s">
        <v>39</v>
      </c>
      <c r="F110" s="41" t="s">
        <v>40</v>
      </c>
      <c r="G110" s="54">
        <v>10</v>
      </c>
      <c r="H110" s="53">
        <v>900</v>
      </c>
      <c r="I110" s="53">
        <v>900</v>
      </c>
      <c r="J110" s="53">
        <v>0</v>
      </c>
      <c r="K110" s="55">
        <v>0.85</v>
      </c>
      <c r="L110" s="55">
        <v>765</v>
      </c>
      <c r="M110" s="55">
        <v>0.03</v>
      </c>
      <c r="N110" s="56">
        <v>742</v>
      </c>
      <c r="O110" s="57"/>
      <c r="P110" s="53"/>
      <c r="Q110" s="53"/>
      <c r="R110" s="53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 spans="1:32" hidden="1" x14ac:dyDescent="0.25">
      <c r="A111" s="224"/>
      <c r="B111" s="109">
        <v>44288</v>
      </c>
      <c r="C111" s="52" t="s">
        <v>53</v>
      </c>
      <c r="D111" s="52" t="s">
        <v>38</v>
      </c>
      <c r="E111" s="53" t="s">
        <v>39</v>
      </c>
      <c r="F111" s="53" t="s">
        <v>40</v>
      </c>
      <c r="G111" s="54">
        <v>5.9</v>
      </c>
      <c r="H111" s="53">
        <v>900</v>
      </c>
      <c r="I111" s="53">
        <v>900</v>
      </c>
      <c r="J111" s="53">
        <v>0</v>
      </c>
      <c r="K111" s="55">
        <v>0.85</v>
      </c>
      <c r="L111" s="55">
        <v>765</v>
      </c>
      <c r="M111" s="55">
        <v>0.03</v>
      </c>
      <c r="N111" s="56">
        <v>742</v>
      </c>
      <c r="O111" s="57" t="s">
        <v>89</v>
      </c>
      <c r="P111" s="53"/>
      <c r="Q111" s="53"/>
      <c r="R111" s="53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 spans="1:32" hidden="1" x14ac:dyDescent="0.25">
      <c r="A112" s="224"/>
      <c r="B112" s="111">
        <v>44289</v>
      </c>
      <c r="C112" s="58" t="s">
        <v>57</v>
      </c>
      <c r="D112" s="59" t="s">
        <v>38</v>
      </c>
      <c r="E112" s="60" t="s">
        <v>39</v>
      </c>
      <c r="F112" s="60" t="s">
        <v>40</v>
      </c>
      <c r="G112" s="61">
        <v>3.9</v>
      </c>
      <c r="H112" s="60">
        <v>900</v>
      </c>
      <c r="I112" s="60">
        <v>900</v>
      </c>
      <c r="J112" s="60">
        <v>0</v>
      </c>
      <c r="K112" s="62">
        <v>0.85</v>
      </c>
      <c r="L112" s="62">
        <v>765</v>
      </c>
      <c r="M112" s="62">
        <v>0.03</v>
      </c>
      <c r="N112" s="63">
        <v>742</v>
      </c>
      <c r="O112" s="89" t="s">
        <v>90</v>
      </c>
      <c r="P112" s="53"/>
      <c r="Q112" s="53"/>
      <c r="R112" s="53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 spans="1:32" ht="15.75" hidden="1" thickBot="1" x14ac:dyDescent="0.3">
      <c r="A113" s="225"/>
      <c r="B113" s="113">
        <v>44290</v>
      </c>
      <c r="C113" s="66" t="s">
        <v>59</v>
      </c>
      <c r="D113" s="67" t="s">
        <v>38</v>
      </c>
      <c r="E113" s="67" t="s">
        <v>39</v>
      </c>
      <c r="F113" s="67" t="s">
        <v>40</v>
      </c>
      <c r="G113" s="68">
        <v>3.9</v>
      </c>
      <c r="H113" s="67">
        <v>900</v>
      </c>
      <c r="I113" s="67">
        <v>900</v>
      </c>
      <c r="J113" s="67">
        <v>0</v>
      </c>
      <c r="K113" s="69">
        <v>0.85</v>
      </c>
      <c r="L113" s="69">
        <v>765</v>
      </c>
      <c r="M113" s="69">
        <v>0.03</v>
      </c>
      <c r="N113" s="70">
        <v>742</v>
      </c>
      <c r="O113" s="71"/>
      <c r="P113" s="53"/>
      <c r="Q113" s="53"/>
      <c r="R113" s="53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 spans="1:32" hidden="1" x14ac:dyDescent="0.25">
      <c r="A114" s="223">
        <v>14</v>
      </c>
      <c r="B114" s="109">
        <v>44291</v>
      </c>
      <c r="C114" s="72" t="s">
        <v>37</v>
      </c>
      <c r="D114" s="72" t="s">
        <v>38</v>
      </c>
      <c r="E114" s="41" t="s">
        <v>39</v>
      </c>
      <c r="F114" s="41" t="s">
        <v>40</v>
      </c>
      <c r="G114" s="54">
        <v>3.9</v>
      </c>
      <c r="H114" s="41">
        <v>900</v>
      </c>
      <c r="I114" s="41">
        <v>900</v>
      </c>
      <c r="J114" s="53">
        <v>0</v>
      </c>
      <c r="K114" s="73">
        <v>0.85</v>
      </c>
      <c r="L114" s="73">
        <v>765</v>
      </c>
      <c r="M114" s="73">
        <v>0.03</v>
      </c>
      <c r="N114" s="74">
        <v>742</v>
      </c>
      <c r="O114" s="46"/>
      <c r="P114" s="53"/>
      <c r="Q114" s="53"/>
      <c r="R114" s="53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 spans="1:32" hidden="1" x14ac:dyDescent="0.25">
      <c r="A115" s="224"/>
      <c r="B115" s="109">
        <v>44292</v>
      </c>
      <c r="C115" s="52" t="s">
        <v>42</v>
      </c>
      <c r="D115" s="52" t="s">
        <v>38</v>
      </c>
      <c r="E115" s="53" t="s">
        <v>39</v>
      </c>
      <c r="F115" s="53" t="s">
        <v>40</v>
      </c>
      <c r="G115" s="54">
        <v>3.9</v>
      </c>
      <c r="H115" s="53">
        <v>900</v>
      </c>
      <c r="I115" s="53">
        <v>900</v>
      </c>
      <c r="J115" s="53">
        <v>0</v>
      </c>
      <c r="K115" s="55">
        <v>0.85</v>
      </c>
      <c r="L115" s="55">
        <v>765</v>
      </c>
      <c r="M115" s="55">
        <v>0.03</v>
      </c>
      <c r="N115" s="56">
        <v>742</v>
      </c>
      <c r="O115" s="57"/>
      <c r="P115" s="53"/>
      <c r="Q115" s="53"/>
      <c r="R115" s="53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spans="1:32" hidden="1" x14ac:dyDescent="0.25">
      <c r="A116" s="224"/>
      <c r="B116" s="109">
        <v>44293</v>
      </c>
      <c r="C116" s="52" t="s">
        <v>46</v>
      </c>
      <c r="D116" s="52" t="s">
        <v>38</v>
      </c>
      <c r="E116" s="53" t="s">
        <v>39</v>
      </c>
      <c r="F116" s="53" t="s">
        <v>40</v>
      </c>
      <c r="G116" s="54">
        <v>3.9</v>
      </c>
      <c r="H116" s="53">
        <v>900</v>
      </c>
      <c r="I116" s="53">
        <v>900</v>
      </c>
      <c r="J116" s="53">
        <v>0</v>
      </c>
      <c r="K116" s="55">
        <v>0.85</v>
      </c>
      <c r="L116" s="55">
        <v>765</v>
      </c>
      <c r="M116" s="55">
        <v>0.03</v>
      </c>
      <c r="N116" s="56">
        <v>742</v>
      </c>
      <c r="O116" s="57"/>
      <c r="P116" s="53"/>
      <c r="Q116" s="53"/>
      <c r="R116" s="53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</row>
    <row r="117" spans="1:32" hidden="1" x14ac:dyDescent="0.25">
      <c r="A117" s="224"/>
      <c r="B117" s="109">
        <v>44294</v>
      </c>
      <c r="C117" s="52" t="s">
        <v>50</v>
      </c>
      <c r="D117" s="52" t="s">
        <v>38</v>
      </c>
      <c r="E117" s="53" t="s">
        <v>39</v>
      </c>
      <c r="F117" s="53" t="s">
        <v>40</v>
      </c>
      <c r="G117" s="54">
        <v>5.9</v>
      </c>
      <c r="H117" s="53">
        <v>900</v>
      </c>
      <c r="I117" s="53">
        <v>900</v>
      </c>
      <c r="J117" s="53">
        <v>0</v>
      </c>
      <c r="K117" s="55">
        <v>0.85</v>
      </c>
      <c r="L117" s="55">
        <v>765</v>
      </c>
      <c r="M117" s="55">
        <v>0.03</v>
      </c>
      <c r="N117" s="56">
        <v>742</v>
      </c>
      <c r="O117" s="57"/>
      <c r="P117" s="53"/>
      <c r="Q117" s="53"/>
      <c r="R117" s="53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 spans="1:32" hidden="1" x14ac:dyDescent="0.25">
      <c r="A118" s="224"/>
      <c r="B118" s="109">
        <v>44295</v>
      </c>
      <c r="C118" s="52" t="s">
        <v>53</v>
      </c>
      <c r="D118" s="52" t="s">
        <v>38</v>
      </c>
      <c r="E118" s="53" t="s">
        <v>39</v>
      </c>
      <c r="F118" s="53" t="s">
        <v>40</v>
      </c>
      <c r="G118" s="54">
        <v>5.9</v>
      </c>
      <c r="H118" s="53">
        <v>900</v>
      </c>
      <c r="I118" s="53">
        <v>900</v>
      </c>
      <c r="J118" s="53">
        <v>0</v>
      </c>
      <c r="K118" s="55">
        <v>0.85</v>
      </c>
      <c r="L118" s="55">
        <v>765</v>
      </c>
      <c r="M118" s="55">
        <v>0.03</v>
      </c>
      <c r="N118" s="56">
        <v>742</v>
      </c>
      <c r="O118" s="57"/>
      <c r="P118" s="53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 spans="1:32" hidden="1" x14ac:dyDescent="0.25">
      <c r="A119" s="224"/>
      <c r="B119" s="111">
        <v>44296</v>
      </c>
      <c r="C119" s="58" t="s">
        <v>57</v>
      </c>
      <c r="D119" s="59" t="s">
        <v>38</v>
      </c>
      <c r="E119" s="60" t="s">
        <v>39</v>
      </c>
      <c r="F119" s="60" t="s">
        <v>40</v>
      </c>
      <c r="G119" s="61">
        <v>3.9</v>
      </c>
      <c r="H119" s="60">
        <v>900</v>
      </c>
      <c r="I119" s="60">
        <v>900</v>
      </c>
      <c r="J119" s="60">
        <v>0</v>
      </c>
      <c r="K119" s="62">
        <v>0.85</v>
      </c>
      <c r="L119" s="62">
        <v>765</v>
      </c>
      <c r="M119" s="62">
        <v>0.03</v>
      </c>
      <c r="N119" s="63">
        <v>742</v>
      </c>
      <c r="O119" s="64"/>
      <c r="P119" s="53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 spans="1:32" ht="15.75" hidden="1" thickBot="1" x14ac:dyDescent="0.3">
      <c r="A120" s="225"/>
      <c r="B120" s="113">
        <v>44297</v>
      </c>
      <c r="C120" s="66" t="s">
        <v>59</v>
      </c>
      <c r="D120" s="67" t="s">
        <v>38</v>
      </c>
      <c r="E120" s="67" t="s">
        <v>39</v>
      </c>
      <c r="F120" s="67" t="s">
        <v>40</v>
      </c>
      <c r="G120" s="68">
        <v>3.9</v>
      </c>
      <c r="H120" s="67">
        <v>900</v>
      </c>
      <c r="I120" s="67">
        <v>900</v>
      </c>
      <c r="J120" s="67">
        <v>0</v>
      </c>
      <c r="K120" s="69">
        <v>0.85</v>
      </c>
      <c r="L120" s="69">
        <v>765</v>
      </c>
      <c r="M120" s="69">
        <v>0.03</v>
      </c>
      <c r="N120" s="70">
        <v>742</v>
      </c>
      <c r="O120" s="71"/>
      <c r="P120" s="53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 spans="1:32" hidden="1" x14ac:dyDescent="0.25">
      <c r="A121" s="223">
        <v>15</v>
      </c>
      <c r="B121" s="109">
        <v>44298</v>
      </c>
      <c r="C121" s="72" t="s">
        <v>37</v>
      </c>
      <c r="D121" s="72" t="s">
        <v>38</v>
      </c>
      <c r="E121" s="41" t="s">
        <v>39</v>
      </c>
      <c r="F121" s="41" t="s">
        <v>40</v>
      </c>
      <c r="G121" s="43">
        <v>3.9</v>
      </c>
      <c r="H121" s="41">
        <v>900</v>
      </c>
      <c r="I121" s="41">
        <v>900</v>
      </c>
      <c r="J121" s="41">
        <v>0</v>
      </c>
      <c r="K121" s="73">
        <v>0.85</v>
      </c>
      <c r="L121" s="73">
        <v>765</v>
      </c>
      <c r="M121" s="73">
        <v>0.03</v>
      </c>
      <c r="N121" s="74">
        <v>742</v>
      </c>
      <c r="O121" s="46" t="s">
        <v>91</v>
      </c>
      <c r="P121" s="53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spans="1:32" hidden="1" x14ac:dyDescent="0.25">
      <c r="A122" s="224"/>
      <c r="B122" s="109">
        <v>44299</v>
      </c>
      <c r="C122" s="52" t="s">
        <v>42</v>
      </c>
      <c r="D122" s="52" t="s">
        <v>38</v>
      </c>
      <c r="E122" s="53" t="s">
        <v>39</v>
      </c>
      <c r="F122" s="53" t="s">
        <v>40</v>
      </c>
      <c r="G122" s="54">
        <v>3.9</v>
      </c>
      <c r="H122" s="53">
        <v>900</v>
      </c>
      <c r="I122" s="53">
        <v>900</v>
      </c>
      <c r="J122" s="53">
        <v>0</v>
      </c>
      <c r="K122" s="55">
        <v>0.85</v>
      </c>
      <c r="L122" s="55">
        <v>765</v>
      </c>
      <c r="M122" s="55">
        <v>0.03</v>
      </c>
      <c r="N122" s="56">
        <v>742</v>
      </c>
      <c r="O122" s="57"/>
      <c r="P122" s="53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spans="1:32" hidden="1" x14ac:dyDescent="0.25">
      <c r="A123" s="224"/>
      <c r="B123" s="109">
        <v>44300</v>
      </c>
      <c r="C123" s="52" t="s">
        <v>46</v>
      </c>
      <c r="D123" s="52" t="s">
        <v>38</v>
      </c>
      <c r="E123" s="53" t="s">
        <v>39</v>
      </c>
      <c r="F123" s="53" t="s">
        <v>40</v>
      </c>
      <c r="G123" s="54">
        <v>3.9</v>
      </c>
      <c r="H123" s="53">
        <v>900</v>
      </c>
      <c r="I123" s="53">
        <v>900</v>
      </c>
      <c r="J123" s="53">
        <v>0</v>
      </c>
      <c r="K123" s="55">
        <v>0.85</v>
      </c>
      <c r="L123" s="55">
        <v>765</v>
      </c>
      <c r="M123" s="55">
        <v>0.03</v>
      </c>
      <c r="N123" s="56">
        <v>742</v>
      </c>
      <c r="O123" s="57"/>
      <c r="P123" s="53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 spans="1:32" hidden="1" x14ac:dyDescent="0.25">
      <c r="A124" s="224"/>
      <c r="B124" s="109">
        <v>44301</v>
      </c>
      <c r="C124" s="52" t="s">
        <v>50</v>
      </c>
      <c r="D124" s="52" t="s">
        <v>38</v>
      </c>
      <c r="E124" s="53" t="s">
        <v>39</v>
      </c>
      <c r="F124" s="53" t="s">
        <v>40</v>
      </c>
      <c r="G124" s="54">
        <v>4.9000000000000004</v>
      </c>
      <c r="H124" s="53">
        <v>900</v>
      </c>
      <c r="I124" s="53">
        <v>900</v>
      </c>
      <c r="J124" s="53">
        <v>0</v>
      </c>
      <c r="K124" s="55">
        <v>0.85</v>
      </c>
      <c r="L124" s="55">
        <v>765</v>
      </c>
      <c r="M124" s="55">
        <v>0.03</v>
      </c>
      <c r="N124" s="56">
        <v>742</v>
      </c>
      <c r="O124" s="57"/>
      <c r="P124" s="53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 spans="1:32" hidden="1" x14ac:dyDescent="0.25">
      <c r="A125" s="224"/>
      <c r="B125" s="109">
        <v>44302</v>
      </c>
      <c r="C125" s="90" t="s">
        <v>53</v>
      </c>
      <c r="D125" s="52" t="s">
        <v>38</v>
      </c>
      <c r="E125" s="53" t="s">
        <v>39</v>
      </c>
      <c r="F125" s="53" t="s">
        <v>40</v>
      </c>
      <c r="G125" s="54">
        <v>5.9</v>
      </c>
      <c r="H125" s="53">
        <v>900</v>
      </c>
      <c r="I125" s="53">
        <v>900</v>
      </c>
      <c r="J125" s="53">
        <v>0</v>
      </c>
      <c r="K125" s="55">
        <v>0.85</v>
      </c>
      <c r="L125" s="55">
        <v>765</v>
      </c>
      <c r="M125" s="55">
        <v>0.03</v>
      </c>
      <c r="N125" s="56">
        <v>742</v>
      </c>
      <c r="O125" s="88"/>
      <c r="P125" s="53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</row>
    <row r="126" spans="1:32" hidden="1" x14ac:dyDescent="0.25">
      <c r="A126" s="224"/>
      <c r="B126" s="111">
        <v>44303</v>
      </c>
      <c r="C126" s="58" t="s">
        <v>57</v>
      </c>
      <c r="D126" s="59" t="s">
        <v>38</v>
      </c>
      <c r="E126" s="60" t="s">
        <v>39</v>
      </c>
      <c r="F126" s="60" t="s">
        <v>40</v>
      </c>
      <c r="G126" s="61">
        <v>5.9</v>
      </c>
      <c r="H126" s="60">
        <v>900</v>
      </c>
      <c r="I126" s="60">
        <v>900</v>
      </c>
      <c r="J126" s="60">
        <v>0</v>
      </c>
      <c r="K126" s="62">
        <v>0.85</v>
      </c>
      <c r="L126" s="62">
        <v>765</v>
      </c>
      <c r="M126" s="62">
        <v>0.03</v>
      </c>
      <c r="N126" s="63">
        <v>742</v>
      </c>
      <c r="O126" s="64"/>
      <c r="P126" s="53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</row>
    <row r="127" spans="1:32" ht="15.75" hidden="1" thickBot="1" x14ac:dyDescent="0.3">
      <c r="A127" s="225"/>
      <c r="B127" s="113">
        <v>44304</v>
      </c>
      <c r="C127" s="66" t="s">
        <v>59</v>
      </c>
      <c r="D127" s="67" t="s">
        <v>38</v>
      </c>
      <c r="E127" s="67" t="s">
        <v>39</v>
      </c>
      <c r="F127" s="67" t="s">
        <v>40</v>
      </c>
      <c r="G127" s="68">
        <v>5.9</v>
      </c>
      <c r="H127" s="67">
        <v>900</v>
      </c>
      <c r="I127" s="67">
        <v>900</v>
      </c>
      <c r="J127" s="67">
        <v>0</v>
      </c>
      <c r="K127" s="69">
        <v>0.85</v>
      </c>
      <c r="L127" s="69">
        <v>765</v>
      </c>
      <c r="M127" s="69">
        <v>0.03</v>
      </c>
      <c r="N127" s="70">
        <v>742</v>
      </c>
      <c r="O127" s="71"/>
      <c r="P127" s="53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</row>
    <row r="128" spans="1:32" hidden="1" x14ac:dyDescent="0.25">
      <c r="A128" s="223">
        <v>16</v>
      </c>
      <c r="B128" s="109">
        <v>44305</v>
      </c>
      <c r="C128" s="90" t="s">
        <v>37</v>
      </c>
      <c r="D128" s="72" t="s">
        <v>38</v>
      </c>
      <c r="E128" s="41" t="s">
        <v>39</v>
      </c>
      <c r="F128" s="41" t="s">
        <v>40</v>
      </c>
      <c r="G128" s="125">
        <v>10</v>
      </c>
      <c r="H128" s="41">
        <v>900</v>
      </c>
      <c r="I128" s="41">
        <v>900</v>
      </c>
      <c r="J128" s="41">
        <v>0</v>
      </c>
      <c r="K128" s="73">
        <v>0.85</v>
      </c>
      <c r="L128" s="73">
        <v>765</v>
      </c>
      <c r="M128" s="73">
        <v>0.03</v>
      </c>
      <c r="N128" s="74">
        <v>742</v>
      </c>
      <c r="O128" s="87"/>
      <c r="P128" s="53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</row>
    <row r="129" spans="1:32" hidden="1" x14ac:dyDescent="0.25">
      <c r="A129" s="224"/>
      <c r="B129" s="109">
        <v>44306</v>
      </c>
      <c r="C129" s="52" t="s">
        <v>42</v>
      </c>
      <c r="D129" s="52" t="s">
        <v>38</v>
      </c>
      <c r="E129" s="53" t="s">
        <v>39</v>
      </c>
      <c r="F129" s="53" t="s">
        <v>40</v>
      </c>
      <c r="G129" s="125">
        <v>8</v>
      </c>
      <c r="H129" s="53">
        <v>900</v>
      </c>
      <c r="I129" s="53">
        <v>900</v>
      </c>
      <c r="J129" s="53">
        <v>0</v>
      </c>
      <c r="K129" s="55">
        <v>0.85</v>
      </c>
      <c r="L129" s="55">
        <v>765</v>
      </c>
      <c r="M129" s="55">
        <v>0.03</v>
      </c>
      <c r="N129" s="56">
        <v>742</v>
      </c>
      <c r="O129" s="57"/>
      <c r="P129" s="53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</row>
    <row r="130" spans="1:32" hidden="1" x14ac:dyDescent="0.25">
      <c r="A130" s="224"/>
      <c r="B130" s="109">
        <v>44307</v>
      </c>
      <c r="C130" s="52" t="s">
        <v>46</v>
      </c>
      <c r="D130" s="52" t="s">
        <v>38</v>
      </c>
      <c r="E130" s="53" t="s">
        <v>39</v>
      </c>
      <c r="F130" s="53" t="s">
        <v>40</v>
      </c>
      <c r="G130" s="110">
        <v>8</v>
      </c>
      <c r="H130" s="53">
        <v>900</v>
      </c>
      <c r="I130" s="53">
        <v>900</v>
      </c>
      <c r="J130" s="53">
        <v>0</v>
      </c>
      <c r="K130" s="55">
        <v>0.85</v>
      </c>
      <c r="L130" s="55">
        <v>765</v>
      </c>
      <c r="M130" s="55">
        <v>0.03</v>
      </c>
      <c r="N130" s="56">
        <v>742</v>
      </c>
      <c r="O130" s="57"/>
      <c r="P130" s="53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 spans="1:32" hidden="1" x14ac:dyDescent="0.25">
      <c r="A131" s="224"/>
      <c r="B131" s="109">
        <v>44308</v>
      </c>
      <c r="C131" s="52" t="s">
        <v>50</v>
      </c>
      <c r="D131" s="52" t="s">
        <v>38</v>
      </c>
      <c r="E131" s="53" t="s">
        <v>39</v>
      </c>
      <c r="F131" s="53" t="s">
        <v>40</v>
      </c>
      <c r="G131" s="110">
        <v>3.9</v>
      </c>
      <c r="H131" s="53">
        <v>900</v>
      </c>
      <c r="I131" s="53">
        <v>900</v>
      </c>
      <c r="J131" s="53">
        <v>0</v>
      </c>
      <c r="K131" s="55">
        <v>0.85</v>
      </c>
      <c r="L131" s="55">
        <v>765</v>
      </c>
      <c r="M131" s="55">
        <v>0.03</v>
      </c>
      <c r="N131" s="56">
        <v>742</v>
      </c>
      <c r="O131" s="57"/>
      <c r="P131" s="53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 spans="1:32" hidden="1" x14ac:dyDescent="0.25">
      <c r="A132" s="224"/>
      <c r="B132" s="109">
        <v>44309</v>
      </c>
      <c r="C132" s="52" t="s">
        <v>53</v>
      </c>
      <c r="D132" s="52" t="s">
        <v>38</v>
      </c>
      <c r="E132" s="53" t="s">
        <v>39</v>
      </c>
      <c r="F132" s="53" t="s">
        <v>40</v>
      </c>
      <c r="G132" s="110">
        <v>3.9</v>
      </c>
      <c r="H132" s="53">
        <v>900</v>
      </c>
      <c r="I132" s="53">
        <v>900</v>
      </c>
      <c r="J132" s="53">
        <v>0</v>
      </c>
      <c r="K132" s="55">
        <v>0.85</v>
      </c>
      <c r="L132" s="55">
        <v>765</v>
      </c>
      <c r="M132" s="55">
        <v>0.03</v>
      </c>
      <c r="N132" s="56">
        <v>742</v>
      </c>
      <c r="O132" s="57"/>
      <c r="P132" s="53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 spans="1:32" hidden="1" x14ac:dyDescent="0.25">
      <c r="A133" s="224"/>
      <c r="B133" s="111">
        <v>44310</v>
      </c>
      <c r="C133" s="58" t="s">
        <v>57</v>
      </c>
      <c r="D133" s="59" t="s">
        <v>38</v>
      </c>
      <c r="E133" s="60" t="s">
        <v>39</v>
      </c>
      <c r="F133" s="60" t="s">
        <v>40</v>
      </c>
      <c r="G133" s="112">
        <v>3.9</v>
      </c>
      <c r="H133" s="60">
        <v>900</v>
      </c>
      <c r="I133" s="60">
        <v>900</v>
      </c>
      <c r="J133" s="60">
        <v>0</v>
      </c>
      <c r="K133" s="62">
        <v>0.85</v>
      </c>
      <c r="L133" s="62">
        <v>765</v>
      </c>
      <c r="M133" s="62">
        <v>0.03</v>
      </c>
      <c r="N133" s="63">
        <v>742</v>
      </c>
      <c r="O133" s="64"/>
      <c r="P133" s="53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 spans="1:32" ht="15.75" hidden="1" thickBot="1" x14ac:dyDescent="0.3">
      <c r="A134" s="225"/>
      <c r="B134" s="113">
        <v>44311</v>
      </c>
      <c r="C134" s="66" t="s">
        <v>59</v>
      </c>
      <c r="D134" s="67" t="s">
        <v>38</v>
      </c>
      <c r="E134" s="67" t="s">
        <v>39</v>
      </c>
      <c r="F134" s="67" t="s">
        <v>40</v>
      </c>
      <c r="G134" s="114">
        <v>3.9</v>
      </c>
      <c r="H134" s="67">
        <v>900</v>
      </c>
      <c r="I134" s="67">
        <v>900</v>
      </c>
      <c r="J134" s="67">
        <v>0</v>
      </c>
      <c r="K134" s="69">
        <v>0.85</v>
      </c>
      <c r="L134" s="69">
        <v>765</v>
      </c>
      <c r="M134" s="69">
        <v>0.03</v>
      </c>
      <c r="N134" s="70">
        <v>742</v>
      </c>
      <c r="O134" s="71"/>
      <c r="P134" s="53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 spans="1:32" hidden="1" x14ac:dyDescent="0.25">
      <c r="A135" s="223">
        <v>17</v>
      </c>
      <c r="B135" s="109">
        <v>44312</v>
      </c>
      <c r="C135" s="72" t="s">
        <v>37</v>
      </c>
      <c r="D135" s="72" t="s">
        <v>38</v>
      </c>
      <c r="E135" s="41" t="s">
        <v>39</v>
      </c>
      <c r="F135" s="41" t="s">
        <v>40</v>
      </c>
      <c r="G135" s="110">
        <v>3.9</v>
      </c>
      <c r="H135" s="41">
        <v>900</v>
      </c>
      <c r="I135" s="41">
        <v>900</v>
      </c>
      <c r="J135" s="41">
        <v>0</v>
      </c>
      <c r="K135" s="73">
        <v>0.85</v>
      </c>
      <c r="L135" s="73">
        <v>765</v>
      </c>
      <c r="M135" s="73">
        <v>0.03</v>
      </c>
      <c r="N135" s="74">
        <v>742</v>
      </c>
      <c r="O135" s="46" t="s">
        <v>92</v>
      </c>
      <c r="P135" s="53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 spans="1:32" hidden="1" x14ac:dyDescent="0.25">
      <c r="A136" s="224"/>
      <c r="B136" s="109">
        <v>44313</v>
      </c>
      <c r="C136" s="52" t="s">
        <v>42</v>
      </c>
      <c r="D136" s="52" t="s">
        <v>38</v>
      </c>
      <c r="E136" s="53" t="s">
        <v>39</v>
      </c>
      <c r="F136" s="53" t="s">
        <v>40</v>
      </c>
      <c r="G136" s="110">
        <v>3.9</v>
      </c>
      <c r="H136" s="53">
        <v>900</v>
      </c>
      <c r="I136" s="53">
        <v>900</v>
      </c>
      <c r="J136" s="53">
        <v>0</v>
      </c>
      <c r="K136" s="55">
        <v>0.85</v>
      </c>
      <c r="L136" s="55">
        <v>765</v>
      </c>
      <c r="M136" s="55">
        <v>0.03</v>
      </c>
      <c r="N136" s="56">
        <v>742</v>
      </c>
      <c r="O136" s="57"/>
      <c r="P136" s="53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spans="1:32" hidden="1" x14ac:dyDescent="0.25">
      <c r="A137" s="224"/>
      <c r="B137" s="109">
        <v>44314</v>
      </c>
      <c r="C137" s="52" t="s">
        <v>46</v>
      </c>
      <c r="D137" s="52" t="s">
        <v>38</v>
      </c>
      <c r="E137" s="53" t="s">
        <v>39</v>
      </c>
      <c r="F137" s="53" t="s">
        <v>40</v>
      </c>
      <c r="G137" s="110">
        <v>5.9</v>
      </c>
      <c r="H137" s="53">
        <v>900</v>
      </c>
      <c r="I137" s="53">
        <v>900</v>
      </c>
      <c r="J137" s="53">
        <v>0</v>
      </c>
      <c r="K137" s="55">
        <v>0.85</v>
      </c>
      <c r="L137" s="55">
        <v>765</v>
      </c>
      <c r="M137" s="55">
        <v>0.03</v>
      </c>
      <c r="N137" s="56">
        <v>742</v>
      </c>
      <c r="O137" s="57"/>
      <c r="P137" s="53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 spans="1:32" hidden="1" x14ac:dyDescent="0.25">
      <c r="A138" s="224"/>
      <c r="B138" s="109">
        <v>44315</v>
      </c>
      <c r="C138" s="52" t="s">
        <v>50</v>
      </c>
      <c r="D138" s="52" t="s">
        <v>38</v>
      </c>
      <c r="E138" s="53" t="s">
        <v>39</v>
      </c>
      <c r="F138" s="53" t="s">
        <v>40</v>
      </c>
      <c r="G138" s="110">
        <v>5.9</v>
      </c>
      <c r="H138" s="53">
        <v>900</v>
      </c>
      <c r="I138" s="53">
        <v>900</v>
      </c>
      <c r="J138" s="53">
        <v>0</v>
      </c>
      <c r="K138" s="55">
        <v>0.85</v>
      </c>
      <c r="L138" s="55">
        <v>765</v>
      </c>
      <c r="M138" s="55">
        <v>0.03</v>
      </c>
      <c r="N138" s="56">
        <v>742</v>
      </c>
      <c r="O138" s="57" t="s">
        <v>93</v>
      </c>
      <c r="P138" s="53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 spans="1:32" hidden="1" x14ac:dyDescent="0.25">
      <c r="A139" s="224"/>
      <c r="B139" s="109">
        <v>44316</v>
      </c>
      <c r="C139" s="52" t="s">
        <v>53</v>
      </c>
      <c r="D139" s="52" t="s">
        <v>38</v>
      </c>
      <c r="E139" s="53" t="s">
        <v>39</v>
      </c>
      <c r="F139" s="53" t="s">
        <v>40</v>
      </c>
      <c r="G139" s="110">
        <v>4.9000000000000004</v>
      </c>
      <c r="H139" s="53">
        <v>900</v>
      </c>
      <c r="I139" s="53">
        <v>900</v>
      </c>
      <c r="J139" s="53">
        <v>0</v>
      </c>
      <c r="K139" s="55">
        <v>0.85</v>
      </c>
      <c r="L139" s="55">
        <v>765</v>
      </c>
      <c r="M139" s="55">
        <v>0.03</v>
      </c>
      <c r="N139" s="56">
        <v>742</v>
      </c>
      <c r="O139" s="57"/>
      <c r="P139" s="53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 spans="1:32" ht="15.75" hidden="1" thickBot="1" x14ac:dyDescent="0.3">
      <c r="A140" s="224"/>
      <c r="B140" s="111">
        <v>44317</v>
      </c>
      <c r="C140" s="58" t="s">
        <v>57</v>
      </c>
      <c r="D140" s="59" t="s">
        <v>38</v>
      </c>
      <c r="E140" s="60" t="s">
        <v>39</v>
      </c>
      <c r="F140" s="60" t="s">
        <v>40</v>
      </c>
      <c r="G140" s="60">
        <v>4.9000000000000004</v>
      </c>
      <c r="H140" s="60">
        <v>900</v>
      </c>
      <c r="I140" s="60">
        <v>900</v>
      </c>
      <c r="J140" s="60">
        <v>0</v>
      </c>
      <c r="K140" s="62">
        <v>0.85</v>
      </c>
      <c r="L140" s="62">
        <v>765</v>
      </c>
      <c r="M140" s="62">
        <v>0.03</v>
      </c>
      <c r="N140" s="63">
        <v>742</v>
      </c>
      <c r="O140" s="71" t="s">
        <v>94</v>
      </c>
      <c r="P140" s="53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 spans="1:32" ht="15.75" hidden="1" thickBot="1" x14ac:dyDescent="0.3">
      <c r="A141" s="225"/>
      <c r="B141" s="113">
        <v>44318</v>
      </c>
      <c r="C141" s="66" t="s">
        <v>59</v>
      </c>
      <c r="D141" s="67" t="s">
        <v>38</v>
      </c>
      <c r="E141" s="67" t="s">
        <v>39</v>
      </c>
      <c r="F141" s="67" t="s">
        <v>40</v>
      </c>
      <c r="G141" s="114">
        <v>4.9000000000000004</v>
      </c>
      <c r="H141" s="67">
        <v>900</v>
      </c>
      <c r="I141" s="67">
        <v>900</v>
      </c>
      <c r="J141" s="67">
        <v>0</v>
      </c>
      <c r="K141" s="69">
        <v>0.85</v>
      </c>
      <c r="L141" s="69">
        <v>765</v>
      </c>
      <c r="M141" s="69">
        <v>0.03</v>
      </c>
      <c r="N141" s="70">
        <v>742</v>
      </c>
      <c r="O141" s="71"/>
      <c r="P141" s="53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</row>
    <row r="142" spans="1:32" hidden="1" x14ac:dyDescent="0.25">
      <c r="A142" s="223">
        <v>18</v>
      </c>
      <c r="B142" s="109">
        <v>44319</v>
      </c>
      <c r="C142" s="72" t="s">
        <v>37</v>
      </c>
      <c r="D142" s="72" t="s">
        <v>38</v>
      </c>
      <c r="E142" s="41" t="s">
        <v>39</v>
      </c>
      <c r="F142" s="41" t="s">
        <v>40</v>
      </c>
      <c r="G142" s="110">
        <v>3.9</v>
      </c>
      <c r="H142" s="41">
        <v>900</v>
      </c>
      <c r="I142" s="41">
        <v>900</v>
      </c>
      <c r="J142" s="41">
        <v>0</v>
      </c>
      <c r="K142" s="73">
        <v>0.85</v>
      </c>
      <c r="L142" s="73">
        <v>765</v>
      </c>
      <c r="M142" s="73">
        <v>0.03</v>
      </c>
      <c r="N142" s="74">
        <v>742</v>
      </c>
      <c r="O142" s="46"/>
      <c r="P142" s="53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 spans="1:32" hidden="1" x14ac:dyDescent="0.25">
      <c r="A143" s="224"/>
      <c r="B143" s="109">
        <v>44320</v>
      </c>
      <c r="C143" s="52" t="s">
        <v>42</v>
      </c>
      <c r="D143" s="52" t="s">
        <v>38</v>
      </c>
      <c r="E143" s="53" t="s">
        <v>39</v>
      </c>
      <c r="F143" s="53" t="s">
        <v>40</v>
      </c>
      <c r="G143" s="110">
        <v>3.9</v>
      </c>
      <c r="H143" s="53">
        <v>900</v>
      </c>
      <c r="I143" s="53">
        <v>900</v>
      </c>
      <c r="J143" s="53">
        <v>0</v>
      </c>
      <c r="K143" s="55">
        <v>0.85</v>
      </c>
      <c r="L143" s="55">
        <v>765</v>
      </c>
      <c r="M143" s="55">
        <v>0.03</v>
      </c>
      <c r="N143" s="56">
        <v>742</v>
      </c>
      <c r="O143" s="57"/>
      <c r="P143" s="53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 spans="1:32" hidden="1" x14ac:dyDescent="0.25">
      <c r="A144" s="224"/>
      <c r="B144" s="109">
        <v>44321</v>
      </c>
      <c r="C144" s="52" t="s">
        <v>46</v>
      </c>
      <c r="D144" s="52" t="s">
        <v>38</v>
      </c>
      <c r="E144" s="53" t="s">
        <v>39</v>
      </c>
      <c r="F144" s="53" t="s">
        <v>40</v>
      </c>
      <c r="G144" s="110">
        <v>3.9</v>
      </c>
      <c r="H144" s="53">
        <v>900</v>
      </c>
      <c r="I144" s="53">
        <v>900</v>
      </c>
      <c r="J144" s="53">
        <v>0</v>
      </c>
      <c r="K144" s="55">
        <v>0.85</v>
      </c>
      <c r="L144" s="55">
        <v>765</v>
      </c>
      <c r="M144" s="55">
        <v>0.03</v>
      </c>
      <c r="N144" s="56">
        <v>742</v>
      </c>
      <c r="O144" s="57"/>
      <c r="P144" s="53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 spans="1:32" hidden="1" x14ac:dyDescent="0.25">
      <c r="A145" s="224"/>
      <c r="B145" s="109">
        <v>44322</v>
      </c>
      <c r="C145" s="52" t="s">
        <v>50</v>
      </c>
      <c r="D145" s="52" t="s">
        <v>38</v>
      </c>
      <c r="E145" s="53" t="s">
        <v>39</v>
      </c>
      <c r="F145" s="53" t="s">
        <v>40</v>
      </c>
      <c r="G145" s="110">
        <v>3.9</v>
      </c>
      <c r="H145" s="53">
        <v>900</v>
      </c>
      <c r="I145" s="53">
        <v>900</v>
      </c>
      <c r="J145" s="53">
        <v>0</v>
      </c>
      <c r="K145" s="55">
        <v>0.85</v>
      </c>
      <c r="L145" s="55">
        <v>765</v>
      </c>
      <c r="M145" s="55">
        <v>0.03</v>
      </c>
      <c r="N145" s="56">
        <v>742</v>
      </c>
      <c r="O145" s="57"/>
      <c r="P145" s="53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 spans="1:32" hidden="1" x14ac:dyDescent="0.25">
      <c r="A146" s="224"/>
      <c r="B146" s="109">
        <v>44323</v>
      </c>
      <c r="C146" s="52" t="s">
        <v>53</v>
      </c>
      <c r="D146" s="52" t="s">
        <v>38</v>
      </c>
      <c r="E146" s="53" t="s">
        <v>39</v>
      </c>
      <c r="F146" s="53" t="s">
        <v>40</v>
      </c>
      <c r="G146" s="110">
        <v>3.9</v>
      </c>
      <c r="H146" s="53">
        <v>900</v>
      </c>
      <c r="I146" s="53">
        <v>900</v>
      </c>
      <c r="J146" s="53">
        <v>0</v>
      </c>
      <c r="K146" s="55">
        <v>0.85</v>
      </c>
      <c r="L146" s="55">
        <v>765</v>
      </c>
      <c r="M146" s="55">
        <v>0.03</v>
      </c>
      <c r="N146" s="56">
        <v>742</v>
      </c>
      <c r="O146" s="88"/>
      <c r="P146" s="53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 spans="1:32" hidden="1" x14ac:dyDescent="0.25">
      <c r="A147" s="224"/>
      <c r="B147" s="111">
        <v>44324</v>
      </c>
      <c r="C147" s="58" t="s">
        <v>57</v>
      </c>
      <c r="D147" s="59" t="s">
        <v>38</v>
      </c>
      <c r="E147" s="60" t="s">
        <v>39</v>
      </c>
      <c r="F147" s="60" t="s">
        <v>40</v>
      </c>
      <c r="G147" s="112">
        <v>3.9</v>
      </c>
      <c r="H147" s="60">
        <v>900</v>
      </c>
      <c r="I147" s="60">
        <v>900</v>
      </c>
      <c r="J147" s="60">
        <v>0</v>
      </c>
      <c r="K147" s="62">
        <v>0.85</v>
      </c>
      <c r="L147" s="62">
        <v>765</v>
      </c>
      <c r="M147" s="62">
        <v>0.03</v>
      </c>
      <c r="N147" s="63">
        <v>742</v>
      </c>
      <c r="O147" s="64"/>
      <c r="P147" s="53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 spans="1:32" ht="15.75" hidden="1" thickBot="1" x14ac:dyDescent="0.3">
      <c r="A148" s="225"/>
      <c r="B148" s="113">
        <v>44325</v>
      </c>
      <c r="C148" s="66" t="s">
        <v>59</v>
      </c>
      <c r="D148" s="67" t="s">
        <v>38</v>
      </c>
      <c r="E148" s="67" t="s">
        <v>39</v>
      </c>
      <c r="F148" s="67" t="s">
        <v>40</v>
      </c>
      <c r="G148" s="114">
        <v>3.9</v>
      </c>
      <c r="H148" s="67">
        <v>900</v>
      </c>
      <c r="I148" s="67">
        <v>900</v>
      </c>
      <c r="J148" s="67">
        <v>0</v>
      </c>
      <c r="K148" s="69">
        <v>0.85</v>
      </c>
      <c r="L148" s="69">
        <v>765</v>
      </c>
      <c r="M148" s="69">
        <v>0.03</v>
      </c>
      <c r="N148" s="70">
        <v>742</v>
      </c>
      <c r="O148" s="71"/>
      <c r="P148" s="53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 spans="1:32" hidden="1" x14ac:dyDescent="0.25">
      <c r="A149" s="223">
        <v>19</v>
      </c>
      <c r="B149" s="109">
        <v>44326</v>
      </c>
      <c r="C149" s="72" t="s">
        <v>37</v>
      </c>
      <c r="D149" s="72" t="s">
        <v>38</v>
      </c>
      <c r="E149" s="41" t="s">
        <v>39</v>
      </c>
      <c r="F149" s="41" t="s">
        <v>40</v>
      </c>
      <c r="G149" s="110">
        <v>4.9000000000000004</v>
      </c>
      <c r="H149" s="41">
        <v>900</v>
      </c>
      <c r="I149" s="41">
        <v>900</v>
      </c>
      <c r="J149" s="41">
        <v>0</v>
      </c>
      <c r="K149" s="73">
        <v>0.85</v>
      </c>
      <c r="L149" s="73">
        <v>765</v>
      </c>
      <c r="M149" s="73">
        <v>0.03</v>
      </c>
      <c r="N149" s="74">
        <v>742</v>
      </c>
      <c r="O149" s="46"/>
      <c r="P149" s="53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</row>
    <row r="150" spans="1:32" hidden="1" x14ac:dyDescent="0.25">
      <c r="A150" s="224"/>
      <c r="B150" s="109">
        <v>44327</v>
      </c>
      <c r="C150" s="52" t="s">
        <v>42</v>
      </c>
      <c r="D150" s="52" t="s">
        <v>38</v>
      </c>
      <c r="E150" s="53" t="s">
        <v>39</v>
      </c>
      <c r="F150" s="53" t="s">
        <v>40</v>
      </c>
      <c r="G150" s="110">
        <v>4.9000000000000004</v>
      </c>
      <c r="H150" s="53">
        <v>900</v>
      </c>
      <c r="I150" s="53">
        <v>890</v>
      </c>
      <c r="J150" s="53">
        <v>0</v>
      </c>
      <c r="K150" s="55">
        <v>0.85</v>
      </c>
      <c r="L150" s="55">
        <v>756.5</v>
      </c>
      <c r="M150" s="55">
        <v>0.03</v>
      </c>
      <c r="N150" s="56">
        <v>734</v>
      </c>
      <c r="O150" s="57"/>
      <c r="P150" s="53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</row>
    <row r="151" spans="1:32" hidden="1" x14ac:dyDescent="0.25">
      <c r="A151" s="224"/>
      <c r="B151" s="109">
        <v>44328</v>
      </c>
      <c r="C151" s="52" t="s">
        <v>46</v>
      </c>
      <c r="D151" s="52" t="s">
        <v>38</v>
      </c>
      <c r="E151" s="53" t="s">
        <v>39</v>
      </c>
      <c r="F151" s="53" t="s">
        <v>40</v>
      </c>
      <c r="G151" s="110">
        <v>5.9</v>
      </c>
      <c r="H151" s="110">
        <v>900</v>
      </c>
      <c r="I151" s="53">
        <v>880</v>
      </c>
      <c r="J151" s="53">
        <v>0</v>
      </c>
      <c r="K151" s="55">
        <v>0.85</v>
      </c>
      <c r="L151" s="55">
        <v>748</v>
      </c>
      <c r="M151" s="55">
        <v>0.03</v>
      </c>
      <c r="N151" s="56">
        <v>726</v>
      </c>
      <c r="O151" s="57"/>
      <c r="P151" s="53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 spans="1:32" hidden="1" x14ac:dyDescent="0.25">
      <c r="A152" s="224"/>
      <c r="B152" s="124">
        <v>44329</v>
      </c>
      <c r="C152" s="90" t="s">
        <v>50</v>
      </c>
      <c r="D152" s="52" t="s">
        <v>38</v>
      </c>
      <c r="E152" s="53" t="s">
        <v>39</v>
      </c>
      <c r="F152" s="53" t="s">
        <v>40</v>
      </c>
      <c r="G152" s="110">
        <v>5.9</v>
      </c>
      <c r="H152" s="110">
        <v>900</v>
      </c>
      <c r="I152" s="53">
        <v>870</v>
      </c>
      <c r="J152" s="53">
        <v>0</v>
      </c>
      <c r="K152" s="55">
        <v>0.85</v>
      </c>
      <c r="L152" s="55">
        <v>739.5</v>
      </c>
      <c r="M152" s="55">
        <v>0.03</v>
      </c>
      <c r="N152" s="56">
        <v>717</v>
      </c>
      <c r="O152" s="57"/>
      <c r="P152" s="53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spans="1:32" hidden="1" x14ac:dyDescent="0.25">
      <c r="A153" s="224"/>
      <c r="B153" s="109">
        <v>44330</v>
      </c>
      <c r="C153" s="52" t="s">
        <v>53</v>
      </c>
      <c r="D153" s="52" t="s">
        <v>38</v>
      </c>
      <c r="E153" s="53" t="s">
        <v>39</v>
      </c>
      <c r="F153" s="53" t="s">
        <v>40</v>
      </c>
      <c r="G153" s="110">
        <v>8</v>
      </c>
      <c r="H153" s="110">
        <v>900</v>
      </c>
      <c r="I153" s="53">
        <v>860</v>
      </c>
      <c r="J153" s="53">
        <v>0</v>
      </c>
      <c r="K153" s="55">
        <v>0.85</v>
      </c>
      <c r="L153" s="55">
        <v>731</v>
      </c>
      <c r="M153" s="55">
        <v>0.03</v>
      </c>
      <c r="N153" s="56">
        <v>709</v>
      </c>
      <c r="O153" s="57"/>
      <c r="P153" s="53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 spans="1:32" hidden="1" x14ac:dyDescent="0.25">
      <c r="A154" s="224"/>
      <c r="B154" s="111">
        <v>44331</v>
      </c>
      <c r="C154" s="58" t="s">
        <v>57</v>
      </c>
      <c r="D154" s="59" t="s">
        <v>38</v>
      </c>
      <c r="E154" s="60" t="s">
        <v>39</v>
      </c>
      <c r="F154" s="60" t="s">
        <v>40</v>
      </c>
      <c r="G154" s="112">
        <v>8</v>
      </c>
      <c r="H154" s="112">
        <v>900</v>
      </c>
      <c r="I154" s="60">
        <v>850</v>
      </c>
      <c r="J154" s="60">
        <v>0</v>
      </c>
      <c r="K154" s="62">
        <v>0.85</v>
      </c>
      <c r="L154" s="62">
        <v>722.5</v>
      </c>
      <c r="M154" s="62">
        <v>0.03</v>
      </c>
      <c r="N154" s="63">
        <v>701</v>
      </c>
      <c r="O154" s="64"/>
      <c r="P154" s="53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 spans="1:32" ht="15.75" hidden="1" thickBot="1" x14ac:dyDescent="0.3">
      <c r="A155" s="225"/>
      <c r="B155" s="113">
        <v>44332</v>
      </c>
      <c r="C155" s="66" t="s">
        <v>59</v>
      </c>
      <c r="D155" s="67" t="s">
        <v>38</v>
      </c>
      <c r="E155" s="67" t="s">
        <v>39</v>
      </c>
      <c r="F155" s="67" t="s">
        <v>40</v>
      </c>
      <c r="G155" s="114">
        <v>8</v>
      </c>
      <c r="H155" s="114">
        <v>900</v>
      </c>
      <c r="I155" s="67">
        <v>850</v>
      </c>
      <c r="J155" s="67">
        <v>0</v>
      </c>
      <c r="K155" s="69">
        <v>0.85</v>
      </c>
      <c r="L155" s="69">
        <v>722.5</v>
      </c>
      <c r="M155" s="69">
        <v>0.03</v>
      </c>
      <c r="N155" s="70">
        <v>701</v>
      </c>
      <c r="O155" s="71"/>
      <c r="P155" s="53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spans="1:32" hidden="1" x14ac:dyDescent="0.25">
      <c r="A156" s="223">
        <v>20</v>
      </c>
      <c r="B156" s="109">
        <v>44333</v>
      </c>
      <c r="C156" s="72" t="s">
        <v>37</v>
      </c>
      <c r="D156" s="72" t="s">
        <v>38</v>
      </c>
      <c r="E156" s="41" t="s">
        <v>39</v>
      </c>
      <c r="F156" s="41" t="s">
        <v>40</v>
      </c>
      <c r="G156" s="110">
        <v>12</v>
      </c>
      <c r="H156" s="110">
        <v>900</v>
      </c>
      <c r="I156" s="110">
        <v>830</v>
      </c>
      <c r="J156" s="110">
        <v>0</v>
      </c>
      <c r="K156" s="73">
        <v>0.85</v>
      </c>
      <c r="L156" s="73">
        <v>722.5</v>
      </c>
      <c r="M156" s="73">
        <v>0.03</v>
      </c>
      <c r="N156" s="74">
        <v>701</v>
      </c>
      <c r="O156" s="46"/>
      <c r="P156" s="53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spans="1:32" hidden="1" x14ac:dyDescent="0.25">
      <c r="A157" s="224"/>
      <c r="B157" s="109">
        <v>44334</v>
      </c>
      <c r="C157" s="52" t="s">
        <v>42</v>
      </c>
      <c r="D157" s="52" t="s">
        <v>38</v>
      </c>
      <c r="E157" s="53" t="s">
        <v>39</v>
      </c>
      <c r="F157" s="53" t="s">
        <v>40</v>
      </c>
      <c r="G157" s="110">
        <v>12</v>
      </c>
      <c r="H157" s="110">
        <v>900</v>
      </c>
      <c r="I157" s="110">
        <v>830</v>
      </c>
      <c r="J157" s="110">
        <v>0</v>
      </c>
      <c r="K157" s="55">
        <v>0.85</v>
      </c>
      <c r="L157" s="55">
        <v>722.5</v>
      </c>
      <c r="M157" s="55">
        <v>0.03</v>
      </c>
      <c r="N157" s="56">
        <v>701</v>
      </c>
      <c r="O157" s="57"/>
      <c r="P157" s="53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 spans="1:32" hidden="1" x14ac:dyDescent="0.25">
      <c r="A158" s="224"/>
      <c r="B158" s="109">
        <v>44335</v>
      </c>
      <c r="C158" s="52" t="s">
        <v>46</v>
      </c>
      <c r="D158" s="52" t="s">
        <v>38</v>
      </c>
      <c r="E158" s="53" t="s">
        <v>39</v>
      </c>
      <c r="F158" s="53" t="s">
        <v>44</v>
      </c>
      <c r="G158" s="110">
        <v>15</v>
      </c>
      <c r="H158" s="110">
        <v>900</v>
      </c>
      <c r="I158" s="110">
        <v>830</v>
      </c>
      <c r="J158" s="110">
        <v>0</v>
      </c>
      <c r="K158" s="55">
        <v>0.77</v>
      </c>
      <c r="L158" s="55">
        <v>654.5</v>
      </c>
      <c r="M158" s="55">
        <v>0.03</v>
      </c>
      <c r="N158" s="56">
        <v>635</v>
      </c>
      <c r="O158" s="57"/>
      <c r="P158" s="53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spans="1:32" hidden="1" x14ac:dyDescent="0.25">
      <c r="A159" s="224"/>
      <c r="B159" s="109">
        <v>44336</v>
      </c>
      <c r="C159" s="52" t="s">
        <v>50</v>
      </c>
      <c r="D159" s="52" t="s">
        <v>38</v>
      </c>
      <c r="E159" s="53" t="s">
        <v>39</v>
      </c>
      <c r="F159" s="53" t="s">
        <v>44</v>
      </c>
      <c r="G159" s="110">
        <v>15</v>
      </c>
      <c r="H159" s="110">
        <v>900</v>
      </c>
      <c r="I159" s="110">
        <v>830</v>
      </c>
      <c r="J159" s="110">
        <v>0</v>
      </c>
      <c r="K159" s="55">
        <v>0.77</v>
      </c>
      <c r="L159" s="55">
        <v>654.5</v>
      </c>
      <c r="M159" s="55">
        <v>0.03</v>
      </c>
      <c r="N159" s="56">
        <v>635</v>
      </c>
      <c r="O159" s="57"/>
      <c r="P159" s="53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 spans="1:32" hidden="1" x14ac:dyDescent="0.25">
      <c r="A160" s="224"/>
      <c r="B160" s="109">
        <v>44337</v>
      </c>
      <c r="C160" s="52" t="s">
        <v>53</v>
      </c>
      <c r="D160" s="52" t="s">
        <v>38</v>
      </c>
      <c r="E160" s="53" t="s">
        <v>39</v>
      </c>
      <c r="F160" s="53" t="s">
        <v>40</v>
      </c>
      <c r="G160" s="110">
        <v>10</v>
      </c>
      <c r="H160" s="110">
        <v>900</v>
      </c>
      <c r="I160" s="110">
        <v>840</v>
      </c>
      <c r="J160" s="110">
        <v>0</v>
      </c>
      <c r="K160" s="55">
        <v>0.85</v>
      </c>
      <c r="L160" s="55">
        <v>722.5</v>
      </c>
      <c r="M160" s="55">
        <v>0.03</v>
      </c>
      <c r="N160" s="56">
        <v>701</v>
      </c>
      <c r="O160" s="57"/>
      <c r="P160" s="53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 spans="1:32" hidden="1" x14ac:dyDescent="0.25">
      <c r="A161" s="224"/>
      <c r="B161" s="111">
        <v>44338</v>
      </c>
      <c r="C161" s="58" t="s">
        <v>57</v>
      </c>
      <c r="D161" s="59" t="s">
        <v>38</v>
      </c>
      <c r="E161" s="60" t="s">
        <v>39</v>
      </c>
      <c r="F161" s="60" t="s">
        <v>40</v>
      </c>
      <c r="G161" s="112">
        <v>10</v>
      </c>
      <c r="H161" s="112">
        <v>900</v>
      </c>
      <c r="I161" s="112">
        <v>850</v>
      </c>
      <c r="J161" s="112">
        <v>0</v>
      </c>
      <c r="K161" s="62">
        <v>0.85</v>
      </c>
      <c r="L161" s="62">
        <v>722.5</v>
      </c>
      <c r="M161" s="62">
        <v>0.03</v>
      </c>
      <c r="N161" s="63">
        <v>701</v>
      </c>
      <c r="O161" s="64"/>
      <c r="P161" s="53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 spans="1:32" ht="15.75" hidden="1" thickBot="1" x14ac:dyDescent="0.3">
      <c r="A162" s="225"/>
      <c r="B162" s="113">
        <v>44339</v>
      </c>
      <c r="C162" s="66" t="s">
        <v>59</v>
      </c>
      <c r="D162" s="67" t="s">
        <v>38</v>
      </c>
      <c r="E162" s="67" t="s">
        <v>39</v>
      </c>
      <c r="F162" s="67" t="s">
        <v>40</v>
      </c>
      <c r="G162" s="114">
        <v>10</v>
      </c>
      <c r="H162" s="114">
        <v>900</v>
      </c>
      <c r="I162" s="114">
        <v>860</v>
      </c>
      <c r="J162" s="114">
        <v>0</v>
      </c>
      <c r="K162" s="69">
        <v>0.85</v>
      </c>
      <c r="L162" s="69">
        <v>722.5</v>
      </c>
      <c r="M162" s="69">
        <v>0.03</v>
      </c>
      <c r="N162" s="70">
        <v>701</v>
      </c>
      <c r="O162" s="71"/>
      <c r="P162" s="53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spans="1:32" hidden="1" x14ac:dyDescent="0.25">
      <c r="A163" s="223">
        <v>21</v>
      </c>
      <c r="B163" s="124">
        <v>44340</v>
      </c>
      <c r="C163" s="86" t="s">
        <v>37</v>
      </c>
      <c r="D163" s="72" t="s">
        <v>38</v>
      </c>
      <c r="E163" s="41" t="s">
        <v>39</v>
      </c>
      <c r="F163" s="41" t="s">
        <v>40</v>
      </c>
      <c r="G163" s="110">
        <v>8</v>
      </c>
      <c r="H163" s="110">
        <v>900</v>
      </c>
      <c r="I163" s="110">
        <v>860</v>
      </c>
      <c r="J163" s="110">
        <v>0</v>
      </c>
      <c r="K163" s="73">
        <v>0.85</v>
      </c>
      <c r="L163" s="73">
        <v>731</v>
      </c>
      <c r="M163" s="73">
        <v>0.03</v>
      </c>
      <c r="N163" s="74">
        <v>709</v>
      </c>
      <c r="O163" s="46" t="s">
        <v>95</v>
      </c>
      <c r="P163" s="53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 spans="1:32" hidden="1" x14ac:dyDescent="0.25">
      <c r="A164" s="224"/>
      <c r="B164" s="109">
        <v>44341</v>
      </c>
      <c r="C164" s="52" t="s">
        <v>42</v>
      </c>
      <c r="D164" s="52" t="s">
        <v>38</v>
      </c>
      <c r="E164" s="53" t="s">
        <v>39</v>
      </c>
      <c r="F164" s="53" t="s">
        <v>40</v>
      </c>
      <c r="G164" s="110">
        <v>5.9</v>
      </c>
      <c r="H164" s="110">
        <v>900</v>
      </c>
      <c r="I164" s="110">
        <v>860</v>
      </c>
      <c r="J164" s="110">
        <v>0</v>
      </c>
      <c r="K164" s="55">
        <v>0.85</v>
      </c>
      <c r="L164" s="55">
        <v>731</v>
      </c>
      <c r="M164" s="55">
        <v>0.03</v>
      </c>
      <c r="N164" s="56">
        <v>709</v>
      </c>
      <c r="O164" s="57"/>
      <c r="P164" s="53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 spans="1:32" hidden="1" x14ac:dyDescent="0.25">
      <c r="A165" s="224"/>
      <c r="B165" s="109">
        <v>44342</v>
      </c>
      <c r="C165" s="52" t="s">
        <v>46</v>
      </c>
      <c r="D165" s="52" t="s">
        <v>38</v>
      </c>
      <c r="E165" s="53" t="s">
        <v>39</v>
      </c>
      <c r="F165" s="53" t="s">
        <v>40</v>
      </c>
      <c r="G165" s="110">
        <v>3.9</v>
      </c>
      <c r="H165" s="110">
        <v>900</v>
      </c>
      <c r="I165" s="110">
        <v>860</v>
      </c>
      <c r="J165" s="110">
        <v>0</v>
      </c>
      <c r="K165" s="55">
        <v>0.85</v>
      </c>
      <c r="L165" s="55">
        <v>731</v>
      </c>
      <c r="M165" s="55">
        <v>0.03</v>
      </c>
      <c r="N165" s="56">
        <v>709</v>
      </c>
      <c r="O165" s="57"/>
      <c r="P165" s="53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 spans="1:32" hidden="1" x14ac:dyDescent="0.25">
      <c r="A166" s="224"/>
      <c r="B166" s="109">
        <v>44343</v>
      </c>
      <c r="C166" s="52" t="s">
        <v>50</v>
      </c>
      <c r="D166" s="52" t="s">
        <v>38</v>
      </c>
      <c r="E166" s="53" t="s">
        <v>39</v>
      </c>
      <c r="F166" s="53" t="s">
        <v>40</v>
      </c>
      <c r="G166" s="110">
        <v>3.9</v>
      </c>
      <c r="H166" s="110">
        <v>900</v>
      </c>
      <c r="I166" s="110">
        <v>860</v>
      </c>
      <c r="J166" s="110">
        <v>0</v>
      </c>
      <c r="K166" s="55">
        <v>0.85</v>
      </c>
      <c r="L166" s="55">
        <v>731</v>
      </c>
      <c r="M166" s="55">
        <v>0.03</v>
      </c>
      <c r="N166" s="56">
        <v>709</v>
      </c>
      <c r="O166" s="57"/>
      <c r="P166" s="53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 spans="1:32" hidden="1" x14ac:dyDescent="0.25">
      <c r="A167" s="224"/>
      <c r="B167" s="109">
        <v>44344</v>
      </c>
      <c r="C167" s="52" t="s">
        <v>53</v>
      </c>
      <c r="D167" s="52" t="s">
        <v>38</v>
      </c>
      <c r="E167" s="53" t="s">
        <v>39</v>
      </c>
      <c r="F167" s="53" t="s">
        <v>40</v>
      </c>
      <c r="G167" s="110">
        <v>3.9</v>
      </c>
      <c r="H167" s="110">
        <v>900</v>
      </c>
      <c r="I167" s="110">
        <v>860</v>
      </c>
      <c r="J167" s="110">
        <v>0</v>
      </c>
      <c r="K167" s="55">
        <v>0.85</v>
      </c>
      <c r="L167" s="55">
        <v>731</v>
      </c>
      <c r="M167" s="55">
        <v>0.03</v>
      </c>
      <c r="N167" s="56">
        <v>709</v>
      </c>
      <c r="O167" s="57"/>
      <c r="P167" s="53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spans="1:32" hidden="1" x14ac:dyDescent="0.25">
      <c r="A168" s="224"/>
      <c r="B168" s="111">
        <v>44345</v>
      </c>
      <c r="C168" s="58" t="s">
        <v>57</v>
      </c>
      <c r="D168" s="59" t="s">
        <v>38</v>
      </c>
      <c r="E168" s="60" t="s">
        <v>39</v>
      </c>
      <c r="F168" s="60" t="s">
        <v>40</v>
      </c>
      <c r="G168" s="112">
        <v>3.9</v>
      </c>
      <c r="H168" s="112">
        <v>900</v>
      </c>
      <c r="I168" s="112">
        <v>850</v>
      </c>
      <c r="J168" s="112">
        <v>0</v>
      </c>
      <c r="K168" s="62">
        <v>0.85</v>
      </c>
      <c r="L168" s="62">
        <v>722.5</v>
      </c>
      <c r="M168" s="62">
        <v>0.03</v>
      </c>
      <c r="N168" s="63">
        <v>701</v>
      </c>
      <c r="O168" s="64"/>
      <c r="P168" s="53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 spans="1:32" ht="15.75" hidden="1" thickBot="1" x14ac:dyDescent="0.3">
      <c r="A169" s="225"/>
      <c r="B169" s="113">
        <v>44346</v>
      </c>
      <c r="C169" s="66" t="s">
        <v>59</v>
      </c>
      <c r="D169" s="67" t="s">
        <v>38</v>
      </c>
      <c r="E169" s="67" t="s">
        <v>39</v>
      </c>
      <c r="F169" s="67" t="s">
        <v>40</v>
      </c>
      <c r="G169" s="114">
        <v>3.9</v>
      </c>
      <c r="H169" s="114">
        <v>900</v>
      </c>
      <c r="I169" s="114">
        <v>840</v>
      </c>
      <c r="J169" s="114">
        <v>0</v>
      </c>
      <c r="K169" s="69">
        <v>0.85</v>
      </c>
      <c r="L169" s="69">
        <v>714</v>
      </c>
      <c r="M169" s="69">
        <v>0.03</v>
      </c>
      <c r="N169" s="70">
        <v>693</v>
      </c>
      <c r="O169" s="71"/>
      <c r="P169" s="53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 spans="1:32" hidden="1" x14ac:dyDescent="0.25">
      <c r="A170" s="223">
        <v>22</v>
      </c>
      <c r="B170" s="109">
        <v>44347</v>
      </c>
      <c r="C170" s="72" t="s">
        <v>37</v>
      </c>
      <c r="D170" s="72" t="s">
        <v>38</v>
      </c>
      <c r="E170" s="41" t="s">
        <v>39</v>
      </c>
      <c r="F170" s="41" t="s">
        <v>40</v>
      </c>
      <c r="G170" s="110">
        <v>5.9</v>
      </c>
      <c r="H170" s="110">
        <v>900</v>
      </c>
      <c r="I170" s="110">
        <v>830</v>
      </c>
      <c r="J170" s="110">
        <v>0</v>
      </c>
      <c r="K170" s="73">
        <v>0.85</v>
      </c>
      <c r="L170" s="73">
        <v>705.5</v>
      </c>
      <c r="M170" s="73">
        <v>0.03</v>
      </c>
      <c r="N170" s="74">
        <v>684</v>
      </c>
      <c r="O170" s="46"/>
      <c r="P170" s="53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 spans="1:32" hidden="1" x14ac:dyDescent="0.25">
      <c r="A171" s="224"/>
      <c r="B171" s="109">
        <v>44348</v>
      </c>
      <c r="C171" s="52" t="s">
        <v>42</v>
      </c>
      <c r="D171" s="52" t="s">
        <v>38</v>
      </c>
      <c r="E171" s="53" t="s">
        <v>39</v>
      </c>
      <c r="F171" s="53" t="s">
        <v>40</v>
      </c>
      <c r="G171" s="110">
        <v>5.9</v>
      </c>
      <c r="H171" s="110">
        <v>900</v>
      </c>
      <c r="I171" s="110">
        <v>820</v>
      </c>
      <c r="J171" s="110">
        <v>0</v>
      </c>
      <c r="K171" s="55">
        <v>0.85</v>
      </c>
      <c r="L171" s="55">
        <v>697</v>
      </c>
      <c r="M171" s="55">
        <v>0.03</v>
      </c>
      <c r="N171" s="56">
        <v>676</v>
      </c>
      <c r="O171" s="57"/>
      <c r="P171" s="53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</row>
    <row r="172" spans="1:32" hidden="1" x14ac:dyDescent="0.25">
      <c r="A172" s="224"/>
      <c r="B172" s="109">
        <v>44349</v>
      </c>
      <c r="C172" s="52" t="s">
        <v>46</v>
      </c>
      <c r="D172" s="52" t="s">
        <v>38</v>
      </c>
      <c r="E172" s="53" t="s">
        <v>39</v>
      </c>
      <c r="F172" s="53" t="s">
        <v>40</v>
      </c>
      <c r="G172" s="110">
        <v>3.9</v>
      </c>
      <c r="H172" s="110">
        <v>900</v>
      </c>
      <c r="I172" s="110">
        <v>820</v>
      </c>
      <c r="J172" s="110">
        <v>0</v>
      </c>
      <c r="K172" s="55">
        <v>0.85</v>
      </c>
      <c r="L172" s="55">
        <v>697</v>
      </c>
      <c r="M172" s="55">
        <v>0.03</v>
      </c>
      <c r="N172" s="56">
        <v>676</v>
      </c>
      <c r="O172" s="57" t="s">
        <v>73</v>
      </c>
      <c r="P172" s="53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 spans="1:32" hidden="1" x14ac:dyDescent="0.25">
      <c r="A173" s="224"/>
      <c r="B173" s="109">
        <v>44350</v>
      </c>
      <c r="C173" s="90" t="s">
        <v>50</v>
      </c>
      <c r="D173" s="52" t="s">
        <v>38</v>
      </c>
      <c r="E173" s="53" t="s">
        <v>55</v>
      </c>
      <c r="F173" s="53" t="s">
        <v>40</v>
      </c>
      <c r="G173" s="110">
        <v>3.9</v>
      </c>
      <c r="H173" s="110">
        <v>900</v>
      </c>
      <c r="I173" s="110">
        <v>820</v>
      </c>
      <c r="J173" s="110">
        <v>0</v>
      </c>
      <c r="K173" s="55">
        <v>0.85</v>
      </c>
      <c r="L173" s="55">
        <v>697</v>
      </c>
      <c r="M173" s="55">
        <v>0.03</v>
      </c>
      <c r="N173" s="56">
        <v>676</v>
      </c>
      <c r="O173" s="57"/>
      <c r="P173" s="53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 spans="1:32" hidden="1" x14ac:dyDescent="0.25">
      <c r="A174" s="224"/>
      <c r="B174" s="109">
        <v>44351</v>
      </c>
      <c r="C174" s="52" t="s">
        <v>53</v>
      </c>
      <c r="D174" s="52" t="s">
        <v>38</v>
      </c>
      <c r="E174" s="53" t="s">
        <v>55</v>
      </c>
      <c r="F174" s="53" t="s">
        <v>40</v>
      </c>
      <c r="G174" s="110">
        <v>3.9</v>
      </c>
      <c r="H174" s="110">
        <v>900</v>
      </c>
      <c r="I174" s="110">
        <v>820</v>
      </c>
      <c r="J174" s="110">
        <v>0</v>
      </c>
      <c r="K174" s="55">
        <v>0.85</v>
      </c>
      <c r="L174" s="55">
        <v>697</v>
      </c>
      <c r="M174" s="55">
        <v>0.03</v>
      </c>
      <c r="N174" s="56">
        <v>676</v>
      </c>
      <c r="O174" s="57"/>
      <c r="P174" s="53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</row>
    <row r="175" spans="1:32" hidden="1" x14ac:dyDescent="0.25">
      <c r="A175" s="224"/>
      <c r="B175" s="111">
        <v>44352</v>
      </c>
      <c r="C175" s="58" t="s">
        <v>57</v>
      </c>
      <c r="D175" s="59" t="s">
        <v>38</v>
      </c>
      <c r="E175" s="60" t="s">
        <v>55</v>
      </c>
      <c r="F175" s="60" t="s">
        <v>40</v>
      </c>
      <c r="G175" s="61">
        <v>3.9</v>
      </c>
      <c r="H175" s="61">
        <v>900</v>
      </c>
      <c r="I175" s="112">
        <v>820</v>
      </c>
      <c r="J175" s="60">
        <v>0</v>
      </c>
      <c r="K175" s="62">
        <v>0.85</v>
      </c>
      <c r="L175" s="62">
        <v>697</v>
      </c>
      <c r="M175" s="62">
        <v>0.03</v>
      </c>
      <c r="N175" s="63">
        <v>676</v>
      </c>
      <c r="O175" s="64"/>
      <c r="P175" s="53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</row>
    <row r="176" spans="1:32" ht="16.5" hidden="1" thickBot="1" x14ac:dyDescent="0.3">
      <c r="A176" s="225"/>
      <c r="B176" s="113">
        <v>44353</v>
      </c>
      <c r="C176" s="66" t="s">
        <v>59</v>
      </c>
      <c r="D176" s="67" t="s">
        <v>38</v>
      </c>
      <c r="E176" s="67" t="s">
        <v>55</v>
      </c>
      <c r="F176" s="67" t="s">
        <v>40</v>
      </c>
      <c r="G176" s="68">
        <v>3.9</v>
      </c>
      <c r="H176" s="68">
        <v>830</v>
      </c>
      <c r="I176" s="112">
        <v>820</v>
      </c>
      <c r="J176" s="67">
        <v>0</v>
      </c>
      <c r="K176" s="69">
        <v>0.83</v>
      </c>
      <c r="L176" s="69">
        <v>680.6</v>
      </c>
      <c r="M176" s="69">
        <v>0.03</v>
      </c>
      <c r="N176" s="70">
        <v>660</v>
      </c>
      <c r="O176" s="126"/>
      <c r="P176" s="53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</row>
    <row r="177" spans="1:32" hidden="1" x14ac:dyDescent="0.25">
      <c r="A177" s="223">
        <v>23</v>
      </c>
      <c r="B177" s="109">
        <v>44354</v>
      </c>
      <c r="C177" s="86" t="s">
        <v>37</v>
      </c>
      <c r="D177" s="72" t="s">
        <v>38</v>
      </c>
      <c r="E177" s="121" t="s">
        <v>45</v>
      </c>
      <c r="F177" s="41" t="s">
        <v>40</v>
      </c>
      <c r="G177" s="110">
        <v>3.9</v>
      </c>
      <c r="H177" s="43">
        <v>830</v>
      </c>
      <c r="I177" s="41">
        <v>820</v>
      </c>
      <c r="J177" s="41">
        <v>0</v>
      </c>
      <c r="K177" s="73">
        <v>0.83</v>
      </c>
      <c r="L177" s="73">
        <v>680.6</v>
      </c>
      <c r="M177" s="73">
        <v>0.03</v>
      </c>
      <c r="N177" s="74">
        <v>660</v>
      </c>
      <c r="O177" s="46"/>
      <c r="P177" s="53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</row>
    <row r="178" spans="1:32" hidden="1" x14ac:dyDescent="0.25">
      <c r="A178" s="224"/>
      <c r="B178" s="109">
        <v>44355</v>
      </c>
      <c r="C178" s="52" t="s">
        <v>42</v>
      </c>
      <c r="D178" s="52" t="s">
        <v>38</v>
      </c>
      <c r="E178" s="122" t="s">
        <v>45</v>
      </c>
      <c r="F178" s="53" t="s">
        <v>40</v>
      </c>
      <c r="G178" s="110">
        <v>3.9</v>
      </c>
      <c r="H178" s="54">
        <v>830</v>
      </c>
      <c r="I178" s="53">
        <v>820</v>
      </c>
      <c r="J178" s="53">
        <v>0</v>
      </c>
      <c r="K178" s="55">
        <v>0.83</v>
      </c>
      <c r="L178" s="55">
        <v>680.6</v>
      </c>
      <c r="M178" s="55">
        <v>0.03</v>
      </c>
      <c r="N178" s="74">
        <v>660</v>
      </c>
      <c r="O178" s="57"/>
      <c r="P178" s="53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</row>
    <row r="179" spans="1:32" hidden="1" x14ac:dyDescent="0.25">
      <c r="A179" s="224"/>
      <c r="B179" s="109">
        <v>44356</v>
      </c>
      <c r="C179" s="52" t="s">
        <v>46</v>
      </c>
      <c r="D179" s="52" t="s">
        <v>38</v>
      </c>
      <c r="E179" s="122" t="s">
        <v>45</v>
      </c>
      <c r="F179" s="53" t="s">
        <v>40</v>
      </c>
      <c r="G179" s="110">
        <v>4.9000000000000004</v>
      </c>
      <c r="H179" s="54">
        <v>830</v>
      </c>
      <c r="I179" s="53">
        <v>820</v>
      </c>
      <c r="J179" s="53">
        <v>0</v>
      </c>
      <c r="K179" s="55">
        <v>0.83</v>
      </c>
      <c r="L179" s="55">
        <v>680.6</v>
      </c>
      <c r="M179" s="55">
        <v>0.03</v>
      </c>
      <c r="N179" s="74">
        <v>660</v>
      </c>
      <c r="O179" s="57" t="s">
        <v>96</v>
      </c>
      <c r="P179" s="53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</row>
    <row r="180" spans="1:32" hidden="1" x14ac:dyDescent="0.25">
      <c r="A180" s="224"/>
      <c r="B180" s="109">
        <v>44357</v>
      </c>
      <c r="C180" s="52" t="s">
        <v>50</v>
      </c>
      <c r="D180" s="52" t="s">
        <v>38</v>
      </c>
      <c r="E180" s="122" t="s">
        <v>45</v>
      </c>
      <c r="F180" s="53" t="s">
        <v>40</v>
      </c>
      <c r="G180" s="110">
        <v>5.9</v>
      </c>
      <c r="H180" s="54">
        <v>830</v>
      </c>
      <c r="I180" s="53">
        <v>820</v>
      </c>
      <c r="J180" s="53">
        <v>0</v>
      </c>
      <c r="K180" s="55">
        <v>0.83</v>
      </c>
      <c r="L180" s="55">
        <v>680.6</v>
      </c>
      <c r="M180" s="55">
        <v>0.03</v>
      </c>
      <c r="N180" s="74">
        <v>660</v>
      </c>
      <c r="O180" s="57"/>
      <c r="P180" s="53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</row>
    <row r="181" spans="1:32" hidden="1" x14ac:dyDescent="0.25">
      <c r="A181" s="224"/>
      <c r="B181" s="109">
        <v>44358</v>
      </c>
      <c r="C181" s="52" t="s">
        <v>53</v>
      </c>
      <c r="D181" s="52" t="s">
        <v>38</v>
      </c>
      <c r="E181" s="122" t="s">
        <v>45</v>
      </c>
      <c r="F181" s="53" t="s">
        <v>40</v>
      </c>
      <c r="G181" s="110">
        <v>8</v>
      </c>
      <c r="H181" s="54">
        <v>830</v>
      </c>
      <c r="I181" s="53">
        <v>820</v>
      </c>
      <c r="J181" s="53">
        <v>0</v>
      </c>
      <c r="K181" s="55">
        <v>0.83</v>
      </c>
      <c r="L181" s="55">
        <v>680.6</v>
      </c>
      <c r="M181" s="55">
        <v>0.03</v>
      </c>
      <c r="N181" s="74">
        <v>660</v>
      </c>
      <c r="O181" s="57" t="s">
        <v>97</v>
      </c>
      <c r="P181" s="53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</row>
    <row r="182" spans="1:32" hidden="1" x14ac:dyDescent="0.25">
      <c r="A182" s="224"/>
      <c r="B182" s="111">
        <v>44359</v>
      </c>
      <c r="C182" s="58" t="s">
        <v>57</v>
      </c>
      <c r="D182" s="59" t="s">
        <v>38</v>
      </c>
      <c r="E182" s="122" t="s">
        <v>45</v>
      </c>
      <c r="F182" s="60" t="s">
        <v>40</v>
      </c>
      <c r="G182" s="112">
        <v>8</v>
      </c>
      <c r="H182" s="60">
        <v>830</v>
      </c>
      <c r="I182" s="60">
        <v>820</v>
      </c>
      <c r="J182" s="60">
        <v>0</v>
      </c>
      <c r="K182" s="62">
        <v>0.83</v>
      </c>
      <c r="L182" s="62">
        <v>680.6</v>
      </c>
      <c r="M182" s="62">
        <v>0.03</v>
      </c>
      <c r="N182" s="63">
        <v>660</v>
      </c>
      <c r="O182" s="64"/>
      <c r="P182" s="53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</row>
    <row r="183" spans="1:32" ht="15.75" hidden="1" thickBot="1" x14ac:dyDescent="0.3">
      <c r="A183" s="225"/>
      <c r="B183" s="113">
        <v>44360</v>
      </c>
      <c r="C183" s="66" t="s">
        <v>59</v>
      </c>
      <c r="D183" s="67" t="s">
        <v>38</v>
      </c>
      <c r="E183" s="120" t="s">
        <v>45</v>
      </c>
      <c r="F183" s="67" t="s">
        <v>40</v>
      </c>
      <c r="G183" s="114">
        <v>8</v>
      </c>
      <c r="H183" s="67">
        <v>830</v>
      </c>
      <c r="I183" s="67">
        <v>820</v>
      </c>
      <c r="J183" s="67">
        <v>0</v>
      </c>
      <c r="K183" s="69">
        <v>0.83</v>
      </c>
      <c r="L183" s="69">
        <v>680.6</v>
      </c>
      <c r="M183" s="69">
        <v>0.03</v>
      </c>
      <c r="N183" s="70">
        <v>660</v>
      </c>
      <c r="O183" s="71"/>
      <c r="P183" s="53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</row>
    <row r="184" spans="1:32" hidden="1" x14ac:dyDescent="0.25">
      <c r="A184" s="223">
        <v>24</v>
      </c>
      <c r="B184" s="109">
        <v>44361</v>
      </c>
      <c r="C184" s="72" t="s">
        <v>37</v>
      </c>
      <c r="D184" s="72" t="s">
        <v>38</v>
      </c>
      <c r="E184" s="121" t="s">
        <v>45</v>
      </c>
      <c r="F184" s="41" t="s">
        <v>40</v>
      </c>
      <c r="G184" s="110">
        <v>8</v>
      </c>
      <c r="H184" s="41">
        <v>830</v>
      </c>
      <c r="I184" s="41">
        <v>820</v>
      </c>
      <c r="J184" s="41">
        <v>0</v>
      </c>
      <c r="K184" s="73">
        <v>0.83</v>
      </c>
      <c r="L184" s="73">
        <v>680.6</v>
      </c>
      <c r="M184" s="73">
        <v>0.03</v>
      </c>
      <c r="N184" s="74">
        <v>660</v>
      </c>
      <c r="O184" s="46"/>
      <c r="P184" s="53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</row>
    <row r="185" spans="1:32" hidden="1" x14ac:dyDescent="0.25">
      <c r="A185" s="224"/>
      <c r="B185" s="109">
        <v>44362</v>
      </c>
      <c r="C185" s="52" t="s">
        <v>42</v>
      </c>
      <c r="D185" s="52" t="s">
        <v>38</v>
      </c>
      <c r="E185" s="122" t="s">
        <v>45</v>
      </c>
      <c r="F185" s="53" t="s">
        <v>40</v>
      </c>
      <c r="G185" s="110">
        <v>10</v>
      </c>
      <c r="H185" s="53">
        <v>830</v>
      </c>
      <c r="I185" s="53">
        <v>820</v>
      </c>
      <c r="J185" s="53">
        <v>0</v>
      </c>
      <c r="K185" s="55">
        <v>0.83</v>
      </c>
      <c r="L185" s="55">
        <v>680.6</v>
      </c>
      <c r="M185" s="55">
        <v>0.03</v>
      </c>
      <c r="N185" s="56">
        <v>660</v>
      </c>
      <c r="O185" s="57"/>
      <c r="P185" s="53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</row>
    <row r="186" spans="1:32" hidden="1" x14ac:dyDescent="0.25">
      <c r="A186" s="224"/>
      <c r="B186" s="109">
        <v>44363</v>
      </c>
      <c r="C186" s="52" t="s">
        <v>46</v>
      </c>
      <c r="D186" s="52" t="s">
        <v>38</v>
      </c>
      <c r="E186" s="122" t="s">
        <v>45</v>
      </c>
      <c r="F186" s="53" t="s">
        <v>40</v>
      </c>
      <c r="G186" s="110">
        <v>15</v>
      </c>
      <c r="H186" s="53">
        <v>830</v>
      </c>
      <c r="I186" s="53">
        <v>820</v>
      </c>
      <c r="J186" s="53">
        <v>0</v>
      </c>
      <c r="K186" s="55">
        <v>0.83</v>
      </c>
      <c r="L186" s="55">
        <v>680.6</v>
      </c>
      <c r="M186" s="55">
        <v>0.03</v>
      </c>
      <c r="N186" s="56">
        <v>660</v>
      </c>
      <c r="O186" s="57"/>
      <c r="P186" s="53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</row>
    <row r="187" spans="1:32" hidden="1" x14ac:dyDescent="0.25">
      <c r="A187" s="224"/>
      <c r="B187" s="109">
        <v>44364</v>
      </c>
      <c r="C187" s="90" t="s">
        <v>50</v>
      </c>
      <c r="D187" s="52" t="s">
        <v>38</v>
      </c>
      <c r="E187" s="122" t="s">
        <v>45</v>
      </c>
      <c r="F187" s="53" t="s">
        <v>40</v>
      </c>
      <c r="G187" s="110">
        <v>12</v>
      </c>
      <c r="H187" s="53">
        <v>830</v>
      </c>
      <c r="I187" s="53">
        <v>820</v>
      </c>
      <c r="J187" s="53">
        <v>0</v>
      </c>
      <c r="K187" s="55">
        <v>0.83</v>
      </c>
      <c r="L187" s="55">
        <v>680.6</v>
      </c>
      <c r="M187" s="55">
        <v>0.03</v>
      </c>
      <c r="N187" s="56">
        <v>660</v>
      </c>
      <c r="O187" s="57" t="s">
        <v>98</v>
      </c>
      <c r="P187" s="53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</row>
    <row r="188" spans="1:32" hidden="1" x14ac:dyDescent="0.25">
      <c r="A188" s="224"/>
      <c r="B188" s="109">
        <v>44365</v>
      </c>
      <c r="C188" s="52" t="s">
        <v>53</v>
      </c>
      <c r="D188" s="52" t="s">
        <v>38</v>
      </c>
      <c r="E188" s="122" t="s">
        <v>45</v>
      </c>
      <c r="F188" s="53" t="s">
        <v>40</v>
      </c>
      <c r="G188" s="110">
        <v>12</v>
      </c>
      <c r="H188" s="53">
        <v>830</v>
      </c>
      <c r="I188" s="53">
        <v>820</v>
      </c>
      <c r="J188" s="53">
        <v>0</v>
      </c>
      <c r="K188" s="55">
        <v>0.83</v>
      </c>
      <c r="L188" s="55">
        <v>680.6</v>
      </c>
      <c r="M188" s="55">
        <v>0.03</v>
      </c>
      <c r="N188" s="56">
        <v>660</v>
      </c>
      <c r="O188" s="88" t="s">
        <v>99</v>
      </c>
      <c r="P188" s="53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</row>
    <row r="189" spans="1:32" hidden="1" x14ac:dyDescent="0.25">
      <c r="A189" s="224"/>
      <c r="B189" s="111">
        <v>44366</v>
      </c>
      <c r="C189" s="58" t="s">
        <v>57</v>
      </c>
      <c r="D189" s="59" t="s">
        <v>38</v>
      </c>
      <c r="E189" s="122" t="s">
        <v>45</v>
      </c>
      <c r="F189" s="60" t="s">
        <v>40</v>
      </c>
      <c r="G189" s="112">
        <v>10</v>
      </c>
      <c r="H189" s="60">
        <v>830</v>
      </c>
      <c r="I189" s="60">
        <v>820</v>
      </c>
      <c r="J189" s="60">
        <v>0</v>
      </c>
      <c r="K189" s="62">
        <v>0.83</v>
      </c>
      <c r="L189" s="62">
        <v>680.6</v>
      </c>
      <c r="M189" s="62">
        <v>0.03</v>
      </c>
      <c r="N189" s="63">
        <v>600</v>
      </c>
      <c r="O189" s="64"/>
      <c r="P189" s="53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</row>
    <row r="190" spans="1:32" ht="15.75" hidden="1" thickBot="1" x14ac:dyDescent="0.3">
      <c r="A190" s="225"/>
      <c r="B190" s="113">
        <v>44367</v>
      </c>
      <c r="C190" s="66" t="s">
        <v>59</v>
      </c>
      <c r="D190" s="67" t="s">
        <v>38</v>
      </c>
      <c r="E190" s="120" t="s">
        <v>45</v>
      </c>
      <c r="F190" s="67" t="s">
        <v>40</v>
      </c>
      <c r="G190" s="114">
        <v>10</v>
      </c>
      <c r="H190" s="67">
        <v>830</v>
      </c>
      <c r="I190" s="67">
        <v>820</v>
      </c>
      <c r="J190" s="67">
        <v>0</v>
      </c>
      <c r="K190" s="69">
        <v>0.83</v>
      </c>
      <c r="L190" s="69">
        <v>680.6</v>
      </c>
      <c r="M190" s="69">
        <v>0.03</v>
      </c>
      <c r="N190" s="70">
        <v>660</v>
      </c>
      <c r="O190" s="71"/>
      <c r="P190" s="53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</row>
    <row r="191" spans="1:32" hidden="1" x14ac:dyDescent="0.25">
      <c r="A191" s="223">
        <v>25</v>
      </c>
      <c r="B191" s="109">
        <v>44368</v>
      </c>
      <c r="C191" s="72" t="s">
        <v>37</v>
      </c>
      <c r="D191" s="72" t="s">
        <v>38</v>
      </c>
      <c r="E191" s="121" t="s">
        <v>45</v>
      </c>
      <c r="F191" s="41" t="s">
        <v>40</v>
      </c>
      <c r="G191" s="110">
        <v>10</v>
      </c>
      <c r="H191" s="41">
        <v>900</v>
      </c>
      <c r="I191" s="41">
        <v>820</v>
      </c>
      <c r="J191" s="41">
        <v>0</v>
      </c>
      <c r="K191" s="73">
        <v>0.83</v>
      </c>
      <c r="L191" s="73">
        <v>680.6</v>
      </c>
      <c r="M191" s="73">
        <v>0.03</v>
      </c>
      <c r="N191" s="74">
        <v>660</v>
      </c>
      <c r="O191" s="57" t="s">
        <v>98</v>
      </c>
      <c r="P191" s="53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</row>
    <row r="192" spans="1:32" hidden="1" x14ac:dyDescent="0.25">
      <c r="A192" s="224"/>
      <c r="B192" s="109">
        <v>44369</v>
      </c>
      <c r="C192" s="52" t="s">
        <v>42</v>
      </c>
      <c r="D192" s="52" t="s">
        <v>38</v>
      </c>
      <c r="E192" s="122" t="s">
        <v>45</v>
      </c>
      <c r="F192" s="53" t="s">
        <v>40</v>
      </c>
      <c r="G192" s="110">
        <v>10</v>
      </c>
      <c r="H192" s="53">
        <v>900</v>
      </c>
      <c r="I192" s="53">
        <v>850</v>
      </c>
      <c r="J192" s="53">
        <v>0</v>
      </c>
      <c r="K192" s="55">
        <v>0.83</v>
      </c>
      <c r="L192" s="55">
        <v>705.5</v>
      </c>
      <c r="M192" s="55">
        <v>0.03</v>
      </c>
      <c r="N192" s="56">
        <v>684</v>
      </c>
      <c r="O192" s="57"/>
      <c r="P192" s="53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</row>
    <row r="193" spans="1:32" hidden="1" x14ac:dyDescent="0.25">
      <c r="A193" s="224"/>
      <c r="B193" s="109">
        <v>44370</v>
      </c>
      <c r="C193" s="52" t="s">
        <v>46</v>
      </c>
      <c r="D193" s="52" t="s">
        <v>38</v>
      </c>
      <c r="E193" s="122" t="s">
        <v>45</v>
      </c>
      <c r="F193" s="53" t="s">
        <v>40</v>
      </c>
      <c r="G193" s="110">
        <v>5.9</v>
      </c>
      <c r="H193" s="53">
        <v>900</v>
      </c>
      <c r="I193" s="53">
        <v>865</v>
      </c>
      <c r="J193" s="53">
        <v>0</v>
      </c>
      <c r="K193" s="55">
        <v>0.83</v>
      </c>
      <c r="L193" s="55">
        <v>717.95</v>
      </c>
      <c r="M193" s="55">
        <v>0.03</v>
      </c>
      <c r="N193" s="56">
        <v>696</v>
      </c>
      <c r="O193" s="57"/>
      <c r="P193" s="53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</row>
    <row r="194" spans="1:32" hidden="1" x14ac:dyDescent="0.25">
      <c r="A194" s="224"/>
      <c r="B194" s="109">
        <v>44371</v>
      </c>
      <c r="C194" s="52" t="s">
        <v>50</v>
      </c>
      <c r="D194" s="52" t="s">
        <v>38</v>
      </c>
      <c r="E194" s="122" t="s">
        <v>45</v>
      </c>
      <c r="F194" s="53" t="s">
        <v>40</v>
      </c>
      <c r="G194" s="110">
        <v>5.9</v>
      </c>
      <c r="H194" s="53">
        <v>900</v>
      </c>
      <c r="I194" s="53">
        <v>880</v>
      </c>
      <c r="J194" s="53">
        <v>0</v>
      </c>
      <c r="K194" s="55">
        <v>0.83</v>
      </c>
      <c r="L194" s="55">
        <v>730.4</v>
      </c>
      <c r="M194" s="55">
        <v>0.03</v>
      </c>
      <c r="N194" s="56">
        <v>708</v>
      </c>
      <c r="O194" s="57" t="s">
        <v>100</v>
      </c>
      <c r="P194" s="53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</row>
    <row r="195" spans="1:32" hidden="1" x14ac:dyDescent="0.25">
      <c r="A195" s="224"/>
      <c r="B195" s="109">
        <v>44372</v>
      </c>
      <c r="C195" s="52" t="s">
        <v>53</v>
      </c>
      <c r="D195" s="52" t="s">
        <v>38</v>
      </c>
      <c r="E195" s="122" t="s">
        <v>45</v>
      </c>
      <c r="F195" s="53" t="s">
        <v>40</v>
      </c>
      <c r="G195" s="110">
        <v>5.9</v>
      </c>
      <c r="H195" s="53">
        <v>900</v>
      </c>
      <c r="I195" s="53">
        <v>900</v>
      </c>
      <c r="J195" s="53">
        <v>0</v>
      </c>
      <c r="K195" s="55">
        <v>0.83</v>
      </c>
      <c r="L195" s="55">
        <v>747</v>
      </c>
      <c r="M195" s="55">
        <v>0.03</v>
      </c>
      <c r="N195" s="56">
        <v>725</v>
      </c>
      <c r="O195" s="57"/>
      <c r="P195" s="53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</row>
    <row r="196" spans="1:32" hidden="1" x14ac:dyDescent="0.25">
      <c r="A196" s="224"/>
      <c r="B196" s="111">
        <v>44373</v>
      </c>
      <c r="C196" s="58" t="s">
        <v>57</v>
      </c>
      <c r="D196" s="59" t="s">
        <v>38</v>
      </c>
      <c r="E196" s="122" t="s">
        <v>45</v>
      </c>
      <c r="F196" s="60" t="s">
        <v>40</v>
      </c>
      <c r="G196" s="112">
        <v>3.9</v>
      </c>
      <c r="H196" s="60">
        <v>830</v>
      </c>
      <c r="I196" s="60">
        <v>820</v>
      </c>
      <c r="J196" s="60">
        <v>0</v>
      </c>
      <c r="K196" s="62">
        <v>0.83</v>
      </c>
      <c r="L196" s="62">
        <v>680.6</v>
      </c>
      <c r="M196" s="62">
        <v>0.03</v>
      </c>
      <c r="N196" s="63">
        <v>660</v>
      </c>
      <c r="O196" s="64"/>
      <c r="P196" s="53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</row>
    <row r="197" spans="1:32" ht="15.75" hidden="1" thickBot="1" x14ac:dyDescent="0.3">
      <c r="A197" s="225"/>
      <c r="B197" s="113">
        <v>44374</v>
      </c>
      <c r="C197" s="66" t="s">
        <v>59</v>
      </c>
      <c r="D197" s="67" t="s">
        <v>38</v>
      </c>
      <c r="E197" s="120" t="s">
        <v>45</v>
      </c>
      <c r="F197" s="67" t="s">
        <v>40</v>
      </c>
      <c r="G197" s="114">
        <v>3.9</v>
      </c>
      <c r="H197" s="67">
        <v>830</v>
      </c>
      <c r="I197" s="67">
        <v>820</v>
      </c>
      <c r="J197" s="67">
        <v>0</v>
      </c>
      <c r="K197" s="69">
        <v>0.83</v>
      </c>
      <c r="L197" s="69">
        <v>680.6</v>
      </c>
      <c r="M197" s="69">
        <v>0.03</v>
      </c>
      <c r="N197" s="70">
        <v>660</v>
      </c>
      <c r="O197" s="123" t="s">
        <v>81</v>
      </c>
      <c r="P197" s="53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</row>
    <row r="198" spans="1:32" hidden="1" x14ac:dyDescent="0.25">
      <c r="A198" s="223">
        <v>26</v>
      </c>
      <c r="B198" s="109">
        <v>44375</v>
      </c>
      <c r="C198" s="72" t="s">
        <v>37</v>
      </c>
      <c r="D198" s="72" t="s">
        <v>38</v>
      </c>
      <c r="E198" s="41" t="s">
        <v>55</v>
      </c>
      <c r="F198" s="41" t="s">
        <v>40</v>
      </c>
      <c r="G198" s="43">
        <v>3.9</v>
      </c>
      <c r="H198" s="41">
        <v>900</v>
      </c>
      <c r="I198" s="41">
        <v>835</v>
      </c>
      <c r="J198" s="41">
        <v>0</v>
      </c>
      <c r="K198" s="73">
        <v>0.85</v>
      </c>
      <c r="L198" s="73">
        <v>709.75</v>
      </c>
      <c r="M198" s="73">
        <v>0.03</v>
      </c>
      <c r="N198" s="74">
        <v>688</v>
      </c>
      <c r="O198" s="127" t="s">
        <v>101</v>
      </c>
      <c r="P198" s="53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</row>
    <row r="199" spans="1:32" hidden="1" x14ac:dyDescent="0.25">
      <c r="A199" s="224"/>
      <c r="B199" s="109">
        <v>44376</v>
      </c>
      <c r="C199" s="52" t="s">
        <v>42</v>
      </c>
      <c r="D199" s="52" t="s">
        <v>38</v>
      </c>
      <c r="E199" s="53" t="s">
        <v>55</v>
      </c>
      <c r="F199" s="53" t="s">
        <v>40</v>
      </c>
      <c r="G199" s="54">
        <v>3.9</v>
      </c>
      <c r="H199" s="53">
        <v>900</v>
      </c>
      <c r="I199" s="53">
        <v>850</v>
      </c>
      <c r="J199" s="53">
        <v>0</v>
      </c>
      <c r="K199" s="55">
        <v>0.85</v>
      </c>
      <c r="L199" s="55">
        <v>722.5</v>
      </c>
      <c r="M199" s="55">
        <v>0.03</v>
      </c>
      <c r="N199" s="56">
        <v>701</v>
      </c>
      <c r="O199" s="127" t="s">
        <v>101</v>
      </c>
      <c r="P199" s="53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</row>
    <row r="200" spans="1:32" hidden="1" x14ac:dyDescent="0.25">
      <c r="A200" s="224"/>
      <c r="B200" s="109">
        <v>44377</v>
      </c>
      <c r="C200" s="52" t="s">
        <v>46</v>
      </c>
      <c r="D200" s="52" t="s">
        <v>38</v>
      </c>
      <c r="E200" s="53" t="s">
        <v>55</v>
      </c>
      <c r="F200" s="53" t="s">
        <v>40</v>
      </c>
      <c r="G200" s="54">
        <v>3.9</v>
      </c>
      <c r="H200" s="53">
        <v>900</v>
      </c>
      <c r="I200" s="53">
        <v>865</v>
      </c>
      <c r="J200" s="53">
        <v>0</v>
      </c>
      <c r="K200" s="55">
        <v>0.85</v>
      </c>
      <c r="L200" s="55">
        <v>735.25</v>
      </c>
      <c r="M200" s="55">
        <v>0.03</v>
      </c>
      <c r="N200" s="56">
        <v>713</v>
      </c>
      <c r="O200" s="57"/>
      <c r="P200" s="53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</row>
    <row r="201" spans="1:32" hidden="1" x14ac:dyDescent="0.25">
      <c r="A201" s="224"/>
      <c r="B201" s="109">
        <v>44378</v>
      </c>
      <c r="C201" s="52" t="s">
        <v>50</v>
      </c>
      <c r="D201" s="52" t="s">
        <v>38</v>
      </c>
      <c r="E201" s="53" t="s">
        <v>55</v>
      </c>
      <c r="F201" s="53" t="s">
        <v>40</v>
      </c>
      <c r="G201" s="54">
        <v>3.9</v>
      </c>
      <c r="H201" s="53">
        <v>900</v>
      </c>
      <c r="I201" s="53">
        <v>880</v>
      </c>
      <c r="J201" s="53">
        <v>0</v>
      </c>
      <c r="K201" s="55">
        <v>0.85</v>
      </c>
      <c r="L201" s="55">
        <v>748</v>
      </c>
      <c r="M201" s="55">
        <v>0.03</v>
      </c>
      <c r="N201" s="56">
        <v>726</v>
      </c>
      <c r="O201" s="57"/>
      <c r="P201" s="53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</row>
    <row r="202" spans="1:32" hidden="1" x14ac:dyDescent="0.25">
      <c r="A202" s="224"/>
      <c r="B202" s="109">
        <v>44379</v>
      </c>
      <c r="C202" s="52" t="s">
        <v>53</v>
      </c>
      <c r="D202" s="52" t="s">
        <v>38</v>
      </c>
      <c r="E202" s="53" t="s">
        <v>39</v>
      </c>
      <c r="F202" s="53" t="s">
        <v>40</v>
      </c>
      <c r="G202" s="54">
        <v>3.9</v>
      </c>
      <c r="H202" s="53">
        <v>900</v>
      </c>
      <c r="I202" s="53">
        <v>900</v>
      </c>
      <c r="J202" s="53">
        <v>0</v>
      </c>
      <c r="K202" s="55">
        <v>0.85</v>
      </c>
      <c r="L202" s="55">
        <v>765</v>
      </c>
      <c r="M202" s="55">
        <v>0.03</v>
      </c>
      <c r="N202" s="56">
        <v>742</v>
      </c>
      <c r="O202" s="57"/>
      <c r="P202" s="53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</row>
    <row r="203" spans="1:32" hidden="1" x14ac:dyDescent="0.25">
      <c r="A203" s="224"/>
      <c r="B203" s="111">
        <v>44380</v>
      </c>
      <c r="C203" s="58" t="s">
        <v>57</v>
      </c>
      <c r="D203" s="59" t="s">
        <v>38</v>
      </c>
      <c r="E203" s="60" t="s">
        <v>39</v>
      </c>
      <c r="F203" s="60" t="s">
        <v>40</v>
      </c>
      <c r="G203" s="61">
        <v>3.9</v>
      </c>
      <c r="H203" s="60">
        <v>900</v>
      </c>
      <c r="I203" s="60">
        <v>900</v>
      </c>
      <c r="J203" s="60">
        <v>0</v>
      </c>
      <c r="K203" s="62">
        <v>0.85</v>
      </c>
      <c r="L203" s="62">
        <v>765</v>
      </c>
      <c r="M203" s="62">
        <v>0.03</v>
      </c>
      <c r="N203" s="63">
        <v>742</v>
      </c>
      <c r="O203" s="64" t="s">
        <v>102</v>
      </c>
      <c r="P203" s="53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</row>
    <row r="204" spans="1:32" ht="15.75" hidden="1" thickBot="1" x14ac:dyDescent="0.3">
      <c r="A204" s="225"/>
      <c r="B204" s="113">
        <v>44381</v>
      </c>
      <c r="C204" s="66" t="s">
        <v>59</v>
      </c>
      <c r="D204" s="67" t="s">
        <v>38</v>
      </c>
      <c r="E204" s="67" t="s">
        <v>39</v>
      </c>
      <c r="F204" s="67" t="s">
        <v>40</v>
      </c>
      <c r="G204" s="68">
        <v>3.9</v>
      </c>
      <c r="H204" s="67">
        <v>900</v>
      </c>
      <c r="I204" s="67">
        <v>900</v>
      </c>
      <c r="J204" s="67">
        <v>0</v>
      </c>
      <c r="K204" s="69">
        <v>0.85</v>
      </c>
      <c r="L204" s="69">
        <v>765</v>
      </c>
      <c r="M204" s="69">
        <v>0.03</v>
      </c>
      <c r="N204" s="70">
        <v>742</v>
      </c>
      <c r="O204" s="71"/>
      <c r="P204" s="53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</row>
    <row r="205" spans="1:32" hidden="1" x14ac:dyDescent="0.25">
      <c r="A205" s="223">
        <v>27</v>
      </c>
      <c r="B205" s="109">
        <v>44382</v>
      </c>
      <c r="C205" s="72" t="s">
        <v>37</v>
      </c>
      <c r="D205" s="72" t="s">
        <v>38</v>
      </c>
      <c r="E205" s="41" t="s">
        <v>39</v>
      </c>
      <c r="F205" s="41" t="s">
        <v>40</v>
      </c>
      <c r="G205" s="43">
        <v>5.9</v>
      </c>
      <c r="H205" s="41">
        <v>900</v>
      </c>
      <c r="I205" s="41">
        <v>900</v>
      </c>
      <c r="J205" s="41">
        <v>0</v>
      </c>
      <c r="K205" s="73">
        <v>0.85</v>
      </c>
      <c r="L205" s="73">
        <v>765</v>
      </c>
      <c r="M205" s="73">
        <v>0.03</v>
      </c>
      <c r="N205" s="74">
        <v>742</v>
      </c>
      <c r="O205" s="46"/>
      <c r="P205" s="53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</row>
    <row r="206" spans="1:32" hidden="1" x14ac:dyDescent="0.25">
      <c r="A206" s="224"/>
      <c r="B206" s="109">
        <v>44383</v>
      </c>
      <c r="C206" s="52" t="s">
        <v>42</v>
      </c>
      <c r="D206" s="52" t="s">
        <v>38</v>
      </c>
      <c r="E206" s="53" t="s">
        <v>39</v>
      </c>
      <c r="F206" s="53" t="s">
        <v>40</v>
      </c>
      <c r="G206" s="54">
        <v>5.9</v>
      </c>
      <c r="H206" s="53">
        <v>900</v>
      </c>
      <c r="I206" s="53">
        <v>900</v>
      </c>
      <c r="J206" s="53">
        <v>0</v>
      </c>
      <c r="K206" s="55">
        <v>0.85</v>
      </c>
      <c r="L206" s="55">
        <v>765</v>
      </c>
      <c r="M206" s="55">
        <v>0.03</v>
      </c>
      <c r="N206" s="56">
        <v>742</v>
      </c>
      <c r="O206" s="57" t="s">
        <v>102</v>
      </c>
      <c r="P206" s="53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</row>
    <row r="207" spans="1:32" hidden="1" x14ac:dyDescent="0.25">
      <c r="A207" s="224"/>
      <c r="B207" s="109">
        <v>44384</v>
      </c>
      <c r="C207" s="52" t="s">
        <v>46</v>
      </c>
      <c r="D207" s="52" t="s">
        <v>38</v>
      </c>
      <c r="E207" s="53" t="s">
        <v>39</v>
      </c>
      <c r="F207" s="53" t="s">
        <v>40</v>
      </c>
      <c r="G207" s="54">
        <v>5.9</v>
      </c>
      <c r="H207" s="53">
        <v>900</v>
      </c>
      <c r="I207" s="53">
        <v>900</v>
      </c>
      <c r="J207" s="53">
        <v>0</v>
      </c>
      <c r="K207" s="55">
        <v>0.85</v>
      </c>
      <c r="L207" s="55">
        <v>765</v>
      </c>
      <c r="M207" s="55">
        <v>0.03</v>
      </c>
      <c r="N207" s="56">
        <v>742</v>
      </c>
      <c r="O207" s="57"/>
      <c r="P207" s="53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</row>
    <row r="208" spans="1:32" hidden="1" x14ac:dyDescent="0.25">
      <c r="A208" s="224"/>
      <c r="B208" s="109">
        <v>44385</v>
      </c>
      <c r="C208" s="52" t="s">
        <v>50</v>
      </c>
      <c r="D208" s="52" t="s">
        <v>38</v>
      </c>
      <c r="E208" s="53" t="s">
        <v>39</v>
      </c>
      <c r="F208" s="53" t="s">
        <v>40</v>
      </c>
      <c r="G208" s="54">
        <v>5.9</v>
      </c>
      <c r="H208" s="53">
        <v>900</v>
      </c>
      <c r="I208" s="53">
        <v>900</v>
      </c>
      <c r="J208" s="53">
        <v>0</v>
      </c>
      <c r="K208" s="55">
        <v>0.85</v>
      </c>
      <c r="L208" s="55">
        <v>765</v>
      </c>
      <c r="M208" s="55">
        <v>0.03</v>
      </c>
      <c r="N208" s="56">
        <v>742</v>
      </c>
      <c r="O208" s="57" t="s">
        <v>103</v>
      </c>
      <c r="P208" s="53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</row>
    <row r="209" spans="1:32" hidden="1" x14ac:dyDescent="0.25">
      <c r="A209" s="224"/>
      <c r="B209" s="109">
        <v>44386</v>
      </c>
      <c r="C209" s="52" t="s">
        <v>53</v>
      </c>
      <c r="D209" s="52" t="s">
        <v>38</v>
      </c>
      <c r="E209" s="53" t="s">
        <v>39</v>
      </c>
      <c r="F209" s="53" t="s">
        <v>40</v>
      </c>
      <c r="G209" s="54">
        <v>4.9000000000000004</v>
      </c>
      <c r="H209" s="53">
        <v>900</v>
      </c>
      <c r="I209" s="53">
        <v>900</v>
      </c>
      <c r="J209" s="53">
        <v>0</v>
      </c>
      <c r="K209" s="55">
        <v>0.85</v>
      </c>
      <c r="L209" s="55">
        <v>765</v>
      </c>
      <c r="M209" s="55">
        <v>0.03</v>
      </c>
      <c r="N209" s="56">
        <v>742</v>
      </c>
      <c r="O209" s="57"/>
      <c r="P209" s="53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</row>
    <row r="210" spans="1:32" hidden="1" x14ac:dyDescent="0.25">
      <c r="A210" s="224"/>
      <c r="B210" s="111">
        <v>44387</v>
      </c>
      <c r="C210" s="58" t="s">
        <v>57</v>
      </c>
      <c r="D210" s="59" t="s">
        <v>38</v>
      </c>
      <c r="E210" s="60" t="s">
        <v>39</v>
      </c>
      <c r="F210" s="60" t="s">
        <v>40</v>
      </c>
      <c r="G210" s="61">
        <v>4.9000000000000004</v>
      </c>
      <c r="H210" s="60">
        <v>900</v>
      </c>
      <c r="I210" s="60">
        <v>900</v>
      </c>
      <c r="J210" s="60">
        <v>0</v>
      </c>
      <c r="K210" s="62">
        <v>0.85</v>
      </c>
      <c r="L210" s="62">
        <v>765</v>
      </c>
      <c r="M210" s="62">
        <v>0.03</v>
      </c>
      <c r="N210" s="63">
        <v>742</v>
      </c>
      <c r="O210" s="128" t="s">
        <v>104</v>
      </c>
      <c r="P210" s="53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</row>
    <row r="211" spans="1:32" ht="15.75" hidden="1" thickBot="1" x14ac:dyDescent="0.3">
      <c r="A211" s="225"/>
      <c r="B211" s="113">
        <v>44388</v>
      </c>
      <c r="C211" s="66" t="s">
        <v>59</v>
      </c>
      <c r="D211" s="67" t="s">
        <v>38</v>
      </c>
      <c r="E211" s="67" t="s">
        <v>39</v>
      </c>
      <c r="F211" s="67" t="s">
        <v>40</v>
      </c>
      <c r="G211" s="68">
        <v>4.9000000000000004</v>
      </c>
      <c r="H211" s="67">
        <v>900</v>
      </c>
      <c r="I211" s="67">
        <v>900</v>
      </c>
      <c r="J211" s="67">
        <v>0</v>
      </c>
      <c r="K211" s="69">
        <v>0.85</v>
      </c>
      <c r="L211" s="69">
        <v>765</v>
      </c>
      <c r="M211" s="69">
        <v>0.03</v>
      </c>
      <c r="N211" s="70">
        <v>742</v>
      </c>
      <c r="O211" s="71" t="s">
        <v>91</v>
      </c>
      <c r="P211" s="53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</row>
    <row r="212" spans="1:32" hidden="1" x14ac:dyDescent="0.25">
      <c r="A212" s="223">
        <v>28</v>
      </c>
      <c r="B212" s="96">
        <v>44389</v>
      </c>
      <c r="C212" s="72" t="s">
        <v>37</v>
      </c>
      <c r="D212" s="72" t="s">
        <v>38</v>
      </c>
      <c r="E212" s="41" t="s">
        <v>39</v>
      </c>
      <c r="F212" s="41" t="s">
        <v>40</v>
      </c>
      <c r="G212" s="43">
        <v>3.9</v>
      </c>
      <c r="H212" s="41">
        <v>0</v>
      </c>
      <c r="I212" s="41">
        <v>900</v>
      </c>
      <c r="J212" s="41">
        <v>0</v>
      </c>
      <c r="K212" s="73">
        <f t="shared" ref="K212:K243" si="7">VLOOKUP($D212&amp;$E212&amp;$F212&amp;YEAR($B212),$P:$AA,9,FALSE)</f>
        <v>0.85</v>
      </c>
      <c r="L212" s="73">
        <f t="shared" ref="L212:L275" si="8">IF(J212&lt;&gt;0,J212,I212)*K212</f>
        <v>765</v>
      </c>
      <c r="M212" s="73">
        <v>0</v>
      </c>
      <c r="N212" s="105">
        <f t="shared" ref="N212:N243" si="9">L212*(1-M212)</f>
        <v>765</v>
      </c>
      <c r="O212" s="46"/>
      <c r="P212" s="53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</row>
    <row r="213" spans="1:32" hidden="1" x14ac:dyDescent="0.25">
      <c r="A213" s="224"/>
      <c r="B213" s="96">
        <v>44390</v>
      </c>
      <c r="C213" s="52" t="s">
        <v>42</v>
      </c>
      <c r="D213" s="52" t="s">
        <v>38</v>
      </c>
      <c r="E213" s="53" t="s">
        <v>39</v>
      </c>
      <c r="F213" s="53" t="s">
        <v>40</v>
      </c>
      <c r="G213" s="54">
        <v>3.9</v>
      </c>
      <c r="H213" s="53">
        <v>0</v>
      </c>
      <c r="I213" s="53">
        <v>900</v>
      </c>
      <c r="J213" s="53">
        <v>0</v>
      </c>
      <c r="K213" s="55">
        <f t="shared" si="7"/>
        <v>0.85</v>
      </c>
      <c r="L213" s="55">
        <f t="shared" si="8"/>
        <v>765</v>
      </c>
      <c r="M213" s="55">
        <v>0</v>
      </c>
      <c r="N213" s="101">
        <f t="shared" si="9"/>
        <v>765</v>
      </c>
      <c r="O213" s="57" t="s">
        <v>105</v>
      </c>
      <c r="P213" s="53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</row>
    <row r="214" spans="1:32" hidden="1" x14ac:dyDescent="0.25">
      <c r="A214" s="224"/>
      <c r="B214" s="96">
        <v>44391</v>
      </c>
      <c r="C214" s="52" t="s">
        <v>46</v>
      </c>
      <c r="D214" s="52" t="s">
        <v>38</v>
      </c>
      <c r="E214" s="53" t="s">
        <v>39</v>
      </c>
      <c r="F214" s="53" t="s">
        <v>40</v>
      </c>
      <c r="G214" s="54">
        <v>3.9</v>
      </c>
      <c r="H214" s="53">
        <v>0</v>
      </c>
      <c r="I214" s="53">
        <v>900</v>
      </c>
      <c r="J214" s="53">
        <v>0</v>
      </c>
      <c r="K214" s="55">
        <f t="shared" si="7"/>
        <v>0.85</v>
      </c>
      <c r="L214" s="55">
        <f t="shared" si="8"/>
        <v>765</v>
      </c>
      <c r="M214" s="55">
        <v>0</v>
      </c>
      <c r="N214" s="101">
        <f t="shared" si="9"/>
        <v>765</v>
      </c>
      <c r="O214" s="57"/>
      <c r="P214" s="53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</row>
    <row r="215" spans="1:32" hidden="1" x14ac:dyDescent="0.25">
      <c r="A215" s="224"/>
      <c r="B215" s="96">
        <v>44392</v>
      </c>
      <c r="C215" s="52" t="s">
        <v>50</v>
      </c>
      <c r="D215" s="52" t="s">
        <v>38</v>
      </c>
      <c r="E215" s="53" t="s">
        <v>39</v>
      </c>
      <c r="F215" s="53" t="s">
        <v>40</v>
      </c>
      <c r="G215" s="54">
        <v>5.9</v>
      </c>
      <c r="H215" s="53">
        <v>0</v>
      </c>
      <c r="I215" s="53">
        <v>900</v>
      </c>
      <c r="J215" s="53">
        <v>0</v>
      </c>
      <c r="K215" s="55">
        <f t="shared" si="7"/>
        <v>0.85</v>
      </c>
      <c r="L215" s="55">
        <f t="shared" si="8"/>
        <v>765</v>
      </c>
      <c r="M215" s="55">
        <v>0</v>
      </c>
      <c r="N215" s="101">
        <f t="shared" si="9"/>
        <v>765</v>
      </c>
      <c r="O215" s="57"/>
      <c r="P215" s="53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</row>
    <row r="216" spans="1:32" hidden="1" x14ac:dyDescent="0.25">
      <c r="A216" s="224"/>
      <c r="B216" s="96">
        <v>44393</v>
      </c>
      <c r="C216" s="52" t="s">
        <v>53</v>
      </c>
      <c r="D216" s="52" t="s">
        <v>38</v>
      </c>
      <c r="E216" s="53" t="s">
        <v>39</v>
      </c>
      <c r="F216" s="53" t="s">
        <v>40</v>
      </c>
      <c r="G216" s="54">
        <v>8</v>
      </c>
      <c r="H216" s="53">
        <v>0</v>
      </c>
      <c r="I216" s="53">
        <v>900</v>
      </c>
      <c r="J216" s="53">
        <v>0</v>
      </c>
      <c r="K216" s="55">
        <f t="shared" si="7"/>
        <v>0.85</v>
      </c>
      <c r="L216" s="55">
        <f t="shared" si="8"/>
        <v>765</v>
      </c>
      <c r="M216" s="55">
        <v>0</v>
      </c>
      <c r="N216" s="101">
        <f t="shared" si="9"/>
        <v>765</v>
      </c>
      <c r="O216" s="57"/>
      <c r="P216" s="53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</row>
    <row r="217" spans="1:32" hidden="1" x14ac:dyDescent="0.25">
      <c r="A217" s="224"/>
      <c r="B217" s="97">
        <v>44394</v>
      </c>
      <c r="C217" s="58" t="s">
        <v>57</v>
      </c>
      <c r="D217" s="59" t="s">
        <v>38</v>
      </c>
      <c r="E217" s="60" t="s">
        <v>39</v>
      </c>
      <c r="F217" s="60" t="s">
        <v>40</v>
      </c>
      <c r="G217" s="61">
        <v>8</v>
      </c>
      <c r="H217" s="60">
        <v>0</v>
      </c>
      <c r="I217" s="60">
        <v>900</v>
      </c>
      <c r="J217" s="60">
        <v>0</v>
      </c>
      <c r="K217" s="62">
        <f t="shared" si="7"/>
        <v>0.85</v>
      </c>
      <c r="L217" s="62">
        <f t="shared" si="8"/>
        <v>765</v>
      </c>
      <c r="M217" s="62">
        <v>0</v>
      </c>
      <c r="N217" s="102">
        <f t="shared" si="9"/>
        <v>765</v>
      </c>
      <c r="O217" s="64"/>
      <c r="P217" s="53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</row>
    <row r="218" spans="1:32" ht="15.75" hidden="1" thickBot="1" x14ac:dyDescent="0.3">
      <c r="A218" s="225"/>
      <c r="B218" s="98">
        <v>44395</v>
      </c>
      <c r="C218" s="66" t="s">
        <v>59</v>
      </c>
      <c r="D218" s="67" t="s">
        <v>38</v>
      </c>
      <c r="E218" s="67" t="s">
        <v>39</v>
      </c>
      <c r="F218" s="67" t="s">
        <v>40</v>
      </c>
      <c r="G218" s="68">
        <v>8</v>
      </c>
      <c r="H218" s="67">
        <v>0</v>
      </c>
      <c r="I218" s="67">
        <v>900</v>
      </c>
      <c r="J218" s="67">
        <v>0</v>
      </c>
      <c r="K218" s="69">
        <f t="shared" si="7"/>
        <v>0.85</v>
      </c>
      <c r="L218" s="69">
        <f t="shared" si="8"/>
        <v>765</v>
      </c>
      <c r="M218" s="69">
        <v>0</v>
      </c>
      <c r="N218" s="103">
        <f t="shared" si="9"/>
        <v>765</v>
      </c>
      <c r="O218" s="71"/>
      <c r="P218" s="53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</row>
    <row r="219" spans="1:32" hidden="1" x14ac:dyDescent="0.25">
      <c r="A219" s="223">
        <v>29</v>
      </c>
      <c r="B219" s="96">
        <v>44396</v>
      </c>
      <c r="C219" s="72" t="s">
        <v>37</v>
      </c>
      <c r="D219" s="72" t="s">
        <v>38</v>
      </c>
      <c r="E219" s="41" t="s">
        <v>39</v>
      </c>
      <c r="F219" s="41" t="s">
        <v>40</v>
      </c>
      <c r="G219" s="43">
        <v>10</v>
      </c>
      <c r="H219" s="41">
        <v>0</v>
      </c>
      <c r="I219" s="41">
        <v>900</v>
      </c>
      <c r="J219" s="41">
        <v>0</v>
      </c>
      <c r="K219" s="73">
        <f t="shared" si="7"/>
        <v>0.85</v>
      </c>
      <c r="L219" s="73">
        <f t="shared" si="8"/>
        <v>765</v>
      </c>
      <c r="M219" s="73">
        <v>0</v>
      </c>
      <c r="N219" s="105">
        <f t="shared" si="9"/>
        <v>765</v>
      </c>
      <c r="O219" s="46"/>
      <c r="P219" s="53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</row>
    <row r="220" spans="1:32" hidden="1" x14ac:dyDescent="0.25">
      <c r="A220" s="224"/>
      <c r="B220" s="96">
        <v>44397</v>
      </c>
      <c r="C220" s="52" t="s">
        <v>42</v>
      </c>
      <c r="D220" s="52" t="s">
        <v>38</v>
      </c>
      <c r="E220" s="53" t="s">
        <v>39</v>
      </c>
      <c r="F220" s="53" t="s">
        <v>40</v>
      </c>
      <c r="G220" s="54">
        <v>12</v>
      </c>
      <c r="H220" s="53">
        <v>0</v>
      </c>
      <c r="I220" s="53">
        <v>900</v>
      </c>
      <c r="J220" s="53">
        <v>0</v>
      </c>
      <c r="K220" s="55">
        <f t="shared" si="7"/>
        <v>0.85</v>
      </c>
      <c r="L220" s="55">
        <f t="shared" si="8"/>
        <v>765</v>
      </c>
      <c r="M220" s="55">
        <v>0</v>
      </c>
      <c r="N220" s="101">
        <f t="shared" si="9"/>
        <v>765</v>
      </c>
      <c r="O220" s="57"/>
      <c r="P220" s="53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</row>
    <row r="221" spans="1:32" hidden="1" x14ac:dyDescent="0.25">
      <c r="A221" s="224"/>
      <c r="B221" s="96">
        <v>44398</v>
      </c>
      <c r="C221" s="52" t="s">
        <v>46</v>
      </c>
      <c r="D221" s="52" t="s">
        <v>38</v>
      </c>
      <c r="E221" s="53" t="s">
        <v>39</v>
      </c>
      <c r="F221" s="53" t="s">
        <v>40</v>
      </c>
      <c r="G221" s="54">
        <v>12</v>
      </c>
      <c r="H221" s="53">
        <v>0</v>
      </c>
      <c r="I221" s="53">
        <v>900</v>
      </c>
      <c r="J221" s="53">
        <v>0</v>
      </c>
      <c r="K221" s="55">
        <f t="shared" si="7"/>
        <v>0.85</v>
      </c>
      <c r="L221" s="55">
        <f t="shared" si="8"/>
        <v>765</v>
      </c>
      <c r="M221" s="55">
        <v>0</v>
      </c>
      <c r="N221" s="101">
        <f t="shared" si="9"/>
        <v>765</v>
      </c>
      <c r="O221" s="57"/>
      <c r="P221" s="53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</row>
    <row r="222" spans="1:32" hidden="1" x14ac:dyDescent="0.25">
      <c r="A222" s="224"/>
      <c r="B222" s="96">
        <v>44399</v>
      </c>
      <c r="C222" s="52" t="s">
        <v>50</v>
      </c>
      <c r="D222" s="52" t="s">
        <v>38</v>
      </c>
      <c r="E222" s="53" t="s">
        <v>39</v>
      </c>
      <c r="F222" s="53" t="s">
        <v>40</v>
      </c>
      <c r="G222" s="54">
        <v>12</v>
      </c>
      <c r="H222" s="53">
        <v>0</v>
      </c>
      <c r="I222" s="53">
        <v>900</v>
      </c>
      <c r="J222" s="53">
        <v>0</v>
      </c>
      <c r="K222" s="55">
        <f t="shared" si="7"/>
        <v>0.85</v>
      </c>
      <c r="L222" s="55">
        <f t="shared" si="8"/>
        <v>765</v>
      </c>
      <c r="M222" s="55">
        <v>0</v>
      </c>
      <c r="N222" s="101">
        <f t="shared" si="9"/>
        <v>765</v>
      </c>
      <c r="O222" s="57"/>
      <c r="P222" s="53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</row>
    <row r="223" spans="1:32" hidden="1" x14ac:dyDescent="0.25">
      <c r="A223" s="224"/>
      <c r="B223" s="96">
        <v>44400</v>
      </c>
      <c r="C223" s="52" t="s">
        <v>53</v>
      </c>
      <c r="D223" s="52" t="s">
        <v>38</v>
      </c>
      <c r="E223" s="53" t="s">
        <v>39</v>
      </c>
      <c r="F223" s="53" t="s">
        <v>40</v>
      </c>
      <c r="G223" s="54">
        <v>10</v>
      </c>
      <c r="H223" s="53">
        <v>0</v>
      </c>
      <c r="I223" s="53">
        <v>900</v>
      </c>
      <c r="J223" s="53">
        <v>0</v>
      </c>
      <c r="K223" s="55">
        <f t="shared" si="7"/>
        <v>0.85</v>
      </c>
      <c r="L223" s="55">
        <f t="shared" si="8"/>
        <v>765</v>
      </c>
      <c r="M223" s="55">
        <v>0</v>
      </c>
      <c r="N223" s="101">
        <f t="shared" si="9"/>
        <v>765</v>
      </c>
      <c r="O223" s="57"/>
      <c r="P223" s="53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</row>
    <row r="224" spans="1:32" hidden="1" x14ac:dyDescent="0.25">
      <c r="A224" s="224"/>
      <c r="B224" s="97">
        <v>44401</v>
      </c>
      <c r="C224" s="58" t="s">
        <v>57</v>
      </c>
      <c r="D224" s="59" t="s">
        <v>38</v>
      </c>
      <c r="E224" s="60" t="s">
        <v>39</v>
      </c>
      <c r="F224" s="60" t="s">
        <v>40</v>
      </c>
      <c r="G224" s="61">
        <v>10</v>
      </c>
      <c r="H224" s="60">
        <v>0</v>
      </c>
      <c r="I224" s="60">
        <v>900</v>
      </c>
      <c r="J224" s="60">
        <v>0</v>
      </c>
      <c r="K224" s="62">
        <f t="shared" si="7"/>
        <v>0.85</v>
      </c>
      <c r="L224" s="62">
        <f t="shared" si="8"/>
        <v>765</v>
      </c>
      <c r="M224" s="62">
        <v>0</v>
      </c>
      <c r="N224" s="102">
        <f t="shared" si="9"/>
        <v>765</v>
      </c>
      <c r="O224" s="64"/>
      <c r="P224" s="53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</row>
    <row r="225" spans="1:32" ht="15.75" hidden="1" thickBot="1" x14ac:dyDescent="0.3">
      <c r="A225" s="225"/>
      <c r="B225" s="98">
        <v>44402</v>
      </c>
      <c r="C225" s="66" t="s">
        <v>59</v>
      </c>
      <c r="D225" s="67" t="s">
        <v>38</v>
      </c>
      <c r="E225" s="67" t="s">
        <v>39</v>
      </c>
      <c r="F225" s="67" t="s">
        <v>40</v>
      </c>
      <c r="G225" s="68">
        <v>10</v>
      </c>
      <c r="H225" s="67">
        <v>0</v>
      </c>
      <c r="I225" s="67">
        <v>900</v>
      </c>
      <c r="J225" s="67">
        <v>0</v>
      </c>
      <c r="K225" s="69">
        <f t="shared" si="7"/>
        <v>0.85</v>
      </c>
      <c r="L225" s="69">
        <f t="shared" si="8"/>
        <v>765</v>
      </c>
      <c r="M225" s="69">
        <v>0</v>
      </c>
      <c r="N225" s="103">
        <f t="shared" si="9"/>
        <v>765</v>
      </c>
      <c r="O225" s="71"/>
      <c r="P225" s="53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</row>
    <row r="226" spans="1:32" hidden="1" x14ac:dyDescent="0.25">
      <c r="A226" s="223">
        <v>30</v>
      </c>
      <c r="B226" s="96">
        <v>44403</v>
      </c>
      <c r="C226" s="72" t="s">
        <v>37</v>
      </c>
      <c r="D226" s="72" t="s">
        <v>38</v>
      </c>
      <c r="E226" s="41" t="s">
        <v>39</v>
      </c>
      <c r="F226" s="41" t="s">
        <v>40</v>
      </c>
      <c r="G226" s="43">
        <v>8</v>
      </c>
      <c r="H226" s="41">
        <v>0</v>
      </c>
      <c r="I226" s="41">
        <v>900</v>
      </c>
      <c r="J226" s="41">
        <v>0</v>
      </c>
      <c r="K226" s="73">
        <f t="shared" si="7"/>
        <v>0.85</v>
      </c>
      <c r="L226" s="73">
        <f t="shared" si="8"/>
        <v>765</v>
      </c>
      <c r="M226" s="73">
        <v>0</v>
      </c>
      <c r="N226" s="105">
        <f t="shared" si="9"/>
        <v>765</v>
      </c>
      <c r="O226" s="46" t="s">
        <v>106</v>
      </c>
      <c r="P226" s="53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</row>
    <row r="227" spans="1:32" hidden="1" x14ac:dyDescent="0.25">
      <c r="A227" s="224"/>
      <c r="B227" s="96">
        <v>44404</v>
      </c>
      <c r="C227" s="52" t="s">
        <v>42</v>
      </c>
      <c r="D227" s="52" t="s">
        <v>38</v>
      </c>
      <c r="E227" s="53" t="s">
        <v>39</v>
      </c>
      <c r="F227" s="53" t="s">
        <v>40</v>
      </c>
      <c r="G227" s="54">
        <v>5.9</v>
      </c>
      <c r="H227" s="53">
        <v>0</v>
      </c>
      <c r="I227" s="53">
        <v>0</v>
      </c>
      <c r="J227" s="53">
        <v>0</v>
      </c>
      <c r="K227" s="55">
        <f t="shared" si="7"/>
        <v>0.85</v>
      </c>
      <c r="L227" s="55">
        <f t="shared" si="8"/>
        <v>0</v>
      </c>
      <c r="M227" s="55">
        <v>0</v>
      </c>
      <c r="N227" s="101">
        <f t="shared" si="9"/>
        <v>0</v>
      </c>
      <c r="O227" s="127"/>
      <c r="P227" s="53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</row>
    <row r="228" spans="1:32" hidden="1" x14ac:dyDescent="0.25">
      <c r="A228" s="224"/>
      <c r="B228" s="96">
        <v>44405</v>
      </c>
      <c r="C228" s="52" t="s">
        <v>46</v>
      </c>
      <c r="D228" s="52" t="s">
        <v>38</v>
      </c>
      <c r="E228" s="53" t="s">
        <v>39</v>
      </c>
      <c r="F228" s="53" t="s">
        <v>40</v>
      </c>
      <c r="G228" s="54">
        <v>3.9</v>
      </c>
      <c r="H228" s="53">
        <v>0</v>
      </c>
      <c r="I228" s="53">
        <v>0</v>
      </c>
      <c r="J228" s="53">
        <v>0</v>
      </c>
      <c r="K228" s="55">
        <f t="shared" si="7"/>
        <v>0.85</v>
      </c>
      <c r="L228" s="55">
        <f t="shared" si="8"/>
        <v>0</v>
      </c>
      <c r="M228" s="55">
        <v>0</v>
      </c>
      <c r="N228" s="101">
        <f t="shared" si="9"/>
        <v>0</v>
      </c>
      <c r="O228" s="127"/>
      <c r="P228" s="53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</row>
    <row r="229" spans="1:32" hidden="1" x14ac:dyDescent="0.25">
      <c r="A229" s="224"/>
      <c r="B229" s="96">
        <v>44406</v>
      </c>
      <c r="C229" s="52" t="s">
        <v>50</v>
      </c>
      <c r="D229" s="52" t="s">
        <v>38</v>
      </c>
      <c r="E229" s="53" t="s">
        <v>39</v>
      </c>
      <c r="F229" s="53" t="s">
        <v>40</v>
      </c>
      <c r="G229" s="54">
        <v>3.9</v>
      </c>
      <c r="H229" s="53">
        <v>0</v>
      </c>
      <c r="I229" s="53">
        <v>0</v>
      </c>
      <c r="J229" s="53">
        <v>0</v>
      </c>
      <c r="K229" s="55">
        <f t="shared" si="7"/>
        <v>0.85</v>
      </c>
      <c r="L229" s="55">
        <f t="shared" si="8"/>
        <v>0</v>
      </c>
      <c r="M229" s="55">
        <v>0</v>
      </c>
      <c r="N229" s="101">
        <f t="shared" si="9"/>
        <v>0</v>
      </c>
      <c r="O229" s="127" t="s">
        <v>107</v>
      </c>
      <c r="P229" s="53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</row>
    <row r="230" spans="1:32" hidden="1" x14ac:dyDescent="0.25">
      <c r="A230" s="224"/>
      <c r="B230" s="96">
        <v>44407</v>
      </c>
      <c r="C230" s="52" t="s">
        <v>53</v>
      </c>
      <c r="D230" s="52" t="s">
        <v>38</v>
      </c>
      <c r="E230" s="53" t="s">
        <v>39</v>
      </c>
      <c r="F230" s="53" t="s">
        <v>40</v>
      </c>
      <c r="G230" s="54">
        <v>3.9</v>
      </c>
      <c r="H230" s="53">
        <v>0</v>
      </c>
      <c r="I230" s="53">
        <v>800</v>
      </c>
      <c r="J230" s="53">
        <v>0</v>
      </c>
      <c r="K230" s="55">
        <f t="shared" si="7"/>
        <v>0.85</v>
      </c>
      <c r="L230" s="55">
        <f t="shared" si="8"/>
        <v>680</v>
      </c>
      <c r="M230" s="55">
        <v>0</v>
      </c>
      <c r="N230" s="101">
        <f t="shared" si="9"/>
        <v>680</v>
      </c>
      <c r="O230" s="57"/>
      <c r="P230" s="53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</row>
    <row r="231" spans="1:32" hidden="1" x14ac:dyDescent="0.25">
      <c r="A231" s="224"/>
      <c r="B231" s="97">
        <v>44408</v>
      </c>
      <c r="C231" s="58" t="s">
        <v>57</v>
      </c>
      <c r="D231" s="59" t="s">
        <v>38</v>
      </c>
      <c r="E231" s="60" t="s">
        <v>39</v>
      </c>
      <c r="F231" s="60" t="s">
        <v>40</v>
      </c>
      <c r="G231" s="61">
        <v>3.9</v>
      </c>
      <c r="H231" s="60">
        <v>0</v>
      </c>
      <c r="I231" s="60">
        <v>800</v>
      </c>
      <c r="J231" s="60">
        <v>0</v>
      </c>
      <c r="K231" s="62">
        <f t="shared" si="7"/>
        <v>0.85</v>
      </c>
      <c r="L231" s="62">
        <f t="shared" si="8"/>
        <v>680</v>
      </c>
      <c r="M231" s="62">
        <v>0</v>
      </c>
      <c r="N231" s="102">
        <f t="shared" si="9"/>
        <v>680</v>
      </c>
      <c r="O231" s="64"/>
      <c r="P231" s="53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</row>
    <row r="232" spans="1:32" ht="15.75" hidden="1" thickBot="1" x14ac:dyDescent="0.3">
      <c r="A232" s="225"/>
      <c r="B232" s="98">
        <v>44409</v>
      </c>
      <c r="C232" s="66" t="s">
        <v>59</v>
      </c>
      <c r="D232" s="67" t="s">
        <v>38</v>
      </c>
      <c r="E232" s="67" t="s">
        <v>39</v>
      </c>
      <c r="F232" s="67" t="s">
        <v>40</v>
      </c>
      <c r="G232" s="68">
        <v>3.9</v>
      </c>
      <c r="H232" s="67">
        <v>0</v>
      </c>
      <c r="I232" s="67">
        <v>800</v>
      </c>
      <c r="J232" s="67">
        <v>0</v>
      </c>
      <c r="K232" s="69">
        <f t="shared" si="7"/>
        <v>0.85</v>
      </c>
      <c r="L232" s="69">
        <f t="shared" si="8"/>
        <v>680</v>
      </c>
      <c r="M232" s="69">
        <v>0</v>
      </c>
      <c r="N232" s="103">
        <f t="shared" si="9"/>
        <v>680</v>
      </c>
      <c r="O232" s="71"/>
      <c r="P232" s="53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</row>
    <row r="233" spans="1:32" hidden="1" x14ac:dyDescent="0.25">
      <c r="A233" s="223">
        <v>31</v>
      </c>
      <c r="B233" s="96">
        <v>44410</v>
      </c>
      <c r="C233" s="72" t="s">
        <v>37</v>
      </c>
      <c r="D233" s="72" t="s">
        <v>38</v>
      </c>
      <c r="E233" s="41" t="s">
        <v>39</v>
      </c>
      <c r="F233" s="41" t="s">
        <v>40</v>
      </c>
      <c r="G233" s="12">
        <v>3.9</v>
      </c>
      <c r="H233" s="41">
        <v>0</v>
      </c>
      <c r="I233" s="41">
        <v>820</v>
      </c>
      <c r="J233" s="41">
        <v>0</v>
      </c>
      <c r="K233" s="73">
        <f t="shared" si="7"/>
        <v>0.85</v>
      </c>
      <c r="L233" s="73">
        <f t="shared" si="8"/>
        <v>697</v>
      </c>
      <c r="M233" s="73">
        <v>0</v>
      </c>
      <c r="N233" s="105">
        <f t="shared" si="9"/>
        <v>697</v>
      </c>
      <c r="O233" s="57"/>
      <c r="P233" s="53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</row>
    <row r="234" spans="1:32" hidden="1" x14ac:dyDescent="0.25">
      <c r="A234" s="224"/>
      <c r="B234" s="96">
        <v>44411</v>
      </c>
      <c r="C234" s="52" t="s">
        <v>42</v>
      </c>
      <c r="D234" s="52" t="s">
        <v>38</v>
      </c>
      <c r="E234" s="53" t="s">
        <v>39</v>
      </c>
      <c r="F234" s="53" t="s">
        <v>40</v>
      </c>
      <c r="G234" s="43">
        <v>3.9</v>
      </c>
      <c r="H234" s="53">
        <v>0</v>
      </c>
      <c r="I234" s="53">
        <v>830</v>
      </c>
      <c r="J234" s="53">
        <v>0</v>
      </c>
      <c r="K234" s="55">
        <f t="shared" si="7"/>
        <v>0.85</v>
      </c>
      <c r="L234" s="55">
        <f t="shared" si="8"/>
        <v>705.5</v>
      </c>
      <c r="M234" s="55">
        <v>0</v>
      </c>
      <c r="N234" s="101">
        <f t="shared" si="9"/>
        <v>705.5</v>
      </c>
      <c r="O234" s="57"/>
      <c r="P234" s="53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</row>
    <row r="235" spans="1:32" hidden="1" x14ac:dyDescent="0.25">
      <c r="A235" s="224"/>
      <c r="B235" s="96">
        <v>44412</v>
      </c>
      <c r="C235" s="52" t="s">
        <v>46</v>
      </c>
      <c r="D235" s="52" t="s">
        <v>38</v>
      </c>
      <c r="E235" s="53" t="s">
        <v>39</v>
      </c>
      <c r="F235" s="53" t="s">
        <v>40</v>
      </c>
      <c r="G235" s="54">
        <v>3.9</v>
      </c>
      <c r="H235" s="53">
        <v>0</v>
      </c>
      <c r="I235" s="53">
        <v>840</v>
      </c>
      <c r="J235" s="53">
        <v>0</v>
      </c>
      <c r="K235" s="55">
        <f t="shared" si="7"/>
        <v>0.85</v>
      </c>
      <c r="L235" s="55">
        <f t="shared" si="8"/>
        <v>714</v>
      </c>
      <c r="M235" s="55">
        <v>0</v>
      </c>
      <c r="N235" s="101">
        <f t="shared" si="9"/>
        <v>714</v>
      </c>
      <c r="O235" s="57"/>
      <c r="P235" s="53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</row>
    <row r="236" spans="1:32" hidden="1" x14ac:dyDescent="0.25">
      <c r="A236" s="224"/>
      <c r="B236" s="96">
        <v>44413</v>
      </c>
      <c r="C236" s="52" t="s">
        <v>50</v>
      </c>
      <c r="D236" s="52" t="s">
        <v>38</v>
      </c>
      <c r="E236" s="53" t="s">
        <v>39</v>
      </c>
      <c r="F236" s="53" t="s">
        <v>40</v>
      </c>
      <c r="G236" s="54">
        <v>3.9</v>
      </c>
      <c r="H236" s="53">
        <v>0</v>
      </c>
      <c r="I236" s="53">
        <v>850</v>
      </c>
      <c r="J236" s="53">
        <v>0</v>
      </c>
      <c r="K236" s="55">
        <f t="shared" si="7"/>
        <v>0.85</v>
      </c>
      <c r="L236" s="55">
        <f t="shared" si="8"/>
        <v>722.5</v>
      </c>
      <c r="M236" s="55">
        <v>0</v>
      </c>
      <c r="N236" s="101">
        <f t="shared" si="9"/>
        <v>722.5</v>
      </c>
      <c r="O236" s="91"/>
      <c r="P236" s="53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</row>
    <row r="237" spans="1:32" hidden="1" x14ac:dyDescent="0.25">
      <c r="A237" s="224"/>
      <c r="B237" s="96">
        <v>44414</v>
      </c>
      <c r="C237" s="52" t="s">
        <v>53</v>
      </c>
      <c r="D237" s="52" t="s">
        <v>38</v>
      </c>
      <c r="E237" s="53" t="s">
        <v>39</v>
      </c>
      <c r="F237" s="53" t="s">
        <v>40</v>
      </c>
      <c r="G237" s="54">
        <v>5.9</v>
      </c>
      <c r="H237" s="53">
        <v>0</v>
      </c>
      <c r="I237" s="53">
        <v>860</v>
      </c>
      <c r="J237" s="53">
        <v>0</v>
      </c>
      <c r="K237" s="55">
        <f t="shared" si="7"/>
        <v>0.85</v>
      </c>
      <c r="L237" s="55">
        <f t="shared" si="8"/>
        <v>731</v>
      </c>
      <c r="M237" s="55">
        <v>0</v>
      </c>
      <c r="N237" s="101">
        <f t="shared" si="9"/>
        <v>731</v>
      </c>
      <c r="O237" s="91"/>
      <c r="P237" s="53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</row>
    <row r="238" spans="1:32" hidden="1" x14ac:dyDescent="0.25">
      <c r="A238" s="224"/>
      <c r="B238" s="97">
        <v>44415</v>
      </c>
      <c r="C238" s="58" t="s">
        <v>57</v>
      </c>
      <c r="D238" s="59" t="s">
        <v>38</v>
      </c>
      <c r="E238" s="60" t="s">
        <v>39</v>
      </c>
      <c r="F238" s="60" t="s">
        <v>40</v>
      </c>
      <c r="G238" s="61">
        <v>5.9</v>
      </c>
      <c r="H238" s="60">
        <v>0</v>
      </c>
      <c r="I238" s="60">
        <v>870</v>
      </c>
      <c r="J238" s="60">
        <v>0</v>
      </c>
      <c r="K238" s="62">
        <f t="shared" si="7"/>
        <v>0.85</v>
      </c>
      <c r="L238" s="62">
        <f t="shared" si="8"/>
        <v>739.5</v>
      </c>
      <c r="M238" s="62">
        <v>0</v>
      </c>
      <c r="N238" s="102">
        <f t="shared" si="9"/>
        <v>739.5</v>
      </c>
      <c r="O238" s="64"/>
      <c r="P238" s="53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</row>
    <row r="239" spans="1:32" ht="15.75" hidden="1" thickBot="1" x14ac:dyDescent="0.3">
      <c r="A239" s="225"/>
      <c r="B239" s="98">
        <v>44416</v>
      </c>
      <c r="C239" s="66" t="s">
        <v>59</v>
      </c>
      <c r="D239" s="67" t="s">
        <v>38</v>
      </c>
      <c r="E239" s="67" t="s">
        <v>39</v>
      </c>
      <c r="F239" s="67" t="s">
        <v>40</v>
      </c>
      <c r="G239" s="68">
        <v>5.9</v>
      </c>
      <c r="H239" s="67">
        <v>0</v>
      </c>
      <c r="I239" s="67">
        <v>880</v>
      </c>
      <c r="J239" s="67">
        <v>0</v>
      </c>
      <c r="K239" s="69">
        <f t="shared" si="7"/>
        <v>0.85</v>
      </c>
      <c r="L239" s="69">
        <f t="shared" si="8"/>
        <v>748</v>
      </c>
      <c r="M239" s="69">
        <v>0</v>
      </c>
      <c r="N239" s="103">
        <f t="shared" si="9"/>
        <v>748</v>
      </c>
      <c r="O239" s="71"/>
      <c r="P239" s="53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</row>
    <row r="240" spans="1:32" hidden="1" x14ac:dyDescent="0.25">
      <c r="A240" s="223">
        <v>32</v>
      </c>
      <c r="B240" s="96">
        <v>44417</v>
      </c>
      <c r="C240" s="72" t="s">
        <v>37</v>
      </c>
      <c r="D240" s="72" t="s">
        <v>38</v>
      </c>
      <c r="E240" s="41" t="s">
        <v>39</v>
      </c>
      <c r="F240" s="41" t="s">
        <v>40</v>
      </c>
      <c r="G240" s="43">
        <v>5.9</v>
      </c>
      <c r="H240" s="41">
        <v>0</v>
      </c>
      <c r="I240" s="41">
        <v>890</v>
      </c>
      <c r="J240" s="41">
        <v>0</v>
      </c>
      <c r="K240" s="73">
        <f t="shared" si="7"/>
        <v>0.85</v>
      </c>
      <c r="L240" s="73">
        <f t="shared" si="8"/>
        <v>756.5</v>
      </c>
      <c r="M240" s="73">
        <v>0</v>
      </c>
      <c r="N240" s="105">
        <f t="shared" si="9"/>
        <v>756.5</v>
      </c>
      <c r="O240" s="46"/>
      <c r="P240" s="53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spans="1:32" hidden="1" x14ac:dyDescent="0.25">
      <c r="A241" s="224"/>
      <c r="B241" s="96">
        <v>44418</v>
      </c>
      <c r="C241" s="52" t="s">
        <v>42</v>
      </c>
      <c r="D241" s="52" t="s">
        <v>38</v>
      </c>
      <c r="E241" s="53" t="s">
        <v>39</v>
      </c>
      <c r="F241" s="53" t="s">
        <v>40</v>
      </c>
      <c r="G241" s="54">
        <v>5.9</v>
      </c>
      <c r="H241" s="53">
        <v>0</v>
      </c>
      <c r="I241" s="53">
        <v>900</v>
      </c>
      <c r="J241" s="53">
        <v>0</v>
      </c>
      <c r="K241" s="55">
        <f t="shared" si="7"/>
        <v>0.85</v>
      </c>
      <c r="L241" s="55">
        <f t="shared" si="8"/>
        <v>765</v>
      </c>
      <c r="M241" s="55">
        <v>0</v>
      </c>
      <c r="N241" s="101">
        <f t="shared" si="9"/>
        <v>765</v>
      </c>
      <c r="O241" s="57"/>
      <c r="P241" s="53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32" hidden="1" x14ac:dyDescent="0.25">
      <c r="A242" s="224"/>
      <c r="B242" s="96">
        <v>44419</v>
      </c>
      <c r="C242" s="52" t="s">
        <v>46</v>
      </c>
      <c r="D242" s="52" t="s">
        <v>38</v>
      </c>
      <c r="E242" s="53" t="s">
        <v>39</v>
      </c>
      <c r="F242" s="53" t="s">
        <v>40</v>
      </c>
      <c r="G242" s="54">
        <v>5.9</v>
      </c>
      <c r="H242" s="53">
        <v>0</v>
      </c>
      <c r="I242" s="53">
        <v>900</v>
      </c>
      <c r="J242" s="53">
        <v>0</v>
      </c>
      <c r="K242" s="55">
        <f t="shared" si="7"/>
        <v>0.85</v>
      </c>
      <c r="L242" s="55">
        <f t="shared" si="8"/>
        <v>765</v>
      </c>
      <c r="M242" s="55">
        <v>0</v>
      </c>
      <c r="N242" s="101">
        <f t="shared" si="9"/>
        <v>765</v>
      </c>
      <c r="O242" s="57"/>
      <c r="P242" s="53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32" hidden="1" x14ac:dyDescent="0.25">
      <c r="A243" s="224"/>
      <c r="B243" s="96">
        <v>44420</v>
      </c>
      <c r="C243" s="52" t="s">
        <v>50</v>
      </c>
      <c r="D243" s="52" t="s">
        <v>38</v>
      </c>
      <c r="E243" s="53" t="s">
        <v>39</v>
      </c>
      <c r="F243" s="53" t="s">
        <v>40</v>
      </c>
      <c r="G243" s="54">
        <v>3.9</v>
      </c>
      <c r="H243" s="53">
        <v>0</v>
      </c>
      <c r="I243" s="53">
        <v>900</v>
      </c>
      <c r="J243" s="53">
        <v>0</v>
      </c>
      <c r="K243" s="55">
        <f t="shared" si="7"/>
        <v>0.85</v>
      </c>
      <c r="L243" s="55">
        <f t="shared" si="8"/>
        <v>765</v>
      </c>
      <c r="M243" s="55">
        <v>0</v>
      </c>
      <c r="N243" s="101">
        <f t="shared" si="9"/>
        <v>765</v>
      </c>
      <c r="O243" s="57"/>
      <c r="P243" s="53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</row>
    <row r="244" spans="1:32" hidden="1" x14ac:dyDescent="0.25">
      <c r="A244" s="224"/>
      <c r="B244" s="96">
        <v>44421</v>
      </c>
      <c r="C244" s="52" t="s">
        <v>53</v>
      </c>
      <c r="D244" s="52" t="s">
        <v>38</v>
      </c>
      <c r="E244" s="53" t="s">
        <v>39</v>
      </c>
      <c r="F244" s="53" t="s">
        <v>40</v>
      </c>
      <c r="G244" s="54">
        <v>3.9</v>
      </c>
      <c r="H244" s="53">
        <v>0</v>
      </c>
      <c r="I244" s="53">
        <v>900</v>
      </c>
      <c r="J244" s="53">
        <v>0</v>
      </c>
      <c r="K244" s="55">
        <f t="shared" ref="K244:K268" si="10">VLOOKUP($D244&amp;$E244&amp;$F244&amp;YEAR($B244),$P:$AA,9,FALSE)</f>
        <v>0.85</v>
      </c>
      <c r="L244" s="55">
        <f t="shared" si="8"/>
        <v>765</v>
      </c>
      <c r="M244" s="55">
        <v>0</v>
      </c>
      <c r="N244" s="101">
        <f t="shared" ref="N244:N275" si="11">L244*(1-M244)</f>
        <v>765</v>
      </c>
      <c r="O244" s="57" t="s">
        <v>108</v>
      </c>
      <c r="P244" s="53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32" hidden="1" x14ac:dyDescent="0.25">
      <c r="A245" s="224"/>
      <c r="B245" s="97">
        <v>44422</v>
      </c>
      <c r="C245" s="58" t="s">
        <v>57</v>
      </c>
      <c r="D245" s="59" t="s">
        <v>38</v>
      </c>
      <c r="E245" s="60" t="s">
        <v>39</v>
      </c>
      <c r="F245" s="60" t="s">
        <v>40</v>
      </c>
      <c r="G245" s="61">
        <v>3.9</v>
      </c>
      <c r="H245" s="60">
        <v>0</v>
      </c>
      <c r="I245" s="60">
        <v>900</v>
      </c>
      <c r="J245" s="60">
        <v>0</v>
      </c>
      <c r="K245" s="62">
        <f t="shared" si="10"/>
        <v>0.85</v>
      </c>
      <c r="L245" s="62">
        <f t="shared" si="8"/>
        <v>765</v>
      </c>
      <c r="M245" s="62">
        <v>0</v>
      </c>
      <c r="N245" s="102">
        <f t="shared" si="11"/>
        <v>765</v>
      </c>
      <c r="O245" s="64"/>
      <c r="P245" s="53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</row>
    <row r="246" spans="1:32" ht="15.75" hidden="1" thickBot="1" x14ac:dyDescent="0.3">
      <c r="A246" s="225"/>
      <c r="B246" s="98">
        <v>44423</v>
      </c>
      <c r="C246" s="66" t="s">
        <v>59</v>
      </c>
      <c r="D246" s="67" t="s">
        <v>38</v>
      </c>
      <c r="E246" s="67" t="s">
        <v>39</v>
      </c>
      <c r="F246" s="67" t="s">
        <v>40</v>
      </c>
      <c r="G246" s="68">
        <v>3.9</v>
      </c>
      <c r="H246" s="67">
        <v>0</v>
      </c>
      <c r="I246" s="67">
        <v>900</v>
      </c>
      <c r="J246" s="67">
        <v>0</v>
      </c>
      <c r="K246" s="69">
        <f t="shared" si="10"/>
        <v>0.85</v>
      </c>
      <c r="L246" s="69">
        <f t="shared" si="8"/>
        <v>765</v>
      </c>
      <c r="M246" s="69">
        <v>0</v>
      </c>
      <c r="N246" s="103">
        <f t="shared" si="11"/>
        <v>765</v>
      </c>
      <c r="O246" s="71"/>
      <c r="P246" s="53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spans="1:32" hidden="1" x14ac:dyDescent="0.25">
      <c r="A247" s="223">
        <v>33</v>
      </c>
      <c r="B247" s="96">
        <v>44424</v>
      </c>
      <c r="C247" s="72" t="s">
        <v>37</v>
      </c>
      <c r="D247" s="72" t="s">
        <v>38</v>
      </c>
      <c r="E247" s="41" t="s">
        <v>39</v>
      </c>
      <c r="F247" s="41" t="s">
        <v>40</v>
      </c>
      <c r="G247" s="43">
        <v>4.9000000000000004</v>
      </c>
      <c r="H247" s="41">
        <v>0</v>
      </c>
      <c r="I247" s="41">
        <v>900</v>
      </c>
      <c r="J247" s="41">
        <v>0</v>
      </c>
      <c r="K247" s="73">
        <f t="shared" si="10"/>
        <v>0.85</v>
      </c>
      <c r="L247" s="73">
        <f t="shared" si="8"/>
        <v>765</v>
      </c>
      <c r="M247" s="73">
        <v>0</v>
      </c>
      <c r="N247" s="105">
        <f t="shared" si="11"/>
        <v>765</v>
      </c>
      <c r="O247" s="46"/>
      <c r="P247" s="53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spans="1:32" hidden="1" x14ac:dyDescent="0.25">
      <c r="A248" s="224"/>
      <c r="B248" s="96">
        <v>44425</v>
      </c>
      <c r="C248" s="52" t="s">
        <v>42</v>
      </c>
      <c r="D248" s="52" t="s">
        <v>38</v>
      </c>
      <c r="E248" s="53" t="s">
        <v>39</v>
      </c>
      <c r="F248" s="53" t="s">
        <v>40</v>
      </c>
      <c r="G248" s="54">
        <v>3.9</v>
      </c>
      <c r="H248" s="53">
        <v>0</v>
      </c>
      <c r="I248" s="53">
        <v>900</v>
      </c>
      <c r="J248" s="53">
        <v>0</v>
      </c>
      <c r="K248" s="55">
        <f t="shared" si="10"/>
        <v>0.85</v>
      </c>
      <c r="L248" s="55">
        <f t="shared" si="8"/>
        <v>765</v>
      </c>
      <c r="M248" s="55">
        <v>0</v>
      </c>
      <c r="N248" s="101">
        <f t="shared" si="11"/>
        <v>765</v>
      </c>
      <c r="O248" s="57"/>
      <c r="P248" s="53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</row>
    <row r="249" spans="1:32" hidden="1" x14ac:dyDescent="0.25">
      <c r="A249" s="224"/>
      <c r="B249" s="96">
        <v>44426</v>
      </c>
      <c r="C249" s="52" t="s">
        <v>46</v>
      </c>
      <c r="D249" s="52" t="s">
        <v>38</v>
      </c>
      <c r="E249" s="53" t="s">
        <v>39</v>
      </c>
      <c r="F249" s="53" t="s">
        <v>40</v>
      </c>
      <c r="G249" s="54">
        <v>3.9</v>
      </c>
      <c r="H249" s="53">
        <v>0</v>
      </c>
      <c r="I249" s="53">
        <v>900</v>
      </c>
      <c r="J249" s="53">
        <v>0</v>
      </c>
      <c r="K249" s="55">
        <f t="shared" si="10"/>
        <v>0.85</v>
      </c>
      <c r="L249" s="55">
        <f t="shared" si="8"/>
        <v>765</v>
      </c>
      <c r="M249" s="55">
        <v>0</v>
      </c>
      <c r="N249" s="101">
        <f t="shared" si="11"/>
        <v>765</v>
      </c>
      <c r="O249" s="57"/>
      <c r="P249" s="53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</row>
    <row r="250" spans="1:32" hidden="1" x14ac:dyDescent="0.25">
      <c r="A250" s="224"/>
      <c r="B250" s="96">
        <v>44427</v>
      </c>
      <c r="C250" s="52" t="s">
        <v>50</v>
      </c>
      <c r="D250" s="52" t="s">
        <v>38</v>
      </c>
      <c r="E250" s="53" t="s">
        <v>39</v>
      </c>
      <c r="F250" s="53" t="s">
        <v>40</v>
      </c>
      <c r="G250" s="54">
        <v>3.9</v>
      </c>
      <c r="H250" s="53">
        <v>0</v>
      </c>
      <c r="I250" s="53">
        <v>900</v>
      </c>
      <c r="J250" s="53">
        <v>0</v>
      </c>
      <c r="K250" s="55">
        <f t="shared" si="10"/>
        <v>0.85</v>
      </c>
      <c r="L250" s="55">
        <f t="shared" si="8"/>
        <v>765</v>
      </c>
      <c r="M250" s="55">
        <v>0</v>
      </c>
      <c r="N250" s="101">
        <f t="shared" si="11"/>
        <v>765</v>
      </c>
      <c r="O250" s="57"/>
      <c r="P250" s="53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</row>
    <row r="251" spans="1:32" hidden="1" x14ac:dyDescent="0.25">
      <c r="A251" s="224"/>
      <c r="B251" s="96">
        <v>44428</v>
      </c>
      <c r="C251" s="52" t="s">
        <v>53</v>
      </c>
      <c r="D251" s="52" t="s">
        <v>38</v>
      </c>
      <c r="E251" s="53" t="s">
        <v>39</v>
      </c>
      <c r="F251" s="53" t="s">
        <v>40</v>
      </c>
      <c r="G251" s="54">
        <v>3.9</v>
      </c>
      <c r="H251" s="53">
        <v>0</v>
      </c>
      <c r="I251" s="53">
        <v>900</v>
      </c>
      <c r="J251" s="53">
        <v>0</v>
      </c>
      <c r="K251" s="55">
        <f t="shared" si="10"/>
        <v>0.85</v>
      </c>
      <c r="L251" s="55">
        <f t="shared" si="8"/>
        <v>765</v>
      </c>
      <c r="M251" s="55">
        <v>0</v>
      </c>
      <c r="N251" s="101">
        <f t="shared" si="11"/>
        <v>765</v>
      </c>
      <c r="O251" s="57" t="s">
        <v>91</v>
      </c>
      <c r="P251" s="53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</row>
    <row r="252" spans="1:32" hidden="1" x14ac:dyDescent="0.25">
      <c r="A252" s="224"/>
      <c r="B252" s="97">
        <v>44429</v>
      </c>
      <c r="C252" s="58" t="s">
        <v>57</v>
      </c>
      <c r="D252" s="59" t="s">
        <v>38</v>
      </c>
      <c r="E252" s="60" t="s">
        <v>39</v>
      </c>
      <c r="F252" s="60" t="s">
        <v>40</v>
      </c>
      <c r="G252" s="61">
        <v>3.9</v>
      </c>
      <c r="H252" s="60">
        <v>0</v>
      </c>
      <c r="I252" s="60">
        <v>900</v>
      </c>
      <c r="J252" s="60">
        <v>0</v>
      </c>
      <c r="K252" s="62">
        <f t="shared" si="10"/>
        <v>0.85</v>
      </c>
      <c r="L252" s="62">
        <f t="shared" si="8"/>
        <v>765</v>
      </c>
      <c r="M252" s="62">
        <v>0</v>
      </c>
      <c r="N252" s="102">
        <f t="shared" si="11"/>
        <v>765</v>
      </c>
      <c r="O252" s="64"/>
      <c r="P252" s="53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</row>
    <row r="253" spans="1:32" ht="15.75" hidden="1" thickBot="1" x14ac:dyDescent="0.3">
      <c r="A253" s="225"/>
      <c r="B253" s="98">
        <v>44430</v>
      </c>
      <c r="C253" s="66" t="s">
        <v>59</v>
      </c>
      <c r="D253" s="67" t="s">
        <v>38</v>
      </c>
      <c r="E253" s="67" t="s">
        <v>39</v>
      </c>
      <c r="F253" s="67" t="s">
        <v>40</v>
      </c>
      <c r="G253" s="68">
        <v>3.9</v>
      </c>
      <c r="H253" s="67">
        <v>0</v>
      </c>
      <c r="I253" s="67">
        <v>900</v>
      </c>
      <c r="J253" s="67">
        <v>0</v>
      </c>
      <c r="K253" s="69">
        <f t="shared" si="10"/>
        <v>0.85</v>
      </c>
      <c r="L253" s="69">
        <f t="shared" si="8"/>
        <v>765</v>
      </c>
      <c r="M253" s="69">
        <v>0</v>
      </c>
      <c r="N253" s="103">
        <f t="shared" si="11"/>
        <v>765</v>
      </c>
      <c r="O253" s="71"/>
      <c r="P253" s="53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32" hidden="1" x14ac:dyDescent="0.25">
      <c r="A254" s="223">
        <v>34</v>
      </c>
      <c r="B254" s="96">
        <v>44431</v>
      </c>
      <c r="C254" s="72" t="s">
        <v>37</v>
      </c>
      <c r="D254" s="72" t="s">
        <v>38</v>
      </c>
      <c r="E254" s="41" t="s">
        <v>39</v>
      </c>
      <c r="F254" s="41" t="s">
        <v>40</v>
      </c>
      <c r="G254" s="43">
        <v>3.9</v>
      </c>
      <c r="H254" s="41">
        <v>0</v>
      </c>
      <c r="I254" s="41">
        <v>900</v>
      </c>
      <c r="J254" s="41">
        <v>0</v>
      </c>
      <c r="K254" s="73">
        <f t="shared" si="10"/>
        <v>0.85</v>
      </c>
      <c r="L254" s="73">
        <f t="shared" si="8"/>
        <v>765</v>
      </c>
      <c r="M254" s="73">
        <v>0</v>
      </c>
      <c r="N254" s="105">
        <f t="shared" si="11"/>
        <v>765</v>
      </c>
      <c r="O254" s="129"/>
      <c r="P254" s="53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spans="1:32" hidden="1" x14ac:dyDescent="0.25">
      <c r="A255" s="224"/>
      <c r="B255" s="96">
        <v>44432</v>
      </c>
      <c r="C255" s="52" t="s">
        <v>42</v>
      </c>
      <c r="D255" s="52" t="s">
        <v>38</v>
      </c>
      <c r="E255" s="53" t="s">
        <v>39</v>
      </c>
      <c r="F255" s="53" t="s">
        <v>40</v>
      </c>
      <c r="G255" s="54">
        <v>3.9</v>
      </c>
      <c r="H255" s="53">
        <v>0</v>
      </c>
      <c r="I255" s="53">
        <v>900</v>
      </c>
      <c r="J255" s="53">
        <v>0</v>
      </c>
      <c r="K255" s="55">
        <f t="shared" si="10"/>
        <v>0.85</v>
      </c>
      <c r="L255" s="55">
        <f t="shared" si="8"/>
        <v>765</v>
      </c>
      <c r="M255" s="55">
        <v>0</v>
      </c>
      <c r="N255" s="101">
        <f t="shared" si="11"/>
        <v>765</v>
      </c>
      <c r="O255" s="127" t="s">
        <v>109</v>
      </c>
      <c r="P255" s="53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spans="1:32" hidden="1" x14ac:dyDescent="0.25">
      <c r="A256" s="224"/>
      <c r="B256" s="96">
        <v>44433</v>
      </c>
      <c r="C256" s="52" t="s">
        <v>46</v>
      </c>
      <c r="D256" s="52" t="s">
        <v>38</v>
      </c>
      <c r="E256" s="53" t="s">
        <v>39</v>
      </c>
      <c r="F256" s="53" t="s">
        <v>40</v>
      </c>
      <c r="G256" s="54">
        <v>3.9</v>
      </c>
      <c r="H256" s="53">
        <v>0</v>
      </c>
      <c r="I256" s="53">
        <v>900</v>
      </c>
      <c r="J256" s="53">
        <v>0</v>
      </c>
      <c r="K256" s="55">
        <f t="shared" si="10"/>
        <v>0.85</v>
      </c>
      <c r="L256" s="55">
        <f t="shared" si="8"/>
        <v>765</v>
      </c>
      <c r="M256" s="55">
        <v>0</v>
      </c>
      <c r="N256" s="101">
        <f t="shared" si="11"/>
        <v>765</v>
      </c>
      <c r="O256" s="127" t="s">
        <v>110</v>
      </c>
      <c r="P256" s="53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spans="1:32" hidden="1" x14ac:dyDescent="0.25">
      <c r="A257" s="224"/>
      <c r="B257" s="96">
        <v>44434</v>
      </c>
      <c r="C257" s="52" t="s">
        <v>50</v>
      </c>
      <c r="D257" s="52" t="s">
        <v>38</v>
      </c>
      <c r="E257" s="53" t="s">
        <v>39</v>
      </c>
      <c r="F257" s="53" t="s">
        <v>40</v>
      </c>
      <c r="G257" s="54">
        <v>3.9</v>
      </c>
      <c r="H257" s="53">
        <v>0</v>
      </c>
      <c r="I257" s="53">
        <v>900</v>
      </c>
      <c r="J257" s="53">
        <v>0</v>
      </c>
      <c r="K257" s="55">
        <f t="shared" si="10"/>
        <v>0.85</v>
      </c>
      <c r="L257" s="55">
        <f t="shared" si="8"/>
        <v>765</v>
      </c>
      <c r="M257" s="55">
        <v>0</v>
      </c>
      <c r="N257" s="101">
        <f t="shared" si="11"/>
        <v>765</v>
      </c>
      <c r="O257" s="127"/>
      <c r="P257" s="53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32" hidden="1" x14ac:dyDescent="0.25">
      <c r="A258" s="224"/>
      <c r="B258" s="96">
        <v>44435</v>
      </c>
      <c r="C258" s="52" t="s">
        <v>53</v>
      </c>
      <c r="D258" s="52" t="s">
        <v>38</v>
      </c>
      <c r="E258" s="53" t="s">
        <v>39</v>
      </c>
      <c r="F258" s="53" t="s">
        <v>40</v>
      </c>
      <c r="G258" s="54">
        <v>3.9</v>
      </c>
      <c r="H258" s="53">
        <v>0</v>
      </c>
      <c r="I258" s="53">
        <v>900</v>
      </c>
      <c r="J258" s="53">
        <v>0</v>
      </c>
      <c r="K258" s="55">
        <f t="shared" si="10"/>
        <v>0.85</v>
      </c>
      <c r="L258" s="55">
        <f t="shared" si="8"/>
        <v>765</v>
      </c>
      <c r="M258" s="55">
        <v>0</v>
      </c>
      <c r="N258" s="101">
        <f t="shared" si="11"/>
        <v>765</v>
      </c>
      <c r="O258" s="127"/>
      <c r="P258" s="53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32" hidden="1" x14ac:dyDescent="0.25">
      <c r="A259" s="224"/>
      <c r="B259" s="97">
        <v>44436</v>
      </c>
      <c r="C259" s="58" t="s">
        <v>57</v>
      </c>
      <c r="D259" s="59" t="s">
        <v>38</v>
      </c>
      <c r="E259" s="60" t="s">
        <v>39</v>
      </c>
      <c r="F259" s="60" t="s">
        <v>40</v>
      </c>
      <c r="G259" s="61">
        <v>3.9</v>
      </c>
      <c r="H259" s="60">
        <v>0</v>
      </c>
      <c r="I259" s="60">
        <v>900</v>
      </c>
      <c r="J259" s="60">
        <v>0</v>
      </c>
      <c r="K259" s="62">
        <f t="shared" si="10"/>
        <v>0.85</v>
      </c>
      <c r="L259" s="62">
        <f t="shared" si="8"/>
        <v>765</v>
      </c>
      <c r="M259" s="62">
        <v>0</v>
      </c>
      <c r="N259" s="102">
        <f t="shared" si="11"/>
        <v>765</v>
      </c>
      <c r="O259" s="64"/>
      <c r="P259" s="53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</row>
    <row r="260" spans="1:32" ht="15.75" hidden="1" thickBot="1" x14ac:dyDescent="0.3">
      <c r="A260" s="225"/>
      <c r="B260" s="98">
        <v>44437</v>
      </c>
      <c r="C260" s="66" t="s">
        <v>59</v>
      </c>
      <c r="D260" s="67" t="s">
        <v>38</v>
      </c>
      <c r="E260" s="67" t="s">
        <v>39</v>
      </c>
      <c r="F260" s="67" t="s">
        <v>40</v>
      </c>
      <c r="G260" s="68">
        <v>3.9</v>
      </c>
      <c r="H260" s="67">
        <v>0</v>
      </c>
      <c r="I260" s="67">
        <v>900</v>
      </c>
      <c r="J260" s="67">
        <v>0</v>
      </c>
      <c r="K260" s="69">
        <f t="shared" si="10"/>
        <v>0.85</v>
      </c>
      <c r="L260" s="69">
        <f t="shared" si="8"/>
        <v>765</v>
      </c>
      <c r="M260" s="69">
        <v>0</v>
      </c>
      <c r="N260" s="103">
        <f t="shared" si="11"/>
        <v>765</v>
      </c>
      <c r="O260" s="71"/>
      <c r="P260" s="53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</row>
    <row r="261" spans="1:32" hidden="1" x14ac:dyDescent="0.25">
      <c r="A261" s="223">
        <v>35</v>
      </c>
      <c r="B261" s="96">
        <v>44438</v>
      </c>
      <c r="C261" s="72" t="s">
        <v>37</v>
      </c>
      <c r="D261" s="72" t="s">
        <v>38</v>
      </c>
      <c r="E261" s="41" t="s">
        <v>39</v>
      </c>
      <c r="F261" s="41" t="s">
        <v>40</v>
      </c>
      <c r="G261" s="43">
        <v>3.9</v>
      </c>
      <c r="H261" s="41">
        <v>0</v>
      </c>
      <c r="I261" s="41">
        <v>900</v>
      </c>
      <c r="J261" s="41">
        <v>0</v>
      </c>
      <c r="K261" s="73">
        <f t="shared" si="10"/>
        <v>0.85</v>
      </c>
      <c r="L261" s="73">
        <f t="shared" si="8"/>
        <v>765</v>
      </c>
      <c r="M261" s="73">
        <v>0</v>
      </c>
      <c r="N261" s="105">
        <f t="shared" si="11"/>
        <v>765</v>
      </c>
      <c r="O261" s="46"/>
      <c r="P261" s="75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</row>
    <row r="262" spans="1:32" hidden="1" x14ac:dyDescent="0.25">
      <c r="A262" s="224"/>
      <c r="B262" s="96">
        <v>44439</v>
      </c>
      <c r="C262" s="52" t="s">
        <v>42</v>
      </c>
      <c r="D262" s="52" t="s">
        <v>38</v>
      </c>
      <c r="E262" s="53" t="s">
        <v>39</v>
      </c>
      <c r="F262" s="53" t="s">
        <v>40</v>
      </c>
      <c r="G262" s="54">
        <v>3.9</v>
      </c>
      <c r="H262" s="53">
        <v>0</v>
      </c>
      <c r="I262" s="53">
        <v>900</v>
      </c>
      <c r="J262" s="53">
        <v>0</v>
      </c>
      <c r="K262" s="55">
        <f t="shared" si="10"/>
        <v>0.85</v>
      </c>
      <c r="L262" s="55">
        <f t="shared" si="8"/>
        <v>765</v>
      </c>
      <c r="M262" s="55">
        <v>0</v>
      </c>
      <c r="N262" s="101">
        <f t="shared" si="11"/>
        <v>765</v>
      </c>
      <c r="O262" s="57"/>
      <c r="P262" s="9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</row>
    <row r="263" spans="1:32" hidden="1" x14ac:dyDescent="0.25">
      <c r="A263" s="224"/>
      <c r="B263" s="96">
        <v>44440</v>
      </c>
      <c r="C263" s="52" t="s">
        <v>46</v>
      </c>
      <c r="D263" s="52" t="s">
        <v>38</v>
      </c>
      <c r="E263" s="53" t="s">
        <v>39</v>
      </c>
      <c r="F263" s="53" t="s">
        <v>40</v>
      </c>
      <c r="G263" s="54">
        <v>4.9000000000000004</v>
      </c>
      <c r="H263" s="53">
        <v>0</v>
      </c>
      <c r="I263" s="53">
        <v>900</v>
      </c>
      <c r="J263" s="53">
        <v>0</v>
      </c>
      <c r="K263" s="55">
        <f t="shared" si="10"/>
        <v>0.85</v>
      </c>
      <c r="L263" s="55">
        <f t="shared" si="8"/>
        <v>765</v>
      </c>
      <c r="M263" s="55">
        <v>0</v>
      </c>
      <c r="N263" s="101">
        <f t="shared" si="11"/>
        <v>765</v>
      </c>
      <c r="O263" s="57"/>
      <c r="P263" s="57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</row>
    <row r="264" spans="1:32" hidden="1" x14ac:dyDescent="0.25">
      <c r="A264" s="224"/>
      <c r="B264" s="96">
        <v>44441</v>
      </c>
      <c r="C264" s="52" t="s">
        <v>50</v>
      </c>
      <c r="D264" s="52" t="s">
        <v>38</v>
      </c>
      <c r="E264" s="53" t="s">
        <v>39</v>
      </c>
      <c r="F264" s="53" t="s">
        <v>40</v>
      </c>
      <c r="G264" s="54">
        <v>4.9000000000000004</v>
      </c>
      <c r="H264" s="53">
        <v>0</v>
      </c>
      <c r="I264" s="53">
        <v>900</v>
      </c>
      <c r="J264" s="53">
        <v>0</v>
      </c>
      <c r="K264" s="55">
        <f t="shared" si="10"/>
        <v>0.85</v>
      </c>
      <c r="L264" s="55">
        <f t="shared" si="8"/>
        <v>765</v>
      </c>
      <c r="M264" s="55">
        <v>0</v>
      </c>
      <c r="N264" s="101">
        <f t="shared" si="11"/>
        <v>765</v>
      </c>
      <c r="O264" s="57" t="s">
        <v>111</v>
      </c>
      <c r="P264" s="57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</row>
    <row r="265" spans="1:32" hidden="1" x14ac:dyDescent="0.25">
      <c r="A265" s="224"/>
      <c r="B265" s="96">
        <v>44442</v>
      </c>
      <c r="C265" s="52" t="s">
        <v>53</v>
      </c>
      <c r="D265" s="52" t="s">
        <v>38</v>
      </c>
      <c r="E265" s="53" t="s">
        <v>39</v>
      </c>
      <c r="F265" s="53" t="s">
        <v>40</v>
      </c>
      <c r="G265" s="54">
        <v>4.9000000000000004</v>
      </c>
      <c r="H265" s="53">
        <v>0</v>
      </c>
      <c r="I265" s="53">
        <v>0</v>
      </c>
      <c r="J265" s="53">
        <v>0</v>
      </c>
      <c r="K265" s="55">
        <f t="shared" si="10"/>
        <v>0.85</v>
      </c>
      <c r="L265" s="55">
        <f t="shared" si="8"/>
        <v>0</v>
      </c>
      <c r="M265" s="55">
        <v>0</v>
      </c>
      <c r="N265" s="101">
        <f t="shared" si="11"/>
        <v>0</v>
      </c>
      <c r="O265" s="57" t="s">
        <v>111</v>
      </c>
      <c r="P265" s="57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</row>
    <row r="266" spans="1:32" hidden="1" x14ac:dyDescent="0.25">
      <c r="A266" s="224"/>
      <c r="B266" s="97">
        <v>44443</v>
      </c>
      <c r="C266" s="58" t="s">
        <v>57</v>
      </c>
      <c r="D266" s="59" t="s">
        <v>38</v>
      </c>
      <c r="E266" s="60" t="s">
        <v>39</v>
      </c>
      <c r="F266" s="60" t="s">
        <v>40</v>
      </c>
      <c r="G266" s="61">
        <v>5.9</v>
      </c>
      <c r="H266" s="60">
        <v>0</v>
      </c>
      <c r="I266" s="60">
        <v>0</v>
      </c>
      <c r="J266" s="60">
        <v>0</v>
      </c>
      <c r="K266" s="62">
        <f t="shared" si="10"/>
        <v>0.85</v>
      </c>
      <c r="L266" s="62">
        <f t="shared" si="8"/>
        <v>0</v>
      </c>
      <c r="M266" s="62">
        <v>0</v>
      </c>
      <c r="N266" s="102">
        <f t="shared" si="11"/>
        <v>0</v>
      </c>
      <c r="O266" s="64" t="s">
        <v>111</v>
      </c>
      <c r="P266" s="57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</row>
    <row r="267" spans="1:32" ht="15.75" hidden="1" thickBot="1" x14ac:dyDescent="0.3">
      <c r="A267" s="225"/>
      <c r="B267" s="98">
        <v>44444</v>
      </c>
      <c r="C267" s="66" t="s">
        <v>59</v>
      </c>
      <c r="D267" s="67" t="s">
        <v>38</v>
      </c>
      <c r="E267" s="67" t="s">
        <v>39</v>
      </c>
      <c r="F267" s="67" t="s">
        <v>40</v>
      </c>
      <c r="G267" s="68">
        <v>5.9</v>
      </c>
      <c r="H267" s="67">
        <v>0</v>
      </c>
      <c r="I267" s="67">
        <v>0</v>
      </c>
      <c r="J267" s="67">
        <v>0</v>
      </c>
      <c r="K267" s="69">
        <f t="shared" si="10"/>
        <v>0.85</v>
      </c>
      <c r="L267" s="69">
        <f t="shared" si="8"/>
        <v>0</v>
      </c>
      <c r="M267" s="69">
        <v>0</v>
      </c>
      <c r="N267" s="103">
        <f t="shared" si="11"/>
        <v>0</v>
      </c>
      <c r="O267" s="71" t="s">
        <v>111</v>
      </c>
      <c r="P267" s="57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</row>
    <row r="268" spans="1:32" hidden="1" x14ac:dyDescent="0.25">
      <c r="A268" s="223">
        <v>36</v>
      </c>
      <c r="B268" s="96">
        <v>44445</v>
      </c>
      <c r="C268" s="72" t="s">
        <v>37</v>
      </c>
      <c r="D268" s="72" t="s">
        <v>38</v>
      </c>
      <c r="E268" s="41" t="s">
        <v>39</v>
      </c>
      <c r="F268" s="41" t="s">
        <v>40</v>
      </c>
      <c r="G268" s="43">
        <v>5.9</v>
      </c>
      <c r="H268" s="41">
        <v>0</v>
      </c>
      <c r="I268" s="41">
        <v>0</v>
      </c>
      <c r="J268" s="41">
        <v>0</v>
      </c>
      <c r="K268" s="73">
        <f t="shared" si="10"/>
        <v>0.85</v>
      </c>
      <c r="L268" s="73">
        <f t="shared" si="8"/>
        <v>0</v>
      </c>
      <c r="M268" s="73">
        <v>0</v>
      </c>
      <c r="N268" s="105">
        <f t="shared" si="11"/>
        <v>0</v>
      </c>
      <c r="O268" s="46"/>
      <c r="P268" s="57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</row>
    <row r="269" spans="1:32" hidden="1" x14ac:dyDescent="0.25">
      <c r="A269" s="224"/>
      <c r="B269" s="96">
        <v>44446</v>
      </c>
      <c r="C269" s="52" t="s">
        <v>42</v>
      </c>
      <c r="D269" s="52" t="s">
        <v>38</v>
      </c>
      <c r="E269" s="53" t="s">
        <v>39</v>
      </c>
      <c r="F269" s="53" t="s">
        <v>40</v>
      </c>
      <c r="G269" s="54">
        <v>3.9</v>
      </c>
      <c r="H269" s="53">
        <v>0</v>
      </c>
      <c r="I269" s="53">
        <v>820</v>
      </c>
      <c r="J269" s="53">
        <v>0</v>
      </c>
      <c r="K269" s="55">
        <v>0.4</v>
      </c>
      <c r="L269" s="55">
        <f t="shared" si="8"/>
        <v>328</v>
      </c>
      <c r="M269" s="55">
        <v>0</v>
      </c>
      <c r="N269" s="101">
        <f t="shared" si="11"/>
        <v>328</v>
      </c>
      <c r="O269" s="57" t="s">
        <v>108</v>
      </c>
      <c r="P269" s="57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</row>
    <row r="270" spans="1:32" hidden="1" x14ac:dyDescent="0.25">
      <c r="A270" s="224"/>
      <c r="B270" s="96">
        <v>44447</v>
      </c>
      <c r="C270" s="52" t="s">
        <v>46</v>
      </c>
      <c r="D270" s="52" t="s">
        <v>38</v>
      </c>
      <c r="E270" s="53" t="s">
        <v>39</v>
      </c>
      <c r="F270" s="53" t="s">
        <v>40</v>
      </c>
      <c r="G270" s="54">
        <v>3.9</v>
      </c>
      <c r="H270" s="53">
        <v>0</v>
      </c>
      <c r="I270" s="53">
        <v>820</v>
      </c>
      <c r="J270" s="53">
        <v>0</v>
      </c>
      <c r="K270" s="55">
        <v>0.7</v>
      </c>
      <c r="L270" s="55">
        <f t="shared" si="8"/>
        <v>574</v>
      </c>
      <c r="M270" s="55">
        <v>0</v>
      </c>
      <c r="N270" s="101">
        <f t="shared" si="11"/>
        <v>574</v>
      </c>
      <c r="O270" s="57"/>
      <c r="P270" s="57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</row>
    <row r="271" spans="1:32" hidden="1" x14ac:dyDescent="0.25">
      <c r="A271" s="224"/>
      <c r="B271" s="96">
        <v>44448</v>
      </c>
      <c r="C271" s="52" t="s">
        <v>50</v>
      </c>
      <c r="D271" s="52" t="s">
        <v>38</v>
      </c>
      <c r="E271" s="53" t="s">
        <v>39</v>
      </c>
      <c r="F271" s="53" t="s">
        <v>40</v>
      </c>
      <c r="G271" s="54">
        <v>3.9</v>
      </c>
      <c r="H271" s="53">
        <v>0</v>
      </c>
      <c r="I271" s="53">
        <v>820</v>
      </c>
      <c r="J271" s="53">
        <v>0</v>
      </c>
      <c r="K271" s="55">
        <f t="shared" ref="K271:K302" si="12">VLOOKUP($D271&amp;$E271&amp;$F271&amp;YEAR($B271),$P:$AA,9,FALSE)</f>
        <v>0.85</v>
      </c>
      <c r="L271" s="55">
        <f t="shared" si="8"/>
        <v>697</v>
      </c>
      <c r="M271" s="55">
        <v>0</v>
      </c>
      <c r="N271" s="101">
        <f t="shared" si="11"/>
        <v>697</v>
      </c>
      <c r="O271" s="57"/>
      <c r="P271" s="57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</row>
    <row r="272" spans="1:32" hidden="1" x14ac:dyDescent="0.25">
      <c r="A272" s="224"/>
      <c r="B272" s="96">
        <v>44449</v>
      </c>
      <c r="C272" s="52" t="s">
        <v>53</v>
      </c>
      <c r="D272" s="52" t="s">
        <v>38</v>
      </c>
      <c r="E272" s="53" t="s">
        <v>39</v>
      </c>
      <c r="F272" s="53" t="s">
        <v>40</v>
      </c>
      <c r="G272" s="54">
        <v>5.9</v>
      </c>
      <c r="H272" s="53">
        <v>0</v>
      </c>
      <c r="I272" s="53">
        <v>820</v>
      </c>
      <c r="J272" s="53">
        <v>0</v>
      </c>
      <c r="K272" s="55">
        <f t="shared" si="12"/>
        <v>0.85</v>
      </c>
      <c r="L272" s="55">
        <f t="shared" si="8"/>
        <v>697</v>
      </c>
      <c r="M272" s="55">
        <v>0</v>
      </c>
      <c r="N272" s="101">
        <f t="shared" si="11"/>
        <v>697</v>
      </c>
      <c r="O272" s="57"/>
      <c r="P272" s="57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</row>
    <row r="273" spans="1:32" hidden="1" x14ac:dyDescent="0.25">
      <c r="A273" s="224"/>
      <c r="B273" s="97">
        <v>44450</v>
      </c>
      <c r="C273" s="58" t="s">
        <v>57</v>
      </c>
      <c r="D273" s="59" t="s">
        <v>38</v>
      </c>
      <c r="E273" s="60" t="s">
        <v>39</v>
      </c>
      <c r="F273" s="60" t="s">
        <v>40</v>
      </c>
      <c r="G273" s="61">
        <v>5.9</v>
      </c>
      <c r="H273" s="60">
        <v>0</v>
      </c>
      <c r="I273" s="60">
        <v>820</v>
      </c>
      <c r="J273" s="60">
        <v>0</v>
      </c>
      <c r="K273" s="62">
        <f t="shared" si="12"/>
        <v>0.85</v>
      </c>
      <c r="L273" s="62">
        <f t="shared" si="8"/>
        <v>697</v>
      </c>
      <c r="M273" s="62">
        <v>0</v>
      </c>
      <c r="N273" s="102">
        <f t="shared" si="11"/>
        <v>697</v>
      </c>
      <c r="O273" s="64"/>
      <c r="P273" s="57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</row>
    <row r="274" spans="1:32" ht="15.75" hidden="1" thickBot="1" x14ac:dyDescent="0.3">
      <c r="A274" s="225"/>
      <c r="B274" s="98">
        <v>44451</v>
      </c>
      <c r="C274" s="66" t="s">
        <v>59</v>
      </c>
      <c r="D274" s="67" t="s">
        <v>38</v>
      </c>
      <c r="E274" s="67" t="s">
        <v>39</v>
      </c>
      <c r="F274" s="67" t="s">
        <v>40</v>
      </c>
      <c r="G274" s="68">
        <v>5.9</v>
      </c>
      <c r="H274" s="67">
        <v>0</v>
      </c>
      <c r="I274" s="67">
        <v>820</v>
      </c>
      <c r="J274" s="67">
        <v>0</v>
      </c>
      <c r="K274" s="69">
        <f t="shared" si="12"/>
        <v>0.85</v>
      </c>
      <c r="L274" s="69">
        <f t="shared" si="8"/>
        <v>697</v>
      </c>
      <c r="M274" s="69">
        <v>0</v>
      </c>
      <c r="N274" s="103">
        <f t="shared" si="11"/>
        <v>697</v>
      </c>
      <c r="O274" s="71"/>
      <c r="P274" s="75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</row>
    <row r="275" spans="1:32" hidden="1" x14ac:dyDescent="0.25">
      <c r="A275" s="223">
        <v>37</v>
      </c>
      <c r="B275" s="96">
        <v>44452</v>
      </c>
      <c r="C275" s="72" t="s">
        <v>37</v>
      </c>
      <c r="D275" s="72" t="s">
        <v>38</v>
      </c>
      <c r="E275" s="41" t="s">
        <v>39</v>
      </c>
      <c r="F275" s="41" t="s">
        <v>40</v>
      </c>
      <c r="G275" s="43">
        <v>8</v>
      </c>
      <c r="H275" s="41">
        <v>0</v>
      </c>
      <c r="I275" s="41">
        <v>820</v>
      </c>
      <c r="J275" s="41">
        <v>0</v>
      </c>
      <c r="K275" s="73">
        <f t="shared" si="12"/>
        <v>0.85</v>
      </c>
      <c r="L275" s="73">
        <f t="shared" si="8"/>
        <v>697</v>
      </c>
      <c r="M275" s="73">
        <v>0</v>
      </c>
      <c r="N275" s="105">
        <f t="shared" si="11"/>
        <v>697</v>
      </c>
      <c r="O275" s="46"/>
      <c r="P275" s="75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</row>
    <row r="276" spans="1:32" hidden="1" x14ac:dyDescent="0.25">
      <c r="A276" s="224"/>
      <c r="B276" s="96">
        <v>44453</v>
      </c>
      <c r="C276" s="52" t="s">
        <v>42</v>
      </c>
      <c r="D276" s="52" t="s">
        <v>38</v>
      </c>
      <c r="E276" s="53" t="s">
        <v>39</v>
      </c>
      <c r="F276" s="53" t="s">
        <v>40</v>
      </c>
      <c r="G276" s="54">
        <v>4.9000000000000004</v>
      </c>
      <c r="H276" s="53">
        <v>0</v>
      </c>
      <c r="I276" s="53">
        <v>820</v>
      </c>
      <c r="J276" s="53">
        <v>0</v>
      </c>
      <c r="K276" s="55">
        <f t="shared" si="12"/>
        <v>0.85</v>
      </c>
      <c r="L276" s="55">
        <f t="shared" ref="L276:L339" si="13">IF(J276&lt;&gt;0,J276,I276)*K276</f>
        <v>697</v>
      </c>
      <c r="M276" s="55">
        <v>0</v>
      </c>
      <c r="N276" s="101">
        <f t="shared" ref="N276:N307" si="14">L276*(1-M276)</f>
        <v>697</v>
      </c>
      <c r="O276" s="89"/>
      <c r="P276" s="75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</row>
    <row r="277" spans="1:32" hidden="1" x14ac:dyDescent="0.25">
      <c r="A277" s="224"/>
      <c r="B277" s="96">
        <v>44454</v>
      </c>
      <c r="C277" s="52" t="s">
        <v>46</v>
      </c>
      <c r="D277" s="52" t="s">
        <v>38</v>
      </c>
      <c r="E277" s="53" t="s">
        <v>39</v>
      </c>
      <c r="F277" s="53" t="s">
        <v>40</v>
      </c>
      <c r="G277" s="54">
        <v>4.9000000000000004</v>
      </c>
      <c r="H277" s="53">
        <v>0</v>
      </c>
      <c r="I277" s="53">
        <v>820</v>
      </c>
      <c r="J277" s="53">
        <v>0</v>
      </c>
      <c r="K277" s="55">
        <f t="shared" si="12"/>
        <v>0.85</v>
      </c>
      <c r="L277" s="55">
        <f t="shared" si="13"/>
        <v>697</v>
      </c>
      <c r="M277" s="55">
        <v>0</v>
      </c>
      <c r="N277" s="101">
        <f t="shared" si="14"/>
        <v>697</v>
      </c>
      <c r="O277" s="57"/>
      <c r="P277" s="75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</row>
    <row r="278" spans="1:32" hidden="1" x14ac:dyDescent="0.25">
      <c r="A278" s="224"/>
      <c r="B278" s="96">
        <v>44455</v>
      </c>
      <c r="C278" s="52" t="s">
        <v>50</v>
      </c>
      <c r="D278" s="52" t="s">
        <v>38</v>
      </c>
      <c r="E278" s="53" t="s">
        <v>39</v>
      </c>
      <c r="F278" s="53" t="s">
        <v>40</v>
      </c>
      <c r="G278" s="54">
        <v>3.9</v>
      </c>
      <c r="H278" s="53">
        <v>0</v>
      </c>
      <c r="I278" s="53">
        <v>820</v>
      </c>
      <c r="J278" s="53">
        <v>0</v>
      </c>
      <c r="K278" s="55">
        <f t="shared" si="12"/>
        <v>0.85</v>
      </c>
      <c r="L278" s="55">
        <f t="shared" si="13"/>
        <v>697</v>
      </c>
      <c r="M278" s="55">
        <v>0</v>
      </c>
      <c r="N278" s="101">
        <f t="shared" si="14"/>
        <v>697</v>
      </c>
      <c r="O278" s="57"/>
      <c r="P278" s="75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</row>
    <row r="279" spans="1:32" hidden="1" x14ac:dyDescent="0.25">
      <c r="A279" s="224"/>
      <c r="B279" s="96">
        <v>44456</v>
      </c>
      <c r="C279" s="52" t="s">
        <v>53</v>
      </c>
      <c r="D279" s="52" t="s">
        <v>38</v>
      </c>
      <c r="E279" s="53" t="s">
        <v>39</v>
      </c>
      <c r="F279" s="53" t="s">
        <v>40</v>
      </c>
      <c r="G279" s="54">
        <v>3.9</v>
      </c>
      <c r="H279" s="53">
        <v>0</v>
      </c>
      <c r="I279" s="53">
        <v>820</v>
      </c>
      <c r="J279" s="53">
        <v>0</v>
      </c>
      <c r="K279" s="55">
        <f t="shared" si="12"/>
        <v>0.85</v>
      </c>
      <c r="L279" s="55">
        <f t="shared" si="13"/>
        <v>697</v>
      </c>
      <c r="M279" s="55">
        <v>0</v>
      </c>
      <c r="N279" s="101">
        <f t="shared" si="14"/>
        <v>697</v>
      </c>
      <c r="O279" s="57"/>
      <c r="P279" s="75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</row>
    <row r="280" spans="1:32" hidden="1" x14ac:dyDescent="0.25">
      <c r="A280" s="224"/>
      <c r="B280" s="97">
        <v>44457</v>
      </c>
      <c r="C280" s="58" t="s">
        <v>57</v>
      </c>
      <c r="D280" s="59" t="s">
        <v>38</v>
      </c>
      <c r="E280" s="60" t="s">
        <v>39</v>
      </c>
      <c r="F280" s="60" t="s">
        <v>40</v>
      </c>
      <c r="G280" s="61">
        <v>3.9</v>
      </c>
      <c r="H280" s="60">
        <v>0</v>
      </c>
      <c r="I280" s="60">
        <v>820</v>
      </c>
      <c r="J280" s="60">
        <v>0</v>
      </c>
      <c r="K280" s="62">
        <f t="shared" si="12"/>
        <v>0.85</v>
      </c>
      <c r="L280" s="62">
        <f t="shared" si="13"/>
        <v>697</v>
      </c>
      <c r="M280" s="62">
        <v>0</v>
      </c>
      <c r="N280" s="102">
        <f t="shared" si="14"/>
        <v>697</v>
      </c>
      <c r="O280" s="92"/>
      <c r="P280" s="53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</row>
    <row r="281" spans="1:32" ht="15.75" hidden="1" thickBot="1" x14ac:dyDescent="0.3">
      <c r="A281" s="225"/>
      <c r="B281" s="98">
        <v>44458</v>
      </c>
      <c r="C281" s="66" t="s">
        <v>59</v>
      </c>
      <c r="D281" s="67" t="s">
        <v>38</v>
      </c>
      <c r="E281" s="67" t="s">
        <v>39</v>
      </c>
      <c r="F281" s="67" t="s">
        <v>40</v>
      </c>
      <c r="G281" s="68">
        <v>3.9</v>
      </c>
      <c r="H281" s="67">
        <v>0</v>
      </c>
      <c r="I281" s="67">
        <v>820</v>
      </c>
      <c r="J281" s="67">
        <v>0</v>
      </c>
      <c r="K281" s="69">
        <f t="shared" si="12"/>
        <v>0.85</v>
      </c>
      <c r="L281" s="69">
        <f t="shared" si="13"/>
        <v>697</v>
      </c>
      <c r="M281" s="69">
        <v>0</v>
      </c>
      <c r="N281" s="103">
        <f t="shared" si="14"/>
        <v>697</v>
      </c>
      <c r="O281" s="93"/>
      <c r="P281" s="53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</row>
    <row r="282" spans="1:32" hidden="1" x14ac:dyDescent="0.25">
      <c r="A282" s="223">
        <v>38</v>
      </c>
      <c r="B282" s="96">
        <v>44459</v>
      </c>
      <c r="C282" s="72" t="s">
        <v>37</v>
      </c>
      <c r="D282" s="72" t="s">
        <v>38</v>
      </c>
      <c r="E282" s="41" t="s">
        <v>39</v>
      </c>
      <c r="F282" s="41" t="s">
        <v>40</v>
      </c>
      <c r="G282" s="43">
        <v>3.9</v>
      </c>
      <c r="H282" s="41">
        <v>0</v>
      </c>
      <c r="I282" s="41">
        <v>820</v>
      </c>
      <c r="J282" s="41">
        <v>0</v>
      </c>
      <c r="K282" s="73">
        <f t="shared" si="12"/>
        <v>0.85</v>
      </c>
      <c r="L282" s="73">
        <f t="shared" si="13"/>
        <v>697</v>
      </c>
      <c r="M282" s="73">
        <v>0</v>
      </c>
      <c r="N282" s="105">
        <f t="shared" si="14"/>
        <v>697</v>
      </c>
      <c r="O282" s="46"/>
      <c r="P282" s="53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</row>
    <row r="283" spans="1:32" hidden="1" x14ac:dyDescent="0.25">
      <c r="A283" s="224"/>
      <c r="B283" s="96">
        <v>44460</v>
      </c>
      <c r="C283" s="52" t="s">
        <v>42</v>
      </c>
      <c r="D283" s="52" t="s">
        <v>38</v>
      </c>
      <c r="E283" s="53" t="s">
        <v>39</v>
      </c>
      <c r="F283" s="53" t="s">
        <v>40</v>
      </c>
      <c r="G283" s="54">
        <v>5.9</v>
      </c>
      <c r="H283" s="53">
        <v>0</v>
      </c>
      <c r="I283" s="53">
        <v>820</v>
      </c>
      <c r="J283" s="53">
        <v>0</v>
      </c>
      <c r="K283" s="55">
        <f t="shared" si="12"/>
        <v>0.85</v>
      </c>
      <c r="L283" s="55">
        <f t="shared" si="13"/>
        <v>697</v>
      </c>
      <c r="M283" s="55">
        <v>0</v>
      </c>
      <c r="N283" s="101">
        <f t="shared" si="14"/>
        <v>697</v>
      </c>
      <c r="O283" s="57"/>
      <c r="P283" s="53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</row>
    <row r="284" spans="1:32" hidden="1" x14ac:dyDescent="0.25">
      <c r="A284" s="224"/>
      <c r="B284" s="96">
        <v>44461</v>
      </c>
      <c r="C284" s="52" t="s">
        <v>46</v>
      </c>
      <c r="D284" s="52" t="s">
        <v>38</v>
      </c>
      <c r="E284" s="53" t="s">
        <v>39</v>
      </c>
      <c r="F284" s="53" t="s">
        <v>40</v>
      </c>
      <c r="G284" s="54">
        <v>8</v>
      </c>
      <c r="H284" s="53">
        <v>0</v>
      </c>
      <c r="I284" s="53">
        <v>820</v>
      </c>
      <c r="J284" s="53">
        <v>0</v>
      </c>
      <c r="K284" s="55">
        <f t="shared" si="12"/>
        <v>0.85</v>
      </c>
      <c r="L284" s="55">
        <f t="shared" si="13"/>
        <v>697</v>
      </c>
      <c r="M284" s="55">
        <v>0</v>
      </c>
      <c r="N284" s="101">
        <f t="shared" si="14"/>
        <v>697</v>
      </c>
      <c r="O284" s="57"/>
      <c r="P284" s="53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</row>
    <row r="285" spans="1:32" hidden="1" x14ac:dyDescent="0.25">
      <c r="A285" s="224"/>
      <c r="B285" s="96">
        <v>44462</v>
      </c>
      <c r="C285" s="52" t="s">
        <v>50</v>
      </c>
      <c r="D285" s="52" t="s">
        <v>38</v>
      </c>
      <c r="E285" s="53" t="s">
        <v>39</v>
      </c>
      <c r="F285" s="53" t="s">
        <v>40</v>
      </c>
      <c r="G285" s="54">
        <v>10</v>
      </c>
      <c r="H285" s="53">
        <v>0</v>
      </c>
      <c r="I285" s="53">
        <v>820</v>
      </c>
      <c r="J285" s="53">
        <v>0</v>
      </c>
      <c r="K285" s="55">
        <f t="shared" si="12"/>
        <v>0.85</v>
      </c>
      <c r="L285" s="55">
        <f t="shared" si="13"/>
        <v>697</v>
      </c>
      <c r="M285" s="55">
        <v>0</v>
      </c>
      <c r="N285" s="101">
        <f t="shared" si="14"/>
        <v>697</v>
      </c>
      <c r="O285" s="94"/>
      <c r="P285" s="53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</row>
    <row r="286" spans="1:32" hidden="1" x14ac:dyDescent="0.25">
      <c r="A286" s="224"/>
      <c r="B286" s="96">
        <v>44463</v>
      </c>
      <c r="C286" s="52" t="s">
        <v>53</v>
      </c>
      <c r="D286" s="52" t="s">
        <v>38</v>
      </c>
      <c r="E286" s="53" t="s">
        <v>39</v>
      </c>
      <c r="F286" s="53" t="s">
        <v>40</v>
      </c>
      <c r="G286" s="54">
        <v>12</v>
      </c>
      <c r="H286" s="53">
        <v>0</v>
      </c>
      <c r="I286" s="53">
        <v>820</v>
      </c>
      <c r="J286" s="53">
        <v>0</v>
      </c>
      <c r="K286" s="55">
        <f t="shared" si="12"/>
        <v>0.85</v>
      </c>
      <c r="L286" s="55">
        <f t="shared" si="13"/>
        <v>697</v>
      </c>
      <c r="M286" s="55">
        <v>0</v>
      </c>
      <c r="N286" s="101">
        <f t="shared" si="14"/>
        <v>697</v>
      </c>
      <c r="O286" s="57"/>
      <c r="P286" s="53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</row>
    <row r="287" spans="1:32" hidden="1" x14ac:dyDescent="0.25">
      <c r="A287" s="224"/>
      <c r="B287" s="97">
        <v>44464</v>
      </c>
      <c r="C287" s="58" t="s">
        <v>57</v>
      </c>
      <c r="D287" s="59" t="s">
        <v>38</v>
      </c>
      <c r="E287" s="60" t="s">
        <v>39</v>
      </c>
      <c r="F287" s="60" t="s">
        <v>40</v>
      </c>
      <c r="G287" s="61">
        <v>12</v>
      </c>
      <c r="H287" s="60">
        <v>0</v>
      </c>
      <c r="I287" s="60">
        <v>820</v>
      </c>
      <c r="J287" s="60">
        <v>0</v>
      </c>
      <c r="K287" s="62">
        <f t="shared" si="12"/>
        <v>0.85</v>
      </c>
      <c r="L287" s="62">
        <f t="shared" si="13"/>
        <v>697</v>
      </c>
      <c r="M287" s="62">
        <v>0</v>
      </c>
      <c r="N287" s="102">
        <f t="shared" si="14"/>
        <v>697</v>
      </c>
      <c r="O287" s="64"/>
      <c r="P287" s="53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</row>
    <row r="288" spans="1:32" ht="15.75" hidden="1" thickBot="1" x14ac:dyDescent="0.3">
      <c r="A288" s="225"/>
      <c r="B288" s="98">
        <v>44465</v>
      </c>
      <c r="C288" s="66" t="s">
        <v>59</v>
      </c>
      <c r="D288" s="67" t="s">
        <v>38</v>
      </c>
      <c r="E288" s="67" t="s">
        <v>39</v>
      </c>
      <c r="F288" s="67" t="s">
        <v>40</v>
      </c>
      <c r="G288" s="68">
        <v>12</v>
      </c>
      <c r="H288" s="67">
        <v>0</v>
      </c>
      <c r="I288" s="67">
        <v>820</v>
      </c>
      <c r="J288" s="67">
        <v>0</v>
      </c>
      <c r="K288" s="69">
        <f t="shared" si="12"/>
        <v>0.85</v>
      </c>
      <c r="L288" s="69">
        <f t="shared" si="13"/>
        <v>697</v>
      </c>
      <c r="M288" s="69">
        <v>0</v>
      </c>
      <c r="N288" s="103">
        <f t="shared" si="14"/>
        <v>697</v>
      </c>
      <c r="O288" s="64"/>
      <c r="P288" s="53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</row>
    <row r="289" spans="1:32" hidden="1" x14ac:dyDescent="0.25">
      <c r="A289" s="223">
        <v>39</v>
      </c>
      <c r="B289" s="96">
        <v>44466</v>
      </c>
      <c r="C289" s="72" t="s">
        <v>37</v>
      </c>
      <c r="D289" s="72" t="s">
        <v>38</v>
      </c>
      <c r="E289" s="41" t="s">
        <v>39</v>
      </c>
      <c r="F289" s="41" t="s">
        <v>40</v>
      </c>
      <c r="G289" s="43">
        <v>15</v>
      </c>
      <c r="H289" s="41">
        <v>0</v>
      </c>
      <c r="I289" s="41">
        <v>820</v>
      </c>
      <c r="J289" s="41">
        <v>0</v>
      </c>
      <c r="K289" s="73">
        <f t="shared" si="12"/>
        <v>0.85</v>
      </c>
      <c r="L289" s="73">
        <f t="shared" si="13"/>
        <v>697</v>
      </c>
      <c r="M289" s="73">
        <v>0</v>
      </c>
      <c r="N289" s="105">
        <f t="shared" si="14"/>
        <v>697</v>
      </c>
      <c r="O289" s="46"/>
      <c r="P289" s="53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</row>
    <row r="290" spans="1:32" hidden="1" x14ac:dyDescent="0.25">
      <c r="A290" s="224"/>
      <c r="B290" s="96">
        <v>44467</v>
      </c>
      <c r="C290" s="52" t="s">
        <v>42</v>
      </c>
      <c r="D290" s="52" t="s">
        <v>38</v>
      </c>
      <c r="E290" s="53" t="s">
        <v>39</v>
      </c>
      <c r="F290" s="53" t="s">
        <v>40</v>
      </c>
      <c r="G290" s="54">
        <v>15</v>
      </c>
      <c r="H290" s="53">
        <v>0</v>
      </c>
      <c r="I290" s="53">
        <v>820</v>
      </c>
      <c r="J290" s="53">
        <v>0</v>
      </c>
      <c r="K290" s="55">
        <f t="shared" si="12"/>
        <v>0.85</v>
      </c>
      <c r="L290" s="55">
        <f t="shared" si="13"/>
        <v>697</v>
      </c>
      <c r="M290" s="55">
        <v>0</v>
      </c>
      <c r="N290" s="101">
        <f t="shared" si="14"/>
        <v>697</v>
      </c>
      <c r="O290" s="57"/>
      <c r="P290" s="53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</row>
    <row r="291" spans="1:32" hidden="1" x14ac:dyDescent="0.25">
      <c r="A291" s="224"/>
      <c r="B291" s="96">
        <v>44468</v>
      </c>
      <c r="C291" s="52" t="s">
        <v>46</v>
      </c>
      <c r="D291" s="52" t="s">
        <v>38</v>
      </c>
      <c r="E291" s="53" t="s">
        <v>39</v>
      </c>
      <c r="F291" s="53" t="s">
        <v>40</v>
      </c>
      <c r="G291" s="54">
        <v>10</v>
      </c>
      <c r="H291" s="53">
        <v>0</v>
      </c>
      <c r="I291" s="53">
        <v>820</v>
      </c>
      <c r="J291" s="53">
        <v>0</v>
      </c>
      <c r="K291" s="55">
        <f t="shared" si="12"/>
        <v>0.85</v>
      </c>
      <c r="L291" s="55">
        <f t="shared" si="13"/>
        <v>697</v>
      </c>
      <c r="M291" s="55">
        <v>0</v>
      </c>
      <c r="N291" s="101">
        <f t="shared" si="14"/>
        <v>697</v>
      </c>
      <c r="O291" s="57"/>
      <c r="P291" s="53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</row>
    <row r="292" spans="1:32" hidden="1" x14ac:dyDescent="0.25">
      <c r="A292" s="224"/>
      <c r="B292" s="96">
        <v>44469</v>
      </c>
      <c r="C292" s="52" t="s">
        <v>50</v>
      </c>
      <c r="D292" s="52" t="s">
        <v>38</v>
      </c>
      <c r="E292" s="53" t="s">
        <v>39</v>
      </c>
      <c r="F292" s="53" t="s">
        <v>40</v>
      </c>
      <c r="G292" s="54">
        <v>10</v>
      </c>
      <c r="H292" s="53">
        <v>0</v>
      </c>
      <c r="I292" s="53">
        <v>820</v>
      </c>
      <c r="J292" s="53">
        <v>0</v>
      </c>
      <c r="K292" s="55">
        <f t="shared" si="12"/>
        <v>0.85</v>
      </c>
      <c r="L292" s="55">
        <f t="shared" si="13"/>
        <v>697</v>
      </c>
      <c r="M292" s="55">
        <v>0</v>
      </c>
      <c r="N292" s="101">
        <f t="shared" si="14"/>
        <v>697</v>
      </c>
      <c r="O292" s="57"/>
      <c r="P292" s="53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</row>
    <row r="293" spans="1:32" hidden="1" x14ac:dyDescent="0.25">
      <c r="A293" s="224"/>
      <c r="B293" s="96">
        <v>44470</v>
      </c>
      <c r="C293" s="52" t="s">
        <v>53</v>
      </c>
      <c r="D293" s="52" t="s">
        <v>38</v>
      </c>
      <c r="E293" s="53" t="s">
        <v>39</v>
      </c>
      <c r="F293" s="53" t="s">
        <v>40</v>
      </c>
      <c r="G293" s="54">
        <v>8</v>
      </c>
      <c r="H293" s="53">
        <v>0</v>
      </c>
      <c r="I293" s="53">
        <v>820</v>
      </c>
      <c r="J293" s="53">
        <v>0</v>
      </c>
      <c r="K293" s="55">
        <f t="shared" si="12"/>
        <v>0.85</v>
      </c>
      <c r="L293" s="55">
        <f t="shared" si="13"/>
        <v>697</v>
      </c>
      <c r="M293" s="55">
        <v>0</v>
      </c>
      <c r="N293" s="101">
        <f t="shared" si="14"/>
        <v>697</v>
      </c>
      <c r="O293" s="57"/>
      <c r="P293" s="53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</row>
    <row r="294" spans="1:32" hidden="1" x14ac:dyDescent="0.25">
      <c r="A294" s="224"/>
      <c r="B294" s="97">
        <v>44471</v>
      </c>
      <c r="C294" s="58" t="s">
        <v>57</v>
      </c>
      <c r="D294" s="59" t="s">
        <v>38</v>
      </c>
      <c r="E294" s="60" t="s">
        <v>39</v>
      </c>
      <c r="F294" s="60" t="s">
        <v>40</v>
      </c>
      <c r="G294" s="61">
        <v>8</v>
      </c>
      <c r="H294" s="60">
        <v>0</v>
      </c>
      <c r="I294" s="60">
        <v>820</v>
      </c>
      <c r="J294" s="60">
        <v>0</v>
      </c>
      <c r="K294" s="62">
        <f t="shared" si="12"/>
        <v>0.85</v>
      </c>
      <c r="L294" s="62">
        <f t="shared" si="13"/>
        <v>697</v>
      </c>
      <c r="M294" s="62">
        <v>0</v>
      </c>
      <c r="N294" s="102">
        <f t="shared" si="14"/>
        <v>697</v>
      </c>
      <c r="O294" s="64" t="s">
        <v>89</v>
      </c>
      <c r="P294" s="53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</row>
    <row r="295" spans="1:32" ht="15.75" hidden="1" thickBot="1" x14ac:dyDescent="0.3">
      <c r="A295" s="225"/>
      <c r="B295" s="98">
        <v>44472</v>
      </c>
      <c r="C295" s="66" t="s">
        <v>59</v>
      </c>
      <c r="D295" s="67" t="s">
        <v>38</v>
      </c>
      <c r="E295" s="67" t="s">
        <v>39</v>
      </c>
      <c r="F295" s="67" t="s">
        <v>40</v>
      </c>
      <c r="G295" s="68">
        <v>8</v>
      </c>
      <c r="H295" s="67">
        <v>0</v>
      </c>
      <c r="I295" s="67">
        <v>820</v>
      </c>
      <c r="J295" s="67">
        <v>0</v>
      </c>
      <c r="K295" s="69">
        <f t="shared" si="12"/>
        <v>0.85</v>
      </c>
      <c r="L295" s="69">
        <f t="shared" si="13"/>
        <v>697</v>
      </c>
      <c r="M295" s="69">
        <v>0</v>
      </c>
      <c r="N295" s="103">
        <f t="shared" si="14"/>
        <v>697</v>
      </c>
      <c r="O295" s="71"/>
      <c r="P295" s="53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</row>
    <row r="296" spans="1:32" hidden="1" x14ac:dyDescent="0.25">
      <c r="A296" s="223">
        <v>40</v>
      </c>
      <c r="B296" s="96">
        <v>44473</v>
      </c>
      <c r="C296" s="72" t="s">
        <v>37</v>
      </c>
      <c r="D296" s="72" t="s">
        <v>38</v>
      </c>
      <c r="E296" s="41" t="s">
        <v>39</v>
      </c>
      <c r="F296" s="41" t="s">
        <v>40</v>
      </c>
      <c r="G296" s="43">
        <v>5.9</v>
      </c>
      <c r="H296" s="41">
        <v>0</v>
      </c>
      <c r="I296" s="41">
        <v>820</v>
      </c>
      <c r="J296" s="41">
        <v>0</v>
      </c>
      <c r="K296" s="73">
        <f t="shared" si="12"/>
        <v>0.85</v>
      </c>
      <c r="L296" s="73">
        <f t="shared" si="13"/>
        <v>697</v>
      </c>
      <c r="M296" s="73">
        <v>0</v>
      </c>
      <c r="N296" s="105">
        <f t="shared" si="14"/>
        <v>697</v>
      </c>
      <c r="O296" s="46"/>
      <c r="P296" s="53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</row>
    <row r="297" spans="1:32" hidden="1" x14ac:dyDescent="0.25">
      <c r="A297" s="224"/>
      <c r="B297" s="96">
        <v>44474</v>
      </c>
      <c r="C297" s="52" t="s">
        <v>42</v>
      </c>
      <c r="D297" s="52" t="s">
        <v>38</v>
      </c>
      <c r="E297" s="53" t="s">
        <v>39</v>
      </c>
      <c r="F297" s="53" t="s">
        <v>40</v>
      </c>
      <c r="G297" s="54">
        <v>5.9</v>
      </c>
      <c r="H297" s="53">
        <v>0</v>
      </c>
      <c r="I297" s="53">
        <v>820</v>
      </c>
      <c r="J297" s="53">
        <v>0</v>
      </c>
      <c r="K297" s="55">
        <f t="shared" si="12"/>
        <v>0.85</v>
      </c>
      <c r="L297" s="55">
        <f t="shared" si="13"/>
        <v>697</v>
      </c>
      <c r="M297" s="55">
        <v>0</v>
      </c>
      <c r="N297" s="101">
        <f t="shared" si="14"/>
        <v>697</v>
      </c>
      <c r="O297" s="57" t="s">
        <v>89</v>
      </c>
      <c r="P297" s="53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</row>
    <row r="298" spans="1:32" hidden="1" x14ac:dyDescent="0.25">
      <c r="A298" s="224"/>
      <c r="B298" s="96">
        <v>44475</v>
      </c>
      <c r="C298" s="52" t="s">
        <v>46</v>
      </c>
      <c r="D298" s="52" t="s">
        <v>38</v>
      </c>
      <c r="E298" s="53" t="s">
        <v>39</v>
      </c>
      <c r="F298" s="53" t="s">
        <v>40</v>
      </c>
      <c r="G298" s="54">
        <v>5.9</v>
      </c>
      <c r="H298" s="53">
        <v>0</v>
      </c>
      <c r="I298" s="53">
        <v>820</v>
      </c>
      <c r="J298" s="53">
        <v>0</v>
      </c>
      <c r="K298" s="55">
        <f t="shared" si="12"/>
        <v>0.85</v>
      </c>
      <c r="L298" s="55">
        <f t="shared" si="13"/>
        <v>697</v>
      </c>
      <c r="M298" s="55">
        <v>0</v>
      </c>
      <c r="N298" s="101">
        <f t="shared" si="14"/>
        <v>697</v>
      </c>
      <c r="O298" s="57"/>
      <c r="P298" s="53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</row>
    <row r="299" spans="1:32" hidden="1" x14ac:dyDescent="0.25">
      <c r="A299" s="224"/>
      <c r="B299" s="96">
        <v>44476</v>
      </c>
      <c r="C299" s="52" t="s">
        <v>50</v>
      </c>
      <c r="D299" s="52" t="s">
        <v>38</v>
      </c>
      <c r="E299" s="53" t="s">
        <v>39</v>
      </c>
      <c r="F299" s="53" t="s">
        <v>40</v>
      </c>
      <c r="G299" s="54">
        <v>3.9</v>
      </c>
      <c r="H299" s="53">
        <v>0</v>
      </c>
      <c r="I299" s="53">
        <v>820</v>
      </c>
      <c r="J299" s="53">
        <v>0</v>
      </c>
      <c r="K299" s="55">
        <f t="shared" si="12"/>
        <v>0.85</v>
      </c>
      <c r="L299" s="55">
        <f t="shared" si="13"/>
        <v>697</v>
      </c>
      <c r="M299" s="55">
        <v>0</v>
      </c>
      <c r="N299" s="101">
        <f t="shared" si="14"/>
        <v>697</v>
      </c>
      <c r="O299" s="57"/>
      <c r="P299" s="53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</row>
    <row r="300" spans="1:32" hidden="1" x14ac:dyDescent="0.25">
      <c r="A300" s="224"/>
      <c r="B300" s="96">
        <v>44477</v>
      </c>
      <c r="C300" s="52" t="s">
        <v>53</v>
      </c>
      <c r="D300" s="52" t="s">
        <v>38</v>
      </c>
      <c r="E300" s="53" t="s">
        <v>39</v>
      </c>
      <c r="F300" s="53" t="s">
        <v>40</v>
      </c>
      <c r="G300" s="54">
        <v>3.9</v>
      </c>
      <c r="H300" s="53">
        <v>0</v>
      </c>
      <c r="I300" s="53">
        <v>820</v>
      </c>
      <c r="J300" s="53">
        <v>0</v>
      </c>
      <c r="K300" s="55">
        <f t="shared" si="12"/>
        <v>0.85</v>
      </c>
      <c r="L300" s="55">
        <f t="shared" si="13"/>
        <v>697</v>
      </c>
      <c r="M300" s="55">
        <v>0</v>
      </c>
      <c r="N300" s="101">
        <f t="shared" si="14"/>
        <v>697</v>
      </c>
      <c r="O300" s="57"/>
      <c r="P300" s="53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</row>
    <row r="301" spans="1:32" hidden="1" x14ac:dyDescent="0.25">
      <c r="A301" s="224"/>
      <c r="B301" s="97">
        <v>44478</v>
      </c>
      <c r="C301" s="58" t="s">
        <v>57</v>
      </c>
      <c r="D301" s="59" t="s">
        <v>38</v>
      </c>
      <c r="E301" s="60" t="s">
        <v>39</v>
      </c>
      <c r="F301" s="60" t="s">
        <v>40</v>
      </c>
      <c r="G301" s="61">
        <v>3.9</v>
      </c>
      <c r="H301" s="60">
        <v>0</v>
      </c>
      <c r="I301" s="60">
        <v>820</v>
      </c>
      <c r="J301" s="60">
        <v>0</v>
      </c>
      <c r="K301" s="62">
        <f t="shared" si="12"/>
        <v>0.85</v>
      </c>
      <c r="L301" s="62">
        <f t="shared" si="13"/>
        <v>697</v>
      </c>
      <c r="M301" s="62">
        <v>0</v>
      </c>
      <c r="N301" s="102">
        <f t="shared" si="14"/>
        <v>697</v>
      </c>
      <c r="O301" s="64" t="s">
        <v>73</v>
      </c>
      <c r="P301" s="53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</row>
    <row r="302" spans="1:32" ht="15.75" hidden="1" thickBot="1" x14ac:dyDescent="0.3">
      <c r="A302" s="225"/>
      <c r="B302" s="98">
        <v>44479</v>
      </c>
      <c r="C302" s="66" t="s">
        <v>59</v>
      </c>
      <c r="D302" s="67" t="s">
        <v>38</v>
      </c>
      <c r="E302" s="67" t="s">
        <v>39</v>
      </c>
      <c r="F302" s="67" t="s">
        <v>40</v>
      </c>
      <c r="G302" s="68">
        <v>3.9</v>
      </c>
      <c r="H302" s="67">
        <v>0</v>
      </c>
      <c r="I302" s="67">
        <v>820</v>
      </c>
      <c r="J302" s="67">
        <v>0</v>
      </c>
      <c r="K302" s="69">
        <f t="shared" si="12"/>
        <v>0.85</v>
      </c>
      <c r="L302" s="69">
        <f t="shared" si="13"/>
        <v>697</v>
      </c>
      <c r="M302" s="69">
        <v>0</v>
      </c>
      <c r="N302" s="103">
        <f t="shared" si="14"/>
        <v>697</v>
      </c>
      <c r="O302" s="71"/>
      <c r="P302" s="53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</row>
    <row r="303" spans="1:32" hidden="1" x14ac:dyDescent="0.25">
      <c r="A303" s="223">
        <v>41</v>
      </c>
      <c r="B303" s="96">
        <v>44480</v>
      </c>
      <c r="C303" s="72" t="s">
        <v>37</v>
      </c>
      <c r="D303" s="72" t="s">
        <v>38</v>
      </c>
      <c r="E303" s="41" t="s">
        <v>55</v>
      </c>
      <c r="F303" s="41" t="s">
        <v>40</v>
      </c>
      <c r="G303" s="43">
        <v>3.9</v>
      </c>
      <c r="H303" s="41">
        <v>0</v>
      </c>
      <c r="I303" s="41">
        <v>820</v>
      </c>
      <c r="J303" s="41">
        <v>0</v>
      </c>
      <c r="K303" s="73">
        <f t="shared" ref="K303:K334" si="15">VLOOKUP($D303&amp;$E303&amp;$F303&amp;YEAR($B303),$P:$AA,9,FALSE)</f>
        <v>0.85</v>
      </c>
      <c r="L303" s="73">
        <f t="shared" si="13"/>
        <v>697</v>
      </c>
      <c r="M303" s="73">
        <v>0</v>
      </c>
      <c r="N303" s="105">
        <f t="shared" si="14"/>
        <v>697</v>
      </c>
      <c r="O303" s="46"/>
      <c r="P303" s="53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</row>
    <row r="304" spans="1:32" hidden="1" x14ac:dyDescent="0.25">
      <c r="A304" s="224"/>
      <c r="B304" s="96">
        <v>44481</v>
      </c>
      <c r="C304" s="52" t="s">
        <v>42</v>
      </c>
      <c r="D304" s="52" t="s">
        <v>38</v>
      </c>
      <c r="E304" s="53" t="s">
        <v>55</v>
      </c>
      <c r="F304" s="53" t="s">
        <v>40</v>
      </c>
      <c r="G304" s="54">
        <v>3.9</v>
      </c>
      <c r="H304" s="53">
        <v>0</v>
      </c>
      <c r="I304" s="53">
        <v>820</v>
      </c>
      <c r="J304" s="53">
        <v>0</v>
      </c>
      <c r="K304" s="55">
        <f t="shared" si="15"/>
        <v>0.85</v>
      </c>
      <c r="L304" s="55">
        <f t="shared" si="13"/>
        <v>697</v>
      </c>
      <c r="M304" s="55">
        <v>0</v>
      </c>
      <c r="N304" s="101">
        <f t="shared" si="14"/>
        <v>697</v>
      </c>
      <c r="O304" s="57"/>
      <c r="P304" s="53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</row>
    <row r="305" spans="1:32" hidden="1" x14ac:dyDescent="0.25">
      <c r="A305" s="224"/>
      <c r="B305" s="96">
        <v>44482</v>
      </c>
      <c r="C305" s="52" t="s">
        <v>46</v>
      </c>
      <c r="D305" s="52" t="s">
        <v>38</v>
      </c>
      <c r="E305" s="53" t="s">
        <v>55</v>
      </c>
      <c r="F305" s="53" t="s">
        <v>40</v>
      </c>
      <c r="G305" s="54">
        <v>3.9</v>
      </c>
      <c r="H305" s="53">
        <v>0</v>
      </c>
      <c r="I305" s="53">
        <v>820</v>
      </c>
      <c r="J305" s="53">
        <v>0</v>
      </c>
      <c r="K305" s="55">
        <f t="shared" si="15"/>
        <v>0.85</v>
      </c>
      <c r="L305" s="55">
        <f t="shared" si="13"/>
        <v>697</v>
      </c>
      <c r="M305" s="55">
        <v>0</v>
      </c>
      <c r="N305" s="101">
        <f t="shared" si="14"/>
        <v>697</v>
      </c>
      <c r="O305" s="57"/>
      <c r="P305" s="53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  <row r="306" spans="1:32" hidden="1" x14ac:dyDescent="0.25">
      <c r="A306" s="224"/>
      <c r="B306" s="96">
        <v>44483</v>
      </c>
      <c r="C306" s="52" t="s">
        <v>50</v>
      </c>
      <c r="D306" s="52" t="s">
        <v>38</v>
      </c>
      <c r="E306" s="53" t="s">
        <v>45</v>
      </c>
      <c r="F306" s="53" t="s">
        <v>40</v>
      </c>
      <c r="G306" s="54">
        <v>3.9</v>
      </c>
      <c r="H306" s="53">
        <v>0</v>
      </c>
      <c r="I306" s="53">
        <v>820</v>
      </c>
      <c r="J306" s="53">
        <v>0</v>
      </c>
      <c r="K306" s="55">
        <f t="shared" si="15"/>
        <v>0.83</v>
      </c>
      <c r="L306" s="55">
        <f t="shared" si="13"/>
        <v>680.6</v>
      </c>
      <c r="M306" s="55">
        <v>0</v>
      </c>
      <c r="N306" s="101">
        <f t="shared" si="14"/>
        <v>680.6</v>
      </c>
      <c r="O306" s="57"/>
      <c r="P306" s="53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  <row r="307" spans="1:32" hidden="1" x14ac:dyDescent="0.25">
      <c r="A307" s="224"/>
      <c r="B307" s="96">
        <v>44484</v>
      </c>
      <c r="C307" s="52" t="s">
        <v>53</v>
      </c>
      <c r="D307" s="52" t="s">
        <v>38</v>
      </c>
      <c r="E307" s="53" t="s">
        <v>45</v>
      </c>
      <c r="F307" s="53" t="s">
        <v>40</v>
      </c>
      <c r="G307" s="54">
        <v>4.9000000000000004</v>
      </c>
      <c r="H307" s="53">
        <v>0</v>
      </c>
      <c r="I307" s="53">
        <v>820</v>
      </c>
      <c r="J307" s="53">
        <v>0</v>
      </c>
      <c r="K307" s="55">
        <f t="shared" si="15"/>
        <v>0.83</v>
      </c>
      <c r="L307" s="55">
        <f t="shared" si="13"/>
        <v>680.6</v>
      </c>
      <c r="M307" s="55">
        <v>0</v>
      </c>
      <c r="N307" s="101">
        <f t="shared" si="14"/>
        <v>680.6</v>
      </c>
      <c r="O307" s="57"/>
      <c r="P307" s="53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</row>
    <row r="308" spans="1:32" hidden="1" x14ac:dyDescent="0.25">
      <c r="A308" s="224"/>
      <c r="B308" s="97">
        <v>44485</v>
      </c>
      <c r="C308" s="58" t="s">
        <v>57</v>
      </c>
      <c r="D308" s="59" t="s">
        <v>38</v>
      </c>
      <c r="E308" s="60" t="s">
        <v>45</v>
      </c>
      <c r="F308" s="60" t="s">
        <v>40</v>
      </c>
      <c r="G308" s="61">
        <v>5.9</v>
      </c>
      <c r="H308" s="60">
        <v>0</v>
      </c>
      <c r="I308" s="60">
        <v>820</v>
      </c>
      <c r="J308" s="60">
        <v>0</v>
      </c>
      <c r="K308" s="62">
        <f t="shared" si="15"/>
        <v>0.83</v>
      </c>
      <c r="L308" s="62">
        <f t="shared" si="13"/>
        <v>680.6</v>
      </c>
      <c r="M308" s="62">
        <v>0</v>
      </c>
      <c r="N308" s="102">
        <f t="shared" ref="N308:N339" si="16">L308*(1-M308)</f>
        <v>680.6</v>
      </c>
      <c r="O308" s="64"/>
      <c r="P308" s="53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</row>
    <row r="309" spans="1:32" ht="15.75" hidden="1" thickBot="1" x14ac:dyDescent="0.3">
      <c r="A309" s="225"/>
      <c r="B309" s="98">
        <v>44486</v>
      </c>
      <c r="C309" s="66" t="s">
        <v>59</v>
      </c>
      <c r="D309" s="67" t="s">
        <v>38</v>
      </c>
      <c r="E309" s="67" t="s">
        <v>45</v>
      </c>
      <c r="F309" s="67" t="s">
        <v>40</v>
      </c>
      <c r="G309" s="68">
        <v>5.9</v>
      </c>
      <c r="H309" s="67">
        <v>0</v>
      </c>
      <c r="I309" s="67">
        <v>820</v>
      </c>
      <c r="J309" s="67">
        <v>0</v>
      </c>
      <c r="K309" s="69">
        <f t="shared" si="15"/>
        <v>0.83</v>
      </c>
      <c r="L309" s="69">
        <f t="shared" si="13"/>
        <v>680.6</v>
      </c>
      <c r="M309" s="69">
        <v>0</v>
      </c>
      <c r="N309" s="103">
        <f t="shared" si="16"/>
        <v>680.6</v>
      </c>
      <c r="O309" s="71"/>
      <c r="P309" s="53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</row>
    <row r="310" spans="1:32" hidden="1" x14ac:dyDescent="0.25">
      <c r="A310" s="223">
        <v>42</v>
      </c>
      <c r="B310" s="96">
        <v>44487</v>
      </c>
      <c r="C310" s="72" t="s">
        <v>37</v>
      </c>
      <c r="D310" s="72" t="s">
        <v>38</v>
      </c>
      <c r="E310" s="41" t="s">
        <v>45</v>
      </c>
      <c r="F310" s="41" t="s">
        <v>40</v>
      </c>
      <c r="G310" s="43">
        <v>5.9</v>
      </c>
      <c r="H310" s="41">
        <v>0</v>
      </c>
      <c r="I310" s="41">
        <v>820</v>
      </c>
      <c r="J310" s="41">
        <v>0</v>
      </c>
      <c r="K310" s="73">
        <f t="shared" si="15"/>
        <v>0.83</v>
      </c>
      <c r="L310" s="73">
        <f t="shared" si="13"/>
        <v>680.6</v>
      </c>
      <c r="M310" s="73">
        <v>0</v>
      </c>
      <c r="N310" s="105">
        <f t="shared" si="16"/>
        <v>680.6</v>
      </c>
      <c r="O310" s="46"/>
      <c r="P310" s="53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</row>
    <row r="311" spans="1:32" hidden="1" x14ac:dyDescent="0.25">
      <c r="A311" s="224"/>
      <c r="B311" s="96">
        <v>44488</v>
      </c>
      <c r="C311" s="52" t="s">
        <v>42</v>
      </c>
      <c r="D311" s="52" t="s">
        <v>38</v>
      </c>
      <c r="E311" s="53" t="s">
        <v>45</v>
      </c>
      <c r="F311" s="53" t="s">
        <v>40</v>
      </c>
      <c r="G311" s="54">
        <v>5.9</v>
      </c>
      <c r="H311" s="53">
        <v>0</v>
      </c>
      <c r="I311" s="53">
        <v>820</v>
      </c>
      <c r="J311" s="53">
        <v>0</v>
      </c>
      <c r="K311" s="55">
        <f t="shared" si="15"/>
        <v>0.83</v>
      </c>
      <c r="L311" s="55">
        <f t="shared" si="13"/>
        <v>680.6</v>
      </c>
      <c r="M311" s="55">
        <v>0</v>
      </c>
      <c r="N311" s="101">
        <f t="shared" si="16"/>
        <v>680.6</v>
      </c>
      <c r="O311" s="57"/>
      <c r="P311" s="53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</row>
    <row r="312" spans="1:32" hidden="1" x14ac:dyDescent="0.25">
      <c r="A312" s="224"/>
      <c r="B312" s="96">
        <v>44489</v>
      </c>
      <c r="C312" s="52" t="s">
        <v>46</v>
      </c>
      <c r="D312" s="52" t="s">
        <v>38</v>
      </c>
      <c r="E312" s="53" t="s">
        <v>45</v>
      </c>
      <c r="F312" s="53" t="s">
        <v>40</v>
      </c>
      <c r="G312" s="54">
        <v>8</v>
      </c>
      <c r="H312" s="53">
        <v>0</v>
      </c>
      <c r="I312" s="53">
        <v>820</v>
      </c>
      <c r="J312" s="53">
        <v>0</v>
      </c>
      <c r="K312" s="55">
        <f t="shared" si="15"/>
        <v>0.83</v>
      </c>
      <c r="L312" s="55">
        <f t="shared" si="13"/>
        <v>680.6</v>
      </c>
      <c r="M312" s="55">
        <v>0</v>
      </c>
      <c r="N312" s="101">
        <f t="shared" si="16"/>
        <v>680.6</v>
      </c>
      <c r="O312" s="57"/>
      <c r="P312" s="53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</row>
    <row r="313" spans="1:32" hidden="1" x14ac:dyDescent="0.25">
      <c r="A313" s="224"/>
      <c r="B313" s="96">
        <v>44490</v>
      </c>
      <c r="C313" s="52" t="s">
        <v>50</v>
      </c>
      <c r="D313" s="52" t="s">
        <v>38</v>
      </c>
      <c r="E313" s="53" t="s">
        <v>45</v>
      </c>
      <c r="F313" s="53" t="s">
        <v>40</v>
      </c>
      <c r="G313" s="54">
        <v>8</v>
      </c>
      <c r="H313" s="53">
        <v>0</v>
      </c>
      <c r="I313" s="53">
        <v>820</v>
      </c>
      <c r="J313" s="53">
        <v>0</v>
      </c>
      <c r="K313" s="55">
        <f t="shared" si="15"/>
        <v>0.83</v>
      </c>
      <c r="L313" s="55">
        <f t="shared" si="13"/>
        <v>680.6</v>
      </c>
      <c r="M313" s="55">
        <v>0</v>
      </c>
      <c r="N313" s="101">
        <f t="shared" si="16"/>
        <v>680.6</v>
      </c>
      <c r="O313" s="57" t="s">
        <v>112</v>
      </c>
      <c r="P313" s="53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</row>
    <row r="314" spans="1:32" hidden="1" x14ac:dyDescent="0.25">
      <c r="A314" s="224"/>
      <c r="B314" s="96">
        <v>44491</v>
      </c>
      <c r="C314" s="52" t="s">
        <v>53</v>
      </c>
      <c r="D314" s="52" t="s">
        <v>38</v>
      </c>
      <c r="E314" s="53" t="s">
        <v>45</v>
      </c>
      <c r="F314" s="53" t="s">
        <v>40</v>
      </c>
      <c r="G314" s="54">
        <v>10</v>
      </c>
      <c r="H314" s="53">
        <v>0</v>
      </c>
      <c r="I314" s="53">
        <v>820</v>
      </c>
      <c r="J314" s="53">
        <v>0</v>
      </c>
      <c r="K314" s="55">
        <f t="shared" si="15"/>
        <v>0.83</v>
      </c>
      <c r="L314" s="55">
        <f t="shared" si="13"/>
        <v>680.6</v>
      </c>
      <c r="M314" s="55">
        <v>0</v>
      </c>
      <c r="N314" s="101">
        <f t="shared" si="16"/>
        <v>680.6</v>
      </c>
      <c r="O314" s="57" t="s">
        <v>113</v>
      </c>
      <c r="P314" s="53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</row>
    <row r="315" spans="1:32" hidden="1" x14ac:dyDescent="0.25">
      <c r="A315" s="224"/>
      <c r="B315" s="97">
        <v>44492</v>
      </c>
      <c r="C315" s="58" t="s">
        <v>57</v>
      </c>
      <c r="D315" s="59" t="s">
        <v>38</v>
      </c>
      <c r="E315" s="60" t="s">
        <v>45</v>
      </c>
      <c r="F315" s="60" t="s">
        <v>40</v>
      </c>
      <c r="G315" s="61">
        <v>5.9</v>
      </c>
      <c r="H315" s="60">
        <v>0</v>
      </c>
      <c r="I315" s="60">
        <v>820</v>
      </c>
      <c r="J315" s="60">
        <v>0</v>
      </c>
      <c r="K315" s="62">
        <f t="shared" si="15"/>
        <v>0.83</v>
      </c>
      <c r="L315" s="62">
        <f t="shared" si="13"/>
        <v>680.6</v>
      </c>
      <c r="M315" s="62">
        <v>0</v>
      </c>
      <c r="N315" s="102">
        <f t="shared" si="16"/>
        <v>680.6</v>
      </c>
      <c r="O315" s="64"/>
      <c r="P315" s="53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</row>
    <row r="316" spans="1:32" ht="15.75" hidden="1" thickBot="1" x14ac:dyDescent="0.3">
      <c r="A316" s="225"/>
      <c r="B316" s="98">
        <v>44493</v>
      </c>
      <c r="C316" s="66" t="s">
        <v>59</v>
      </c>
      <c r="D316" s="67" t="s">
        <v>38</v>
      </c>
      <c r="E316" s="67" t="s">
        <v>45</v>
      </c>
      <c r="F316" s="67" t="s">
        <v>40</v>
      </c>
      <c r="G316" s="68">
        <v>3.9</v>
      </c>
      <c r="H316" s="67">
        <v>0</v>
      </c>
      <c r="I316" s="67">
        <v>820</v>
      </c>
      <c r="J316" s="67">
        <v>0</v>
      </c>
      <c r="K316" s="69">
        <f t="shared" si="15"/>
        <v>0.83</v>
      </c>
      <c r="L316" s="69">
        <f t="shared" si="13"/>
        <v>680.6</v>
      </c>
      <c r="M316" s="69">
        <v>0</v>
      </c>
      <c r="N316" s="103">
        <f t="shared" si="16"/>
        <v>680.6</v>
      </c>
      <c r="O316" s="71"/>
      <c r="P316" s="53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</row>
    <row r="317" spans="1:32" hidden="1" x14ac:dyDescent="0.25">
      <c r="A317" s="223">
        <v>43</v>
      </c>
      <c r="B317" s="96">
        <v>44494</v>
      </c>
      <c r="C317" s="72" t="s">
        <v>37</v>
      </c>
      <c r="D317" s="72" t="s">
        <v>38</v>
      </c>
      <c r="E317" s="41" t="s">
        <v>45</v>
      </c>
      <c r="F317" s="41" t="s">
        <v>40</v>
      </c>
      <c r="G317" s="43">
        <v>5.9</v>
      </c>
      <c r="H317" s="41">
        <v>0</v>
      </c>
      <c r="I317" s="41">
        <v>820</v>
      </c>
      <c r="J317" s="41">
        <v>0</v>
      </c>
      <c r="K317" s="73">
        <f t="shared" si="15"/>
        <v>0.83</v>
      </c>
      <c r="L317" s="73">
        <f t="shared" si="13"/>
        <v>680.6</v>
      </c>
      <c r="M317" s="73">
        <v>0</v>
      </c>
      <c r="N317" s="105">
        <f t="shared" si="16"/>
        <v>680.6</v>
      </c>
      <c r="O317" s="46"/>
      <c r="P317" s="53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</row>
    <row r="318" spans="1:32" hidden="1" x14ac:dyDescent="0.25">
      <c r="A318" s="224"/>
      <c r="B318" s="96">
        <v>44495</v>
      </c>
      <c r="C318" s="52" t="s">
        <v>42</v>
      </c>
      <c r="D318" s="52" t="s">
        <v>38</v>
      </c>
      <c r="E318" s="53" t="s">
        <v>45</v>
      </c>
      <c r="F318" s="53" t="s">
        <v>40</v>
      </c>
      <c r="G318" s="54">
        <v>8</v>
      </c>
      <c r="H318" s="53">
        <v>0</v>
      </c>
      <c r="I318" s="53">
        <v>820</v>
      </c>
      <c r="J318" s="53">
        <v>0</v>
      </c>
      <c r="K318" s="55">
        <f t="shared" si="15"/>
        <v>0.83</v>
      </c>
      <c r="L318" s="55">
        <f t="shared" si="13"/>
        <v>680.6</v>
      </c>
      <c r="M318" s="55">
        <v>0</v>
      </c>
      <c r="N318" s="101">
        <f t="shared" si="16"/>
        <v>680.6</v>
      </c>
      <c r="O318" s="57" t="s">
        <v>114</v>
      </c>
      <c r="P318" s="53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</row>
    <row r="319" spans="1:32" hidden="1" x14ac:dyDescent="0.25">
      <c r="A319" s="224"/>
      <c r="B319" s="96">
        <v>44496</v>
      </c>
      <c r="C319" s="52" t="s">
        <v>46</v>
      </c>
      <c r="D319" s="52" t="s">
        <v>38</v>
      </c>
      <c r="E319" s="53" t="s">
        <v>45</v>
      </c>
      <c r="F319" s="53" t="s">
        <v>40</v>
      </c>
      <c r="G319" s="54">
        <v>8</v>
      </c>
      <c r="H319" s="53">
        <v>0</v>
      </c>
      <c r="I319" s="53">
        <v>820</v>
      </c>
      <c r="J319" s="53">
        <v>0</v>
      </c>
      <c r="K319" s="55">
        <f t="shared" si="15"/>
        <v>0.83</v>
      </c>
      <c r="L319" s="55">
        <f t="shared" si="13"/>
        <v>680.6</v>
      </c>
      <c r="M319" s="55">
        <v>0</v>
      </c>
      <c r="N319" s="101">
        <f t="shared" si="16"/>
        <v>680.6</v>
      </c>
      <c r="O319" s="57" t="s">
        <v>115</v>
      </c>
      <c r="P319" s="53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</row>
    <row r="320" spans="1:32" hidden="1" x14ac:dyDescent="0.25">
      <c r="A320" s="224"/>
      <c r="B320" s="96">
        <v>44497</v>
      </c>
      <c r="C320" s="52" t="s">
        <v>50</v>
      </c>
      <c r="D320" s="52" t="s">
        <v>38</v>
      </c>
      <c r="E320" s="53" t="s">
        <v>45</v>
      </c>
      <c r="F320" s="53" t="s">
        <v>40</v>
      </c>
      <c r="G320" s="54">
        <v>10</v>
      </c>
      <c r="H320" s="53">
        <v>0</v>
      </c>
      <c r="I320" s="53">
        <v>820</v>
      </c>
      <c r="J320" s="53">
        <v>0</v>
      </c>
      <c r="K320" s="55">
        <f t="shared" si="15"/>
        <v>0.83</v>
      </c>
      <c r="L320" s="55">
        <f t="shared" si="13"/>
        <v>680.6</v>
      </c>
      <c r="M320" s="55">
        <v>0</v>
      </c>
      <c r="N320" s="101">
        <f t="shared" si="16"/>
        <v>680.6</v>
      </c>
      <c r="O320" s="57"/>
      <c r="P320" s="53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</row>
    <row r="321" spans="1:32" hidden="1" x14ac:dyDescent="0.25">
      <c r="A321" s="224"/>
      <c r="B321" s="96">
        <v>44498</v>
      </c>
      <c r="C321" s="52" t="s">
        <v>53</v>
      </c>
      <c r="D321" s="52" t="s">
        <v>38</v>
      </c>
      <c r="E321" s="53" t="s">
        <v>45</v>
      </c>
      <c r="F321" s="53" t="s">
        <v>40</v>
      </c>
      <c r="G321" s="54">
        <v>10</v>
      </c>
      <c r="H321" s="53">
        <v>0</v>
      </c>
      <c r="I321" s="53">
        <v>820</v>
      </c>
      <c r="J321" s="53">
        <v>0</v>
      </c>
      <c r="K321" s="55">
        <f t="shared" si="15"/>
        <v>0.83</v>
      </c>
      <c r="L321" s="55">
        <f t="shared" si="13"/>
        <v>680.6</v>
      </c>
      <c r="M321" s="55">
        <v>0</v>
      </c>
      <c r="N321" s="101">
        <f t="shared" si="16"/>
        <v>680.6</v>
      </c>
      <c r="O321" s="57"/>
      <c r="P321" s="53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</row>
    <row r="322" spans="1:32" hidden="1" x14ac:dyDescent="0.25">
      <c r="A322" s="224"/>
      <c r="B322" s="97">
        <v>44499</v>
      </c>
      <c r="C322" s="58" t="s">
        <v>57</v>
      </c>
      <c r="D322" s="59" t="s">
        <v>38</v>
      </c>
      <c r="E322" s="60" t="s">
        <v>45</v>
      </c>
      <c r="F322" s="60" t="s">
        <v>40</v>
      </c>
      <c r="G322" s="61">
        <v>10</v>
      </c>
      <c r="H322" s="60">
        <v>0</v>
      </c>
      <c r="I322" s="60">
        <v>820</v>
      </c>
      <c r="J322" s="60">
        <v>0</v>
      </c>
      <c r="K322" s="62">
        <f t="shared" si="15"/>
        <v>0.83</v>
      </c>
      <c r="L322" s="62">
        <f t="shared" si="13"/>
        <v>680.6</v>
      </c>
      <c r="M322" s="62">
        <v>0</v>
      </c>
      <c r="N322" s="102">
        <f t="shared" si="16"/>
        <v>680.6</v>
      </c>
      <c r="O322" s="64"/>
      <c r="P322" s="53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</row>
    <row r="323" spans="1:32" ht="15.75" hidden="1" thickBot="1" x14ac:dyDescent="0.3">
      <c r="A323" s="225"/>
      <c r="B323" s="98">
        <v>44500</v>
      </c>
      <c r="C323" s="66" t="s">
        <v>59</v>
      </c>
      <c r="D323" s="67" t="s">
        <v>38</v>
      </c>
      <c r="E323" s="67" t="s">
        <v>45</v>
      </c>
      <c r="F323" s="67" t="s">
        <v>40</v>
      </c>
      <c r="G323" s="68">
        <v>10</v>
      </c>
      <c r="H323" s="67">
        <v>0</v>
      </c>
      <c r="I323" s="67">
        <v>820</v>
      </c>
      <c r="J323" s="67">
        <v>0</v>
      </c>
      <c r="K323" s="69">
        <f t="shared" si="15"/>
        <v>0.83</v>
      </c>
      <c r="L323" s="69">
        <f t="shared" si="13"/>
        <v>680.6</v>
      </c>
      <c r="M323" s="69">
        <v>0</v>
      </c>
      <c r="N323" s="103">
        <f t="shared" si="16"/>
        <v>680.6</v>
      </c>
      <c r="O323" s="71"/>
      <c r="P323" s="53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</row>
    <row r="324" spans="1:32" hidden="1" x14ac:dyDescent="0.25">
      <c r="A324" s="223">
        <v>44</v>
      </c>
      <c r="B324" s="97">
        <v>44501</v>
      </c>
      <c r="C324" s="72" t="s">
        <v>37</v>
      </c>
      <c r="D324" s="72" t="s">
        <v>38</v>
      </c>
      <c r="E324" s="41" t="s">
        <v>45</v>
      </c>
      <c r="F324" s="41" t="s">
        <v>40</v>
      </c>
      <c r="G324" s="43">
        <v>10</v>
      </c>
      <c r="H324" s="41">
        <v>0</v>
      </c>
      <c r="I324" s="41">
        <v>820</v>
      </c>
      <c r="J324" s="41">
        <v>0</v>
      </c>
      <c r="K324" s="73">
        <f t="shared" si="15"/>
        <v>0.83</v>
      </c>
      <c r="L324" s="73">
        <f t="shared" si="13"/>
        <v>680.6</v>
      </c>
      <c r="M324" s="73">
        <v>0</v>
      </c>
      <c r="N324" s="105">
        <f t="shared" si="16"/>
        <v>680.6</v>
      </c>
      <c r="O324" s="46"/>
      <c r="P324" s="53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</row>
    <row r="325" spans="1:32" hidden="1" x14ac:dyDescent="0.25">
      <c r="A325" s="224"/>
      <c r="B325" s="96">
        <v>44502</v>
      </c>
      <c r="C325" s="52" t="s">
        <v>42</v>
      </c>
      <c r="D325" s="52" t="s">
        <v>38</v>
      </c>
      <c r="E325" s="53" t="s">
        <v>45</v>
      </c>
      <c r="F325" s="53" t="s">
        <v>40</v>
      </c>
      <c r="G325" s="54">
        <v>12</v>
      </c>
      <c r="H325" s="53">
        <v>0</v>
      </c>
      <c r="I325" s="53">
        <v>820</v>
      </c>
      <c r="J325" s="53">
        <v>0</v>
      </c>
      <c r="K325" s="55">
        <f t="shared" si="15"/>
        <v>0.83</v>
      </c>
      <c r="L325" s="55">
        <f t="shared" si="13"/>
        <v>680.6</v>
      </c>
      <c r="M325" s="55">
        <v>0</v>
      </c>
      <c r="N325" s="101">
        <f t="shared" si="16"/>
        <v>680.6</v>
      </c>
      <c r="O325" s="57"/>
      <c r="P325" s="53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</row>
    <row r="326" spans="1:32" hidden="1" x14ac:dyDescent="0.25">
      <c r="A326" s="224"/>
      <c r="B326" s="96">
        <v>44503</v>
      </c>
      <c r="C326" s="52" t="s">
        <v>46</v>
      </c>
      <c r="D326" s="52" t="s">
        <v>38</v>
      </c>
      <c r="E326" s="53" t="s">
        <v>45</v>
      </c>
      <c r="F326" s="53" t="s">
        <v>40</v>
      </c>
      <c r="G326" s="54">
        <v>12</v>
      </c>
      <c r="H326" s="53">
        <v>0</v>
      </c>
      <c r="I326" s="53">
        <v>820</v>
      </c>
      <c r="J326" s="53">
        <v>0</v>
      </c>
      <c r="K326" s="55">
        <f t="shared" si="15"/>
        <v>0.83</v>
      </c>
      <c r="L326" s="55">
        <f t="shared" si="13"/>
        <v>680.6</v>
      </c>
      <c r="M326" s="55">
        <v>0</v>
      </c>
      <c r="N326" s="101">
        <f t="shared" si="16"/>
        <v>680.6</v>
      </c>
      <c r="O326" s="57" t="s">
        <v>116</v>
      </c>
      <c r="P326" s="53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</row>
    <row r="327" spans="1:32" hidden="1" x14ac:dyDescent="0.25">
      <c r="A327" s="224"/>
      <c r="B327" s="96">
        <v>44504</v>
      </c>
      <c r="C327" s="52" t="s">
        <v>50</v>
      </c>
      <c r="D327" s="52" t="s">
        <v>38</v>
      </c>
      <c r="E327" s="53" t="s">
        <v>45</v>
      </c>
      <c r="F327" s="53" t="s">
        <v>40</v>
      </c>
      <c r="G327" s="54">
        <v>8</v>
      </c>
      <c r="H327" s="53">
        <v>0</v>
      </c>
      <c r="I327" s="53">
        <v>820</v>
      </c>
      <c r="J327" s="53">
        <v>0</v>
      </c>
      <c r="K327" s="55">
        <f t="shared" si="15"/>
        <v>0.83</v>
      </c>
      <c r="L327" s="55">
        <f t="shared" si="13"/>
        <v>680.6</v>
      </c>
      <c r="M327" s="55">
        <v>0</v>
      </c>
      <c r="N327" s="101">
        <f t="shared" si="16"/>
        <v>680.6</v>
      </c>
      <c r="O327" s="57"/>
      <c r="P327" s="53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</row>
    <row r="328" spans="1:32" hidden="1" x14ac:dyDescent="0.25">
      <c r="A328" s="224"/>
      <c r="B328" s="96">
        <v>44505</v>
      </c>
      <c r="C328" s="52" t="s">
        <v>53</v>
      </c>
      <c r="D328" s="52" t="s">
        <v>38</v>
      </c>
      <c r="E328" s="53" t="s">
        <v>45</v>
      </c>
      <c r="F328" s="53" t="s">
        <v>40</v>
      </c>
      <c r="G328" s="54">
        <v>5.9</v>
      </c>
      <c r="H328" s="53">
        <v>0</v>
      </c>
      <c r="I328" s="53">
        <v>820</v>
      </c>
      <c r="J328" s="53">
        <v>0</v>
      </c>
      <c r="K328" s="55">
        <f t="shared" si="15"/>
        <v>0.83</v>
      </c>
      <c r="L328" s="55">
        <f t="shared" si="13"/>
        <v>680.6</v>
      </c>
      <c r="M328" s="55">
        <v>0</v>
      </c>
      <c r="N328" s="101">
        <f t="shared" si="16"/>
        <v>680.6</v>
      </c>
      <c r="O328" s="57"/>
      <c r="P328" s="53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</row>
    <row r="329" spans="1:32" hidden="1" x14ac:dyDescent="0.25">
      <c r="A329" s="224"/>
      <c r="B329" s="97">
        <v>44506</v>
      </c>
      <c r="C329" s="58" t="s">
        <v>57</v>
      </c>
      <c r="D329" s="59" t="s">
        <v>38</v>
      </c>
      <c r="E329" s="60" t="s">
        <v>45</v>
      </c>
      <c r="F329" s="60" t="s">
        <v>40</v>
      </c>
      <c r="G329" s="61">
        <v>5.9</v>
      </c>
      <c r="H329" s="60">
        <v>0</v>
      </c>
      <c r="I329" s="60">
        <v>820</v>
      </c>
      <c r="J329" s="60">
        <v>0</v>
      </c>
      <c r="K329" s="62">
        <f t="shared" si="15"/>
        <v>0.83</v>
      </c>
      <c r="L329" s="62">
        <f t="shared" si="13"/>
        <v>680.6</v>
      </c>
      <c r="M329" s="62">
        <v>0</v>
      </c>
      <c r="N329" s="102">
        <f t="shared" si="16"/>
        <v>680.6</v>
      </c>
      <c r="O329" s="64"/>
      <c r="P329" s="53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</row>
    <row r="330" spans="1:32" ht="15.75" hidden="1" thickBot="1" x14ac:dyDescent="0.3">
      <c r="A330" s="225"/>
      <c r="B330" s="98">
        <v>44507</v>
      </c>
      <c r="C330" s="66" t="s">
        <v>59</v>
      </c>
      <c r="D330" s="67" t="s">
        <v>38</v>
      </c>
      <c r="E330" s="67" t="s">
        <v>55</v>
      </c>
      <c r="F330" s="67" t="s">
        <v>40</v>
      </c>
      <c r="G330" s="68">
        <v>3.9</v>
      </c>
      <c r="H330" s="67">
        <v>0</v>
      </c>
      <c r="I330" s="67">
        <v>820</v>
      </c>
      <c r="J330" s="67">
        <v>0</v>
      </c>
      <c r="K330" s="69">
        <f t="shared" si="15"/>
        <v>0.85</v>
      </c>
      <c r="L330" s="69">
        <f t="shared" si="13"/>
        <v>697</v>
      </c>
      <c r="M330" s="69">
        <v>0</v>
      </c>
      <c r="N330" s="103">
        <f t="shared" si="16"/>
        <v>697</v>
      </c>
      <c r="O330" s="71" t="s">
        <v>81</v>
      </c>
      <c r="P330" s="53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</row>
    <row r="331" spans="1:32" hidden="1" x14ac:dyDescent="0.25">
      <c r="A331" s="223">
        <v>45</v>
      </c>
      <c r="B331" s="96">
        <v>44508</v>
      </c>
      <c r="C331" s="72" t="s">
        <v>37</v>
      </c>
      <c r="D331" s="72" t="s">
        <v>38</v>
      </c>
      <c r="E331" s="41" t="s">
        <v>55</v>
      </c>
      <c r="F331" s="41" t="s">
        <v>40</v>
      </c>
      <c r="G331" s="43">
        <v>3.9</v>
      </c>
      <c r="H331" s="41">
        <v>0</v>
      </c>
      <c r="I331" s="41">
        <v>820</v>
      </c>
      <c r="J331" s="41">
        <v>0</v>
      </c>
      <c r="K331" s="73">
        <f t="shared" si="15"/>
        <v>0.85</v>
      </c>
      <c r="L331" s="73">
        <f t="shared" si="13"/>
        <v>697</v>
      </c>
      <c r="M331" s="73">
        <v>0</v>
      </c>
      <c r="N331" s="105">
        <f t="shared" si="16"/>
        <v>697</v>
      </c>
      <c r="O331" s="46"/>
      <c r="P331" s="53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</row>
    <row r="332" spans="1:32" hidden="1" x14ac:dyDescent="0.25">
      <c r="A332" s="224"/>
      <c r="B332" s="96">
        <v>44509</v>
      </c>
      <c r="C332" s="52" t="s">
        <v>42</v>
      </c>
      <c r="D332" s="52" t="s">
        <v>38</v>
      </c>
      <c r="E332" s="53" t="s">
        <v>55</v>
      </c>
      <c r="F332" s="53" t="s">
        <v>40</v>
      </c>
      <c r="G332" s="54">
        <v>3.9</v>
      </c>
      <c r="H332" s="53">
        <v>0</v>
      </c>
      <c r="I332" s="53">
        <v>820</v>
      </c>
      <c r="J332" s="53">
        <v>0</v>
      </c>
      <c r="K332" s="55">
        <f t="shared" si="15"/>
        <v>0.85</v>
      </c>
      <c r="L332" s="55">
        <f t="shared" si="13"/>
        <v>697</v>
      </c>
      <c r="M332" s="55">
        <v>0</v>
      </c>
      <c r="N332" s="101">
        <f t="shared" si="16"/>
        <v>697</v>
      </c>
      <c r="O332" s="57"/>
      <c r="P332" s="53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</row>
    <row r="333" spans="1:32" hidden="1" x14ac:dyDescent="0.25">
      <c r="A333" s="224"/>
      <c r="B333" s="96">
        <v>44510</v>
      </c>
      <c r="C333" s="52" t="s">
        <v>46</v>
      </c>
      <c r="D333" s="52" t="s">
        <v>38</v>
      </c>
      <c r="E333" s="53" t="s">
        <v>55</v>
      </c>
      <c r="F333" s="53" t="s">
        <v>40</v>
      </c>
      <c r="G333" s="54">
        <v>3.9</v>
      </c>
      <c r="H333" s="53">
        <v>0</v>
      </c>
      <c r="I333" s="53">
        <v>830</v>
      </c>
      <c r="J333" s="53">
        <v>0</v>
      </c>
      <c r="K333" s="55">
        <f t="shared" si="15"/>
        <v>0.85</v>
      </c>
      <c r="L333" s="55">
        <f t="shared" si="13"/>
        <v>705.5</v>
      </c>
      <c r="M333" s="55">
        <v>0</v>
      </c>
      <c r="N333" s="101">
        <f t="shared" si="16"/>
        <v>705.5</v>
      </c>
      <c r="O333" s="57"/>
      <c r="P333" s="53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</row>
    <row r="334" spans="1:32" hidden="1" x14ac:dyDescent="0.25">
      <c r="A334" s="224"/>
      <c r="B334" s="96">
        <v>44511</v>
      </c>
      <c r="C334" s="52" t="s">
        <v>50</v>
      </c>
      <c r="D334" s="52" t="s">
        <v>38</v>
      </c>
      <c r="E334" s="53" t="s">
        <v>39</v>
      </c>
      <c r="F334" s="53" t="s">
        <v>40</v>
      </c>
      <c r="G334" s="54">
        <v>3.9</v>
      </c>
      <c r="H334" s="53">
        <v>0</v>
      </c>
      <c r="I334" s="53">
        <v>840</v>
      </c>
      <c r="J334" s="53">
        <v>0</v>
      </c>
      <c r="K334" s="55">
        <f t="shared" si="15"/>
        <v>0.85</v>
      </c>
      <c r="L334" s="55">
        <f t="shared" si="13"/>
        <v>714</v>
      </c>
      <c r="M334" s="55">
        <v>0</v>
      </c>
      <c r="N334" s="101">
        <f t="shared" si="16"/>
        <v>714</v>
      </c>
      <c r="O334" s="57"/>
      <c r="P334" s="53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</row>
    <row r="335" spans="1:32" hidden="1" x14ac:dyDescent="0.25">
      <c r="A335" s="224"/>
      <c r="B335" s="96">
        <v>44512</v>
      </c>
      <c r="C335" s="52" t="s">
        <v>53</v>
      </c>
      <c r="D335" s="52" t="s">
        <v>38</v>
      </c>
      <c r="E335" s="53" t="s">
        <v>39</v>
      </c>
      <c r="F335" s="53" t="s">
        <v>40</v>
      </c>
      <c r="G335" s="54">
        <v>3.9</v>
      </c>
      <c r="H335" s="53">
        <v>0</v>
      </c>
      <c r="I335" s="53">
        <v>850</v>
      </c>
      <c r="J335" s="53">
        <v>0</v>
      </c>
      <c r="K335" s="55">
        <f t="shared" ref="K335:K359" si="17">VLOOKUP($D335&amp;$E335&amp;$F335&amp;YEAR($B335),$P:$AA,9,FALSE)</f>
        <v>0.85</v>
      </c>
      <c r="L335" s="55">
        <f t="shared" si="13"/>
        <v>722.5</v>
      </c>
      <c r="M335" s="55">
        <v>0</v>
      </c>
      <c r="N335" s="101">
        <f t="shared" si="16"/>
        <v>722.5</v>
      </c>
      <c r="O335" s="57"/>
      <c r="P335" s="53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</row>
    <row r="336" spans="1:32" hidden="1" x14ac:dyDescent="0.25">
      <c r="A336" s="224"/>
      <c r="B336" s="97">
        <v>44513</v>
      </c>
      <c r="C336" s="58" t="s">
        <v>57</v>
      </c>
      <c r="D336" s="59" t="s">
        <v>38</v>
      </c>
      <c r="E336" s="60" t="s">
        <v>39</v>
      </c>
      <c r="F336" s="60" t="s">
        <v>40</v>
      </c>
      <c r="G336" s="61">
        <v>3.9</v>
      </c>
      <c r="H336" s="60">
        <v>0</v>
      </c>
      <c r="I336" s="60">
        <v>850</v>
      </c>
      <c r="J336" s="60">
        <v>0</v>
      </c>
      <c r="K336" s="62">
        <f t="shared" si="17"/>
        <v>0.85</v>
      </c>
      <c r="L336" s="62">
        <f t="shared" si="13"/>
        <v>722.5</v>
      </c>
      <c r="M336" s="62">
        <v>0</v>
      </c>
      <c r="N336" s="102">
        <f t="shared" si="16"/>
        <v>722.5</v>
      </c>
      <c r="O336" s="64"/>
      <c r="P336" s="53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</row>
    <row r="337" spans="1:32" ht="15.75" hidden="1" thickBot="1" x14ac:dyDescent="0.3">
      <c r="A337" s="225"/>
      <c r="B337" s="98">
        <v>44514</v>
      </c>
      <c r="C337" s="66" t="s">
        <v>59</v>
      </c>
      <c r="D337" s="67" t="s">
        <v>38</v>
      </c>
      <c r="E337" s="67" t="s">
        <v>39</v>
      </c>
      <c r="F337" s="67" t="s">
        <v>40</v>
      </c>
      <c r="G337" s="68">
        <v>3.9</v>
      </c>
      <c r="H337" s="67">
        <v>0</v>
      </c>
      <c r="I337" s="67">
        <v>850</v>
      </c>
      <c r="J337" s="67">
        <v>0</v>
      </c>
      <c r="K337" s="69">
        <f t="shared" si="17"/>
        <v>0.85</v>
      </c>
      <c r="L337" s="69">
        <f t="shared" si="13"/>
        <v>722.5</v>
      </c>
      <c r="M337" s="69">
        <v>0</v>
      </c>
      <c r="N337" s="103">
        <f t="shared" si="16"/>
        <v>722.5</v>
      </c>
      <c r="O337" s="71"/>
      <c r="P337" s="53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</row>
    <row r="338" spans="1:32" hidden="1" x14ac:dyDescent="0.25">
      <c r="A338" s="223">
        <v>46</v>
      </c>
      <c r="B338" s="96">
        <v>44515</v>
      </c>
      <c r="C338" s="72" t="s">
        <v>37</v>
      </c>
      <c r="D338" s="72" t="s">
        <v>38</v>
      </c>
      <c r="E338" s="41" t="s">
        <v>39</v>
      </c>
      <c r="F338" s="53" t="s">
        <v>40</v>
      </c>
      <c r="G338" s="43">
        <v>4.9000000000000004</v>
      </c>
      <c r="H338" s="41">
        <v>0</v>
      </c>
      <c r="I338" s="41">
        <v>860</v>
      </c>
      <c r="J338" s="41">
        <v>0</v>
      </c>
      <c r="K338" s="73">
        <f t="shared" si="17"/>
        <v>0.85</v>
      </c>
      <c r="L338" s="73">
        <f t="shared" si="13"/>
        <v>731</v>
      </c>
      <c r="M338" s="73">
        <v>0</v>
      </c>
      <c r="N338" s="105">
        <f t="shared" si="16"/>
        <v>731</v>
      </c>
      <c r="O338" s="46"/>
      <c r="P338" s="53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</row>
    <row r="339" spans="1:32" hidden="1" x14ac:dyDescent="0.25">
      <c r="A339" s="224"/>
      <c r="B339" s="96">
        <v>44516</v>
      </c>
      <c r="C339" s="52" t="s">
        <v>42</v>
      </c>
      <c r="D339" s="52" t="s">
        <v>38</v>
      </c>
      <c r="E339" s="53" t="s">
        <v>39</v>
      </c>
      <c r="F339" s="53" t="s">
        <v>40</v>
      </c>
      <c r="G339" s="54">
        <v>8</v>
      </c>
      <c r="H339" s="53">
        <v>0</v>
      </c>
      <c r="I339" s="53">
        <v>860</v>
      </c>
      <c r="J339" s="53">
        <v>0</v>
      </c>
      <c r="K339" s="55">
        <f t="shared" si="17"/>
        <v>0.85</v>
      </c>
      <c r="L339" s="55">
        <f t="shared" si="13"/>
        <v>731</v>
      </c>
      <c r="M339" s="55">
        <v>0</v>
      </c>
      <c r="N339" s="101">
        <f t="shared" si="16"/>
        <v>731</v>
      </c>
      <c r="O339" s="57"/>
      <c r="P339" s="53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</row>
    <row r="340" spans="1:32" hidden="1" x14ac:dyDescent="0.25">
      <c r="A340" s="224"/>
      <c r="B340" s="96">
        <v>44517</v>
      </c>
      <c r="C340" s="52" t="s">
        <v>46</v>
      </c>
      <c r="D340" s="52" t="s">
        <v>38</v>
      </c>
      <c r="E340" s="53" t="s">
        <v>39</v>
      </c>
      <c r="F340" s="53" t="s">
        <v>40</v>
      </c>
      <c r="G340" s="54">
        <v>5.9</v>
      </c>
      <c r="H340" s="53">
        <v>0</v>
      </c>
      <c r="I340" s="53">
        <v>860</v>
      </c>
      <c r="J340" s="53">
        <v>0</v>
      </c>
      <c r="K340" s="55">
        <f t="shared" si="17"/>
        <v>0.85</v>
      </c>
      <c r="L340" s="55">
        <f t="shared" ref="L340:L403" si="18">IF(J340&lt;&gt;0,J340,I340)*K340</f>
        <v>731</v>
      </c>
      <c r="M340" s="55">
        <v>0</v>
      </c>
      <c r="N340" s="101">
        <f t="shared" ref="N340:N371" si="19">L340*(1-M340)</f>
        <v>731</v>
      </c>
      <c r="O340" s="57"/>
      <c r="P340" s="53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</row>
    <row r="341" spans="1:32" hidden="1" x14ac:dyDescent="0.25">
      <c r="A341" s="224"/>
      <c r="B341" s="96">
        <v>44518</v>
      </c>
      <c r="C341" s="52" t="s">
        <v>50</v>
      </c>
      <c r="D341" s="52" t="s">
        <v>38</v>
      </c>
      <c r="E341" s="53" t="s">
        <v>39</v>
      </c>
      <c r="F341" s="53" t="s">
        <v>40</v>
      </c>
      <c r="G341" s="54">
        <v>5.9</v>
      </c>
      <c r="H341" s="53">
        <v>0</v>
      </c>
      <c r="I341" s="53">
        <v>860</v>
      </c>
      <c r="J341" s="53">
        <v>0</v>
      </c>
      <c r="K341" s="55">
        <f t="shared" si="17"/>
        <v>0.85</v>
      </c>
      <c r="L341" s="55">
        <f t="shared" si="18"/>
        <v>731</v>
      </c>
      <c r="M341" s="55">
        <v>0</v>
      </c>
      <c r="N341" s="101">
        <f t="shared" si="19"/>
        <v>731</v>
      </c>
      <c r="O341" s="57"/>
      <c r="P341" s="53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</row>
    <row r="342" spans="1:32" hidden="1" x14ac:dyDescent="0.25">
      <c r="A342" s="224"/>
      <c r="B342" s="96">
        <v>44519</v>
      </c>
      <c r="C342" s="52" t="s">
        <v>53</v>
      </c>
      <c r="D342" s="52" t="s">
        <v>38</v>
      </c>
      <c r="E342" s="53" t="s">
        <v>39</v>
      </c>
      <c r="F342" s="53" t="s">
        <v>40</v>
      </c>
      <c r="G342" s="54">
        <v>3.9</v>
      </c>
      <c r="H342" s="53">
        <v>0</v>
      </c>
      <c r="I342" s="53">
        <v>860</v>
      </c>
      <c r="J342" s="53">
        <v>0</v>
      </c>
      <c r="K342" s="55">
        <f t="shared" si="17"/>
        <v>0.85</v>
      </c>
      <c r="L342" s="55">
        <f t="shared" si="18"/>
        <v>731</v>
      </c>
      <c r="M342" s="55">
        <v>0</v>
      </c>
      <c r="N342" s="101">
        <f t="shared" si="19"/>
        <v>731</v>
      </c>
      <c r="O342" s="57"/>
      <c r="P342" s="53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</row>
    <row r="343" spans="1:32" hidden="1" x14ac:dyDescent="0.25">
      <c r="A343" s="224"/>
      <c r="B343" s="97">
        <v>44520</v>
      </c>
      <c r="C343" s="58" t="s">
        <v>57</v>
      </c>
      <c r="D343" s="59" t="s">
        <v>38</v>
      </c>
      <c r="E343" s="60" t="s">
        <v>39</v>
      </c>
      <c r="F343" s="60" t="s">
        <v>40</v>
      </c>
      <c r="G343" s="61">
        <v>3.9</v>
      </c>
      <c r="H343" s="60">
        <v>0</v>
      </c>
      <c r="I343" s="60">
        <v>860</v>
      </c>
      <c r="J343" s="60">
        <v>0</v>
      </c>
      <c r="K343" s="62">
        <f t="shared" si="17"/>
        <v>0.85</v>
      </c>
      <c r="L343" s="62">
        <f t="shared" si="18"/>
        <v>731</v>
      </c>
      <c r="M343" s="62">
        <v>0</v>
      </c>
      <c r="N343" s="102">
        <f t="shared" si="19"/>
        <v>731</v>
      </c>
      <c r="O343" s="64"/>
      <c r="P343" s="53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</row>
    <row r="344" spans="1:32" ht="15.75" hidden="1" thickBot="1" x14ac:dyDescent="0.3">
      <c r="A344" s="225"/>
      <c r="B344" s="98">
        <v>44521</v>
      </c>
      <c r="C344" s="66" t="s">
        <v>59</v>
      </c>
      <c r="D344" s="67" t="s">
        <v>38</v>
      </c>
      <c r="E344" s="67" t="s">
        <v>39</v>
      </c>
      <c r="F344" s="67" t="s">
        <v>40</v>
      </c>
      <c r="G344" s="68">
        <v>3.9</v>
      </c>
      <c r="H344" s="67">
        <v>0</v>
      </c>
      <c r="I344" s="67">
        <v>860</v>
      </c>
      <c r="J344" s="67">
        <v>0</v>
      </c>
      <c r="K344" s="69">
        <f t="shared" si="17"/>
        <v>0.85</v>
      </c>
      <c r="L344" s="69">
        <f t="shared" si="18"/>
        <v>731</v>
      </c>
      <c r="M344" s="69">
        <v>0</v>
      </c>
      <c r="N344" s="103">
        <f t="shared" si="19"/>
        <v>731</v>
      </c>
      <c r="O344" s="71"/>
      <c r="P344" s="53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</row>
    <row r="345" spans="1:32" hidden="1" x14ac:dyDescent="0.25">
      <c r="A345" s="223">
        <v>47</v>
      </c>
      <c r="B345" s="96">
        <v>44522</v>
      </c>
      <c r="C345" s="72" t="s">
        <v>37</v>
      </c>
      <c r="D345" s="72" t="s">
        <v>38</v>
      </c>
      <c r="E345" s="41" t="s">
        <v>39</v>
      </c>
      <c r="F345" s="41" t="s">
        <v>40</v>
      </c>
      <c r="G345" s="43">
        <v>3.9</v>
      </c>
      <c r="H345" s="41">
        <v>0</v>
      </c>
      <c r="I345" s="41">
        <v>860</v>
      </c>
      <c r="J345" s="41">
        <v>0</v>
      </c>
      <c r="K345" s="73">
        <f t="shared" si="17"/>
        <v>0.85</v>
      </c>
      <c r="L345" s="73">
        <f t="shared" si="18"/>
        <v>731</v>
      </c>
      <c r="M345" s="73">
        <v>0</v>
      </c>
      <c r="N345" s="105">
        <f t="shared" si="19"/>
        <v>731</v>
      </c>
      <c r="O345" s="46"/>
      <c r="P345" s="53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</row>
    <row r="346" spans="1:32" hidden="1" x14ac:dyDescent="0.25">
      <c r="A346" s="224"/>
      <c r="B346" s="96">
        <v>44523</v>
      </c>
      <c r="C346" s="52" t="s">
        <v>42</v>
      </c>
      <c r="D346" s="52" t="s">
        <v>38</v>
      </c>
      <c r="E346" s="53" t="s">
        <v>39</v>
      </c>
      <c r="F346" s="53" t="s">
        <v>40</v>
      </c>
      <c r="G346" s="54">
        <v>3.9</v>
      </c>
      <c r="H346" s="53">
        <v>0</v>
      </c>
      <c r="I346" s="53">
        <v>860</v>
      </c>
      <c r="J346" s="53">
        <v>0</v>
      </c>
      <c r="K346" s="55">
        <f t="shared" si="17"/>
        <v>0.85</v>
      </c>
      <c r="L346" s="55">
        <f t="shared" si="18"/>
        <v>731</v>
      </c>
      <c r="M346" s="55">
        <v>0</v>
      </c>
      <c r="N346" s="101">
        <f t="shared" si="19"/>
        <v>731</v>
      </c>
      <c r="O346" s="57" t="s">
        <v>117</v>
      </c>
      <c r="P346" s="53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</row>
    <row r="347" spans="1:32" hidden="1" x14ac:dyDescent="0.25">
      <c r="A347" s="224"/>
      <c r="B347" s="96">
        <v>44524</v>
      </c>
      <c r="C347" s="52" t="s">
        <v>46</v>
      </c>
      <c r="D347" s="52" t="s">
        <v>38</v>
      </c>
      <c r="E347" s="53" t="s">
        <v>39</v>
      </c>
      <c r="F347" s="53" t="s">
        <v>40</v>
      </c>
      <c r="G347" s="54">
        <v>3.9</v>
      </c>
      <c r="H347" s="53">
        <v>0</v>
      </c>
      <c r="I347" s="53">
        <v>860</v>
      </c>
      <c r="J347" s="53">
        <v>0</v>
      </c>
      <c r="K347" s="55">
        <f t="shared" si="17"/>
        <v>0.85</v>
      </c>
      <c r="L347" s="55">
        <f t="shared" si="18"/>
        <v>731</v>
      </c>
      <c r="M347" s="55">
        <v>0</v>
      </c>
      <c r="N347" s="101">
        <f t="shared" si="19"/>
        <v>731</v>
      </c>
      <c r="O347" s="57"/>
      <c r="P347" s="53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</row>
    <row r="348" spans="1:32" hidden="1" x14ac:dyDescent="0.25">
      <c r="A348" s="224"/>
      <c r="B348" s="96">
        <v>44525</v>
      </c>
      <c r="C348" s="52" t="s">
        <v>50</v>
      </c>
      <c r="D348" s="52" t="s">
        <v>38</v>
      </c>
      <c r="E348" s="53" t="s">
        <v>39</v>
      </c>
      <c r="F348" s="53" t="s">
        <v>40</v>
      </c>
      <c r="G348" s="54">
        <v>3.9</v>
      </c>
      <c r="H348" s="53">
        <v>0</v>
      </c>
      <c r="I348" s="53">
        <v>860</v>
      </c>
      <c r="J348" s="53">
        <v>0</v>
      </c>
      <c r="K348" s="55">
        <f t="shared" si="17"/>
        <v>0.85</v>
      </c>
      <c r="L348" s="55">
        <f t="shared" si="18"/>
        <v>731</v>
      </c>
      <c r="M348" s="55">
        <v>0</v>
      </c>
      <c r="N348" s="101">
        <f t="shared" si="19"/>
        <v>731</v>
      </c>
      <c r="O348" s="57"/>
      <c r="P348" s="53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</row>
    <row r="349" spans="1:32" hidden="1" x14ac:dyDescent="0.25">
      <c r="A349" s="224"/>
      <c r="B349" s="96">
        <v>44526</v>
      </c>
      <c r="C349" s="52" t="s">
        <v>53</v>
      </c>
      <c r="D349" s="52" t="s">
        <v>38</v>
      </c>
      <c r="E349" s="53" t="s">
        <v>39</v>
      </c>
      <c r="F349" s="53" t="s">
        <v>40</v>
      </c>
      <c r="G349" s="54">
        <v>4.9000000000000004</v>
      </c>
      <c r="H349" s="53">
        <v>0</v>
      </c>
      <c r="I349" s="53">
        <v>860</v>
      </c>
      <c r="J349" s="53">
        <v>0</v>
      </c>
      <c r="K349" s="55">
        <f t="shared" si="17"/>
        <v>0.85</v>
      </c>
      <c r="L349" s="55">
        <f t="shared" si="18"/>
        <v>731</v>
      </c>
      <c r="M349" s="55">
        <v>0</v>
      </c>
      <c r="N349" s="101">
        <f t="shared" si="19"/>
        <v>731</v>
      </c>
      <c r="O349" s="57"/>
      <c r="P349" s="53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</row>
    <row r="350" spans="1:32" hidden="1" x14ac:dyDescent="0.25">
      <c r="A350" s="224"/>
      <c r="B350" s="97">
        <v>44527</v>
      </c>
      <c r="C350" s="58" t="s">
        <v>57</v>
      </c>
      <c r="D350" s="59" t="s">
        <v>38</v>
      </c>
      <c r="E350" s="60" t="s">
        <v>39</v>
      </c>
      <c r="F350" s="60" t="s">
        <v>40</v>
      </c>
      <c r="G350" s="61">
        <v>4.9000000000000004</v>
      </c>
      <c r="H350" s="60">
        <v>0</v>
      </c>
      <c r="I350" s="60">
        <v>860</v>
      </c>
      <c r="J350" s="60">
        <v>0</v>
      </c>
      <c r="K350" s="62">
        <f t="shared" si="17"/>
        <v>0.85</v>
      </c>
      <c r="L350" s="62">
        <f t="shared" si="18"/>
        <v>731</v>
      </c>
      <c r="M350" s="62">
        <v>0</v>
      </c>
      <c r="N350" s="102">
        <f t="shared" si="19"/>
        <v>731</v>
      </c>
      <c r="O350" s="64"/>
      <c r="P350" s="53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</row>
    <row r="351" spans="1:32" ht="15.75" hidden="1" thickBot="1" x14ac:dyDescent="0.3">
      <c r="A351" s="225"/>
      <c r="B351" s="98">
        <v>44528</v>
      </c>
      <c r="C351" s="66" t="s">
        <v>59</v>
      </c>
      <c r="D351" s="67" t="s">
        <v>38</v>
      </c>
      <c r="E351" s="67" t="s">
        <v>39</v>
      </c>
      <c r="F351" s="67" t="s">
        <v>40</v>
      </c>
      <c r="G351" s="68">
        <v>5.9</v>
      </c>
      <c r="H351" s="67">
        <v>0</v>
      </c>
      <c r="I351" s="67">
        <v>860</v>
      </c>
      <c r="J351" s="67">
        <v>0</v>
      </c>
      <c r="K351" s="69">
        <f t="shared" si="17"/>
        <v>0.85</v>
      </c>
      <c r="L351" s="69">
        <f t="shared" si="18"/>
        <v>731</v>
      </c>
      <c r="M351" s="69">
        <v>0</v>
      </c>
      <c r="N351" s="103">
        <f t="shared" si="19"/>
        <v>731</v>
      </c>
      <c r="O351" s="71"/>
      <c r="P351" s="53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</row>
    <row r="352" spans="1:32" hidden="1" x14ac:dyDescent="0.25">
      <c r="A352" s="223">
        <v>48</v>
      </c>
      <c r="B352" s="96">
        <v>44529</v>
      </c>
      <c r="C352" s="72" t="s">
        <v>37</v>
      </c>
      <c r="D352" s="72" t="s">
        <v>38</v>
      </c>
      <c r="E352" s="41" t="s">
        <v>39</v>
      </c>
      <c r="F352" s="41" t="s">
        <v>40</v>
      </c>
      <c r="G352" s="43">
        <v>8</v>
      </c>
      <c r="H352" s="41">
        <v>0</v>
      </c>
      <c r="I352" s="41">
        <v>860</v>
      </c>
      <c r="J352" s="41">
        <v>0</v>
      </c>
      <c r="K352" s="73">
        <f t="shared" si="17"/>
        <v>0.85</v>
      </c>
      <c r="L352" s="73">
        <f t="shared" si="18"/>
        <v>731</v>
      </c>
      <c r="M352" s="73">
        <v>0</v>
      </c>
      <c r="N352" s="105">
        <f t="shared" si="19"/>
        <v>731</v>
      </c>
      <c r="O352" s="46"/>
      <c r="P352" s="53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</row>
    <row r="353" spans="1:32" hidden="1" x14ac:dyDescent="0.25">
      <c r="A353" s="224"/>
      <c r="B353" s="96">
        <v>44530</v>
      </c>
      <c r="C353" s="52" t="s">
        <v>42</v>
      </c>
      <c r="D353" s="52" t="s">
        <v>38</v>
      </c>
      <c r="E353" s="53" t="s">
        <v>39</v>
      </c>
      <c r="F353" s="53" t="s">
        <v>40</v>
      </c>
      <c r="G353" s="54">
        <v>10</v>
      </c>
      <c r="H353" s="53">
        <v>0</v>
      </c>
      <c r="I353" s="53">
        <v>860</v>
      </c>
      <c r="J353" s="53">
        <v>0</v>
      </c>
      <c r="K353" s="55">
        <f t="shared" si="17"/>
        <v>0.85</v>
      </c>
      <c r="L353" s="55">
        <f t="shared" si="18"/>
        <v>731</v>
      </c>
      <c r="M353" s="55">
        <v>0</v>
      </c>
      <c r="N353" s="101">
        <f t="shared" si="19"/>
        <v>731</v>
      </c>
      <c r="O353" s="57"/>
      <c r="P353" s="53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</row>
    <row r="354" spans="1:32" hidden="1" x14ac:dyDescent="0.25">
      <c r="A354" s="224"/>
      <c r="B354" s="96">
        <v>44531</v>
      </c>
      <c r="C354" s="52" t="s">
        <v>46</v>
      </c>
      <c r="D354" s="52" t="s">
        <v>38</v>
      </c>
      <c r="E354" s="53" t="s">
        <v>39</v>
      </c>
      <c r="F354" s="53" t="s">
        <v>40</v>
      </c>
      <c r="G354" s="130">
        <v>12</v>
      </c>
      <c r="H354" s="53">
        <v>0</v>
      </c>
      <c r="I354" s="53">
        <v>860</v>
      </c>
      <c r="J354" s="53">
        <v>0</v>
      </c>
      <c r="K354" s="55">
        <f t="shared" si="17"/>
        <v>0.85</v>
      </c>
      <c r="L354" s="55">
        <f t="shared" si="18"/>
        <v>731</v>
      </c>
      <c r="M354" s="55">
        <v>0</v>
      </c>
      <c r="N354" s="101">
        <f t="shared" si="19"/>
        <v>731</v>
      </c>
      <c r="O354" s="57"/>
      <c r="P354" s="53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</row>
    <row r="355" spans="1:32" hidden="1" x14ac:dyDescent="0.25">
      <c r="A355" s="224"/>
      <c r="B355" s="96">
        <v>44532</v>
      </c>
      <c r="C355" s="52" t="s">
        <v>50</v>
      </c>
      <c r="D355" s="52" t="s">
        <v>38</v>
      </c>
      <c r="E355" s="53" t="s">
        <v>39</v>
      </c>
      <c r="F355" s="53" t="s">
        <v>40</v>
      </c>
      <c r="G355" s="54">
        <v>10</v>
      </c>
      <c r="H355" s="53">
        <v>0</v>
      </c>
      <c r="I355" s="53">
        <v>860</v>
      </c>
      <c r="J355" s="53">
        <v>0</v>
      </c>
      <c r="K355" s="55">
        <f t="shared" si="17"/>
        <v>0.85</v>
      </c>
      <c r="L355" s="55">
        <f t="shared" si="18"/>
        <v>731</v>
      </c>
      <c r="M355" s="55">
        <v>0</v>
      </c>
      <c r="N355" s="101">
        <f t="shared" si="19"/>
        <v>731</v>
      </c>
      <c r="O355" s="57"/>
      <c r="P355" s="53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</row>
    <row r="356" spans="1:32" hidden="1" x14ac:dyDescent="0.25">
      <c r="A356" s="224"/>
      <c r="B356" s="96">
        <v>44533</v>
      </c>
      <c r="C356" s="52" t="s">
        <v>53</v>
      </c>
      <c r="D356" s="52" t="s">
        <v>38</v>
      </c>
      <c r="E356" s="53" t="s">
        <v>39</v>
      </c>
      <c r="F356" s="53" t="s">
        <v>40</v>
      </c>
      <c r="G356" s="54">
        <v>10</v>
      </c>
      <c r="H356" s="53">
        <v>0</v>
      </c>
      <c r="I356" s="53">
        <v>860</v>
      </c>
      <c r="J356" s="53">
        <v>0</v>
      </c>
      <c r="K356" s="55">
        <f t="shared" si="17"/>
        <v>0.85</v>
      </c>
      <c r="L356" s="55">
        <f t="shared" si="18"/>
        <v>731</v>
      </c>
      <c r="M356" s="55">
        <v>0</v>
      </c>
      <c r="N356" s="101">
        <f t="shared" si="19"/>
        <v>731</v>
      </c>
      <c r="O356" s="57"/>
      <c r="P356" s="53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</row>
    <row r="357" spans="1:32" hidden="1" x14ac:dyDescent="0.25">
      <c r="A357" s="224"/>
      <c r="B357" s="97">
        <v>44534</v>
      </c>
      <c r="C357" s="58" t="s">
        <v>57</v>
      </c>
      <c r="D357" s="59" t="s">
        <v>38</v>
      </c>
      <c r="E357" s="60" t="s">
        <v>39</v>
      </c>
      <c r="F357" s="60" t="s">
        <v>40</v>
      </c>
      <c r="G357" s="61">
        <v>8</v>
      </c>
      <c r="H357" s="60">
        <v>0</v>
      </c>
      <c r="I357" s="60">
        <v>860</v>
      </c>
      <c r="J357" s="60">
        <v>0</v>
      </c>
      <c r="K357" s="62">
        <f t="shared" si="17"/>
        <v>0.85</v>
      </c>
      <c r="L357" s="62">
        <f t="shared" si="18"/>
        <v>731</v>
      </c>
      <c r="M357" s="62">
        <v>0</v>
      </c>
      <c r="N357" s="102">
        <f t="shared" si="19"/>
        <v>731</v>
      </c>
      <c r="O357" s="64"/>
      <c r="P357" s="53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</row>
    <row r="358" spans="1:32" ht="15.75" hidden="1" thickBot="1" x14ac:dyDescent="0.3">
      <c r="A358" s="225"/>
      <c r="B358" s="98">
        <v>44535</v>
      </c>
      <c r="C358" s="66" t="s">
        <v>59</v>
      </c>
      <c r="D358" s="67" t="s">
        <v>38</v>
      </c>
      <c r="E358" s="67" t="s">
        <v>39</v>
      </c>
      <c r="F358" s="67" t="s">
        <v>40</v>
      </c>
      <c r="G358" s="68">
        <v>5.9</v>
      </c>
      <c r="H358" s="67">
        <v>0</v>
      </c>
      <c r="I358" s="67">
        <v>860</v>
      </c>
      <c r="J358" s="67">
        <v>0</v>
      </c>
      <c r="K358" s="69">
        <f t="shared" si="17"/>
        <v>0.85</v>
      </c>
      <c r="L358" s="69">
        <f t="shared" si="18"/>
        <v>731</v>
      </c>
      <c r="M358" s="69">
        <v>0</v>
      </c>
      <c r="N358" s="103">
        <f t="shared" si="19"/>
        <v>731</v>
      </c>
      <c r="O358" s="71"/>
      <c r="P358" s="53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</row>
    <row r="359" spans="1:32" hidden="1" x14ac:dyDescent="0.25">
      <c r="A359" s="223">
        <v>49</v>
      </c>
      <c r="B359" s="96">
        <v>44536</v>
      </c>
      <c r="C359" s="72" t="s">
        <v>37</v>
      </c>
      <c r="D359" s="72" t="s">
        <v>38</v>
      </c>
      <c r="E359" s="41" t="s">
        <v>39</v>
      </c>
      <c r="F359" s="41" t="s">
        <v>40</v>
      </c>
      <c r="G359" s="43">
        <v>5.9</v>
      </c>
      <c r="H359" s="41">
        <v>0</v>
      </c>
      <c r="I359" s="41">
        <v>860</v>
      </c>
      <c r="J359" s="41">
        <v>0</v>
      </c>
      <c r="K359" s="73">
        <f t="shared" si="17"/>
        <v>0.85</v>
      </c>
      <c r="L359" s="73">
        <f t="shared" si="18"/>
        <v>731</v>
      </c>
      <c r="M359" s="73">
        <v>0</v>
      </c>
      <c r="N359" s="105">
        <f t="shared" si="19"/>
        <v>731</v>
      </c>
      <c r="O359" s="46"/>
      <c r="P359" s="53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</row>
    <row r="360" spans="1:32" hidden="1" x14ac:dyDescent="0.25">
      <c r="A360" s="224"/>
      <c r="B360" s="96">
        <v>44537</v>
      </c>
      <c r="C360" s="52" t="s">
        <v>42</v>
      </c>
      <c r="D360" s="52" t="s">
        <v>38</v>
      </c>
      <c r="E360" s="53" t="s">
        <v>39</v>
      </c>
      <c r="F360" s="53" t="s">
        <v>40</v>
      </c>
      <c r="G360" s="54">
        <v>3.9</v>
      </c>
      <c r="H360" s="53">
        <v>0</v>
      </c>
      <c r="I360" s="53">
        <v>860</v>
      </c>
      <c r="J360" s="53">
        <v>0</v>
      </c>
      <c r="K360" s="55">
        <v>0.9</v>
      </c>
      <c r="L360" s="55">
        <f t="shared" si="18"/>
        <v>774</v>
      </c>
      <c r="M360" s="55">
        <v>0</v>
      </c>
      <c r="N360" s="101">
        <f t="shared" si="19"/>
        <v>774</v>
      </c>
      <c r="O360" s="57"/>
      <c r="P360" s="53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</row>
    <row r="361" spans="1:32" hidden="1" x14ac:dyDescent="0.25">
      <c r="A361" s="224"/>
      <c r="B361" s="96">
        <v>44538</v>
      </c>
      <c r="C361" s="52" t="s">
        <v>46</v>
      </c>
      <c r="D361" s="52" t="s">
        <v>38</v>
      </c>
      <c r="E361" s="53" t="s">
        <v>39</v>
      </c>
      <c r="F361" s="53" t="s">
        <v>40</v>
      </c>
      <c r="G361" s="54">
        <v>3.9</v>
      </c>
      <c r="H361" s="53">
        <v>0</v>
      </c>
      <c r="I361" s="53">
        <v>860</v>
      </c>
      <c r="J361" s="53">
        <v>0</v>
      </c>
      <c r="K361" s="55">
        <v>0.9</v>
      </c>
      <c r="L361" s="55">
        <f t="shared" si="18"/>
        <v>774</v>
      </c>
      <c r="M361" s="55">
        <v>0</v>
      </c>
      <c r="N361" s="101">
        <f t="shared" si="19"/>
        <v>774</v>
      </c>
      <c r="O361" s="57"/>
      <c r="P361" s="53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</row>
    <row r="362" spans="1:32" hidden="1" x14ac:dyDescent="0.25">
      <c r="A362" s="224"/>
      <c r="B362" s="96">
        <v>44539</v>
      </c>
      <c r="C362" s="52" t="s">
        <v>50</v>
      </c>
      <c r="D362" s="52" t="s">
        <v>38</v>
      </c>
      <c r="E362" s="53" t="s">
        <v>39</v>
      </c>
      <c r="F362" s="53" t="s">
        <v>40</v>
      </c>
      <c r="G362" s="54">
        <v>3.9</v>
      </c>
      <c r="H362" s="53">
        <v>0</v>
      </c>
      <c r="I362" s="53">
        <v>860</v>
      </c>
      <c r="J362" s="53">
        <v>0</v>
      </c>
      <c r="K362" s="55">
        <v>0.9</v>
      </c>
      <c r="L362" s="55">
        <f t="shared" si="18"/>
        <v>774</v>
      </c>
      <c r="M362" s="55">
        <v>0</v>
      </c>
      <c r="N362" s="101">
        <f t="shared" si="19"/>
        <v>774</v>
      </c>
      <c r="O362" s="57"/>
      <c r="P362" s="53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</row>
    <row r="363" spans="1:32" hidden="1" x14ac:dyDescent="0.25">
      <c r="A363" s="224"/>
      <c r="B363" s="96">
        <v>44540</v>
      </c>
      <c r="C363" s="52" t="s">
        <v>53</v>
      </c>
      <c r="D363" s="52" t="s">
        <v>38</v>
      </c>
      <c r="E363" s="53" t="s">
        <v>39</v>
      </c>
      <c r="F363" s="53" t="s">
        <v>40</v>
      </c>
      <c r="G363" s="54">
        <v>3.9</v>
      </c>
      <c r="H363" s="53">
        <v>0</v>
      </c>
      <c r="I363" s="53">
        <v>860</v>
      </c>
      <c r="J363" s="53">
        <v>0</v>
      </c>
      <c r="K363" s="55">
        <v>0.9</v>
      </c>
      <c r="L363" s="55">
        <f t="shared" si="18"/>
        <v>774</v>
      </c>
      <c r="M363" s="55">
        <v>0</v>
      </c>
      <c r="N363" s="101">
        <f t="shared" si="19"/>
        <v>774</v>
      </c>
      <c r="O363" s="57"/>
      <c r="P363" s="53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</row>
    <row r="364" spans="1:32" hidden="1" x14ac:dyDescent="0.25">
      <c r="A364" s="224"/>
      <c r="B364" s="97">
        <v>44541</v>
      </c>
      <c r="C364" s="58" t="s">
        <v>57</v>
      </c>
      <c r="D364" s="59" t="s">
        <v>38</v>
      </c>
      <c r="E364" s="60" t="s">
        <v>39</v>
      </c>
      <c r="F364" s="60" t="s">
        <v>40</v>
      </c>
      <c r="G364" s="61">
        <v>3.9</v>
      </c>
      <c r="H364" s="60">
        <v>0</v>
      </c>
      <c r="I364" s="60">
        <v>860</v>
      </c>
      <c r="J364" s="60">
        <v>0</v>
      </c>
      <c r="K364" s="62">
        <v>0.9</v>
      </c>
      <c r="L364" s="62">
        <f t="shared" si="18"/>
        <v>774</v>
      </c>
      <c r="M364" s="62">
        <v>0</v>
      </c>
      <c r="N364" s="102">
        <f t="shared" si="19"/>
        <v>774</v>
      </c>
      <c r="O364" s="64"/>
      <c r="P364" s="53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</row>
    <row r="365" spans="1:32" ht="15.75" hidden="1" thickBot="1" x14ac:dyDescent="0.3">
      <c r="A365" s="225"/>
      <c r="B365" s="98">
        <v>44542</v>
      </c>
      <c r="C365" s="66" t="s">
        <v>59</v>
      </c>
      <c r="D365" s="67" t="s">
        <v>38</v>
      </c>
      <c r="E365" s="67" t="s">
        <v>39</v>
      </c>
      <c r="F365" s="67" t="s">
        <v>40</v>
      </c>
      <c r="G365" s="68">
        <v>3.9</v>
      </c>
      <c r="H365" s="67">
        <v>0</v>
      </c>
      <c r="I365" s="67">
        <v>860</v>
      </c>
      <c r="J365" s="67">
        <v>0</v>
      </c>
      <c r="K365" s="69">
        <v>0.9</v>
      </c>
      <c r="L365" s="69">
        <f t="shared" si="18"/>
        <v>774</v>
      </c>
      <c r="M365" s="69">
        <v>0</v>
      </c>
      <c r="N365" s="103">
        <f t="shared" si="19"/>
        <v>774</v>
      </c>
      <c r="O365" s="71"/>
      <c r="P365" s="53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</row>
    <row r="366" spans="1:32" hidden="1" x14ac:dyDescent="0.25">
      <c r="A366" s="223">
        <v>50</v>
      </c>
      <c r="B366" s="96">
        <v>44543</v>
      </c>
      <c r="C366" s="72" t="s">
        <v>37</v>
      </c>
      <c r="D366" s="72" t="s">
        <v>38</v>
      </c>
      <c r="E366" s="41" t="s">
        <v>39</v>
      </c>
      <c r="F366" s="41" t="s">
        <v>40</v>
      </c>
      <c r="G366" s="43">
        <v>4.9000000000000004</v>
      </c>
      <c r="H366" s="41">
        <v>0</v>
      </c>
      <c r="I366" s="41">
        <v>860</v>
      </c>
      <c r="J366" s="41">
        <v>0</v>
      </c>
      <c r="K366" s="73">
        <f t="shared" ref="K366:K373" si="20">VLOOKUP($D366&amp;$E366&amp;$F366&amp;YEAR($B366),$P:$AA,9,FALSE)</f>
        <v>0.85</v>
      </c>
      <c r="L366" s="73">
        <f t="shared" si="18"/>
        <v>731</v>
      </c>
      <c r="M366" s="73">
        <v>0</v>
      </c>
      <c r="N366" s="105">
        <f t="shared" si="19"/>
        <v>731</v>
      </c>
      <c r="O366" s="46"/>
      <c r="P366" s="53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</row>
    <row r="367" spans="1:32" hidden="1" x14ac:dyDescent="0.25">
      <c r="A367" s="224"/>
      <c r="B367" s="96">
        <v>44544</v>
      </c>
      <c r="C367" s="52" t="s">
        <v>42</v>
      </c>
      <c r="D367" s="52" t="s">
        <v>38</v>
      </c>
      <c r="E367" s="53" t="s">
        <v>39</v>
      </c>
      <c r="F367" s="53" t="s">
        <v>40</v>
      </c>
      <c r="G367" s="54">
        <v>8</v>
      </c>
      <c r="H367" s="53">
        <v>0</v>
      </c>
      <c r="I367" s="53">
        <v>860</v>
      </c>
      <c r="J367" s="53">
        <v>0</v>
      </c>
      <c r="K367" s="55">
        <f t="shared" si="20"/>
        <v>0.85</v>
      </c>
      <c r="L367" s="55">
        <f t="shared" si="18"/>
        <v>731</v>
      </c>
      <c r="M367" s="55">
        <v>0</v>
      </c>
      <c r="N367" s="101">
        <f t="shared" si="19"/>
        <v>731</v>
      </c>
      <c r="O367" s="57" t="s">
        <v>118</v>
      </c>
      <c r="P367" s="53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</row>
    <row r="368" spans="1:32" hidden="1" x14ac:dyDescent="0.25">
      <c r="A368" s="224"/>
      <c r="B368" s="96">
        <v>44545</v>
      </c>
      <c r="C368" s="52" t="s">
        <v>46</v>
      </c>
      <c r="D368" s="52" t="s">
        <v>38</v>
      </c>
      <c r="E368" s="53" t="s">
        <v>39</v>
      </c>
      <c r="F368" s="53" t="s">
        <v>40</v>
      </c>
      <c r="G368" s="54">
        <v>8</v>
      </c>
      <c r="H368" s="53">
        <v>0</v>
      </c>
      <c r="I368" s="53">
        <v>860</v>
      </c>
      <c r="J368" s="53">
        <v>0</v>
      </c>
      <c r="K368" s="55">
        <f t="shared" si="20"/>
        <v>0.85</v>
      </c>
      <c r="L368" s="55">
        <f t="shared" si="18"/>
        <v>731</v>
      </c>
      <c r="M368" s="55">
        <v>0</v>
      </c>
      <c r="N368" s="101">
        <f t="shared" si="19"/>
        <v>731</v>
      </c>
      <c r="O368" s="57" t="s">
        <v>118</v>
      </c>
      <c r="P368" s="53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</row>
    <row r="369" spans="1:33" hidden="1" x14ac:dyDescent="0.25">
      <c r="A369" s="224"/>
      <c r="B369" s="96">
        <v>44546</v>
      </c>
      <c r="C369" s="52" t="s">
        <v>50</v>
      </c>
      <c r="D369" s="52" t="s">
        <v>38</v>
      </c>
      <c r="E369" s="53" t="s">
        <v>39</v>
      </c>
      <c r="F369" s="53" t="s">
        <v>40</v>
      </c>
      <c r="G369" s="54">
        <v>8</v>
      </c>
      <c r="H369" s="53">
        <v>0</v>
      </c>
      <c r="I369" s="53">
        <v>860</v>
      </c>
      <c r="J369" s="53">
        <v>0</v>
      </c>
      <c r="K369" s="55">
        <f t="shared" si="20"/>
        <v>0.85</v>
      </c>
      <c r="L369" s="55">
        <f t="shared" si="18"/>
        <v>731</v>
      </c>
      <c r="M369" s="55">
        <v>0</v>
      </c>
      <c r="N369" s="101">
        <f t="shared" si="19"/>
        <v>731</v>
      </c>
      <c r="O369" s="57" t="s">
        <v>118</v>
      </c>
      <c r="P369" s="53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108" t="s">
        <v>119</v>
      </c>
    </row>
    <row r="370" spans="1:33" hidden="1" x14ac:dyDescent="0.25">
      <c r="A370" s="224"/>
      <c r="B370" s="96">
        <v>44547</v>
      </c>
      <c r="C370" s="52" t="s">
        <v>53</v>
      </c>
      <c r="D370" s="52" t="s">
        <v>38</v>
      </c>
      <c r="E370" s="53" t="s">
        <v>39</v>
      </c>
      <c r="F370" s="53" t="s">
        <v>40</v>
      </c>
      <c r="G370" s="54">
        <v>5.9</v>
      </c>
      <c r="H370" s="53">
        <v>0</v>
      </c>
      <c r="I370" s="53">
        <v>860</v>
      </c>
      <c r="J370" s="53">
        <v>0</v>
      </c>
      <c r="K370" s="55">
        <f t="shared" si="20"/>
        <v>0.85</v>
      </c>
      <c r="L370" s="55">
        <f t="shared" si="18"/>
        <v>731</v>
      </c>
      <c r="M370" s="55">
        <v>0</v>
      </c>
      <c r="N370" s="101">
        <f t="shared" si="19"/>
        <v>731</v>
      </c>
      <c r="O370" s="57"/>
      <c r="P370" s="53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</row>
    <row r="371" spans="1:33" hidden="1" x14ac:dyDescent="0.25">
      <c r="A371" s="224"/>
      <c r="B371" s="97">
        <v>44548</v>
      </c>
      <c r="C371" s="58" t="s">
        <v>57</v>
      </c>
      <c r="D371" s="59" t="s">
        <v>38</v>
      </c>
      <c r="E371" s="60" t="s">
        <v>39</v>
      </c>
      <c r="F371" s="60" t="s">
        <v>40</v>
      </c>
      <c r="G371" s="61">
        <v>5.9</v>
      </c>
      <c r="H371" s="60">
        <v>0</v>
      </c>
      <c r="I371" s="60">
        <v>860</v>
      </c>
      <c r="J371" s="60">
        <v>0</v>
      </c>
      <c r="K371" s="62">
        <f t="shared" si="20"/>
        <v>0.85</v>
      </c>
      <c r="L371" s="62">
        <f t="shared" si="18"/>
        <v>731</v>
      </c>
      <c r="M371" s="62">
        <v>0</v>
      </c>
      <c r="N371" s="102">
        <f t="shared" si="19"/>
        <v>731</v>
      </c>
      <c r="O371" s="64"/>
      <c r="P371" s="53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</row>
    <row r="372" spans="1:33" ht="15.75" hidden="1" thickBot="1" x14ac:dyDescent="0.3">
      <c r="A372" s="225"/>
      <c r="B372" s="98">
        <v>44549</v>
      </c>
      <c r="C372" s="66" t="s">
        <v>59</v>
      </c>
      <c r="D372" s="67" t="s">
        <v>38</v>
      </c>
      <c r="E372" s="67" t="s">
        <v>39</v>
      </c>
      <c r="F372" s="67" t="s">
        <v>40</v>
      </c>
      <c r="G372" s="68">
        <v>5.9</v>
      </c>
      <c r="H372" s="67">
        <v>0</v>
      </c>
      <c r="I372" s="67">
        <v>860</v>
      </c>
      <c r="J372" s="67">
        <v>0</v>
      </c>
      <c r="K372" s="69">
        <f t="shared" si="20"/>
        <v>0.85</v>
      </c>
      <c r="L372" s="69">
        <f t="shared" si="18"/>
        <v>731</v>
      </c>
      <c r="M372" s="69">
        <v>0</v>
      </c>
      <c r="N372" s="103">
        <f t="shared" ref="N372:N403" si="21">L372*(1-M372)</f>
        <v>731</v>
      </c>
      <c r="O372" s="71"/>
      <c r="P372" s="53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</row>
    <row r="373" spans="1:33" hidden="1" x14ac:dyDescent="0.25">
      <c r="A373" s="223">
        <v>51</v>
      </c>
      <c r="B373" s="96">
        <v>44550</v>
      </c>
      <c r="C373" s="72" t="s">
        <v>37</v>
      </c>
      <c r="D373" s="72" t="s">
        <v>38</v>
      </c>
      <c r="E373" s="41" t="s">
        <v>39</v>
      </c>
      <c r="F373" s="41" t="s">
        <v>40</v>
      </c>
      <c r="G373" s="43">
        <v>5.9</v>
      </c>
      <c r="H373" s="41">
        <v>0</v>
      </c>
      <c r="I373" s="41">
        <v>860</v>
      </c>
      <c r="J373" s="41">
        <v>0</v>
      </c>
      <c r="K373" s="73">
        <f t="shared" si="20"/>
        <v>0.85</v>
      </c>
      <c r="L373" s="73">
        <f t="shared" si="18"/>
        <v>731</v>
      </c>
      <c r="M373" s="73">
        <v>0</v>
      </c>
      <c r="N373" s="105">
        <f t="shared" si="21"/>
        <v>731</v>
      </c>
      <c r="O373" s="46"/>
      <c r="P373" s="53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</row>
    <row r="374" spans="1:33" hidden="1" x14ac:dyDescent="0.25">
      <c r="A374" s="224"/>
      <c r="B374" s="96">
        <v>44551</v>
      </c>
      <c r="C374" s="52" t="s">
        <v>42</v>
      </c>
      <c r="D374" s="52" t="s">
        <v>38</v>
      </c>
      <c r="E374" s="53" t="s">
        <v>39</v>
      </c>
      <c r="F374" s="53" t="s">
        <v>40</v>
      </c>
      <c r="G374" s="54">
        <v>3.9</v>
      </c>
      <c r="H374" s="53">
        <v>0</v>
      </c>
      <c r="I374" s="53">
        <v>860</v>
      </c>
      <c r="J374" s="53">
        <v>0</v>
      </c>
      <c r="K374" s="55">
        <v>0.9</v>
      </c>
      <c r="L374" s="55">
        <f t="shared" si="18"/>
        <v>774</v>
      </c>
      <c r="M374" s="55">
        <v>0</v>
      </c>
      <c r="N374" s="101">
        <f t="shared" si="21"/>
        <v>774</v>
      </c>
      <c r="O374" s="57"/>
      <c r="P374" s="53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</row>
    <row r="375" spans="1:33" hidden="1" x14ac:dyDescent="0.25">
      <c r="A375" s="224"/>
      <c r="B375" s="96">
        <v>44552</v>
      </c>
      <c r="C375" s="52" t="s">
        <v>46</v>
      </c>
      <c r="D375" s="52" t="s">
        <v>38</v>
      </c>
      <c r="E375" s="53" t="s">
        <v>39</v>
      </c>
      <c r="F375" s="53" t="s">
        <v>40</v>
      </c>
      <c r="G375" s="54">
        <v>3.9</v>
      </c>
      <c r="H375" s="53">
        <v>0</v>
      </c>
      <c r="I375" s="53">
        <v>860</v>
      </c>
      <c r="J375" s="53">
        <v>0</v>
      </c>
      <c r="K375" s="55">
        <v>0.9</v>
      </c>
      <c r="L375" s="55">
        <f t="shared" si="18"/>
        <v>774</v>
      </c>
      <c r="M375" s="55">
        <v>0</v>
      </c>
      <c r="N375" s="101">
        <f t="shared" si="21"/>
        <v>774</v>
      </c>
      <c r="O375" s="57"/>
      <c r="P375" s="53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</row>
    <row r="376" spans="1:33" hidden="1" x14ac:dyDescent="0.25">
      <c r="A376" s="224"/>
      <c r="B376" s="96">
        <v>44553</v>
      </c>
      <c r="C376" s="52" t="s">
        <v>50</v>
      </c>
      <c r="D376" s="52" t="s">
        <v>38</v>
      </c>
      <c r="E376" s="53" t="s">
        <v>39</v>
      </c>
      <c r="F376" s="53" t="s">
        <v>40</v>
      </c>
      <c r="G376" s="54">
        <v>3.9</v>
      </c>
      <c r="H376" s="53">
        <v>0</v>
      </c>
      <c r="I376" s="53">
        <v>860</v>
      </c>
      <c r="J376" s="53">
        <v>0</v>
      </c>
      <c r="K376" s="55">
        <v>0.9</v>
      </c>
      <c r="L376" s="55">
        <f t="shared" si="18"/>
        <v>774</v>
      </c>
      <c r="M376" s="55">
        <v>0</v>
      </c>
      <c r="N376" s="101">
        <f t="shared" si="21"/>
        <v>774</v>
      </c>
      <c r="O376" s="57"/>
      <c r="P376" s="53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</row>
    <row r="377" spans="1:33" hidden="1" x14ac:dyDescent="0.25">
      <c r="A377" s="224"/>
      <c r="B377" s="96">
        <v>44554</v>
      </c>
      <c r="C377" s="52" t="s">
        <v>53</v>
      </c>
      <c r="D377" s="52" t="s">
        <v>38</v>
      </c>
      <c r="E377" s="53" t="s">
        <v>39</v>
      </c>
      <c r="F377" s="53" t="s">
        <v>40</v>
      </c>
      <c r="G377" s="54">
        <v>3.9</v>
      </c>
      <c r="H377" s="53">
        <v>0</v>
      </c>
      <c r="I377" s="53">
        <v>860</v>
      </c>
      <c r="J377" s="53">
        <v>0</v>
      </c>
      <c r="K377" s="55">
        <v>0.9</v>
      </c>
      <c r="L377" s="55">
        <f t="shared" si="18"/>
        <v>774</v>
      </c>
      <c r="M377" s="55">
        <v>0</v>
      </c>
      <c r="N377" s="101">
        <f t="shared" si="21"/>
        <v>774</v>
      </c>
      <c r="O377" s="57"/>
      <c r="P377" s="53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</row>
    <row r="378" spans="1:33" hidden="1" x14ac:dyDescent="0.25">
      <c r="A378" s="224"/>
      <c r="B378" s="97">
        <v>44555</v>
      </c>
      <c r="C378" s="58" t="s">
        <v>57</v>
      </c>
      <c r="D378" s="59" t="s">
        <v>38</v>
      </c>
      <c r="E378" s="60" t="s">
        <v>39</v>
      </c>
      <c r="F378" s="60" t="s">
        <v>40</v>
      </c>
      <c r="G378" s="61">
        <v>3.9</v>
      </c>
      <c r="H378" s="60">
        <v>0</v>
      </c>
      <c r="I378" s="60">
        <v>860</v>
      </c>
      <c r="J378" s="60">
        <v>0</v>
      </c>
      <c r="K378" s="62">
        <v>0.9</v>
      </c>
      <c r="L378" s="62">
        <f t="shared" si="18"/>
        <v>774</v>
      </c>
      <c r="M378" s="62">
        <v>0</v>
      </c>
      <c r="N378" s="102">
        <f t="shared" si="21"/>
        <v>774</v>
      </c>
      <c r="O378" s="64"/>
      <c r="P378" s="53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</row>
    <row r="379" spans="1:33" ht="15.75" hidden="1" thickBot="1" x14ac:dyDescent="0.3">
      <c r="A379" s="225"/>
      <c r="B379" s="98">
        <v>44556</v>
      </c>
      <c r="C379" s="66" t="s">
        <v>59</v>
      </c>
      <c r="D379" s="67" t="s">
        <v>38</v>
      </c>
      <c r="E379" s="67" t="s">
        <v>39</v>
      </c>
      <c r="F379" s="67" t="s">
        <v>40</v>
      </c>
      <c r="G379" s="68">
        <v>3.9</v>
      </c>
      <c r="H379" s="67">
        <v>0</v>
      </c>
      <c r="I379" s="67">
        <v>860</v>
      </c>
      <c r="J379" s="67">
        <v>0</v>
      </c>
      <c r="K379" s="69">
        <v>0.9</v>
      </c>
      <c r="L379" s="69">
        <f t="shared" si="18"/>
        <v>774</v>
      </c>
      <c r="M379" s="69">
        <v>0</v>
      </c>
      <c r="N379" s="103">
        <f t="shared" si="21"/>
        <v>774</v>
      </c>
      <c r="O379" s="71"/>
      <c r="P379" s="53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</row>
    <row r="380" spans="1:33" hidden="1" x14ac:dyDescent="0.25">
      <c r="A380" s="223">
        <v>52</v>
      </c>
      <c r="B380" s="96">
        <v>44557</v>
      </c>
      <c r="C380" s="72" t="s">
        <v>37</v>
      </c>
      <c r="D380" s="41" t="s">
        <v>38</v>
      </c>
      <c r="E380" s="41" t="s">
        <v>39</v>
      </c>
      <c r="F380" s="43" t="s">
        <v>40</v>
      </c>
      <c r="G380" s="41">
        <v>3.9</v>
      </c>
      <c r="H380" s="41">
        <v>0</v>
      </c>
      <c r="I380" s="41">
        <v>860</v>
      </c>
      <c r="J380" s="41">
        <v>0</v>
      </c>
      <c r="K380" s="73">
        <v>0.9</v>
      </c>
      <c r="L380" s="73">
        <f t="shared" si="18"/>
        <v>774</v>
      </c>
      <c r="M380" s="73">
        <v>0</v>
      </c>
      <c r="N380" s="105">
        <f t="shared" si="21"/>
        <v>774</v>
      </c>
      <c r="O380" s="46"/>
      <c r="P380" s="53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</row>
    <row r="381" spans="1:33" hidden="1" x14ac:dyDescent="0.25">
      <c r="A381" s="224"/>
      <c r="B381" s="96">
        <v>44558</v>
      </c>
      <c r="C381" s="52" t="s">
        <v>42</v>
      </c>
      <c r="D381" s="53" t="s">
        <v>38</v>
      </c>
      <c r="E381" s="53" t="s">
        <v>39</v>
      </c>
      <c r="F381" s="54" t="s">
        <v>40</v>
      </c>
      <c r="G381" s="53">
        <v>3.9</v>
      </c>
      <c r="H381" s="53">
        <v>0</v>
      </c>
      <c r="I381" s="53">
        <v>850</v>
      </c>
      <c r="J381" s="53">
        <v>0</v>
      </c>
      <c r="K381" s="55">
        <v>0.9</v>
      </c>
      <c r="L381" s="55">
        <f t="shared" si="18"/>
        <v>765</v>
      </c>
      <c r="M381" s="55">
        <v>0</v>
      </c>
      <c r="N381" s="101">
        <f t="shared" si="21"/>
        <v>765</v>
      </c>
      <c r="O381" s="57"/>
      <c r="P381" s="53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</row>
    <row r="382" spans="1:33" hidden="1" x14ac:dyDescent="0.25">
      <c r="A382" s="224"/>
      <c r="B382" s="96">
        <v>44559</v>
      </c>
      <c r="C382" s="52" t="s">
        <v>46</v>
      </c>
      <c r="D382" s="53" t="s">
        <v>38</v>
      </c>
      <c r="E382" s="53" t="s">
        <v>39</v>
      </c>
      <c r="F382" s="54" t="s">
        <v>40</v>
      </c>
      <c r="G382" s="53">
        <v>3.9</v>
      </c>
      <c r="H382" s="53">
        <v>0</v>
      </c>
      <c r="I382" s="53">
        <v>840</v>
      </c>
      <c r="J382" s="53">
        <v>0</v>
      </c>
      <c r="K382" s="55">
        <v>0.9</v>
      </c>
      <c r="L382" s="55">
        <f t="shared" si="18"/>
        <v>756</v>
      </c>
      <c r="M382" s="55">
        <v>0</v>
      </c>
      <c r="N382" s="101">
        <f t="shared" si="21"/>
        <v>756</v>
      </c>
      <c r="O382" s="57"/>
      <c r="P382" s="53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</row>
    <row r="383" spans="1:33" hidden="1" x14ac:dyDescent="0.25">
      <c r="A383" s="224"/>
      <c r="B383" s="96">
        <v>44560</v>
      </c>
      <c r="C383" s="52" t="s">
        <v>50</v>
      </c>
      <c r="D383" s="53" t="s">
        <v>38</v>
      </c>
      <c r="E383" s="53" t="s">
        <v>39</v>
      </c>
      <c r="F383" s="54" t="s">
        <v>40</v>
      </c>
      <c r="G383" s="53">
        <v>3.9</v>
      </c>
      <c r="H383" s="53">
        <v>0</v>
      </c>
      <c r="I383" s="53">
        <v>830</v>
      </c>
      <c r="J383" s="53">
        <v>0</v>
      </c>
      <c r="K383" s="55">
        <v>0.9</v>
      </c>
      <c r="L383" s="55">
        <f t="shared" si="18"/>
        <v>747</v>
      </c>
      <c r="M383" s="55">
        <v>0</v>
      </c>
      <c r="N383" s="101">
        <f t="shared" si="21"/>
        <v>747</v>
      </c>
      <c r="O383" s="57"/>
      <c r="P383" s="53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</row>
    <row r="384" spans="1:33" hidden="1" x14ac:dyDescent="0.25">
      <c r="A384" s="224"/>
      <c r="B384" s="96">
        <v>44561</v>
      </c>
      <c r="C384" s="52" t="s">
        <v>53</v>
      </c>
      <c r="D384" s="53" t="s">
        <v>38</v>
      </c>
      <c r="E384" s="53" t="s">
        <v>39</v>
      </c>
      <c r="F384" s="54" t="s">
        <v>40</v>
      </c>
      <c r="G384" s="53">
        <v>3.9</v>
      </c>
      <c r="H384" s="53">
        <v>0</v>
      </c>
      <c r="I384" s="53">
        <v>820</v>
      </c>
      <c r="J384" s="53">
        <v>0</v>
      </c>
      <c r="K384" s="55">
        <v>0.9</v>
      </c>
      <c r="L384" s="55">
        <f t="shared" si="18"/>
        <v>738</v>
      </c>
      <c r="M384" s="55">
        <v>0</v>
      </c>
      <c r="N384" s="101">
        <f t="shared" si="21"/>
        <v>738</v>
      </c>
      <c r="O384" s="57"/>
      <c r="P384" s="53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</row>
    <row r="385" spans="1:33" hidden="1" x14ac:dyDescent="0.25">
      <c r="A385" s="224"/>
      <c r="B385" s="97">
        <v>44562</v>
      </c>
      <c r="C385" s="58" t="s">
        <v>57</v>
      </c>
      <c r="D385" s="60" t="s">
        <v>38</v>
      </c>
      <c r="E385" s="60" t="s">
        <v>39</v>
      </c>
      <c r="F385" s="61" t="s">
        <v>40</v>
      </c>
      <c r="G385" s="60">
        <v>3.9</v>
      </c>
      <c r="H385" s="60">
        <v>0</v>
      </c>
      <c r="I385" s="60">
        <v>860</v>
      </c>
      <c r="J385" s="60">
        <v>0</v>
      </c>
      <c r="K385" s="62">
        <v>0.9</v>
      </c>
      <c r="L385" s="62">
        <f t="shared" si="18"/>
        <v>774</v>
      </c>
      <c r="M385" s="62">
        <v>0</v>
      </c>
      <c r="N385" s="102">
        <f t="shared" si="21"/>
        <v>774</v>
      </c>
      <c r="O385" s="64"/>
      <c r="P385" s="53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/>
    </row>
    <row r="386" spans="1:33" ht="15.75" hidden="1" thickBot="1" x14ac:dyDescent="0.3">
      <c r="A386" s="225"/>
      <c r="B386" s="98">
        <v>44563</v>
      </c>
      <c r="C386" s="66" t="s">
        <v>59</v>
      </c>
      <c r="D386" s="67" t="s">
        <v>38</v>
      </c>
      <c r="E386" s="67" t="s">
        <v>39</v>
      </c>
      <c r="F386" s="68" t="s">
        <v>40</v>
      </c>
      <c r="G386" s="67">
        <v>3.9</v>
      </c>
      <c r="H386" s="67">
        <v>0</v>
      </c>
      <c r="I386" s="67">
        <v>860</v>
      </c>
      <c r="J386" s="67">
        <v>0</v>
      </c>
      <c r="K386" s="69">
        <v>0.9</v>
      </c>
      <c r="L386" s="69">
        <f t="shared" si="18"/>
        <v>774</v>
      </c>
      <c r="M386" s="69">
        <v>0</v>
      </c>
      <c r="N386" s="103">
        <f t="shared" si="21"/>
        <v>774</v>
      </c>
      <c r="O386" s="71"/>
      <c r="P386" s="53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/>
    </row>
    <row r="387" spans="1:33" hidden="1" x14ac:dyDescent="0.25">
      <c r="A387" s="223">
        <f>_xlfn.ISOWEEKNUM(B387)</f>
        <v>1</v>
      </c>
      <c r="B387" s="96">
        <v>44564</v>
      </c>
      <c r="C387" s="72" t="s">
        <v>37</v>
      </c>
      <c r="D387" s="41" t="s">
        <v>38</v>
      </c>
      <c r="E387" s="41" t="s">
        <v>39</v>
      </c>
      <c r="F387" s="43" t="s">
        <v>40</v>
      </c>
      <c r="G387" s="41">
        <v>4.9000000000000004</v>
      </c>
      <c r="H387" s="41">
        <v>0</v>
      </c>
      <c r="I387" s="41">
        <v>860</v>
      </c>
      <c r="J387" s="41">
        <v>0</v>
      </c>
      <c r="K387" s="73">
        <f t="shared" ref="K387:K418" si="22">VLOOKUP($D387&amp;$E387&amp;$F387&amp;YEAR($B387),$P:$AA,9,FALSE)</f>
        <v>0.85</v>
      </c>
      <c r="L387" s="73">
        <f t="shared" si="18"/>
        <v>731</v>
      </c>
      <c r="M387" s="73">
        <v>0</v>
      </c>
      <c r="N387" s="105">
        <f t="shared" si="21"/>
        <v>731</v>
      </c>
      <c r="O387" s="46"/>
      <c r="P387" s="53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 spans="1:33" hidden="1" x14ac:dyDescent="0.25">
      <c r="A388" s="224"/>
      <c r="B388" s="96">
        <v>44565</v>
      </c>
      <c r="C388" s="52" t="s">
        <v>42</v>
      </c>
      <c r="D388" s="53" t="s">
        <v>38</v>
      </c>
      <c r="E388" s="53" t="s">
        <v>39</v>
      </c>
      <c r="F388" s="54" t="s">
        <v>40</v>
      </c>
      <c r="G388" s="53">
        <v>4.9000000000000004</v>
      </c>
      <c r="H388" s="53">
        <v>0</v>
      </c>
      <c r="I388" s="53">
        <v>850</v>
      </c>
      <c r="J388" s="53">
        <v>0</v>
      </c>
      <c r="K388" s="55">
        <f t="shared" si="22"/>
        <v>0.85</v>
      </c>
      <c r="L388" s="55">
        <f t="shared" si="18"/>
        <v>722.5</v>
      </c>
      <c r="M388" s="55">
        <v>0</v>
      </c>
      <c r="N388" s="101">
        <f t="shared" si="21"/>
        <v>722.5</v>
      </c>
      <c r="O388" s="57"/>
      <c r="P388" s="53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 spans="1:33" hidden="1" x14ac:dyDescent="0.25">
      <c r="A389" s="224"/>
      <c r="B389" s="96">
        <v>44566</v>
      </c>
      <c r="C389" s="52" t="s">
        <v>46</v>
      </c>
      <c r="D389" s="53" t="s">
        <v>38</v>
      </c>
      <c r="E389" s="53" t="s">
        <v>39</v>
      </c>
      <c r="F389" s="54" t="s">
        <v>40</v>
      </c>
      <c r="G389" s="53">
        <v>4.9000000000000004</v>
      </c>
      <c r="H389" s="53">
        <v>0</v>
      </c>
      <c r="I389" s="53">
        <v>840</v>
      </c>
      <c r="J389" s="53">
        <v>0</v>
      </c>
      <c r="K389" s="55">
        <f t="shared" si="22"/>
        <v>0.85</v>
      </c>
      <c r="L389" s="55">
        <f t="shared" si="18"/>
        <v>714</v>
      </c>
      <c r="M389" s="55">
        <v>0</v>
      </c>
      <c r="N389" s="101">
        <f t="shared" si="21"/>
        <v>714</v>
      </c>
      <c r="O389" s="57"/>
      <c r="P389" s="53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 spans="1:33" hidden="1" x14ac:dyDescent="0.25">
      <c r="A390" s="224"/>
      <c r="B390" s="96">
        <v>44567</v>
      </c>
      <c r="C390" s="52" t="s">
        <v>50</v>
      </c>
      <c r="D390" s="53" t="s">
        <v>38</v>
      </c>
      <c r="E390" s="53" t="s">
        <v>39</v>
      </c>
      <c r="F390" s="54" t="s">
        <v>40</v>
      </c>
      <c r="G390" s="53">
        <v>5.9</v>
      </c>
      <c r="H390" s="53">
        <v>0</v>
      </c>
      <c r="I390" s="53">
        <v>830</v>
      </c>
      <c r="J390" s="53">
        <v>0</v>
      </c>
      <c r="K390" s="55">
        <f t="shared" si="22"/>
        <v>0.85</v>
      </c>
      <c r="L390" s="55">
        <f t="shared" si="18"/>
        <v>705.5</v>
      </c>
      <c r="M390" s="55">
        <v>0</v>
      </c>
      <c r="N390" s="101">
        <f t="shared" si="21"/>
        <v>705.5</v>
      </c>
      <c r="O390" s="57"/>
      <c r="P390" s="53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 spans="1:33" hidden="1" x14ac:dyDescent="0.25">
      <c r="A391" s="224"/>
      <c r="B391" s="96">
        <v>44568</v>
      </c>
      <c r="C391" s="52" t="s">
        <v>53</v>
      </c>
      <c r="D391" s="53" t="s">
        <v>38</v>
      </c>
      <c r="E391" s="53" t="s">
        <v>39</v>
      </c>
      <c r="F391" s="54" t="s">
        <v>40</v>
      </c>
      <c r="G391" s="53">
        <v>5.9</v>
      </c>
      <c r="H391" s="53">
        <v>0</v>
      </c>
      <c r="I391" s="53">
        <v>820</v>
      </c>
      <c r="J391" s="53">
        <v>0</v>
      </c>
      <c r="K391" s="55">
        <f t="shared" si="22"/>
        <v>0.85</v>
      </c>
      <c r="L391" s="55">
        <f t="shared" si="18"/>
        <v>697</v>
      </c>
      <c r="M391" s="55">
        <v>0</v>
      </c>
      <c r="N391" s="101">
        <f t="shared" si="21"/>
        <v>697</v>
      </c>
      <c r="O391" s="57"/>
      <c r="P391" s="53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 spans="1:33" hidden="1" x14ac:dyDescent="0.25">
      <c r="A392" s="224"/>
      <c r="B392" s="97">
        <v>44569</v>
      </c>
      <c r="C392" s="58" t="s">
        <v>57</v>
      </c>
      <c r="D392" s="60" t="s">
        <v>38</v>
      </c>
      <c r="E392" s="60" t="s">
        <v>39</v>
      </c>
      <c r="F392" s="61" t="s">
        <v>40</v>
      </c>
      <c r="G392" s="60">
        <v>5.9</v>
      </c>
      <c r="H392" s="60">
        <v>0</v>
      </c>
      <c r="I392" s="60">
        <v>820</v>
      </c>
      <c r="J392" s="60">
        <v>0</v>
      </c>
      <c r="K392" s="62">
        <f t="shared" si="22"/>
        <v>0.85</v>
      </c>
      <c r="L392" s="62">
        <f t="shared" si="18"/>
        <v>697</v>
      </c>
      <c r="M392" s="62">
        <v>0</v>
      </c>
      <c r="N392" s="102">
        <f t="shared" si="21"/>
        <v>697</v>
      </c>
      <c r="O392" s="64"/>
      <c r="P392" s="53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 spans="1:33" ht="15.75" hidden="1" thickBot="1" x14ac:dyDescent="0.3">
      <c r="A393" s="225"/>
      <c r="B393" s="98">
        <v>44570</v>
      </c>
      <c r="C393" s="66" t="s">
        <v>59</v>
      </c>
      <c r="D393" s="67" t="s">
        <v>38</v>
      </c>
      <c r="E393" s="67" t="s">
        <v>39</v>
      </c>
      <c r="F393" s="68" t="s">
        <v>40</v>
      </c>
      <c r="G393" s="67">
        <v>5.9</v>
      </c>
      <c r="H393" s="67">
        <v>0</v>
      </c>
      <c r="I393" s="67">
        <v>820</v>
      </c>
      <c r="J393" s="67">
        <v>0</v>
      </c>
      <c r="K393" s="69">
        <f t="shared" si="22"/>
        <v>0.85</v>
      </c>
      <c r="L393" s="69">
        <f t="shared" si="18"/>
        <v>697</v>
      </c>
      <c r="M393" s="69">
        <v>0</v>
      </c>
      <c r="N393" s="103">
        <f t="shared" si="21"/>
        <v>697</v>
      </c>
      <c r="O393" s="71"/>
      <c r="P393" s="53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 spans="1:33" hidden="1" x14ac:dyDescent="0.25">
      <c r="A394" s="223">
        <f>_xlfn.ISOWEEKNUM(B394)</f>
        <v>2</v>
      </c>
      <c r="B394" s="96">
        <v>44571</v>
      </c>
      <c r="C394" s="72" t="s">
        <v>37</v>
      </c>
      <c r="D394" s="41" t="s">
        <v>38</v>
      </c>
      <c r="E394" s="41" t="s">
        <v>39</v>
      </c>
      <c r="F394" s="43" t="s">
        <v>40</v>
      </c>
      <c r="G394" s="41">
        <v>3.9</v>
      </c>
      <c r="H394" s="41">
        <v>0</v>
      </c>
      <c r="I394" s="41">
        <v>820</v>
      </c>
      <c r="J394" s="41">
        <v>0</v>
      </c>
      <c r="K394" s="73">
        <f t="shared" si="22"/>
        <v>0.85</v>
      </c>
      <c r="L394" s="73">
        <f t="shared" si="18"/>
        <v>697</v>
      </c>
      <c r="M394" s="73">
        <v>0</v>
      </c>
      <c r="N394" s="105">
        <f t="shared" si="21"/>
        <v>697</v>
      </c>
      <c r="O394" s="46"/>
      <c r="P394" s="53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 spans="1:33" hidden="1" x14ac:dyDescent="0.25">
      <c r="A395" s="224"/>
      <c r="B395" s="96">
        <v>44572</v>
      </c>
      <c r="C395" s="52" t="s">
        <v>42</v>
      </c>
      <c r="D395" s="53" t="s">
        <v>38</v>
      </c>
      <c r="E395" s="53" t="s">
        <v>39</v>
      </c>
      <c r="F395" s="54" t="s">
        <v>40</v>
      </c>
      <c r="G395" s="53">
        <v>3.9</v>
      </c>
      <c r="H395" s="53">
        <v>0</v>
      </c>
      <c r="I395" s="53">
        <v>820</v>
      </c>
      <c r="J395" s="53">
        <v>0</v>
      </c>
      <c r="K395" s="55">
        <f t="shared" si="22"/>
        <v>0.85</v>
      </c>
      <c r="L395" s="55">
        <f t="shared" si="18"/>
        <v>697</v>
      </c>
      <c r="M395" s="55">
        <v>0</v>
      </c>
      <c r="N395" s="101">
        <f t="shared" si="21"/>
        <v>697</v>
      </c>
      <c r="O395" s="57"/>
      <c r="P395" s="53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 spans="1:33" hidden="1" x14ac:dyDescent="0.25">
      <c r="A396" s="224"/>
      <c r="B396" s="96">
        <v>44573</v>
      </c>
      <c r="C396" s="52" t="s">
        <v>46</v>
      </c>
      <c r="D396" s="53" t="s">
        <v>38</v>
      </c>
      <c r="E396" s="53" t="s">
        <v>39</v>
      </c>
      <c r="F396" s="54" t="s">
        <v>40</v>
      </c>
      <c r="G396" s="53">
        <v>3.9</v>
      </c>
      <c r="H396" s="53">
        <v>0</v>
      </c>
      <c r="I396" s="53">
        <v>820</v>
      </c>
      <c r="J396" s="53">
        <v>0</v>
      </c>
      <c r="K396" s="55">
        <f t="shared" si="22"/>
        <v>0.85</v>
      </c>
      <c r="L396" s="55">
        <f t="shared" si="18"/>
        <v>697</v>
      </c>
      <c r="M396" s="55">
        <v>0</v>
      </c>
      <c r="N396" s="101">
        <f t="shared" si="21"/>
        <v>697</v>
      </c>
      <c r="O396" s="57" t="s">
        <v>73</v>
      </c>
      <c r="P396" s="53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 spans="1:33" hidden="1" x14ac:dyDescent="0.25">
      <c r="A397" s="224"/>
      <c r="B397" s="96">
        <v>44574</v>
      </c>
      <c r="C397" s="52" t="s">
        <v>50</v>
      </c>
      <c r="D397" s="53" t="s">
        <v>38</v>
      </c>
      <c r="E397" s="53" t="s">
        <v>39</v>
      </c>
      <c r="F397" s="54" t="s">
        <v>40</v>
      </c>
      <c r="G397" s="53">
        <v>3.9</v>
      </c>
      <c r="H397" s="53">
        <v>0</v>
      </c>
      <c r="I397" s="53">
        <v>820</v>
      </c>
      <c r="J397" s="53">
        <v>0</v>
      </c>
      <c r="K397" s="55">
        <f t="shared" si="22"/>
        <v>0.85</v>
      </c>
      <c r="L397" s="55">
        <f t="shared" si="18"/>
        <v>697</v>
      </c>
      <c r="M397" s="55">
        <v>0</v>
      </c>
      <c r="N397" s="101">
        <f t="shared" si="21"/>
        <v>697</v>
      </c>
      <c r="O397" s="57"/>
      <c r="P397" s="53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 spans="1:33" hidden="1" x14ac:dyDescent="0.25">
      <c r="A398" s="224"/>
      <c r="B398" s="96">
        <v>44575</v>
      </c>
      <c r="C398" s="52" t="s">
        <v>53</v>
      </c>
      <c r="D398" s="53" t="s">
        <v>38</v>
      </c>
      <c r="E398" s="53" t="s">
        <v>55</v>
      </c>
      <c r="F398" s="54" t="s">
        <v>40</v>
      </c>
      <c r="G398" s="53">
        <v>3.9</v>
      </c>
      <c r="H398" s="53">
        <v>0</v>
      </c>
      <c r="I398" s="53">
        <v>820</v>
      </c>
      <c r="J398" s="53">
        <v>0</v>
      </c>
      <c r="K398" s="55">
        <f t="shared" si="22"/>
        <v>0.85</v>
      </c>
      <c r="L398" s="55">
        <f t="shared" si="18"/>
        <v>697</v>
      </c>
      <c r="M398" s="55">
        <v>0</v>
      </c>
      <c r="N398" s="101">
        <f t="shared" si="21"/>
        <v>697</v>
      </c>
      <c r="O398" s="57"/>
      <c r="P398" s="53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 spans="1:33" hidden="1" x14ac:dyDescent="0.25">
      <c r="A399" s="224"/>
      <c r="B399" s="97">
        <v>44576</v>
      </c>
      <c r="C399" s="58" t="s">
        <v>57</v>
      </c>
      <c r="D399" s="60" t="s">
        <v>38</v>
      </c>
      <c r="E399" s="60" t="s">
        <v>55</v>
      </c>
      <c r="F399" s="61" t="s">
        <v>40</v>
      </c>
      <c r="G399" s="60">
        <v>3.9</v>
      </c>
      <c r="H399" s="60">
        <v>0</v>
      </c>
      <c r="I399" s="60">
        <v>820</v>
      </c>
      <c r="J399" s="60">
        <v>0</v>
      </c>
      <c r="K399" s="62">
        <f t="shared" si="22"/>
        <v>0.85</v>
      </c>
      <c r="L399" s="62">
        <f t="shared" si="18"/>
        <v>697</v>
      </c>
      <c r="M399" s="62">
        <v>0</v>
      </c>
      <c r="N399" s="102">
        <f t="shared" si="21"/>
        <v>697</v>
      </c>
      <c r="O399" s="64"/>
      <c r="P399" s="53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 spans="1:33" ht="15.75" hidden="1" thickBot="1" x14ac:dyDescent="0.3">
      <c r="A400" s="225"/>
      <c r="B400" s="98">
        <v>44577</v>
      </c>
      <c r="C400" s="66" t="s">
        <v>59</v>
      </c>
      <c r="D400" s="67" t="s">
        <v>38</v>
      </c>
      <c r="E400" s="67" t="s">
        <v>55</v>
      </c>
      <c r="F400" s="68" t="s">
        <v>40</v>
      </c>
      <c r="G400" s="67">
        <v>3.9</v>
      </c>
      <c r="H400" s="67">
        <v>0</v>
      </c>
      <c r="I400" s="67">
        <v>820</v>
      </c>
      <c r="J400" s="67">
        <v>0</v>
      </c>
      <c r="K400" s="69">
        <f t="shared" si="22"/>
        <v>0.85</v>
      </c>
      <c r="L400" s="69">
        <f t="shared" si="18"/>
        <v>697</v>
      </c>
      <c r="M400" s="69">
        <v>0</v>
      </c>
      <c r="N400" s="103">
        <f t="shared" si="21"/>
        <v>697</v>
      </c>
      <c r="O400" s="71" t="s">
        <v>120</v>
      </c>
      <c r="P400" s="53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 spans="1:28" hidden="1" x14ac:dyDescent="0.25">
      <c r="A401" s="223">
        <f>_xlfn.ISOWEEKNUM(B401)</f>
        <v>3</v>
      </c>
      <c r="B401" s="96">
        <v>44578</v>
      </c>
      <c r="C401" s="72" t="s">
        <v>37</v>
      </c>
      <c r="D401" s="41" t="s">
        <v>38</v>
      </c>
      <c r="E401" s="41" t="s">
        <v>45</v>
      </c>
      <c r="F401" s="43" t="s">
        <v>40</v>
      </c>
      <c r="G401" s="43">
        <v>3.9</v>
      </c>
      <c r="H401" s="41">
        <v>0</v>
      </c>
      <c r="I401" s="41">
        <v>810</v>
      </c>
      <c r="J401" s="41">
        <v>0</v>
      </c>
      <c r="K401" s="73">
        <f t="shared" si="22"/>
        <v>0.83</v>
      </c>
      <c r="L401" s="73">
        <f t="shared" si="18"/>
        <v>672.3</v>
      </c>
      <c r="M401" s="73">
        <v>0</v>
      </c>
      <c r="N401" s="105">
        <f t="shared" si="21"/>
        <v>672.3</v>
      </c>
      <c r="O401" s="46" t="s">
        <v>121</v>
      </c>
      <c r="P401" s="53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 spans="1:28" hidden="1" x14ac:dyDescent="0.25">
      <c r="A402" s="224"/>
      <c r="B402" s="96">
        <v>44579</v>
      </c>
      <c r="C402" s="52" t="s">
        <v>42</v>
      </c>
      <c r="D402" s="53" t="s">
        <v>38</v>
      </c>
      <c r="E402" s="53" t="s">
        <v>45</v>
      </c>
      <c r="F402" s="54" t="s">
        <v>40</v>
      </c>
      <c r="G402" s="54">
        <v>3.9</v>
      </c>
      <c r="H402" s="53">
        <v>0</v>
      </c>
      <c r="I402" s="53">
        <v>810</v>
      </c>
      <c r="J402" s="53">
        <v>0</v>
      </c>
      <c r="K402" s="55">
        <f t="shared" si="22"/>
        <v>0.83</v>
      </c>
      <c r="L402" s="55">
        <f t="shared" si="18"/>
        <v>672.3</v>
      </c>
      <c r="M402" s="55">
        <v>0</v>
      </c>
      <c r="N402" s="101">
        <f t="shared" si="21"/>
        <v>672.3</v>
      </c>
      <c r="O402" s="57" t="s">
        <v>122</v>
      </c>
      <c r="P402" s="53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 spans="1:28" hidden="1" x14ac:dyDescent="0.25">
      <c r="A403" s="224"/>
      <c r="B403" s="96">
        <v>44580</v>
      </c>
      <c r="C403" s="52" t="s">
        <v>46</v>
      </c>
      <c r="D403" s="53" t="s">
        <v>38</v>
      </c>
      <c r="E403" s="53" t="s">
        <v>45</v>
      </c>
      <c r="F403" s="54" t="s">
        <v>40</v>
      </c>
      <c r="G403" s="54" t="s">
        <v>9</v>
      </c>
      <c r="H403" s="53">
        <v>0</v>
      </c>
      <c r="I403" s="53">
        <v>810</v>
      </c>
      <c r="J403" s="53">
        <v>0</v>
      </c>
      <c r="K403" s="55">
        <f t="shared" si="22"/>
        <v>0.83</v>
      </c>
      <c r="L403" s="55">
        <f t="shared" si="18"/>
        <v>672.3</v>
      </c>
      <c r="M403" s="55">
        <v>0</v>
      </c>
      <c r="N403" s="101">
        <f t="shared" si="21"/>
        <v>672.3</v>
      </c>
      <c r="O403" s="57" t="s">
        <v>123</v>
      </c>
      <c r="P403" s="53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 spans="1:28" hidden="1" x14ac:dyDescent="0.25">
      <c r="A404" s="224"/>
      <c r="B404" s="96">
        <v>44581</v>
      </c>
      <c r="C404" s="52" t="s">
        <v>50</v>
      </c>
      <c r="D404" s="53" t="s">
        <v>38</v>
      </c>
      <c r="E404" s="53" t="s">
        <v>45</v>
      </c>
      <c r="F404" s="54" t="s">
        <v>40</v>
      </c>
      <c r="G404" s="54">
        <v>4.9000000000000004</v>
      </c>
      <c r="H404" s="53">
        <v>0</v>
      </c>
      <c r="I404" s="53">
        <v>810</v>
      </c>
      <c r="J404" s="53">
        <v>0</v>
      </c>
      <c r="K404" s="55">
        <f t="shared" si="22"/>
        <v>0.83</v>
      </c>
      <c r="L404" s="55">
        <f t="shared" ref="L404:L467" si="23">IF(J404&lt;&gt;0,J404,I404)*K404</f>
        <v>672.3</v>
      </c>
      <c r="M404" s="55">
        <v>0</v>
      </c>
      <c r="N404" s="101">
        <f t="shared" ref="N404:N408" si="24">L404*(1-M404)</f>
        <v>672.3</v>
      </c>
      <c r="O404" s="57" t="s">
        <v>124</v>
      </c>
      <c r="P404" s="53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 spans="1:28" hidden="1" x14ac:dyDescent="0.25">
      <c r="A405" s="224"/>
      <c r="B405" s="96">
        <v>44582</v>
      </c>
      <c r="C405" s="52" t="s">
        <v>53</v>
      </c>
      <c r="D405" s="53" t="s">
        <v>38</v>
      </c>
      <c r="E405" s="53" t="s">
        <v>45</v>
      </c>
      <c r="F405" s="54" t="s">
        <v>40</v>
      </c>
      <c r="G405" s="54">
        <v>8</v>
      </c>
      <c r="H405" s="53">
        <v>0</v>
      </c>
      <c r="I405" s="53">
        <v>810</v>
      </c>
      <c r="J405" s="53">
        <v>0</v>
      </c>
      <c r="K405" s="55">
        <f t="shared" si="22"/>
        <v>0.83</v>
      </c>
      <c r="L405" s="55">
        <f t="shared" si="23"/>
        <v>672.3</v>
      </c>
      <c r="M405" s="55">
        <v>0</v>
      </c>
      <c r="N405" s="101">
        <f t="shared" si="24"/>
        <v>672.3</v>
      </c>
      <c r="O405" s="57"/>
      <c r="P405" s="53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 spans="1:28" hidden="1" x14ac:dyDescent="0.25">
      <c r="A406" s="224"/>
      <c r="B406" s="97">
        <v>44583</v>
      </c>
      <c r="C406" s="58" t="s">
        <v>57</v>
      </c>
      <c r="D406" s="60" t="s">
        <v>38</v>
      </c>
      <c r="E406" s="60" t="s">
        <v>45</v>
      </c>
      <c r="F406" s="61" t="s">
        <v>40</v>
      </c>
      <c r="G406" s="61">
        <v>8</v>
      </c>
      <c r="H406" s="60">
        <v>0</v>
      </c>
      <c r="I406" s="60">
        <v>810</v>
      </c>
      <c r="J406" s="60">
        <v>0</v>
      </c>
      <c r="K406" s="62">
        <f t="shared" si="22"/>
        <v>0.83</v>
      </c>
      <c r="L406" s="62">
        <f t="shared" si="23"/>
        <v>672.3</v>
      </c>
      <c r="M406" s="62">
        <v>0</v>
      </c>
      <c r="N406" s="102">
        <f t="shared" si="24"/>
        <v>672.3</v>
      </c>
      <c r="O406" s="64" t="s">
        <v>125</v>
      </c>
      <c r="P406" s="53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 spans="1:28" ht="15.75" hidden="1" thickBot="1" x14ac:dyDescent="0.3">
      <c r="A407" s="225"/>
      <c r="B407" s="98">
        <v>44584</v>
      </c>
      <c r="C407" s="66" t="s">
        <v>59</v>
      </c>
      <c r="D407" s="67" t="s">
        <v>38</v>
      </c>
      <c r="E407" s="67" t="s">
        <v>45</v>
      </c>
      <c r="F407" s="68" t="s">
        <v>40</v>
      </c>
      <c r="G407" s="68">
        <v>8</v>
      </c>
      <c r="H407" s="67">
        <v>0</v>
      </c>
      <c r="I407" s="67">
        <v>810</v>
      </c>
      <c r="J407" s="67">
        <v>0</v>
      </c>
      <c r="K407" s="69">
        <f t="shared" si="22"/>
        <v>0.83</v>
      </c>
      <c r="L407" s="69">
        <f t="shared" si="23"/>
        <v>672.3</v>
      </c>
      <c r="M407" s="69">
        <v>0</v>
      </c>
      <c r="N407" s="103">
        <f t="shared" si="24"/>
        <v>672.3</v>
      </c>
      <c r="O407" s="71"/>
      <c r="P407" s="53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 spans="1:28" hidden="1" x14ac:dyDescent="0.25">
      <c r="A408" s="223">
        <f>_xlfn.ISOWEEKNUM(B408)</f>
        <v>4</v>
      </c>
      <c r="B408" s="96">
        <v>44585</v>
      </c>
      <c r="C408" s="72" t="s">
        <v>37</v>
      </c>
      <c r="D408" s="41" t="s">
        <v>38</v>
      </c>
      <c r="E408" s="41" t="s">
        <v>45</v>
      </c>
      <c r="F408" s="43" t="s">
        <v>40</v>
      </c>
      <c r="G408" s="43">
        <v>10</v>
      </c>
      <c r="H408" s="41">
        <v>0</v>
      </c>
      <c r="I408" s="41">
        <v>810</v>
      </c>
      <c r="J408" s="41">
        <v>0</v>
      </c>
      <c r="K408" s="73">
        <f t="shared" si="22"/>
        <v>0.83</v>
      </c>
      <c r="L408" s="73">
        <f t="shared" si="23"/>
        <v>672.3</v>
      </c>
      <c r="M408" s="73">
        <v>0</v>
      </c>
      <c r="N408" s="105">
        <f t="shared" si="24"/>
        <v>672.3</v>
      </c>
      <c r="O408" s="46" t="s">
        <v>126</v>
      </c>
      <c r="P408" s="53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 spans="1:28" hidden="1" x14ac:dyDescent="0.25">
      <c r="A409" s="224"/>
      <c r="B409" s="96">
        <v>44586</v>
      </c>
      <c r="C409" s="52" t="s">
        <v>42</v>
      </c>
      <c r="D409" s="53" t="s">
        <v>38</v>
      </c>
      <c r="E409" s="53" t="s">
        <v>45</v>
      </c>
      <c r="F409" s="54" t="s">
        <v>44</v>
      </c>
      <c r="G409" s="53">
        <v>15</v>
      </c>
      <c r="H409" s="53">
        <v>0</v>
      </c>
      <c r="I409" s="53">
        <v>810</v>
      </c>
      <c r="J409" s="53">
        <v>0</v>
      </c>
      <c r="K409" s="55">
        <f t="shared" si="22"/>
        <v>0.77</v>
      </c>
      <c r="L409" s="55">
        <f t="shared" si="23"/>
        <v>623.70000000000005</v>
      </c>
      <c r="M409" s="55">
        <v>0</v>
      </c>
      <c r="N409" s="101">
        <v>0</v>
      </c>
      <c r="O409" s="88" t="s">
        <v>127</v>
      </c>
      <c r="P409" s="53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 spans="1:28" hidden="1" x14ac:dyDescent="0.25">
      <c r="A410" s="224"/>
      <c r="B410" s="96">
        <v>44587</v>
      </c>
      <c r="C410" s="52" t="s">
        <v>46</v>
      </c>
      <c r="D410" s="53" t="s">
        <v>38</v>
      </c>
      <c r="E410" s="53" t="s">
        <v>45</v>
      </c>
      <c r="F410" s="54" t="s">
        <v>40</v>
      </c>
      <c r="G410" s="53">
        <v>10</v>
      </c>
      <c r="H410" s="53">
        <v>0</v>
      </c>
      <c r="I410" s="53">
        <v>810</v>
      </c>
      <c r="J410" s="53">
        <v>0</v>
      </c>
      <c r="K410" s="55">
        <f t="shared" si="22"/>
        <v>0.83</v>
      </c>
      <c r="L410" s="55">
        <f t="shared" si="23"/>
        <v>672.3</v>
      </c>
      <c r="M410" s="55">
        <v>0</v>
      </c>
      <c r="N410" s="101">
        <f t="shared" ref="N410:N441" si="25">L410*(1-M410)</f>
        <v>672.3</v>
      </c>
      <c r="O410" s="57"/>
      <c r="P410" s="53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 spans="1:28" hidden="1" x14ac:dyDescent="0.25">
      <c r="A411" s="224"/>
      <c r="B411" s="96">
        <v>44588</v>
      </c>
      <c r="C411" s="52" t="s">
        <v>50</v>
      </c>
      <c r="D411" s="53" t="s">
        <v>38</v>
      </c>
      <c r="E411" s="53" t="s">
        <v>45</v>
      </c>
      <c r="F411" s="54" t="s">
        <v>40</v>
      </c>
      <c r="G411" s="53">
        <v>10</v>
      </c>
      <c r="H411" s="53">
        <v>0</v>
      </c>
      <c r="I411" s="53">
        <v>810</v>
      </c>
      <c r="J411" s="53">
        <v>0</v>
      </c>
      <c r="K411" s="55">
        <f t="shared" si="22"/>
        <v>0.83</v>
      </c>
      <c r="L411" s="55">
        <f t="shared" si="23"/>
        <v>672.3</v>
      </c>
      <c r="M411" s="55">
        <v>0</v>
      </c>
      <c r="N411" s="101">
        <f t="shared" si="25"/>
        <v>672.3</v>
      </c>
      <c r="O411" s="57"/>
      <c r="P411" s="53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 spans="1:28" hidden="1" x14ac:dyDescent="0.25">
      <c r="A412" s="224"/>
      <c r="B412" s="96">
        <v>44589</v>
      </c>
      <c r="C412" s="52" t="s">
        <v>53</v>
      </c>
      <c r="D412" s="53" t="s">
        <v>38</v>
      </c>
      <c r="E412" s="53" t="s">
        <v>45</v>
      </c>
      <c r="F412" s="54" t="s">
        <v>40</v>
      </c>
      <c r="G412" s="132">
        <v>10</v>
      </c>
      <c r="H412" s="53">
        <v>0</v>
      </c>
      <c r="I412" s="53">
        <v>810</v>
      </c>
      <c r="J412" s="53">
        <v>0</v>
      </c>
      <c r="K412" s="55">
        <f t="shared" si="22"/>
        <v>0.83</v>
      </c>
      <c r="L412" s="55">
        <f t="shared" si="23"/>
        <v>672.3</v>
      </c>
      <c r="M412" s="55">
        <v>0</v>
      </c>
      <c r="N412" s="101">
        <f t="shared" si="25"/>
        <v>672.3</v>
      </c>
      <c r="O412" s="57" t="s">
        <v>128</v>
      </c>
      <c r="P412" s="53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 spans="1:28" hidden="1" x14ac:dyDescent="0.25">
      <c r="A413" s="224"/>
      <c r="B413" s="97">
        <v>44590</v>
      </c>
      <c r="C413" s="58" t="s">
        <v>57</v>
      </c>
      <c r="D413" s="60" t="s">
        <v>38</v>
      </c>
      <c r="E413" s="60" t="s">
        <v>45</v>
      </c>
      <c r="F413" s="61" t="s">
        <v>40</v>
      </c>
      <c r="G413" s="60">
        <v>10</v>
      </c>
      <c r="H413" s="60">
        <v>0</v>
      </c>
      <c r="I413" s="60">
        <v>810</v>
      </c>
      <c r="J413" s="60">
        <v>0</v>
      </c>
      <c r="K413" s="62">
        <f t="shared" si="22"/>
        <v>0.83</v>
      </c>
      <c r="L413" s="62">
        <f t="shared" si="23"/>
        <v>672.3</v>
      </c>
      <c r="M413" s="62">
        <v>0</v>
      </c>
      <c r="N413" s="102">
        <f t="shared" si="25"/>
        <v>672.3</v>
      </c>
      <c r="O413" s="64"/>
      <c r="P413" s="53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 spans="1:28" ht="15.75" hidden="1" thickBot="1" x14ac:dyDescent="0.3">
      <c r="A414" s="225"/>
      <c r="B414" s="98">
        <v>44591</v>
      </c>
      <c r="C414" s="66" t="s">
        <v>59</v>
      </c>
      <c r="D414" s="67" t="s">
        <v>38</v>
      </c>
      <c r="E414" s="67" t="s">
        <v>45</v>
      </c>
      <c r="F414" s="68" t="s">
        <v>40</v>
      </c>
      <c r="G414" s="67">
        <v>10</v>
      </c>
      <c r="H414" s="67">
        <v>0</v>
      </c>
      <c r="I414" s="67">
        <v>810</v>
      </c>
      <c r="J414" s="67">
        <v>0</v>
      </c>
      <c r="K414" s="69">
        <f t="shared" si="22"/>
        <v>0.83</v>
      </c>
      <c r="L414" s="69">
        <f t="shared" si="23"/>
        <v>672.3</v>
      </c>
      <c r="M414" s="69">
        <v>0</v>
      </c>
      <c r="N414" s="103">
        <f t="shared" si="25"/>
        <v>672.3</v>
      </c>
      <c r="O414" s="71"/>
      <c r="P414" s="53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 spans="1:28" hidden="1" x14ac:dyDescent="0.25">
      <c r="A415" s="223">
        <f>_xlfn.ISOWEEKNUM(B415)</f>
        <v>5</v>
      </c>
      <c r="B415" s="96">
        <v>44592</v>
      </c>
      <c r="C415" s="72" t="s">
        <v>37</v>
      </c>
      <c r="D415" s="41" t="s">
        <v>38</v>
      </c>
      <c r="E415" s="41" t="s">
        <v>45</v>
      </c>
      <c r="F415" s="43" t="s">
        <v>40</v>
      </c>
      <c r="G415" s="41">
        <v>12</v>
      </c>
      <c r="H415" s="41">
        <v>0</v>
      </c>
      <c r="I415" s="41">
        <v>810</v>
      </c>
      <c r="J415" s="41">
        <v>0</v>
      </c>
      <c r="K415" s="73">
        <f t="shared" si="22"/>
        <v>0.83</v>
      </c>
      <c r="L415" s="73">
        <f t="shared" si="23"/>
        <v>672.3</v>
      </c>
      <c r="M415" s="73">
        <v>0</v>
      </c>
      <c r="N415" s="105">
        <f t="shared" si="25"/>
        <v>672.3</v>
      </c>
      <c r="O415" s="46" t="s">
        <v>129</v>
      </c>
      <c r="P415" s="53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 spans="1:28" hidden="1" x14ac:dyDescent="0.25">
      <c r="A416" s="224"/>
      <c r="B416" s="96">
        <v>44593</v>
      </c>
      <c r="C416" s="52" t="s">
        <v>42</v>
      </c>
      <c r="D416" s="53" t="s">
        <v>38</v>
      </c>
      <c r="E416" s="53" t="s">
        <v>45</v>
      </c>
      <c r="F416" s="54" t="s">
        <v>40</v>
      </c>
      <c r="G416" s="53">
        <v>12</v>
      </c>
      <c r="H416" s="53">
        <v>0</v>
      </c>
      <c r="I416" s="53">
        <v>810</v>
      </c>
      <c r="J416" s="53">
        <v>0</v>
      </c>
      <c r="K416" s="55">
        <f t="shared" si="22"/>
        <v>0.83</v>
      </c>
      <c r="L416" s="55">
        <f t="shared" si="23"/>
        <v>672.3</v>
      </c>
      <c r="M416" s="55">
        <v>0</v>
      </c>
      <c r="N416" s="101">
        <f t="shared" si="25"/>
        <v>672.3</v>
      </c>
      <c r="O416" s="57" t="s">
        <v>130</v>
      </c>
      <c r="P416" s="53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 spans="1:28" hidden="1" x14ac:dyDescent="0.25">
      <c r="A417" s="224"/>
      <c r="B417" s="96">
        <v>44594</v>
      </c>
      <c r="C417" s="52" t="s">
        <v>46</v>
      </c>
      <c r="D417" s="53" t="s">
        <v>38</v>
      </c>
      <c r="E417" s="53" t="s">
        <v>45</v>
      </c>
      <c r="F417" s="54" t="s">
        <v>40</v>
      </c>
      <c r="G417" s="53">
        <v>12</v>
      </c>
      <c r="H417" s="53">
        <v>0</v>
      </c>
      <c r="I417" s="53">
        <v>810</v>
      </c>
      <c r="J417" s="53">
        <v>0</v>
      </c>
      <c r="K417" s="55">
        <f t="shared" si="22"/>
        <v>0.83</v>
      </c>
      <c r="L417" s="55">
        <f t="shared" si="23"/>
        <v>672.3</v>
      </c>
      <c r="M417" s="55">
        <v>0</v>
      </c>
      <c r="N417" s="101">
        <f t="shared" si="25"/>
        <v>672.3</v>
      </c>
      <c r="O417" s="57"/>
      <c r="P417" s="53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 spans="1:28" hidden="1" x14ac:dyDescent="0.25">
      <c r="A418" s="224"/>
      <c r="B418" s="96">
        <v>44595</v>
      </c>
      <c r="C418" s="52" t="s">
        <v>50</v>
      </c>
      <c r="D418" s="53" t="s">
        <v>38</v>
      </c>
      <c r="E418" s="53" t="s">
        <v>45</v>
      </c>
      <c r="F418" s="54" t="s">
        <v>40</v>
      </c>
      <c r="G418" s="133">
        <v>15</v>
      </c>
      <c r="H418" s="53">
        <v>0</v>
      </c>
      <c r="I418" s="53">
        <v>810</v>
      </c>
      <c r="J418" s="53">
        <v>0</v>
      </c>
      <c r="K418" s="55">
        <f t="shared" si="22"/>
        <v>0.83</v>
      </c>
      <c r="L418" s="55">
        <f t="shared" si="23"/>
        <v>672.3</v>
      </c>
      <c r="M418" s="55">
        <v>0</v>
      </c>
      <c r="N418" s="101">
        <f t="shared" si="25"/>
        <v>672.3</v>
      </c>
      <c r="O418" s="57"/>
      <c r="P418" s="53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 spans="1:28" hidden="1" x14ac:dyDescent="0.25">
      <c r="A419" s="224"/>
      <c r="B419" s="96">
        <v>44596</v>
      </c>
      <c r="C419" s="52" t="s">
        <v>53</v>
      </c>
      <c r="D419" s="53" t="s">
        <v>38</v>
      </c>
      <c r="E419" s="53" t="s">
        <v>45</v>
      </c>
      <c r="F419" s="54" t="s">
        <v>40</v>
      </c>
      <c r="G419" s="53">
        <v>8</v>
      </c>
      <c r="H419" s="53">
        <v>0</v>
      </c>
      <c r="I419" s="53">
        <v>810</v>
      </c>
      <c r="J419" s="53">
        <v>0</v>
      </c>
      <c r="K419" s="55">
        <f t="shared" ref="K419:K448" si="26">VLOOKUP($D419&amp;$E419&amp;$F419&amp;YEAR($B419),$P:$AA,9,FALSE)</f>
        <v>0.83</v>
      </c>
      <c r="L419" s="55">
        <f t="shared" si="23"/>
        <v>672.3</v>
      </c>
      <c r="M419" s="55">
        <v>0</v>
      </c>
      <c r="N419" s="101">
        <f t="shared" si="25"/>
        <v>672.3</v>
      </c>
      <c r="O419" s="57"/>
      <c r="P419" s="53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 spans="1:28" hidden="1" x14ac:dyDescent="0.25">
      <c r="A420" s="224"/>
      <c r="B420" s="97">
        <v>44597</v>
      </c>
      <c r="C420" s="58" t="s">
        <v>57</v>
      </c>
      <c r="D420" s="60" t="s">
        <v>38</v>
      </c>
      <c r="E420" s="60" t="s">
        <v>45</v>
      </c>
      <c r="F420" s="61" t="s">
        <v>40</v>
      </c>
      <c r="G420" s="60">
        <v>5.9</v>
      </c>
      <c r="H420" s="60">
        <v>0</v>
      </c>
      <c r="I420" s="60">
        <v>810</v>
      </c>
      <c r="J420" s="60">
        <v>0</v>
      </c>
      <c r="K420" s="62">
        <f t="shared" si="26"/>
        <v>0.83</v>
      </c>
      <c r="L420" s="62">
        <f t="shared" si="23"/>
        <v>672.3</v>
      </c>
      <c r="M420" s="62">
        <v>0</v>
      </c>
      <c r="N420" s="102">
        <f t="shared" si="25"/>
        <v>672.3</v>
      </c>
      <c r="O420" s="64" t="s">
        <v>131</v>
      </c>
      <c r="P420" s="53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 spans="1:28" ht="15.75" hidden="1" thickBot="1" x14ac:dyDescent="0.3">
      <c r="A421" s="225"/>
      <c r="B421" s="98">
        <v>44598</v>
      </c>
      <c r="C421" s="66" t="s">
        <v>59</v>
      </c>
      <c r="D421" s="67" t="s">
        <v>38</v>
      </c>
      <c r="E421" s="67" t="s">
        <v>45</v>
      </c>
      <c r="F421" s="68" t="s">
        <v>40</v>
      </c>
      <c r="G421" s="67">
        <v>5.9</v>
      </c>
      <c r="H421" s="67">
        <v>0</v>
      </c>
      <c r="I421" s="67">
        <v>810</v>
      </c>
      <c r="J421" s="67">
        <v>0</v>
      </c>
      <c r="K421" s="69">
        <f t="shared" si="26"/>
        <v>0.83</v>
      </c>
      <c r="L421" s="69">
        <f t="shared" si="23"/>
        <v>672.3</v>
      </c>
      <c r="M421" s="69">
        <v>0</v>
      </c>
      <c r="N421" s="103">
        <f t="shared" si="25"/>
        <v>672.3</v>
      </c>
      <c r="O421" s="71"/>
      <c r="P421" s="53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 spans="1:28" hidden="1" x14ac:dyDescent="0.25">
      <c r="A422" s="223">
        <f>_xlfn.ISOWEEKNUM(B422)</f>
        <v>6</v>
      </c>
      <c r="B422" s="96">
        <v>44599</v>
      </c>
      <c r="C422" s="72" t="s">
        <v>37</v>
      </c>
      <c r="D422" s="41" t="s">
        <v>38</v>
      </c>
      <c r="E422" s="41" t="s">
        <v>45</v>
      </c>
      <c r="F422" s="43" t="s">
        <v>40</v>
      </c>
      <c r="G422" s="41">
        <v>5.9</v>
      </c>
      <c r="H422" s="41">
        <v>0</v>
      </c>
      <c r="I422" s="41">
        <v>810</v>
      </c>
      <c r="J422" s="41">
        <v>0</v>
      </c>
      <c r="K422" s="73">
        <f t="shared" si="26"/>
        <v>0.83</v>
      </c>
      <c r="L422" s="73">
        <f t="shared" si="23"/>
        <v>672.3</v>
      </c>
      <c r="M422" s="73">
        <v>0</v>
      </c>
      <c r="N422" s="105">
        <f t="shared" si="25"/>
        <v>672.3</v>
      </c>
      <c r="O422" s="46"/>
      <c r="P422" s="53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 spans="1:28" hidden="1" x14ac:dyDescent="0.25">
      <c r="A423" s="224"/>
      <c r="B423" s="96">
        <v>44600</v>
      </c>
      <c r="C423" s="52" t="s">
        <v>42</v>
      </c>
      <c r="D423" s="53" t="s">
        <v>38</v>
      </c>
      <c r="E423" s="53" t="s">
        <v>45</v>
      </c>
      <c r="F423" s="54" t="s">
        <v>40</v>
      </c>
      <c r="G423" s="53">
        <v>3.9</v>
      </c>
      <c r="H423" s="53">
        <v>0</v>
      </c>
      <c r="I423" s="41">
        <v>810</v>
      </c>
      <c r="J423" s="53">
        <v>0</v>
      </c>
      <c r="K423" s="55">
        <f t="shared" si="26"/>
        <v>0.83</v>
      </c>
      <c r="L423" s="55">
        <f t="shared" si="23"/>
        <v>672.3</v>
      </c>
      <c r="M423" s="55">
        <v>0</v>
      </c>
      <c r="N423" s="101">
        <f t="shared" si="25"/>
        <v>672.3</v>
      </c>
      <c r="O423" s="57" t="s">
        <v>81</v>
      </c>
      <c r="P423" s="53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 spans="1:28" hidden="1" x14ac:dyDescent="0.25">
      <c r="A424" s="224"/>
      <c r="B424" s="96">
        <v>44601</v>
      </c>
      <c r="C424" s="52" t="s">
        <v>46</v>
      </c>
      <c r="D424" s="53" t="s">
        <v>38</v>
      </c>
      <c r="E424" s="53" t="s">
        <v>55</v>
      </c>
      <c r="F424" s="54" t="s">
        <v>40</v>
      </c>
      <c r="G424" s="53">
        <v>3.9</v>
      </c>
      <c r="H424" s="53">
        <v>0</v>
      </c>
      <c r="I424" s="41">
        <v>820</v>
      </c>
      <c r="J424" s="53">
        <v>0</v>
      </c>
      <c r="K424" s="55">
        <f t="shared" si="26"/>
        <v>0.85</v>
      </c>
      <c r="L424" s="55">
        <f t="shared" si="23"/>
        <v>697</v>
      </c>
      <c r="M424" s="55">
        <v>0</v>
      </c>
      <c r="N424" s="101">
        <f t="shared" si="25"/>
        <v>697</v>
      </c>
      <c r="O424" s="57"/>
      <c r="P424" s="53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 spans="1:28" hidden="1" x14ac:dyDescent="0.25">
      <c r="A425" s="224"/>
      <c r="B425" s="96">
        <v>44602</v>
      </c>
      <c r="C425" s="52" t="s">
        <v>50</v>
      </c>
      <c r="D425" s="53" t="s">
        <v>38</v>
      </c>
      <c r="E425" s="53" t="s">
        <v>55</v>
      </c>
      <c r="F425" s="54" t="s">
        <v>40</v>
      </c>
      <c r="G425" s="53">
        <v>3.9</v>
      </c>
      <c r="H425" s="53">
        <v>0</v>
      </c>
      <c r="I425" s="53">
        <v>830</v>
      </c>
      <c r="J425" s="53">
        <v>0</v>
      </c>
      <c r="K425" s="55">
        <f t="shared" si="26"/>
        <v>0.85</v>
      </c>
      <c r="L425" s="55">
        <f t="shared" si="23"/>
        <v>705.5</v>
      </c>
      <c r="M425" s="55">
        <v>0</v>
      </c>
      <c r="N425" s="101">
        <f t="shared" si="25"/>
        <v>705.5</v>
      </c>
      <c r="O425" s="57"/>
      <c r="P425" s="53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 spans="1:28" hidden="1" x14ac:dyDescent="0.25">
      <c r="A426" s="224"/>
      <c r="B426" s="96">
        <v>44603</v>
      </c>
      <c r="C426" s="52" t="s">
        <v>53</v>
      </c>
      <c r="D426" s="53" t="s">
        <v>38</v>
      </c>
      <c r="E426" s="53" t="s">
        <v>39</v>
      </c>
      <c r="F426" s="54" t="s">
        <v>40</v>
      </c>
      <c r="G426" s="53">
        <v>3.9</v>
      </c>
      <c r="H426" s="53">
        <v>0</v>
      </c>
      <c r="I426" s="53">
        <v>840</v>
      </c>
      <c r="J426" s="53">
        <v>0</v>
      </c>
      <c r="K426" s="55">
        <f t="shared" si="26"/>
        <v>0.85</v>
      </c>
      <c r="L426" s="55">
        <f t="shared" si="23"/>
        <v>714</v>
      </c>
      <c r="M426" s="55">
        <v>0</v>
      </c>
      <c r="N426" s="101">
        <f t="shared" si="25"/>
        <v>714</v>
      </c>
      <c r="O426" s="57"/>
      <c r="P426" s="53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 spans="1:28" hidden="1" x14ac:dyDescent="0.25">
      <c r="A427" s="224"/>
      <c r="B427" s="97">
        <v>44604</v>
      </c>
      <c r="C427" s="58" t="s">
        <v>57</v>
      </c>
      <c r="D427" s="60" t="s">
        <v>38</v>
      </c>
      <c r="E427" s="60" t="s">
        <v>39</v>
      </c>
      <c r="F427" s="61" t="s">
        <v>40</v>
      </c>
      <c r="G427" s="60">
        <v>3.9</v>
      </c>
      <c r="H427" s="60">
        <v>0</v>
      </c>
      <c r="I427" s="60">
        <v>850</v>
      </c>
      <c r="J427" s="60">
        <v>0</v>
      </c>
      <c r="K427" s="62">
        <f t="shared" si="26"/>
        <v>0.85</v>
      </c>
      <c r="L427" s="62">
        <f t="shared" si="23"/>
        <v>722.5</v>
      </c>
      <c r="M427" s="62">
        <v>0</v>
      </c>
      <c r="N427" s="102">
        <f t="shared" si="25"/>
        <v>722.5</v>
      </c>
      <c r="O427" s="64"/>
      <c r="P427" s="53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 spans="1:28" ht="15.75" hidden="1" thickBot="1" x14ac:dyDescent="0.3">
      <c r="A428" s="225"/>
      <c r="B428" s="98">
        <v>44605</v>
      </c>
      <c r="C428" s="66" t="s">
        <v>59</v>
      </c>
      <c r="D428" s="67" t="s">
        <v>38</v>
      </c>
      <c r="E428" s="67" t="s">
        <v>39</v>
      </c>
      <c r="F428" s="68" t="s">
        <v>40</v>
      </c>
      <c r="G428" s="67">
        <v>3.9</v>
      </c>
      <c r="H428" s="67">
        <v>0</v>
      </c>
      <c r="I428" s="67">
        <v>860</v>
      </c>
      <c r="J428" s="67">
        <v>0</v>
      </c>
      <c r="K428" s="69">
        <f t="shared" si="26"/>
        <v>0.85</v>
      </c>
      <c r="L428" s="69">
        <f t="shared" si="23"/>
        <v>731</v>
      </c>
      <c r="M428" s="69">
        <v>0</v>
      </c>
      <c r="N428" s="103">
        <f t="shared" si="25"/>
        <v>731</v>
      </c>
      <c r="O428" s="71"/>
      <c r="P428" s="53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 spans="1:28" hidden="1" x14ac:dyDescent="0.25">
      <c r="A429" s="223">
        <f>_xlfn.ISOWEEKNUM(B429)</f>
        <v>7</v>
      </c>
      <c r="B429" s="96">
        <v>44606</v>
      </c>
      <c r="C429" s="72" t="s">
        <v>37</v>
      </c>
      <c r="D429" s="41" t="s">
        <v>38</v>
      </c>
      <c r="E429" s="41" t="s">
        <v>39</v>
      </c>
      <c r="F429" s="43" t="s">
        <v>40</v>
      </c>
      <c r="G429" s="41">
        <v>3.9</v>
      </c>
      <c r="H429" s="41">
        <v>0</v>
      </c>
      <c r="I429" s="41">
        <v>860</v>
      </c>
      <c r="J429" s="41">
        <v>0</v>
      </c>
      <c r="K429" s="73">
        <f t="shared" si="26"/>
        <v>0.85</v>
      </c>
      <c r="L429" s="73">
        <f t="shared" si="23"/>
        <v>731</v>
      </c>
      <c r="M429" s="73">
        <v>0</v>
      </c>
      <c r="N429" s="105">
        <f t="shared" si="25"/>
        <v>731</v>
      </c>
      <c r="O429" s="46"/>
      <c r="P429" s="53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 spans="1:28" hidden="1" x14ac:dyDescent="0.25">
      <c r="A430" s="224"/>
      <c r="B430" s="96">
        <v>44607</v>
      </c>
      <c r="C430" s="52" t="s">
        <v>42</v>
      </c>
      <c r="D430" s="53" t="s">
        <v>38</v>
      </c>
      <c r="E430" s="53" t="s">
        <v>39</v>
      </c>
      <c r="F430" s="54" t="s">
        <v>40</v>
      </c>
      <c r="G430" s="53">
        <v>3.9</v>
      </c>
      <c r="H430" s="53">
        <v>0</v>
      </c>
      <c r="I430" s="53">
        <v>860</v>
      </c>
      <c r="J430" s="53">
        <v>0</v>
      </c>
      <c r="K430" s="55">
        <f t="shared" si="26"/>
        <v>0.85</v>
      </c>
      <c r="L430" s="55">
        <f t="shared" si="23"/>
        <v>731</v>
      </c>
      <c r="M430" s="55">
        <v>0</v>
      </c>
      <c r="N430" s="101">
        <f t="shared" si="25"/>
        <v>731</v>
      </c>
      <c r="O430" s="57"/>
      <c r="P430" s="53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 spans="1:28" hidden="1" x14ac:dyDescent="0.25">
      <c r="A431" s="224"/>
      <c r="B431" s="96">
        <v>44608</v>
      </c>
      <c r="C431" s="52" t="s">
        <v>46</v>
      </c>
      <c r="D431" s="53" t="s">
        <v>38</v>
      </c>
      <c r="E431" s="53" t="s">
        <v>39</v>
      </c>
      <c r="F431" s="54" t="s">
        <v>40</v>
      </c>
      <c r="G431" s="53">
        <v>3.9</v>
      </c>
      <c r="H431" s="53">
        <v>0</v>
      </c>
      <c r="I431" s="53">
        <v>860</v>
      </c>
      <c r="J431" s="53">
        <v>0</v>
      </c>
      <c r="K431" s="55">
        <f t="shared" si="26"/>
        <v>0.85</v>
      </c>
      <c r="L431" s="55">
        <f t="shared" si="23"/>
        <v>731</v>
      </c>
      <c r="M431" s="55">
        <v>0</v>
      </c>
      <c r="N431" s="101">
        <f t="shared" si="25"/>
        <v>731</v>
      </c>
      <c r="O431" s="57" t="s">
        <v>132</v>
      </c>
      <c r="P431" s="53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 spans="1:28" hidden="1" x14ac:dyDescent="0.25">
      <c r="A432" s="224"/>
      <c r="B432" s="96">
        <v>44609</v>
      </c>
      <c r="C432" s="52" t="s">
        <v>50</v>
      </c>
      <c r="D432" s="53" t="s">
        <v>38</v>
      </c>
      <c r="E432" s="53" t="s">
        <v>39</v>
      </c>
      <c r="F432" s="54" t="s">
        <v>40</v>
      </c>
      <c r="G432" s="53">
        <v>4.9000000000000004</v>
      </c>
      <c r="H432" s="53">
        <v>0</v>
      </c>
      <c r="I432" s="53">
        <v>860</v>
      </c>
      <c r="J432" s="53">
        <v>0</v>
      </c>
      <c r="K432" s="55">
        <f t="shared" si="26"/>
        <v>0.85</v>
      </c>
      <c r="L432" s="55">
        <f t="shared" si="23"/>
        <v>731</v>
      </c>
      <c r="M432" s="55">
        <v>0</v>
      </c>
      <c r="N432" s="101">
        <f t="shared" si="25"/>
        <v>731</v>
      </c>
      <c r="O432" s="57" t="s">
        <v>132</v>
      </c>
      <c r="P432" s="53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 spans="1:28" hidden="1" x14ac:dyDescent="0.25">
      <c r="A433" s="224"/>
      <c r="B433" s="96">
        <v>44610</v>
      </c>
      <c r="C433" s="52" t="s">
        <v>53</v>
      </c>
      <c r="D433" s="53" t="s">
        <v>38</v>
      </c>
      <c r="E433" s="53" t="s">
        <v>39</v>
      </c>
      <c r="F433" s="54" t="s">
        <v>40</v>
      </c>
      <c r="G433" s="134">
        <v>5.9</v>
      </c>
      <c r="H433" s="53">
        <v>0</v>
      </c>
      <c r="I433" s="53">
        <v>860</v>
      </c>
      <c r="J433" s="53">
        <v>0</v>
      </c>
      <c r="K433" s="55">
        <f t="shared" si="26"/>
        <v>0.85</v>
      </c>
      <c r="L433" s="55">
        <f t="shared" si="23"/>
        <v>731</v>
      </c>
      <c r="M433" s="55">
        <v>0</v>
      </c>
      <c r="N433" s="101">
        <f t="shared" si="25"/>
        <v>731</v>
      </c>
      <c r="O433" s="57" t="s">
        <v>132</v>
      </c>
      <c r="P433" s="53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 spans="1:28" hidden="1" x14ac:dyDescent="0.25">
      <c r="A434" s="224"/>
      <c r="B434" s="97">
        <v>44611</v>
      </c>
      <c r="C434" s="58" t="s">
        <v>57</v>
      </c>
      <c r="D434" s="60" t="s">
        <v>38</v>
      </c>
      <c r="E434" s="60" t="s">
        <v>39</v>
      </c>
      <c r="F434" s="61" t="s">
        <v>40</v>
      </c>
      <c r="G434" s="60">
        <v>3.9</v>
      </c>
      <c r="H434" s="60">
        <v>0</v>
      </c>
      <c r="I434" s="60">
        <v>860</v>
      </c>
      <c r="J434" s="60">
        <v>0</v>
      </c>
      <c r="K434" s="62">
        <f t="shared" si="26"/>
        <v>0.85</v>
      </c>
      <c r="L434" s="62">
        <f t="shared" si="23"/>
        <v>731</v>
      </c>
      <c r="M434" s="62">
        <v>0</v>
      </c>
      <c r="N434" s="102">
        <f t="shared" si="25"/>
        <v>731</v>
      </c>
      <c r="O434" s="64"/>
      <c r="P434" s="53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 spans="1:28" ht="15.75" hidden="1" thickBot="1" x14ac:dyDescent="0.3">
      <c r="A435" s="225"/>
      <c r="B435" s="98">
        <v>44612</v>
      </c>
      <c r="C435" s="66" t="s">
        <v>59</v>
      </c>
      <c r="D435" s="67" t="s">
        <v>38</v>
      </c>
      <c r="E435" s="67" t="s">
        <v>39</v>
      </c>
      <c r="F435" s="68" t="s">
        <v>40</v>
      </c>
      <c r="G435" s="67">
        <v>3.9</v>
      </c>
      <c r="H435" s="67">
        <v>0</v>
      </c>
      <c r="I435" s="67">
        <v>860</v>
      </c>
      <c r="J435" s="67">
        <v>0</v>
      </c>
      <c r="K435" s="69">
        <f t="shared" si="26"/>
        <v>0.85</v>
      </c>
      <c r="L435" s="69">
        <f t="shared" si="23"/>
        <v>731</v>
      </c>
      <c r="M435" s="69">
        <v>0</v>
      </c>
      <c r="N435" s="103">
        <f t="shared" si="25"/>
        <v>731</v>
      </c>
      <c r="O435" s="71"/>
      <c r="P435" s="53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 spans="1:28" hidden="1" x14ac:dyDescent="0.25">
      <c r="A436" s="223">
        <f>_xlfn.ISOWEEKNUM(B436)</f>
        <v>8</v>
      </c>
      <c r="B436" s="96">
        <v>44613</v>
      </c>
      <c r="C436" s="72" t="s">
        <v>37</v>
      </c>
      <c r="D436" s="41" t="s">
        <v>38</v>
      </c>
      <c r="E436" s="41" t="s">
        <v>39</v>
      </c>
      <c r="F436" s="43" t="s">
        <v>40</v>
      </c>
      <c r="G436" s="41">
        <v>3.9</v>
      </c>
      <c r="H436" s="41">
        <v>0</v>
      </c>
      <c r="I436" s="41">
        <v>860</v>
      </c>
      <c r="J436" s="41">
        <v>0</v>
      </c>
      <c r="K436" s="73">
        <f t="shared" si="26"/>
        <v>0.85</v>
      </c>
      <c r="L436" s="73">
        <f t="shared" si="23"/>
        <v>731</v>
      </c>
      <c r="M436" s="73">
        <v>0</v>
      </c>
      <c r="N436" s="105">
        <f t="shared" si="25"/>
        <v>731</v>
      </c>
      <c r="O436" s="46"/>
      <c r="P436" s="53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 spans="1:28" hidden="1" x14ac:dyDescent="0.25">
      <c r="A437" s="224"/>
      <c r="B437" s="96">
        <v>44614</v>
      </c>
      <c r="C437" s="52" t="s">
        <v>42</v>
      </c>
      <c r="D437" s="53" t="s">
        <v>38</v>
      </c>
      <c r="E437" s="53" t="s">
        <v>39</v>
      </c>
      <c r="F437" s="54" t="s">
        <v>40</v>
      </c>
      <c r="G437" s="53">
        <v>3.9</v>
      </c>
      <c r="H437" s="53">
        <v>0</v>
      </c>
      <c r="I437" s="53">
        <v>860</v>
      </c>
      <c r="J437" s="53">
        <v>0</v>
      </c>
      <c r="K437" s="55">
        <f t="shared" si="26"/>
        <v>0.85</v>
      </c>
      <c r="L437" s="55">
        <f t="shared" si="23"/>
        <v>731</v>
      </c>
      <c r="M437" s="55">
        <v>0</v>
      </c>
      <c r="N437" s="101">
        <f t="shared" si="25"/>
        <v>731</v>
      </c>
      <c r="O437" s="57"/>
      <c r="P437" s="53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 spans="1:28" hidden="1" x14ac:dyDescent="0.25">
      <c r="A438" s="224"/>
      <c r="B438" s="96">
        <v>44615</v>
      </c>
      <c r="C438" s="52" t="s">
        <v>46</v>
      </c>
      <c r="D438" s="53" t="s">
        <v>38</v>
      </c>
      <c r="E438" s="53" t="s">
        <v>39</v>
      </c>
      <c r="F438" s="54" t="s">
        <v>40</v>
      </c>
      <c r="G438" s="53">
        <v>3.9</v>
      </c>
      <c r="H438" s="53">
        <v>0</v>
      </c>
      <c r="I438" s="53">
        <v>860</v>
      </c>
      <c r="J438" s="53">
        <v>0</v>
      </c>
      <c r="K438" s="55">
        <f t="shared" si="26"/>
        <v>0.85</v>
      </c>
      <c r="L438" s="55">
        <f t="shared" si="23"/>
        <v>731</v>
      </c>
      <c r="M438" s="55">
        <v>0</v>
      </c>
      <c r="N438" s="101">
        <f t="shared" si="25"/>
        <v>731</v>
      </c>
      <c r="O438" s="57"/>
      <c r="P438" s="53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 spans="1:28" hidden="1" x14ac:dyDescent="0.25">
      <c r="A439" s="224"/>
      <c r="B439" s="96">
        <v>44616</v>
      </c>
      <c r="C439" s="52" t="s">
        <v>50</v>
      </c>
      <c r="D439" s="53" t="s">
        <v>38</v>
      </c>
      <c r="E439" s="53" t="s">
        <v>39</v>
      </c>
      <c r="F439" s="54" t="s">
        <v>40</v>
      </c>
      <c r="G439" s="53">
        <v>3.9</v>
      </c>
      <c r="H439" s="53">
        <v>0</v>
      </c>
      <c r="I439" s="53">
        <v>860</v>
      </c>
      <c r="J439" s="53">
        <v>0</v>
      </c>
      <c r="K439" s="55">
        <f t="shared" si="26"/>
        <v>0.85</v>
      </c>
      <c r="L439" s="55">
        <f t="shared" si="23"/>
        <v>731</v>
      </c>
      <c r="M439" s="55">
        <v>0</v>
      </c>
      <c r="N439" s="101">
        <f t="shared" si="25"/>
        <v>731</v>
      </c>
      <c r="O439" s="57"/>
      <c r="P439" s="53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 spans="1:28" hidden="1" x14ac:dyDescent="0.25">
      <c r="A440" s="224"/>
      <c r="B440" s="96">
        <v>44617</v>
      </c>
      <c r="C440" s="52" t="s">
        <v>53</v>
      </c>
      <c r="D440" s="53" t="s">
        <v>38</v>
      </c>
      <c r="E440" s="53" t="s">
        <v>39</v>
      </c>
      <c r="F440" s="54" t="s">
        <v>40</v>
      </c>
      <c r="G440" s="53">
        <v>5.9</v>
      </c>
      <c r="H440" s="53">
        <v>0</v>
      </c>
      <c r="I440" s="53">
        <v>860</v>
      </c>
      <c r="J440" s="53">
        <v>0</v>
      </c>
      <c r="K440" s="55">
        <f t="shared" si="26"/>
        <v>0.85</v>
      </c>
      <c r="L440" s="55">
        <f t="shared" si="23"/>
        <v>731</v>
      </c>
      <c r="M440" s="55">
        <v>0</v>
      </c>
      <c r="N440" s="101">
        <f t="shared" si="25"/>
        <v>731</v>
      </c>
      <c r="O440" s="57"/>
      <c r="P440" s="53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 spans="1:28" hidden="1" x14ac:dyDescent="0.25">
      <c r="A441" s="224"/>
      <c r="B441" s="97">
        <v>44618</v>
      </c>
      <c r="C441" s="58" t="s">
        <v>57</v>
      </c>
      <c r="D441" s="60" t="s">
        <v>38</v>
      </c>
      <c r="E441" s="60" t="s">
        <v>39</v>
      </c>
      <c r="F441" s="61" t="s">
        <v>40</v>
      </c>
      <c r="G441" s="60">
        <v>5.9</v>
      </c>
      <c r="H441" s="60">
        <v>0</v>
      </c>
      <c r="I441" s="60">
        <v>860</v>
      </c>
      <c r="J441" s="60">
        <v>0</v>
      </c>
      <c r="K441" s="62">
        <f t="shared" si="26"/>
        <v>0.85</v>
      </c>
      <c r="L441" s="62">
        <f t="shared" si="23"/>
        <v>731</v>
      </c>
      <c r="M441" s="62">
        <v>0</v>
      </c>
      <c r="N441" s="102">
        <f t="shared" si="25"/>
        <v>731</v>
      </c>
      <c r="O441" s="64" t="s">
        <v>91</v>
      </c>
      <c r="P441" s="53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 spans="1:28" ht="15.75" hidden="1" thickBot="1" x14ac:dyDescent="0.3">
      <c r="A442" s="225"/>
      <c r="B442" s="98">
        <v>44619</v>
      </c>
      <c r="C442" s="66" t="s">
        <v>59</v>
      </c>
      <c r="D442" s="67" t="s">
        <v>38</v>
      </c>
      <c r="E442" s="67" t="s">
        <v>39</v>
      </c>
      <c r="F442" s="68" t="s">
        <v>40</v>
      </c>
      <c r="G442" s="67">
        <v>5.9</v>
      </c>
      <c r="H442" s="67">
        <v>0</v>
      </c>
      <c r="I442" s="67">
        <v>860</v>
      </c>
      <c r="J442" s="67">
        <v>0</v>
      </c>
      <c r="K442" s="69">
        <f t="shared" si="26"/>
        <v>0.85</v>
      </c>
      <c r="L442" s="69">
        <f t="shared" si="23"/>
        <v>731</v>
      </c>
      <c r="M442" s="69">
        <v>0</v>
      </c>
      <c r="N442" s="103">
        <f t="shared" ref="N442:N473" si="27">L442*(1-M442)</f>
        <v>731</v>
      </c>
      <c r="O442" s="71"/>
      <c r="P442" s="53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 spans="1:28" hidden="1" x14ac:dyDescent="0.25">
      <c r="A443" s="223">
        <f>_xlfn.ISOWEEKNUM(B443)</f>
        <v>9</v>
      </c>
      <c r="B443" s="96">
        <v>44620</v>
      </c>
      <c r="C443" s="72" t="s">
        <v>37</v>
      </c>
      <c r="D443" s="41" t="s">
        <v>38</v>
      </c>
      <c r="E443" s="41" t="s">
        <v>39</v>
      </c>
      <c r="F443" s="43" t="s">
        <v>40</v>
      </c>
      <c r="G443" s="41">
        <v>8</v>
      </c>
      <c r="H443" s="41">
        <v>0</v>
      </c>
      <c r="I443" s="41">
        <v>860</v>
      </c>
      <c r="J443" s="41">
        <v>0</v>
      </c>
      <c r="K443" s="73">
        <f t="shared" si="26"/>
        <v>0.85</v>
      </c>
      <c r="L443" s="73">
        <f t="shared" si="23"/>
        <v>731</v>
      </c>
      <c r="M443" s="73">
        <v>0</v>
      </c>
      <c r="N443" s="105">
        <f t="shared" si="27"/>
        <v>731</v>
      </c>
      <c r="O443" s="46"/>
      <c r="P443" s="53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 spans="1:28" hidden="1" x14ac:dyDescent="0.25">
      <c r="A444" s="224"/>
      <c r="B444" s="96">
        <v>44621</v>
      </c>
      <c r="C444" s="52" t="s">
        <v>42</v>
      </c>
      <c r="D444" s="53" t="s">
        <v>38</v>
      </c>
      <c r="E444" s="53" t="s">
        <v>39</v>
      </c>
      <c r="F444" s="54" t="s">
        <v>40</v>
      </c>
      <c r="G444" s="53">
        <v>12</v>
      </c>
      <c r="H444" s="53">
        <v>0</v>
      </c>
      <c r="I444" s="53">
        <v>860</v>
      </c>
      <c r="J444" s="53">
        <v>0</v>
      </c>
      <c r="K444" s="55">
        <f t="shared" si="26"/>
        <v>0.85</v>
      </c>
      <c r="L444" s="55">
        <f t="shared" si="23"/>
        <v>731</v>
      </c>
      <c r="M444" s="55">
        <v>0</v>
      </c>
      <c r="N444" s="101">
        <f t="shared" si="27"/>
        <v>731</v>
      </c>
      <c r="O444" s="57" t="s">
        <v>133</v>
      </c>
      <c r="P444" s="53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 spans="1:28" hidden="1" x14ac:dyDescent="0.25">
      <c r="A445" s="224"/>
      <c r="B445" s="96">
        <v>44622</v>
      </c>
      <c r="C445" s="52" t="s">
        <v>46</v>
      </c>
      <c r="D445" s="53" t="s">
        <v>38</v>
      </c>
      <c r="E445" s="53" t="s">
        <v>39</v>
      </c>
      <c r="F445" s="54" t="s">
        <v>40</v>
      </c>
      <c r="G445" s="53">
        <v>12</v>
      </c>
      <c r="H445" s="53">
        <v>0</v>
      </c>
      <c r="I445" s="53">
        <v>860</v>
      </c>
      <c r="J445" s="53">
        <v>0</v>
      </c>
      <c r="K445" s="55">
        <f t="shared" si="26"/>
        <v>0.85</v>
      </c>
      <c r="L445" s="55">
        <f t="shared" si="23"/>
        <v>731</v>
      </c>
      <c r="M445" s="55">
        <v>0</v>
      </c>
      <c r="N445" s="101">
        <f t="shared" si="27"/>
        <v>731</v>
      </c>
      <c r="O445" s="57"/>
      <c r="P445" s="53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 spans="1:28" hidden="1" x14ac:dyDescent="0.25">
      <c r="A446" s="224"/>
      <c r="B446" s="96">
        <v>44623</v>
      </c>
      <c r="C446" s="52" t="s">
        <v>50</v>
      </c>
      <c r="D446" s="53" t="s">
        <v>38</v>
      </c>
      <c r="E446" s="53" t="s">
        <v>39</v>
      </c>
      <c r="F446" s="54" t="s">
        <v>40</v>
      </c>
      <c r="G446" s="53">
        <v>12</v>
      </c>
      <c r="H446" s="53">
        <v>0</v>
      </c>
      <c r="I446" s="53">
        <v>860</v>
      </c>
      <c r="J446" s="53">
        <v>0</v>
      </c>
      <c r="K446" s="55">
        <f t="shared" si="26"/>
        <v>0.85</v>
      </c>
      <c r="L446" s="55">
        <f t="shared" si="23"/>
        <v>731</v>
      </c>
      <c r="M446" s="55">
        <v>0</v>
      </c>
      <c r="N446" s="101">
        <f t="shared" si="27"/>
        <v>731</v>
      </c>
      <c r="O446" s="57"/>
      <c r="P446" s="53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 spans="1:28" hidden="1" x14ac:dyDescent="0.25">
      <c r="A447" s="224"/>
      <c r="B447" s="96">
        <v>44624</v>
      </c>
      <c r="C447" s="52" t="s">
        <v>53</v>
      </c>
      <c r="D447" s="53" t="s">
        <v>38</v>
      </c>
      <c r="E447" s="53" t="s">
        <v>39</v>
      </c>
      <c r="F447" s="54" t="s">
        <v>40</v>
      </c>
      <c r="G447" s="53">
        <v>10</v>
      </c>
      <c r="H447" s="53">
        <v>0</v>
      </c>
      <c r="I447" s="53">
        <v>860</v>
      </c>
      <c r="J447" s="53">
        <v>0</v>
      </c>
      <c r="K447" s="55">
        <f t="shared" si="26"/>
        <v>0.85</v>
      </c>
      <c r="L447" s="55">
        <f t="shared" si="23"/>
        <v>731</v>
      </c>
      <c r="M447" s="55">
        <v>0</v>
      </c>
      <c r="N447" s="101">
        <f t="shared" si="27"/>
        <v>731</v>
      </c>
      <c r="O447" s="57"/>
      <c r="P447" s="53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 spans="1:28" hidden="1" x14ac:dyDescent="0.25">
      <c r="A448" s="224"/>
      <c r="B448" s="97">
        <v>44625</v>
      </c>
      <c r="C448" s="58" t="s">
        <v>57</v>
      </c>
      <c r="D448" s="60" t="s">
        <v>38</v>
      </c>
      <c r="E448" s="60" t="s">
        <v>39</v>
      </c>
      <c r="F448" s="61" t="s">
        <v>40</v>
      </c>
      <c r="G448" s="60">
        <v>10</v>
      </c>
      <c r="H448" s="60">
        <v>0</v>
      </c>
      <c r="I448" s="60">
        <v>860</v>
      </c>
      <c r="J448" s="60">
        <v>0</v>
      </c>
      <c r="K448" s="62">
        <f t="shared" si="26"/>
        <v>0.85</v>
      </c>
      <c r="L448" s="62">
        <f t="shared" si="23"/>
        <v>731</v>
      </c>
      <c r="M448" s="62">
        <v>0</v>
      </c>
      <c r="N448" s="102">
        <f t="shared" si="27"/>
        <v>731</v>
      </c>
      <c r="O448" s="64"/>
      <c r="P448" s="53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 spans="1:28" ht="15.75" hidden="1" thickBot="1" x14ac:dyDescent="0.3">
      <c r="A449" s="225"/>
      <c r="B449" s="98">
        <v>44626</v>
      </c>
      <c r="C449" s="66" t="s">
        <v>59</v>
      </c>
      <c r="D449" s="67" t="s">
        <v>38</v>
      </c>
      <c r="E449" s="67" t="s">
        <v>39</v>
      </c>
      <c r="F449" s="68" t="s">
        <v>40</v>
      </c>
      <c r="G449" s="67">
        <v>8</v>
      </c>
      <c r="H449" s="67">
        <v>0</v>
      </c>
      <c r="I449" s="67">
        <v>860</v>
      </c>
      <c r="J449" s="67">
        <v>0</v>
      </c>
      <c r="K449" s="69">
        <v>0.7</v>
      </c>
      <c r="L449" s="69">
        <f t="shared" si="23"/>
        <v>602</v>
      </c>
      <c r="M449" s="69">
        <v>0</v>
      </c>
      <c r="N449" s="103">
        <f t="shared" si="27"/>
        <v>602</v>
      </c>
      <c r="O449" s="93" t="s">
        <v>134</v>
      </c>
      <c r="P449" s="53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 spans="1:28" hidden="1" x14ac:dyDescent="0.25">
      <c r="A450" s="223">
        <f>_xlfn.ISOWEEKNUM(B450)</f>
        <v>10</v>
      </c>
      <c r="B450" s="96">
        <v>44627</v>
      </c>
      <c r="C450" s="72" t="s">
        <v>37</v>
      </c>
      <c r="D450" s="41" t="s">
        <v>38</v>
      </c>
      <c r="E450" s="41" t="s">
        <v>39</v>
      </c>
      <c r="F450" s="43" t="s">
        <v>40</v>
      </c>
      <c r="G450" s="41">
        <v>5.9</v>
      </c>
      <c r="H450" s="41">
        <v>0</v>
      </c>
      <c r="I450" s="41">
        <v>860</v>
      </c>
      <c r="J450" s="41">
        <v>0</v>
      </c>
      <c r="K450" s="73">
        <v>0</v>
      </c>
      <c r="L450" s="73">
        <f t="shared" si="23"/>
        <v>0</v>
      </c>
      <c r="M450" s="73">
        <v>0</v>
      </c>
      <c r="N450" s="105">
        <f t="shared" si="27"/>
        <v>0</v>
      </c>
      <c r="O450" s="87" t="s">
        <v>111</v>
      </c>
      <c r="P450" s="53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 spans="1:28" hidden="1" x14ac:dyDescent="0.25">
      <c r="A451" s="224"/>
      <c r="B451" s="96">
        <v>44628</v>
      </c>
      <c r="C451" s="52" t="s">
        <v>42</v>
      </c>
      <c r="D451" s="53" t="s">
        <v>38</v>
      </c>
      <c r="E451" s="53" t="s">
        <v>39</v>
      </c>
      <c r="F451" s="54" t="s">
        <v>40</v>
      </c>
      <c r="G451" s="53">
        <v>5.9</v>
      </c>
      <c r="H451" s="53">
        <v>0</v>
      </c>
      <c r="I451" s="53">
        <v>860</v>
      </c>
      <c r="J451" s="53">
        <v>0</v>
      </c>
      <c r="K451" s="55">
        <v>0</v>
      </c>
      <c r="L451" s="55">
        <f t="shared" si="23"/>
        <v>0</v>
      </c>
      <c r="M451" s="55">
        <v>0</v>
      </c>
      <c r="N451" s="101">
        <f t="shared" si="27"/>
        <v>0</v>
      </c>
      <c r="O451" s="88" t="s">
        <v>111</v>
      </c>
      <c r="P451" s="53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 spans="1:28" hidden="1" x14ac:dyDescent="0.25">
      <c r="A452" s="224"/>
      <c r="B452" s="96">
        <v>44629</v>
      </c>
      <c r="C452" s="52" t="s">
        <v>46</v>
      </c>
      <c r="D452" s="53" t="s">
        <v>38</v>
      </c>
      <c r="E452" s="53" t="s">
        <v>39</v>
      </c>
      <c r="F452" s="54" t="s">
        <v>40</v>
      </c>
      <c r="G452" s="53">
        <v>5.9</v>
      </c>
      <c r="H452" s="53">
        <v>0</v>
      </c>
      <c r="I452" s="53">
        <v>860</v>
      </c>
      <c r="J452" s="53">
        <v>0</v>
      </c>
      <c r="K452" s="55">
        <v>0</v>
      </c>
      <c r="L452" s="55">
        <f t="shared" si="23"/>
        <v>0</v>
      </c>
      <c r="M452" s="55">
        <v>0</v>
      </c>
      <c r="N452" s="101">
        <f t="shared" si="27"/>
        <v>0</v>
      </c>
      <c r="O452" s="88" t="s">
        <v>111</v>
      </c>
      <c r="P452" s="53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 spans="1:28" hidden="1" x14ac:dyDescent="0.25">
      <c r="A453" s="224"/>
      <c r="B453" s="96">
        <v>44630</v>
      </c>
      <c r="C453" s="52" t="s">
        <v>50</v>
      </c>
      <c r="D453" s="53" t="s">
        <v>38</v>
      </c>
      <c r="E453" s="53" t="s">
        <v>39</v>
      </c>
      <c r="F453" s="54" t="s">
        <v>40</v>
      </c>
      <c r="G453" s="53">
        <v>4.9000000000000004</v>
      </c>
      <c r="H453" s="53">
        <v>0</v>
      </c>
      <c r="I453" s="53">
        <v>860</v>
      </c>
      <c r="J453" s="53">
        <v>0</v>
      </c>
      <c r="K453" s="55">
        <v>0</v>
      </c>
      <c r="L453" s="55">
        <f t="shared" si="23"/>
        <v>0</v>
      </c>
      <c r="M453" s="55">
        <v>0</v>
      </c>
      <c r="N453" s="101">
        <f t="shared" si="27"/>
        <v>0</v>
      </c>
      <c r="O453" s="88" t="s">
        <v>111</v>
      </c>
      <c r="P453" s="53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 spans="1:28" hidden="1" x14ac:dyDescent="0.25">
      <c r="A454" s="224"/>
      <c r="B454" s="96">
        <v>44631</v>
      </c>
      <c r="C454" s="52" t="s">
        <v>53</v>
      </c>
      <c r="D454" s="53" t="s">
        <v>38</v>
      </c>
      <c r="E454" s="53" t="s">
        <v>39</v>
      </c>
      <c r="F454" s="54" t="s">
        <v>40</v>
      </c>
      <c r="G454" s="53">
        <v>3.9</v>
      </c>
      <c r="H454" s="53">
        <v>0</v>
      </c>
      <c r="I454" s="53">
        <v>860</v>
      </c>
      <c r="J454" s="53">
        <v>0</v>
      </c>
      <c r="K454" s="55">
        <v>0.45</v>
      </c>
      <c r="L454" s="55">
        <f t="shared" si="23"/>
        <v>387</v>
      </c>
      <c r="M454" s="55">
        <v>0</v>
      </c>
      <c r="N454" s="101">
        <f t="shared" si="27"/>
        <v>387</v>
      </c>
      <c r="O454" s="57"/>
      <c r="P454" s="53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 spans="1:28" hidden="1" x14ac:dyDescent="0.25">
      <c r="A455" s="224"/>
      <c r="B455" s="97">
        <v>44632</v>
      </c>
      <c r="C455" s="58" t="s">
        <v>57</v>
      </c>
      <c r="D455" s="60" t="s">
        <v>38</v>
      </c>
      <c r="E455" s="60" t="s">
        <v>39</v>
      </c>
      <c r="F455" s="61" t="s">
        <v>40</v>
      </c>
      <c r="G455" s="60">
        <v>3.9</v>
      </c>
      <c r="H455" s="60">
        <v>0</v>
      </c>
      <c r="I455" s="60">
        <v>860</v>
      </c>
      <c r="J455" s="60">
        <v>0</v>
      </c>
      <c r="K455" s="62">
        <v>0.6</v>
      </c>
      <c r="L455" s="62">
        <f t="shared" si="23"/>
        <v>516</v>
      </c>
      <c r="M455" s="62">
        <v>0</v>
      </c>
      <c r="N455" s="102">
        <f t="shared" si="27"/>
        <v>516</v>
      </c>
      <c r="O455" s="64"/>
      <c r="P455" s="53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 spans="1:28" ht="15.75" hidden="1" thickBot="1" x14ac:dyDescent="0.3">
      <c r="A456" s="225"/>
      <c r="B456" s="98">
        <v>44633</v>
      </c>
      <c r="C456" s="66" t="s">
        <v>59</v>
      </c>
      <c r="D456" s="67" t="s">
        <v>38</v>
      </c>
      <c r="E456" s="67" t="s">
        <v>39</v>
      </c>
      <c r="F456" s="68" t="s">
        <v>40</v>
      </c>
      <c r="G456" s="67">
        <v>3.9</v>
      </c>
      <c r="H456" s="67">
        <v>0</v>
      </c>
      <c r="I456" s="67">
        <v>860</v>
      </c>
      <c r="J456" s="67">
        <v>0</v>
      </c>
      <c r="K456" s="69">
        <v>0.7</v>
      </c>
      <c r="L456" s="69">
        <f t="shared" si="23"/>
        <v>602</v>
      </c>
      <c r="M456" s="69">
        <v>0</v>
      </c>
      <c r="N456" s="103">
        <f t="shared" si="27"/>
        <v>602</v>
      </c>
      <c r="O456" s="71"/>
      <c r="P456" s="53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 spans="1:28" hidden="1" x14ac:dyDescent="0.25">
      <c r="A457" s="223">
        <f>_xlfn.ISOWEEKNUM(B457)</f>
        <v>11</v>
      </c>
      <c r="B457" s="96">
        <v>44634</v>
      </c>
      <c r="C457" s="72" t="s">
        <v>37</v>
      </c>
      <c r="D457" s="41" t="s">
        <v>38</v>
      </c>
      <c r="E457" s="41" t="s">
        <v>39</v>
      </c>
      <c r="F457" s="43" t="s">
        <v>40</v>
      </c>
      <c r="G457" s="41">
        <v>3.9</v>
      </c>
      <c r="H457" s="41">
        <v>0</v>
      </c>
      <c r="I457" s="41">
        <v>860</v>
      </c>
      <c r="J457" s="41">
        <v>0</v>
      </c>
      <c r="K457" s="73">
        <v>0.88</v>
      </c>
      <c r="L457" s="73">
        <f t="shared" si="23"/>
        <v>756.8</v>
      </c>
      <c r="M457" s="73">
        <v>0</v>
      </c>
      <c r="N457" s="105">
        <f t="shared" si="27"/>
        <v>756.8</v>
      </c>
      <c r="O457" s="46"/>
      <c r="P457" s="53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 spans="1:28" hidden="1" x14ac:dyDescent="0.25">
      <c r="A458" s="224"/>
      <c r="B458" s="96">
        <v>44635</v>
      </c>
      <c r="C458" s="52" t="s">
        <v>42</v>
      </c>
      <c r="D458" s="53" t="s">
        <v>38</v>
      </c>
      <c r="E458" s="53" t="s">
        <v>39</v>
      </c>
      <c r="F458" s="54" t="s">
        <v>40</v>
      </c>
      <c r="G458" s="53">
        <v>3.9</v>
      </c>
      <c r="H458" s="53">
        <v>0</v>
      </c>
      <c r="I458" s="53">
        <v>860</v>
      </c>
      <c r="J458" s="53">
        <v>0</v>
      </c>
      <c r="K458" s="55">
        <v>0.88</v>
      </c>
      <c r="L458" s="55">
        <f t="shared" si="23"/>
        <v>756.8</v>
      </c>
      <c r="M458" s="55">
        <v>0</v>
      </c>
      <c r="N458" s="101">
        <f t="shared" si="27"/>
        <v>756.8</v>
      </c>
      <c r="O458" s="57"/>
      <c r="P458" s="53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 spans="1:28" hidden="1" x14ac:dyDescent="0.25">
      <c r="A459" s="224"/>
      <c r="B459" s="96">
        <v>44636</v>
      </c>
      <c r="C459" s="52" t="s">
        <v>46</v>
      </c>
      <c r="D459" s="53" t="s">
        <v>38</v>
      </c>
      <c r="E459" s="53" t="s">
        <v>39</v>
      </c>
      <c r="F459" s="54" t="s">
        <v>40</v>
      </c>
      <c r="G459" s="53">
        <v>3.9</v>
      </c>
      <c r="H459" s="53">
        <v>0</v>
      </c>
      <c r="I459" s="53">
        <v>860</v>
      </c>
      <c r="J459" s="53">
        <v>0</v>
      </c>
      <c r="K459" s="55">
        <v>0.88</v>
      </c>
      <c r="L459" s="55">
        <f t="shared" si="23"/>
        <v>756.8</v>
      </c>
      <c r="M459" s="55">
        <v>0</v>
      </c>
      <c r="N459" s="101">
        <f t="shared" si="27"/>
        <v>756.8</v>
      </c>
      <c r="O459" s="57"/>
      <c r="P459" s="53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 spans="1:28" hidden="1" x14ac:dyDescent="0.25">
      <c r="A460" s="224"/>
      <c r="B460" s="96">
        <v>44637</v>
      </c>
      <c r="C460" s="52" t="s">
        <v>50</v>
      </c>
      <c r="D460" s="53" t="s">
        <v>38</v>
      </c>
      <c r="E460" s="53" t="s">
        <v>39</v>
      </c>
      <c r="F460" s="54" t="s">
        <v>40</v>
      </c>
      <c r="G460" s="53">
        <v>3.9</v>
      </c>
      <c r="H460" s="53">
        <v>0</v>
      </c>
      <c r="I460" s="53">
        <v>860</v>
      </c>
      <c r="J460" s="53">
        <v>0</v>
      </c>
      <c r="K460" s="55">
        <v>0.88</v>
      </c>
      <c r="L460" s="55">
        <f t="shared" si="23"/>
        <v>756.8</v>
      </c>
      <c r="M460" s="55">
        <v>0</v>
      </c>
      <c r="N460" s="101">
        <f t="shared" si="27"/>
        <v>756.8</v>
      </c>
      <c r="O460" s="57"/>
      <c r="P460" s="53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 spans="1:28" hidden="1" x14ac:dyDescent="0.25">
      <c r="A461" s="224"/>
      <c r="B461" s="96">
        <v>44638</v>
      </c>
      <c r="C461" s="52" t="s">
        <v>53</v>
      </c>
      <c r="D461" s="53" t="s">
        <v>38</v>
      </c>
      <c r="E461" s="53" t="s">
        <v>39</v>
      </c>
      <c r="F461" s="54" t="s">
        <v>40</v>
      </c>
      <c r="G461" s="53">
        <v>4.9000000000000004</v>
      </c>
      <c r="H461" s="53">
        <v>0</v>
      </c>
      <c r="I461" s="53">
        <v>860</v>
      </c>
      <c r="J461" s="53">
        <v>0</v>
      </c>
      <c r="K461" s="55">
        <v>0.88</v>
      </c>
      <c r="L461" s="55">
        <f t="shared" si="23"/>
        <v>756.8</v>
      </c>
      <c r="M461" s="55">
        <v>0</v>
      </c>
      <c r="N461" s="101">
        <f t="shared" si="27"/>
        <v>756.8</v>
      </c>
      <c r="O461" s="57"/>
      <c r="P461" s="53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 spans="1:28" hidden="1" x14ac:dyDescent="0.25">
      <c r="A462" s="224"/>
      <c r="B462" s="97">
        <v>44639</v>
      </c>
      <c r="C462" s="58" t="s">
        <v>57</v>
      </c>
      <c r="D462" s="60" t="s">
        <v>38</v>
      </c>
      <c r="E462" s="60" t="s">
        <v>39</v>
      </c>
      <c r="F462" s="61" t="s">
        <v>40</v>
      </c>
      <c r="G462" s="60">
        <v>5.9</v>
      </c>
      <c r="H462" s="60">
        <v>0</v>
      </c>
      <c r="I462" s="60">
        <v>860</v>
      </c>
      <c r="J462" s="60">
        <v>0</v>
      </c>
      <c r="K462" s="62">
        <f>VLOOKUP($D462&amp;$E462&amp;$F462&amp;YEAR($B462),$P:$AA,9,FALSE)</f>
        <v>0.85</v>
      </c>
      <c r="L462" s="62">
        <f t="shared" si="23"/>
        <v>731</v>
      </c>
      <c r="M462" s="62">
        <v>0</v>
      </c>
      <c r="N462" s="102">
        <f t="shared" si="27"/>
        <v>731</v>
      </c>
      <c r="O462" s="64"/>
      <c r="P462" s="53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 spans="1:28" ht="15.75" hidden="1" thickBot="1" x14ac:dyDescent="0.3">
      <c r="A463" s="225"/>
      <c r="B463" s="98">
        <v>44640</v>
      </c>
      <c r="C463" s="66" t="s">
        <v>59</v>
      </c>
      <c r="D463" s="67" t="s">
        <v>38</v>
      </c>
      <c r="E463" s="67" t="s">
        <v>39</v>
      </c>
      <c r="F463" s="68" t="s">
        <v>40</v>
      </c>
      <c r="G463" s="67">
        <v>5.9</v>
      </c>
      <c r="H463" s="67">
        <v>0</v>
      </c>
      <c r="I463" s="67">
        <v>860</v>
      </c>
      <c r="J463" s="67">
        <v>0</v>
      </c>
      <c r="K463" s="69">
        <f>VLOOKUP($D463&amp;$E463&amp;$F463&amp;YEAR($B463),$P:$AA,9,FALSE)</f>
        <v>0.85</v>
      </c>
      <c r="L463" s="69">
        <f t="shared" si="23"/>
        <v>731</v>
      </c>
      <c r="M463" s="69">
        <v>0</v>
      </c>
      <c r="N463" s="103">
        <f t="shared" si="27"/>
        <v>731</v>
      </c>
      <c r="O463" s="71" t="s">
        <v>83</v>
      </c>
      <c r="P463" s="53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 spans="1:28" hidden="1" x14ac:dyDescent="0.25">
      <c r="A464" s="223">
        <f>_xlfn.ISOWEEKNUM(B464)</f>
        <v>12</v>
      </c>
      <c r="B464" s="96">
        <v>44641</v>
      </c>
      <c r="C464" s="72" t="s">
        <v>37</v>
      </c>
      <c r="D464" s="41" t="s">
        <v>38</v>
      </c>
      <c r="E464" s="41" t="s">
        <v>39</v>
      </c>
      <c r="F464" s="43" t="s">
        <v>40</v>
      </c>
      <c r="G464" s="41">
        <v>3.9</v>
      </c>
      <c r="H464" s="41">
        <v>0</v>
      </c>
      <c r="I464" s="41">
        <v>860</v>
      </c>
      <c r="J464" s="41">
        <v>0</v>
      </c>
      <c r="K464" s="73">
        <v>0.88</v>
      </c>
      <c r="L464" s="73">
        <f t="shared" si="23"/>
        <v>756.8</v>
      </c>
      <c r="M464" s="73">
        <v>0</v>
      </c>
      <c r="N464" s="105">
        <f t="shared" si="27"/>
        <v>756.8</v>
      </c>
      <c r="O464" s="46"/>
      <c r="P464" s="53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 spans="1:28" hidden="1" x14ac:dyDescent="0.25">
      <c r="A465" s="224"/>
      <c r="B465" s="96">
        <v>44642</v>
      </c>
      <c r="C465" s="52" t="s">
        <v>42</v>
      </c>
      <c r="D465" s="53" t="s">
        <v>38</v>
      </c>
      <c r="E465" s="53" t="s">
        <v>39</v>
      </c>
      <c r="F465" s="54" t="s">
        <v>40</v>
      </c>
      <c r="G465" s="53">
        <v>3.9</v>
      </c>
      <c r="H465" s="53">
        <v>0</v>
      </c>
      <c r="I465" s="53">
        <v>860</v>
      </c>
      <c r="J465" s="53">
        <v>0</v>
      </c>
      <c r="K465" s="73">
        <v>0.88</v>
      </c>
      <c r="L465" s="73">
        <f t="shared" si="23"/>
        <v>756.8</v>
      </c>
      <c r="M465" s="55">
        <v>0</v>
      </c>
      <c r="N465" s="101">
        <f t="shared" si="27"/>
        <v>756.8</v>
      </c>
      <c r="O465" s="57"/>
      <c r="P465" s="53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 spans="1:28" hidden="1" x14ac:dyDescent="0.25">
      <c r="A466" s="224"/>
      <c r="B466" s="96">
        <v>44643</v>
      </c>
      <c r="C466" s="52" t="s">
        <v>46</v>
      </c>
      <c r="D466" s="53" t="s">
        <v>38</v>
      </c>
      <c r="E466" s="53" t="s">
        <v>39</v>
      </c>
      <c r="F466" s="54" t="s">
        <v>40</v>
      </c>
      <c r="G466" s="53">
        <v>3.9</v>
      </c>
      <c r="H466" s="53">
        <v>0</v>
      </c>
      <c r="I466" s="53">
        <v>860</v>
      </c>
      <c r="J466" s="53">
        <v>0</v>
      </c>
      <c r="K466" s="73">
        <v>0.88</v>
      </c>
      <c r="L466" s="73">
        <f t="shared" si="23"/>
        <v>756.8</v>
      </c>
      <c r="M466" s="55">
        <v>0</v>
      </c>
      <c r="N466" s="101">
        <f t="shared" si="27"/>
        <v>756.8</v>
      </c>
      <c r="O466" s="57"/>
      <c r="P466" s="53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 spans="1:28" hidden="1" x14ac:dyDescent="0.25">
      <c r="A467" s="224"/>
      <c r="B467" s="96">
        <v>44644</v>
      </c>
      <c r="C467" s="52" t="s">
        <v>50</v>
      </c>
      <c r="D467" s="53" t="s">
        <v>38</v>
      </c>
      <c r="E467" s="53" t="s">
        <v>39</v>
      </c>
      <c r="F467" s="54" t="s">
        <v>40</v>
      </c>
      <c r="G467" s="53">
        <v>3.9</v>
      </c>
      <c r="H467" s="53">
        <v>0</v>
      </c>
      <c r="I467" s="53">
        <v>860</v>
      </c>
      <c r="J467" s="53">
        <v>0</v>
      </c>
      <c r="K467" s="73">
        <v>0.88</v>
      </c>
      <c r="L467" s="73">
        <f t="shared" si="23"/>
        <v>756.8</v>
      </c>
      <c r="M467" s="55">
        <v>0</v>
      </c>
      <c r="N467" s="101">
        <f t="shared" si="27"/>
        <v>756.8</v>
      </c>
      <c r="O467" s="57"/>
      <c r="P467" s="53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 spans="1:28" hidden="1" x14ac:dyDescent="0.25">
      <c r="A468" s="224"/>
      <c r="B468" s="96">
        <v>44645</v>
      </c>
      <c r="C468" s="52" t="s">
        <v>53</v>
      </c>
      <c r="D468" s="53" t="s">
        <v>38</v>
      </c>
      <c r="E468" s="53" t="s">
        <v>39</v>
      </c>
      <c r="F468" s="54" t="s">
        <v>40</v>
      </c>
      <c r="G468" s="53">
        <v>3.9</v>
      </c>
      <c r="H468" s="53">
        <v>0</v>
      </c>
      <c r="I468" s="53">
        <v>860</v>
      </c>
      <c r="J468" s="53">
        <v>0</v>
      </c>
      <c r="K468" s="73">
        <v>0.88</v>
      </c>
      <c r="L468" s="73">
        <f t="shared" ref="L468:L531" si="28">IF(J468&lt;&gt;0,J468,I468)*K468</f>
        <v>756.8</v>
      </c>
      <c r="M468" s="55">
        <v>0</v>
      </c>
      <c r="N468" s="101">
        <f t="shared" si="27"/>
        <v>756.8</v>
      </c>
      <c r="O468" s="57"/>
      <c r="P468" s="53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 spans="1:28" hidden="1" x14ac:dyDescent="0.25">
      <c r="A469" s="224"/>
      <c r="B469" s="97">
        <v>44646</v>
      </c>
      <c r="C469" s="58" t="s">
        <v>57</v>
      </c>
      <c r="D469" s="60" t="s">
        <v>38</v>
      </c>
      <c r="E469" s="60" t="s">
        <v>39</v>
      </c>
      <c r="F469" s="61" t="s">
        <v>40</v>
      </c>
      <c r="G469" s="60">
        <v>4.9000000000000004</v>
      </c>
      <c r="H469" s="60">
        <v>0</v>
      </c>
      <c r="I469" s="60">
        <v>860</v>
      </c>
      <c r="J469" s="60">
        <v>0</v>
      </c>
      <c r="K469" s="62">
        <f t="shared" ref="K469:K487" si="29">VLOOKUP($D469&amp;$E469&amp;$F469&amp;YEAR($B469),$P:$AA,9,FALSE)</f>
        <v>0.85</v>
      </c>
      <c r="L469" s="62">
        <f t="shared" si="28"/>
        <v>731</v>
      </c>
      <c r="M469" s="62">
        <v>0</v>
      </c>
      <c r="N469" s="102">
        <f t="shared" si="27"/>
        <v>731</v>
      </c>
      <c r="O469" s="64"/>
      <c r="P469" s="53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 spans="1:28" ht="15.75" hidden="1" thickBot="1" x14ac:dyDescent="0.3">
      <c r="A470" s="225"/>
      <c r="B470" s="98">
        <v>44647</v>
      </c>
      <c r="C470" s="66" t="s">
        <v>59</v>
      </c>
      <c r="D470" s="67" t="s">
        <v>38</v>
      </c>
      <c r="E470" s="67" t="s">
        <v>39</v>
      </c>
      <c r="F470" s="68" t="s">
        <v>40</v>
      </c>
      <c r="G470" s="67">
        <v>5.9</v>
      </c>
      <c r="H470" s="67">
        <v>0</v>
      </c>
      <c r="I470" s="67">
        <v>860</v>
      </c>
      <c r="J470" s="67">
        <v>0</v>
      </c>
      <c r="K470" s="69">
        <f t="shared" si="29"/>
        <v>0.85</v>
      </c>
      <c r="L470" s="69">
        <f t="shared" si="28"/>
        <v>731</v>
      </c>
      <c r="M470" s="69">
        <v>0</v>
      </c>
      <c r="N470" s="103">
        <f t="shared" si="27"/>
        <v>731</v>
      </c>
      <c r="O470" s="71"/>
      <c r="P470" s="53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 spans="1:28" hidden="1" x14ac:dyDescent="0.25">
      <c r="A471" s="223">
        <f>_xlfn.ISOWEEKNUM(B471)</f>
        <v>13</v>
      </c>
      <c r="B471" s="96">
        <v>44648</v>
      </c>
      <c r="C471" s="72" t="s">
        <v>37</v>
      </c>
      <c r="D471" s="41" t="s">
        <v>38</v>
      </c>
      <c r="E471" s="41" t="s">
        <v>39</v>
      </c>
      <c r="F471" s="43" t="s">
        <v>40</v>
      </c>
      <c r="G471" s="41">
        <v>8</v>
      </c>
      <c r="H471" s="41">
        <v>0</v>
      </c>
      <c r="I471" s="41">
        <v>860</v>
      </c>
      <c r="J471" s="41">
        <v>0</v>
      </c>
      <c r="K471" s="73">
        <f t="shared" si="29"/>
        <v>0.85</v>
      </c>
      <c r="L471" s="73">
        <f t="shared" si="28"/>
        <v>731</v>
      </c>
      <c r="M471" s="73">
        <v>0</v>
      </c>
      <c r="N471" s="105">
        <f t="shared" si="27"/>
        <v>731</v>
      </c>
      <c r="O471" s="46"/>
      <c r="P471" s="53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 spans="1:28" hidden="1" x14ac:dyDescent="0.25">
      <c r="A472" s="224"/>
      <c r="B472" s="96">
        <v>44649</v>
      </c>
      <c r="C472" s="52" t="s">
        <v>42</v>
      </c>
      <c r="D472" s="53" t="s">
        <v>38</v>
      </c>
      <c r="E472" s="53" t="s">
        <v>39</v>
      </c>
      <c r="F472" s="54" t="s">
        <v>40</v>
      </c>
      <c r="G472" s="53">
        <v>10</v>
      </c>
      <c r="H472" s="53">
        <v>0</v>
      </c>
      <c r="I472" s="53">
        <v>860</v>
      </c>
      <c r="J472" s="53">
        <v>0</v>
      </c>
      <c r="K472" s="55">
        <f t="shared" si="29"/>
        <v>0.85</v>
      </c>
      <c r="L472" s="55">
        <f t="shared" si="28"/>
        <v>731</v>
      </c>
      <c r="M472" s="55">
        <v>0</v>
      </c>
      <c r="N472" s="101">
        <f t="shared" si="27"/>
        <v>731</v>
      </c>
      <c r="O472" s="57"/>
      <c r="P472" s="53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 spans="1:28" hidden="1" x14ac:dyDescent="0.25">
      <c r="A473" s="224"/>
      <c r="B473" s="96">
        <v>44650</v>
      </c>
      <c r="C473" s="52" t="s">
        <v>46</v>
      </c>
      <c r="D473" s="53" t="s">
        <v>38</v>
      </c>
      <c r="E473" s="53" t="s">
        <v>39</v>
      </c>
      <c r="F473" s="54" t="s">
        <v>40</v>
      </c>
      <c r="G473" s="53">
        <v>8</v>
      </c>
      <c r="H473" s="53">
        <v>0</v>
      </c>
      <c r="I473" s="53">
        <v>860</v>
      </c>
      <c r="J473" s="53">
        <v>0</v>
      </c>
      <c r="K473" s="55">
        <f t="shared" si="29"/>
        <v>0.85</v>
      </c>
      <c r="L473" s="55">
        <f t="shared" si="28"/>
        <v>731</v>
      </c>
      <c r="M473" s="55">
        <v>0</v>
      </c>
      <c r="N473" s="101">
        <f t="shared" si="27"/>
        <v>731</v>
      </c>
      <c r="O473" s="57"/>
      <c r="P473" s="53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 spans="1:28" hidden="1" x14ac:dyDescent="0.25">
      <c r="A474" s="224"/>
      <c r="B474" s="96">
        <v>44651</v>
      </c>
      <c r="C474" s="52" t="s">
        <v>50</v>
      </c>
      <c r="D474" s="53" t="s">
        <v>38</v>
      </c>
      <c r="E474" s="53" t="s">
        <v>39</v>
      </c>
      <c r="F474" s="54" t="s">
        <v>40</v>
      </c>
      <c r="G474" s="53">
        <v>5.9</v>
      </c>
      <c r="H474" s="53">
        <v>0</v>
      </c>
      <c r="I474" s="53">
        <v>860</v>
      </c>
      <c r="J474" s="53">
        <v>0</v>
      </c>
      <c r="K474" s="55">
        <f t="shared" si="29"/>
        <v>0.85</v>
      </c>
      <c r="L474" s="55">
        <f t="shared" si="28"/>
        <v>731</v>
      </c>
      <c r="M474" s="55">
        <v>0</v>
      </c>
      <c r="N474" s="101">
        <f t="shared" ref="N474:N505" si="30">L474*(1-M474)</f>
        <v>731</v>
      </c>
      <c r="O474" s="57"/>
      <c r="P474" s="53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 spans="1:28" hidden="1" x14ac:dyDescent="0.25">
      <c r="A475" s="224"/>
      <c r="B475" s="96">
        <v>44652</v>
      </c>
      <c r="C475" s="52" t="s">
        <v>53</v>
      </c>
      <c r="D475" s="53" t="s">
        <v>38</v>
      </c>
      <c r="E475" s="53" t="s">
        <v>39</v>
      </c>
      <c r="F475" s="54" t="s">
        <v>40</v>
      </c>
      <c r="G475" s="53">
        <v>3.9</v>
      </c>
      <c r="H475" s="53">
        <v>0</v>
      </c>
      <c r="I475" s="53">
        <v>860</v>
      </c>
      <c r="J475" s="53">
        <v>0</v>
      </c>
      <c r="K475" s="55">
        <f t="shared" si="29"/>
        <v>0.85</v>
      </c>
      <c r="L475" s="55">
        <f t="shared" si="28"/>
        <v>731</v>
      </c>
      <c r="M475" s="55">
        <v>0</v>
      </c>
      <c r="N475" s="101">
        <f t="shared" si="30"/>
        <v>731</v>
      </c>
      <c r="O475" s="57"/>
      <c r="P475" s="53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 spans="1:28" hidden="1" x14ac:dyDescent="0.25">
      <c r="A476" s="224"/>
      <c r="B476" s="97">
        <v>44653</v>
      </c>
      <c r="C476" s="58" t="s">
        <v>57</v>
      </c>
      <c r="D476" s="60" t="s">
        <v>38</v>
      </c>
      <c r="E476" s="60" t="s">
        <v>39</v>
      </c>
      <c r="F476" s="61" t="s">
        <v>40</v>
      </c>
      <c r="G476" s="60">
        <v>3.9</v>
      </c>
      <c r="H476" s="60">
        <v>0</v>
      </c>
      <c r="I476" s="60">
        <v>860</v>
      </c>
      <c r="J476" s="60">
        <v>0</v>
      </c>
      <c r="K476" s="62">
        <f t="shared" si="29"/>
        <v>0.85</v>
      </c>
      <c r="L476" s="62">
        <f t="shared" si="28"/>
        <v>731</v>
      </c>
      <c r="M476" s="62">
        <v>0</v>
      </c>
      <c r="N476" s="102">
        <f t="shared" si="30"/>
        <v>731</v>
      </c>
      <c r="O476" s="64"/>
      <c r="P476" s="53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</row>
    <row r="477" spans="1:28" ht="15.75" hidden="1" thickBot="1" x14ac:dyDescent="0.3">
      <c r="A477" s="225"/>
      <c r="B477" s="98">
        <v>44654</v>
      </c>
      <c r="C477" s="66" t="s">
        <v>59</v>
      </c>
      <c r="D477" s="67" t="s">
        <v>38</v>
      </c>
      <c r="E477" s="67" t="s">
        <v>39</v>
      </c>
      <c r="F477" s="68" t="s">
        <v>40</v>
      </c>
      <c r="G477" s="67">
        <v>3.9</v>
      </c>
      <c r="H477" s="67">
        <v>0</v>
      </c>
      <c r="I477" s="67">
        <v>860</v>
      </c>
      <c r="J477" s="67">
        <v>0</v>
      </c>
      <c r="K477" s="69">
        <f t="shared" si="29"/>
        <v>0.85</v>
      </c>
      <c r="L477" s="69">
        <f t="shared" si="28"/>
        <v>731</v>
      </c>
      <c r="M477" s="69">
        <v>0</v>
      </c>
      <c r="N477" s="103">
        <f t="shared" si="30"/>
        <v>731</v>
      </c>
      <c r="O477" s="71"/>
      <c r="P477" s="53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</row>
    <row r="478" spans="1:28" hidden="1" x14ac:dyDescent="0.25">
      <c r="A478" s="223">
        <f>_xlfn.ISOWEEKNUM(B478)</f>
        <v>14</v>
      </c>
      <c r="B478" s="96">
        <v>44655</v>
      </c>
      <c r="C478" s="72" t="s">
        <v>37</v>
      </c>
      <c r="D478" s="41" t="s">
        <v>38</v>
      </c>
      <c r="E478" s="41" t="s">
        <v>39</v>
      </c>
      <c r="F478" s="43" t="s">
        <v>40</v>
      </c>
      <c r="G478" s="41">
        <v>3.9</v>
      </c>
      <c r="H478" s="41">
        <v>0</v>
      </c>
      <c r="I478" s="41">
        <v>860</v>
      </c>
      <c r="J478" s="41">
        <v>0</v>
      </c>
      <c r="K478" s="73">
        <f t="shared" si="29"/>
        <v>0.85</v>
      </c>
      <c r="L478" s="73">
        <f t="shared" si="28"/>
        <v>731</v>
      </c>
      <c r="M478" s="73">
        <v>0</v>
      </c>
      <c r="N478" s="105">
        <f t="shared" si="30"/>
        <v>731</v>
      </c>
      <c r="O478" s="46"/>
      <c r="P478" s="53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</row>
    <row r="479" spans="1:28" hidden="1" x14ac:dyDescent="0.25">
      <c r="A479" s="224"/>
      <c r="B479" s="96">
        <v>44656</v>
      </c>
      <c r="C479" s="52" t="s">
        <v>42</v>
      </c>
      <c r="D479" s="53" t="s">
        <v>38</v>
      </c>
      <c r="E479" s="53" t="s">
        <v>39</v>
      </c>
      <c r="F479" s="54" t="s">
        <v>40</v>
      </c>
      <c r="G479" s="53">
        <v>4.9000000000000004</v>
      </c>
      <c r="H479" s="53">
        <v>0</v>
      </c>
      <c r="I479" s="53">
        <v>860</v>
      </c>
      <c r="J479" s="53">
        <v>0</v>
      </c>
      <c r="K479" s="55">
        <f t="shared" si="29"/>
        <v>0.85</v>
      </c>
      <c r="L479" s="55">
        <f t="shared" si="28"/>
        <v>731</v>
      </c>
      <c r="M479" s="55">
        <v>0</v>
      </c>
      <c r="N479" s="101">
        <f t="shared" si="30"/>
        <v>731</v>
      </c>
      <c r="O479" s="57"/>
      <c r="P479" s="53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 spans="1:28" hidden="1" x14ac:dyDescent="0.25">
      <c r="A480" s="224"/>
      <c r="B480" s="96">
        <v>44657</v>
      </c>
      <c r="C480" s="52" t="s">
        <v>46</v>
      </c>
      <c r="D480" s="53" t="s">
        <v>38</v>
      </c>
      <c r="E480" s="53" t="s">
        <v>39</v>
      </c>
      <c r="F480" s="54" t="s">
        <v>40</v>
      </c>
      <c r="G480" s="53">
        <v>5.9</v>
      </c>
      <c r="H480" s="53">
        <v>0</v>
      </c>
      <c r="I480" s="53">
        <v>860</v>
      </c>
      <c r="J480" s="53">
        <v>0</v>
      </c>
      <c r="K480" s="55">
        <f t="shared" si="29"/>
        <v>0.85</v>
      </c>
      <c r="L480" s="55">
        <f t="shared" si="28"/>
        <v>731</v>
      </c>
      <c r="M480" s="55">
        <v>0</v>
      </c>
      <c r="N480" s="101">
        <f t="shared" si="30"/>
        <v>731</v>
      </c>
      <c r="O480" s="57"/>
      <c r="P480" s="53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</row>
    <row r="481" spans="1:28" hidden="1" x14ac:dyDescent="0.25">
      <c r="A481" s="224"/>
      <c r="B481" s="96">
        <v>44658</v>
      </c>
      <c r="C481" s="52" t="s">
        <v>50</v>
      </c>
      <c r="D481" s="53" t="s">
        <v>38</v>
      </c>
      <c r="E481" s="53" t="s">
        <v>39</v>
      </c>
      <c r="F481" s="54" t="s">
        <v>40</v>
      </c>
      <c r="G481" s="53">
        <v>3.9</v>
      </c>
      <c r="H481" s="53">
        <v>0</v>
      </c>
      <c r="I481" s="53">
        <v>860</v>
      </c>
      <c r="J481" s="53">
        <v>0</v>
      </c>
      <c r="K481" s="55">
        <f t="shared" si="29"/>
        <v>0.85</v>
      </c>
      <c r="L481" s="55">
        <f t="shared" si="28"/>
        <v>731</v>
      </c>
      <c r="M481" s="55">
        <v>0</v>
      </c>
      <c r="N481" s="101">
        <f t="shared" si="30"/>
        <v>731</v>
      </c>
      <c r="O481" s="57" t="s">
        <v>135</v>
      </c>
      <c r="P481" s="53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</row>
    <row r="482" spans="1:28" hidden="1" x14ac:dyDescent="0.25">
      <c r="A482" s="224"/>
      <c r="B482" s="96">
        <v>44659</v>
      </c>
      <c r="C482" s="52" t="s">
        <v>53</v>
      </c>
      <c r="D482" s="53" t="s">
        <v>38</v>
      </c>
      <c r="E482" s="53" t="s">
        <v>39</v>
      </c>
      <c r="F482" s="54" t="s">
        <v>40</v>
      </c>
      <c r="G482" s="53">
        <v>3.9</v>
      </c>
      <c r="H482" s="53">
        <v>0</v>
      </c>
      <c r="I482" s="53">
        <v>860</v>
      </c>
      <c r="J482" s="53">
        <v>0</v>
      </c>
      <c r="K482" s="55">
        <f t="shared" si="29"/>
        <v>0.85</v>
      </c>
      <c r="L482" s="55">
        <f t="shared" si="28"/>
        <v>731</v>
      </c>
      <c r="M482" s="55">
        <v>0</v>
      </c>
      <c r="N482" s="101">
        <f t="shared" si="30"/>
        <v>731</v>
      </c>
      <c r="O482" s="57" t="s">
        <v>136</v>
      </c>
      <c r="P482" s="53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</row>
    <row r="483" spans="1:28" hidden="1" x14ac:dyDescent="0.25">
      <c r="A483" s="224"/>
      <c r="B483" s="97">
        <v>44660</v>
      </c>
      <c r="C483" s="58" t="s">
        <v>57</v>
      </c>
      <c r="D483" s="60" t="s">
        <v>38</v>
      </c>
      <c r="E483" s="60" t="s">
        <v>39</v>
      </c>
      <c r="F483" s="61" t="s">
        <v>40</v>
      </c>
      <c r="G483" s="60">
        <v>3.9</v>
      </c>
      <c r="H483" s="60">
        <v>0</v>
      </c>
      <c r="I483" s="60">
        <v>860</v>
      </c>
      <c r="J483" s="60">
        <v>0</v>
      </c>
      <c r="K483" s="62">
        <f t="shared" si="29"/>
        <v>0.85</v>
      </c>
      <c r="L483" s="62">
        <f t="shared" si="28"/>
        <v>731</v>
      </c>
      <c r="M483" s="62">
        <v>0</v>
      </c>
      <c r="N483" s="102">
        <f t="shared" si="30"/>
        <v>731</v>
      </c>
      <c r="O483" s="64" t="s">
        <v>136</v>
      </c>
      <c r="P483" s="53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</row>
    <row r="484" spans="1:28" ht="15.75" hidden="1" thickBot="1" x14ac:dyDescent="0.3">
      <c r="A484" s="225"/>
      <c r="B484" s="98">
        <v>44661</v>
      </c>
      <c r="C484" s="66" t="s">
        <v>59</v>
      </c>
      <c r="D484" s="67" t="s">
        <v>38</v>
      </c>
      <c r="E484" s="67" t="s">
        <v>39</v>
      </c>
      <c r="F484" s="68" t="s">
        <v>40</v>
      </c>
      <c r="G484" s="67">
        <v>3.9</v>
      </c>
      <c r="H484" s="67">
        <v>0</v>
      </c>
      <c r="I484" s="67">
        <v>860</v>
      </c>
      <c r="J484" s="67">
        <v>0</v>
      </c>
      <c r="K484" s="69">
        <f t="shared" si="29"/>
        <v>0.85</v>
      </c>
      <c r="L484" s="69">
        <f t="shared" si="28"/>
        <v>731</v>
      </c>
      <c r="M484" s="69">
        <v>0</v>
      </c>
      <c r="N484" s="103">
        <f t="shared" si="30"/>
        <v>731</v>
      </c>
      <c r="O484" s="71" t="s">
        <v>136</v>
      </c>
      <c r="P484" s="53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</row>
    <row r="485" spans="1:28" hidden="1" x14ac:dyDescent="0.25">
      <c r="A485" s="223">
        <f>_xlfn.ISOWEEKNUM(B485)</f>
        <v>15</v>
      </c>
      <c r="B485" s="96">
        <v>44662</v>
      </c>
      <c r="C485" s="72" t="s">
        <v>37</v>
      </c>
      <c r="D485" s="41" t="s">
        <v>38</v>
      </c>
      <c r="E485" s="41" t="s">
        <v>39</v>
      </c>
      <c r="F485" s="43" t="s">
        <v>40</v>
      </c>
      <c r="G485" s="41">
        <v>3.9</v>
      </c>
      <c r="H485" s="41">
        <v>0</v>
      </c>
      <c r="I485" s="41">
        <v>860</v>
      </c>
      <c r="J485" s="41">
        <v>0</v>
      </c>
      <c r="K485" s="73">
        <f t="shared" si="29"/>
        <v>0.85</v>
      </c>
      <c r="L485" s="73">
        <f t="shared" si="28"/>
        <v>731</v>
      </c>
      <c r="M485" s="73">
        <v>0</v>
      </c>
      <c r="N485" s="105">
        <f t="shared" si="30"/>
        <v>731</v>
      </c>
      <c r="O485" s="46" t="s">
        <v>136</v>
      </c>
      <c r="P485" s="53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</row>
    <row r="486" spans="1:28" hidden="1" x14ac:dyDescent="0.25">
      <c r="A486" s="224"/>
      <c r="B486" s="96">
        <v>44663</v>
      </c>
      <c r="C486" s="52" t="s">
        <v>42</v>
      </c>
      <c r="D486" s="53" t="s">
        <v>38</v>
      </c>
      <c r="E486" s="53" t="s">
        <v>39</v>
      </c>
      <c r="F486" s="54" t="s">
        <v>40</v>
      </c>
      <c r="G486" s="53">
        <v>3.9</v>
      </c>
      <c r="H486" s="53">
        <v>0</v>
      </c>
      <c r="I486" s="53">
        <v>860</v>
      </c>
      <c r="J486" s="53">
        <v>0</v>
      </c>
      <c r="K486" s="55">
        <f t="shared" si="29"/>
        <v>0.85</v>
      </c>
      <c r="L486" s="55">
        <f t="shared" si="28"/>
        <v>731</v>
      </c>
      <c r="M486" s="55">
        <v>0</v>
      </c>
      <c r="N486" s="101">
        <f t="shared" si="30"/>
        <v>731</v>
      </c>
      <c r="O486" s="57" t="s">
        <v>136</v>
      </c>
      <c r="P486" s="53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 spans="1:28" hidden="1" x14ac:dyDescent="0.25">
      <c r="A487" s="224"/>
      <c r="B487" s="96">
        <v>44664</v>
      </c>
      <c r="C487" s="52" t="s">
        <v>46</v>
      </c>
      <c r="D487" s="53" t="s">
        <v>38</v>
      </c>
      <c r="E487" s="53" t="s">
        <v>39</v>
      </c>
      <c r="F487" s="54" t="s">
        <v>40</v>
      </c>
      <c r="G487" s="53">
        <v>3.9</v>
      </c>
      <c r="H487" s="53">
        <v>0</v>
      </c>
      <c r="I487" s="53">
        <v>860</v>
      </c>
      <c r="J487" s="53">
        <v>0</v>
      </c>
      <c r="K487" s="55">
        <f t="shared" si="29"/>
        <v>0.85</v>
      </c>
      <c r="L487" s="55">
        <f t="shared" si="28"/>
        <v>731</v>
      </c>
      <c r="M487" s="55">
        <v>0</v>
      </c>
      <c r="N487" s="101">
        <f t="shared" si="30"/>
        <v>731</v>
      </c>
      <c r="O487" s="57" t="s">
        <v>136</v>
      </c>
      <c r="P487" s="53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</row>
    <row r="488" spans="1:28" hidden="1" x14ac:dyDescent="0.25">
      <c r="A488" s="224"/>
      <c r="B488" s="96">
        <v>44665</v>
      </c>
      <c r="C488" s="52" t="s">
        <v>50</v>
      </c>
      <c r="D488" s="53" t="s">
        <v>38</v>
      </c>
      <c r="E488" s="53" t="s">
        <v>39</v>
      </c>
      <c r="F488" s="54" t="s">
        <v>40</v>
      </c>
      <c r="G488" s="53">
        <v>3.9</v>
      </c>
      <c r="H488" s="53">
        <v>0</v>
      </c>
      <c r="I488" s="53">
        <v>860</v>
      </c>
      <c r="J488" s="53">
        <v>0</v>
      </c>
      <c r="K488" s="55">
        <v>0.3</v>
      </c>
      <c r="L488" s="55">
        <f t="shared" si="28"/>
        <v>258</v>
      </c>
      <c r="M488" s="55">
        <v>0</v>
      </c>
      <c r="N488" s="101">
        <f t="shared" si="30"/>
        <v>258</v>
      </c>
      <c r="O488" s="57" t="s">
        <v>137</v>
      </c>
      <c r="P488" s="53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</row>
    <row r="489" spans="1:28" hidden="1" x14ac:dyDescent="0.25">
      <c r="A489" s="224"/>
      <c r="B489" s="135">
        <v>44666</v>
      </c>
      <c r="C489" s="52" t="s">
        <v>53</v>
      </c>
      <c r="D489" s="53" t="s">
        <v>38</v>
      </c>
      <c r="E489" s="53" t="s">
        <v>39</v>
      </c>
      <c r="F489" s="54" t="s">
        <v>40</v>
      </c>
      <c r="G489" s="53">
        <v>3.9</v>
      </c>
      <c r="H489" s="53">
        <v>0</v>
      </c>
      <c r="I489" s="53">
        <v>860</v>
      </c>
      <c r="J489" s="53">
        <v>0</v>
      </c>
      <c r="K489" s="55">
        <v>0.4</v>
      </c>
      <c r="L489" s="55">
        <f t="shared" si="28"/>
        <v>344</v>
      </c>
      <c r="M489" s="55">
        <v>0</v>
      </c>
      <c r="N489" s="101">
        <f t="shared" si="30"/>
        <v>344</v>
      </c>
      <c r="O489" s="57"/>
      <c r="P489" s="53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</row>
    <row r="490" spans="1:28" hidden="1" x14ac:dyDescent="0.25">
      <c r="A490" s="224"/>
      <c r="B490" s="97">
        <v>44667</v>
      </c>
      <c r="C490" s="58" t="s">
        <v>57</v>
      </c>
      <c r="D490" s="60" t="s">
        <v>38</v>
      </c>
      <c r="E490" s="60" t="s">
        <v>39</v>
      </c>
      <c r="F490" s="61" t="s">
        <v>40</v>
      </c>
      <c r="G490" s="60">
        <v>3.9</v>
      </c>
      <c r="H490" s="60">
        <v>0</v>
      </c>
      <c r="I490" s="60">
        <v>860</v>
      </c>
      <c r="J490" s="60">
        <v>0</v>
      </c>
      <c r="K490" s="62">
        <v>0.5</v>
      </c>
      <c r="L490" s="62">
        <f t="shared" si="28"/>
        <v>430</v>
      </c>
      <c r="M490" s="62">
        <v>0</v>
      </c>
      <c r="N490" s="102">
        <f t="shared" si="30"/>
        <v>430</v>
      </c>
      <c r="O490" s="64" t="s">
        <v>138</v>
      </c>
      <c r="P490" s="53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</row>
    <row r="491" spans="1:28" ht="15.75" hidden="1" thickBot="1" x14ac:dyDescent="0.3">
      <c r="A491" s="225"/>
      <c r="B491" s="98">
        <v>44668</v>
      </c>
      <c r="C491" s="66" t="s">
        <v>59</v>
      </c>
      <c r="D491" s="67" t="s">
        <v>38</v>
      </c>
      <c r="E491" s="67" t="s">
        <v>39</v>
      </c>
      <c r="F491" s="68" t="s">
        <v>40</v>
      </c>
      <c r="G491" s="67">
        <v>3.9</v>
      </c>
      <c r="H491" s="67">
        <v>0</v>
      </c>
      <c r="I491" s="67">
        <v>860</v>
      </c>
      <c r="J491" s="67">
        <v>0</v>
      </c>
      <c r="K491" s="69">
        <v>0.6</v>
      </c>
      <c r="L491" s="69">
        <f t="shared" si="28"/>
        <v>516</v>
      </c>
      <c r="M491" s="69">
        <v>0</v>
      </c>
      <c r="N491" s="103">
        <f t="shared" si="30"/>
        <v>516</v>
      </c>
      <c r="O491" s="71"/>
      <c r="P491" s="53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</row>
    <row r="492" spans="1:28" hidden="1" x14ac:dyDescent="0.25">
      <c r="A492" s="223">
        <f>_xlfn.ISOWEEKNUM(B492)</f>
        <v>16</v>
      </c>
      <c r="B492" s="135">
        <v>44669</v>
      </c>
      <c r="C492" s="72" t="s">
        <v>37</v>
      </c>
      <c r="D492" s="41" t="s">
        <v>38</v>
      </c>
      <c r="E492" s="41" t="s">
        <v>39</v>
      </c>
      <c r="F492" s="43" t="s">
        <v>40</v>
      </c>
      <c r="G492" s="41">
        <v>3.9</v>
      </c>
      <c r="H492" s="41">
        <v>0</v>
      </c>
      <c r="I492" s="41">
        <v>860</v>
      </c>
      <c r="J492" s="41">
        <v>0</v>
      </c>
      <c r="K492" s="73">
        <f t="shared" ref="K492:K523" si="31">VLOOKUP($D492&amp;$E492&amp;$F492&amp;YEAR($B492),$P:$AA,9,FALSE)</f>
        <v>0.85</v>
      </c>
      <c r="L492" s="73">
        <f t="shared" si="28"/>
        <v>731</v>
      </c>
      <c r="M492" s="73">
        <v>0</v>
      </c>
      <c r="N492" s="105">
        <f t="shared" si="30"/>
        <v>731</v>
      </c>
      <c r="O492" s="46"/>
      <c r="P492" s="53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</row>
    <row r="493" spans="1:28" hidden="1" x14ac:dyDescent="0.25">
      <c r="A493" s="224"/>
      <c r="B493" s="96">
        <v>44670</v>
      </c>
      <c r="C493" s="52" t="s">
        <v>42</v>
      </c>
      <c r="D493" s="53" t="s">
        <v>38</v>
      </c>
      <c r="E493" s="53" t="s">
        <v>39</v>
      </c>
      <c r="F493" s="54" t="s">
        <v>40</v>
      </c>
      <c r="G493" s="53">
        <v>3.9</v>
      </c>
      <c r="H493" s="53">
        <v>0</v>
      </c>
      <c r="I493" s="53">
        <v>860</v>
      </c>
      <c r="J493" s="53">
        <v>0</v>
      </c>
      <c r="K493" s="55">
        <f t="shared" si="31"/>
        <v>0.85</v>
      </c>
      <c r="L493" s="55">
        <f t="shared" si="28"/>
        <v>731</v>
      </c>
      <c r="M493" s="55">
        <v>0</v>
      </c>
      <c r="N493" s="101">
        <f t="shared" si="30"/>
        <v>731</v>
      </c>
      <c r="O493" s="57" t="s">
        <v>139</v>
      </c>
      <c r="P493" s="53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 spans="1:28" hidden="1" x14ac:dyDescent="0.25">
      <c r="A494" s="224"/>
      <c r="B494" s="96">
        <v>44671</v>
      </c>
      <c r="C494" s="52" t="s">
        <v>46</v>
      </c>
      <c r="D494" s="53" t="s">
        <v>38</v>
      </c>
      <c r="E494" s="53" t="s">
        <v>39</v>
      </c>
      <c r="F494" s="54" t="s">
        <v>40</v>
      </c>
      <c r="G494" s="53">
        <v>3.9</v>
      </c>
      <c r="H494" s="53">
        <v>0</v>
      </c>
      <c r="I494" s="53">
        <v>860</v>
      </c>
      <c r="J494" s="53">
        <v>0</v>
      </c>
      <c r="K494" s="55">
        <f t="shared" si="31"/>
        <v>0.85</v>
      </c>
      <c r="L494" s="55">
        <f t="shared" si="28"/>
        <v>731</v>
      </c>
      <c r="M494" s="55">
        <v>0</v>
      </c>
      <c r="N494" s="101">
        <f t="shared" si="30"/>
        <v>731</v>
      </c>
      <c r="O494" s="57" t="s">
        <v>139</v>
      </c>
      <c r="P494" s="53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</row>
    <row r="495" spans="1:28" hidden="1" x14ac:dyDescent="0.25">
      <c r="A495" s="224"/>
      <c r="B495" s="96">
        <v>44672</v>
      </c>
      <c r="C495" s="52" t="s">
        <v>50</v>
      </c>
      <c r="D495" s="53" t="s">
        <v>38</v>
      </c>
      <c r="E495" s="53" t="s">
        <v>39</v>
      </c>
      <c r="F495" s="54" t="s">
        <v>40</v>
      </c>
      <c r="G495" s="53">
        <v>5.9</v>
      </c>
      <c r="H495" s="53">
        <v>0</v>
      </c>
      <c r="I495" s="53">
        <v>860</v>
      </c>
      <c r="J495" s="53">
        <v>0</v>
      </c>
      <c r="K495" s="55">
        <f t="shared" si="31"/>
        <v>0.85</v>
      </c>
      <c r="L495" s="55">
        <f t="shared" si="28"/>
        <v>731</v>
      </c>
      <c r="M495" s="55">
        <v>0</v>
      </c>
      <c r="N495" s="101">
        <f t="shared" si="30"/>
        <v>731</v>
      </c>
      <c r="O495" s="57"/>
      <c r="P495" s="53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</row>
    <row r="496" spans="1:28" hidden="1" x14ac:dyDescent="0.25">
      <c r="A496" s="224"/>
      <c r="B496" s="96">
        <v>44673</v>
      </c>
      <c r="C496" s="52" t="s">
        <v>53</v>
      </c>
      <c r="D496" s="53" t="s">
        <v>38</v>
      </c>
      <c r="E496" s="53" t="s">
        <v>39</v>
      </c>
      <c r="F496" s="54" t="s">
        <v>40</v>
      </c>
      <c r="G496" s="53">
        <v>3.9</v>
      </c>
      <c r="H496" s="53">
        <v>0</v>
      </c>
      <c r="I496" s="53">
        <v>860</v>
      </c>
      <c r="J496" s="53">
        <v>0</v>
      </c>
      <c r="K496" s="55">
        <f t="shared" si="31"/>
        <v>0.85</v>
      </c>
      <c r="L496" s="55">
        <f t="shared" si="28"/>
        <v>731</v>
      </c>
      <c r="M496" s="55">
        <v>0</v>
      </c>
      <c r="N496" s="101">
        <f t="shared" si="30"/>
        <v>731</v>
      </c>
      <c r="O496" s="57" t="s">
        <v>139</v>
      </c>
      <c r="P496" s="53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</row>
    <row r="497" spans="1:28" hidden="1" x14ac:dyDescent="0.25">
      <c r="A497" s="224"/>
      <c r="B497" s="97">
        <v>44674</v>
      </c>
      <c r="C497" s="58" t="s">
        <v>57</v>
      </c>
      <c r="D497" s="60" t="s">
        <v>38</v>
      </c>
      <c r="E497" s="60" t="s">
        <v>39</v>
      </c>
      <c r="F497" s="61" t="s">
        <v>40</v>
      </c>
      <c r="G497" s="60">
        <v>3.9</v>
      </c>
      <c r="H497" s="60">
        <v>0</v>
      </c>
      <c r="I497" s="60">
        <v>860</v>
      </c>
      <c r="J497" s="60">
        <v>0</v>
      </c>
      <c r="K497" s="62">
        <f t="shared" si="31"/>
        <v>0.85</v>
      </c>
      <c r="L497" s="62">
        <f t="shared" si="28"/>
        <v>731</v>
      </c>
      <c r="M497" s="62">
        <v>0</v>
      </c>
      <c r="N497" s="102">
        <f t="shared" si="30"/>
        <v>731</v>
      </c>
      <c r="O497" s="64" t="s">
        <v>139</v>
      </c>
      <c r="P497" s="53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</row>
    <row r="498" spans="1:28" ht="15.75" hidden="1" thickBot="1" x14ac:dyDescent="0.3">
      <c r="A498" s="225"/>
      <c r="B498" s="98">
        <v>44675</v>
      </c>
      <c r="C498" s="66" t="s">
        <v>59</v>
      </c>
      <c r="D498" s="67" t="s">
        <v>38</v>
      </c>
      <c r="E498" s="67" t="s">
        <v>39</v>
      </c>
      <c r="F498" s="68" t="s">
        <v>40</v>
      </c>
      <c r="G498" s="67">
        <v>4.9000000000000004</v>
      </c>
      <c r="H498" s="67">
        <v>0</v>
      </c>
      <c r="I498" s="67">
        <v>860</v>
      </c>
      <c r="J498" s="67">
        <v>0</v>
      </c>
      <c r="K498" s="69">
        <f t="shared" si="31"/>
        <v>0.85</v>
      </c>
      <c r="L498" s="69">
        <f t="shared" si="28"/>
        <v>731</v>
      </c>
      <c r="M498" s="69">
        <v>0</v>
      </c>
      <c r="N498" s="103">
        <f t="shared" si="30"/>
        <v>731</v>
      </c>
      <c r="O498" s="71"/>
      <c r="P498" s="53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</row>
    <row r="499" spans="1:28" hidden="1" x14ac:dyDescent="0.25">
      <c r="A499" s="223">
        <f>_xlfn.ISOWEEKNUM(B499)</f>
        <v>17</v>
      </c>
      <c r="B499" s="96">
        <v>44676</v>
      </c>
      <c r="C499" s="72" t="s">
        <v>37</v>
      </c>
      <c r="D499" s="41" t="s">
        <v>38</v>
      </c>
      <c r="E499" s="41" t="s">
        <v>39</v>
      </c>
      <c r="F499" s="43" t="s">
        <v>40</v>
      </c>
      <c r="G499" s="41">
        <v>5.9</v>
      </c>
      <c r="H499" s="41">
        <v>0</v>
      </c>
      <c r="I499" s="41">
        <v>860</v>
      </c>
      <c r="J499" s="41">
        <v>0</v>
      </c>
      <c r="K499" s="73">
        <f t="shared" si="31"/>
        <v>0.85</v>
      </c>
      <c r="L499" s="73">
        <f t="shared" si="28"/>
        <v>731</v>
      </c>
      <c r="M499" s="73">
        <v>0</v>
      </c>
      <c r="N499" s="105">
        <f t="shared" si="30"/>
        <v>731</v>
      </c>
      <c r="O499" s="46"/>
      <c r="P499" s="53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</row>
    <row r="500" spans="1:28" hidden="1" x14ac:dyDescent="0.25">
      <c r="A500" s="224"/>
      <c r="B500" s="96">
        <v>44677</v>
      </c>
      <c r="C500" s="52" t="s">
        <v>42</v>
      </c>
      <c r="D500" s="53" t="s">
        <v>38</v>
      </c>
      <c r="E500" s="53" t="s">
        <v>39</v>
      </c>
      <c r="F500" s="54" t="s">
        <v>40</v>
      </c>
      <c r="G500" s="53">
        <v>8</v>
      </c>
      <c r="H500" s="53">
        <v>0</v>
      </c>
      <c r="I500" s="53">
        <v>860</v>
      </c>
      <c r="J500" s="53">
        <v>0</v>
      </c>
      <c r="K500" s="55">
        <f t="shared" si="31"/>
        <v>0.85</v>
      </c>
      <c r="L500" s="55">
        <f t="shared" si="28"/>
        <v>731</v>
      </c>
      <c r="M500" s="55">
        <v>0</v>
      </c>
      <c r="N500" s="101">
        <f t="shared" si="30"/>
        <v>731</v>
      </c>
      <c r="O500" s="57"/>
      <c r="P500" s="53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 spans="1:28" hidden="1" x14ac:dyDescent="0.25">
      <c r="A501" s="224"/>
      <c r="B501" s="96">
        <v>44678</v>
      </c>
      <c r="C501" s="52" t="s">
        <v>46</v>
      </c>
      <c r="D501" s="53" t="s">
        <v>38</v>
      </c>
      <c r="E501" s="53" t="s">
        <v>39</v>
      </c>
      <c r="F501" s="54" t="s">
        <v>40</v>
      </c>
      <c r="G501" s="53">
        <v>8</v>
      </c>
      <c r="H501" s="53">
        <v>0</v>
      </c>
      <c r="I501" s="53">
        <v>860</v>
      </c>
      <c r="J501" s="53">
        <v>0</v>
      </c>
      <c r="K501" s="55">
        <f t="shared" si="31"/>
        <v>0.85</v>
      </c>
      <c r="L501" s="55">
        <f t="shared" si="28"/>
        <v>731</v>
      </c>
      <c r="M501" s="55">
        <v>0</v>
      </c>
      <c r="N501" s="101">
        <f t="shared" si="30"/>
        <v>731</v>
      </c>
      <c r="O501" s="57"/>
      <c r="P501" s="53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</row>
    <row r="502" spans="1:28" hidden="1" x14ac:dyDescent="0.25">
      <c r="A502" s="224"/>
      <c r="B502" s="96">
        <v>44679</v>
      </c>
      <c r="C502" s="52" t="s">
        <v>50</v>
      </c>
      <c r="D502" s="53" t="s">
        <v>38</v>
      </c>
      <c r="E502" s="53" t="s">
        <v>39</v>
      </c>
      <c r="F502" s="54" t="s">
        <v>40</v>
      </c>
      <c r="G502" s="53">
        <v>8</v>
      </c>
      <c r="H502" s="53">
        <v>0</v>
      </c>
      <c r="I502" s="53">
        <v>860</v>
      </c>
      <c r="J502" s="53">
        <v>0</v>
      </c>
      <c r="K502" s="55">
        <f t="shared" si="31"/>
        <v>0.85</v>
      </c>
      <c r="L502" s="55">
        <f t="shared" si="28"/>
        <v>731</v>
      </c>
      <c r="M502" s="55">
        <v>0</v>
      </c>
      <c r="N502" s="101">
        <f t="shared" si="30"/>
        <v>731</v>
      </c>
      <c r="O502" s="57"/>
      <c r="P502" s="53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</row>
    <row r="503" spans="1:28" hidden="1" x14ac:dyDescent="0.25">
      <c r="A503" s="224"/>
      <c r="B503" s="96">
        <v>44680</v>
      </c>
      <c r="C503" s="52" t="s">
        <v>53</v>
      </c>
      <c r="D503" s="53" t="s">
        <v>38</v>
      </c>
      <c r="E503" s="53" t="s">
        <v>39</v>
      </c>
      <c r="F503" s="54" t="s">
        <v>40</v>
      </c>
      <c r="G503" s="53">
        <v>10</v>
      </c>
      <c r="H503" s="53">
        <v>0</v>
      </c>
      <c r="I503" s="53">
        <v>860</v>
      </c>
      <c r="J503" s="53">
        <v>0</v>
      </c>
      <c r="K503" s="55">
        <f t="shared" si="31"/>
        <v>0.85</v>
      </c>
      <c r="L503" s="55">
        <f t="shared" si="28"/>
        <v>731</v>
      </c>
      <c r="M503" s="55">
        <v>0</v>
      </c>
      <c r="N503" s="101">
        <f t="shared" si="30"/>
        <v>731</v>
      </c>
      <c r="O503" s="57"/>
      <c r="P503" s="53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</row>
    <row r="504" spans="1:28" hidden="1" x14ac:dyDescent="0.25">
      <c r="A504" s="224"/>
      <c r="B504" s="97">
        <v>44681</v>
      </c>
      <c r="C504" s="58" t="s">
        <v>57</v>
      </c>
      <c r="D504" s="60" t="s">
        <v>38</v>
      </c>
      <c r="E504" s="60" t="s">
        <v>39</v>
      </c>
      <c r="F504" s="61" t="s">
        <v>40</v>
      </c>
      <c r="G504" s="60">
        <v>10</v>
      </c>
      <c r="H504" s="60">
        <v>0</v>
      </c>
      <c r="I504" s="60">
        <v>860</v>
      </c>
      <c r="J504" s="60">
        <v>0</v>
      </c>
      <c r="K504" s="62">
        <f t="shared" si="31"/>
        <v>0.85</v>
      </c>
      <c r="L504" s="62">
        <f t="shared" si="28"/>
        <v>731</v>
      </c>
      <c r="M504" s="62">
        <v>0</v>
      </c>
      <c r="N504" s="102">
        <f t="shared" si="30"/>
        <v>731</v>
      </c>
      <c r="O504" s="64"/>
      <c r="P504" s="53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</row>
    <row r="505" spans="1:28" ht="15.75" hidden="1" thickBot="1" x14ac:dyDescent="0.3">
      <c r="A505" s="225"/>
      <c r="B505" s="98">
        <v>44682</v>
      </c>
      <c r="C505" s="66" t="s">
        <v>59</v>
      </c>
      <c r="D505" s="67" t="s">
        <v>38</v>
      </c>
      <c r="E505" s="67" t="s">
        <v>39</v>
      </c>
      <c r="F505" s="68" t="s">
        <v>40</v>
      </c>
      <c r="G505" s="67">
        <v>10</v>
      </c>
      <c r="H505" s="67">
        <v>0</v>
      </c>
      <c r="I505" s="67">
        <v>860</v>
      </c>
      <c r="J505" s="67">
        <v>0</v>
      </c>
      <c r="K505" s="69">
        <f t="shared" si="31"/>
        <v>0.85</v>
      </c>
      <c r="L505" s="69">
        <f t="shared" si="28"/>
        <v>731</v>
      </c>
      <c r="M505" s="69">
        <v>0</v>
      </c>
      <c r="N505" s="103">
        <f t="shared" si="30"/>
        <v>731</v>
      </c>
      <c r="O505" s="71"/>
      <c r="P505" s="53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</row>
    <row r="506" spans="1:28" hidden="1" x14ac:dyDescent="0.25">
      <c r="A506" s="223">
        <f>_xlfn.ISOWEEKNUM(B506)</f>
        <v>18</v>
      </c>
      <c r="B506" s="96">
        <v>44683</v>
      </c>
      <c r="C506" s="72" t="s">
        <v>37</v>
      </c>
      <c r="D506" s="41" t="s">
        <v>38</v>
      </c>
      <c r="E506" s="41" t="s">
        <v>39</v>
      </c>
      <c r="F506" s="43" t="s">
        <v>40</v>
      </c>
      <c r="G506" s="41">
        <v>12</v>
      </c>
      <c r="H506" s="41">
        <v>0</v>
      </c>
      <c r="I506" s="41">
        <v>860</v>
      </c>
      <c r="J506" s="41">
        <v>0</v>
      </c>
      <c r="K506" s="73">
        <f t="shared" si="31"/>
        <v>0.85</v>
      </c>
      <c r="L506" s="73">
        <f t="shared" si="28"/>
        <v>731</v>
      </c>
      <c r="M506" s="73">
        <v>0</v>
      </c>
      <c r="N506" s="105">
        <f t="shared" ref="N506:N537" si="32">L506*(1-M506)</f>
        <v>731</v>
      </c>
      <c r="O506" s="46"/>
      <c r="P506" s="53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</row>
    <row r="507" spans="1:28" hidden="1" x14ac:dyDescent="0.25">
      <c r="A507" s="224"/>
      <c r="B507" s="96">
        <v>44684</v>
      </c>
      <c r="C507" s="52" t="s">
        <v>42</v>
      </c>
      <c r="D507" s="53" t="s">
        <v>38</v>
      </c>
      <c r="E507" s="53" t="s">
        <v>39</v>
      </c>
      <c r="F507" s="54" t="s">
        <v>40</v>
      </c>
      <c r="G507" s="53">
        <v>12</v>
      </c>
      <c r="H507" s="53">
        <v>0</v>
      </c>
      <c r="I507" s="53">
        <v>860</v>
      </c>
      <c r="J507" s="53">
        <v>0</v>
      </c>
      <c r="K507" s="55">
        <f t="shared" si="31"/>
        <v>0.85</v>
      </c>
      <c r="L507" s="55">
        <f t="shared" si="28"/>
        <v>731</v>
      </c>
      <c r="M507" s="55">
        <v>0</v>
      </c>
      <c r="N507" s="101">
        <f t="shared" si="32"/>
        <v>731</v>
      </c>
      <c r="O507" s="57" t="s">
        <v>140</v>
      </c>
      <c r="P507" s="53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 spans="1:28" hidden="1" x14ac:dyDescent="0.25">
      <c r="A508" s="224"/>
      <c r="B508" s="96">
        <v>44685</v>
      </c>
      <c r="C508" s="52" t="s">
        <v>46</v>
      </c>
      <c r="D508" s="53" t="s">
        <v>38</v>
      </c>
      <c r="E508" s="53" t="s">
        <v>39</v>
      </c>
      <c r="F508" s="54" t="s">
        <v>40</v>
      </c>
      <c r="G508" s="53">
        <v>10</v>
      </c>
      <c r="H508" s="53">
        <v>0</v>
      </c>
      <c r="I508" s="53">
        <v>860</v>
      </c>
      <c r="J508" s="53">
        <v>0</v>
      </c>
      <c r="K508" s="55">
        <f t="shared" si="31"/>
        <v>0.85</v>
      </c>
      <c r="L508" s="55">
        <f t="shared" si="28"/>
        <v>731</v>
      </c>
      <c r="M508" s="55">
        <v>0</v>
      </c>
      <c r="N508" s="101">
        <f t="shared" si="32"/>
        <v>731</v>
      </c>
      <c r="O508" s="88" t="s">
        <v>113</v>
      </c>
      <c r="P508" s="53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</row>
    <row r="509" spans="1:28" hidden="1" x14ac:dyDescent="0.25">
      <c r="A509" s="224"/>
      <c r="B509" s="96">
        <v>44686</v>
      </c>
      <c r="C509" s="52" t="s">
        <v>50</v>
      </c>
      <c r="D509" s="53" t="s">
        <v>38</v>
      </c>
      <c r="E509" s="53" t="s">
        <v>39</v>
      </c>
      <c r="F509" s="54" t="s">
        <v>40</v>
      </c>
      <c r="G509" s="53" t="s">
        <v>10</v>
      </c>
      <c r="H509" s="53">
        <v>0</v>
      </c>
      <c r="I509" s="53">
        <v>860</v>
      </c>
      <c r="J509" s="53">
        <v>0</v>
      </c>
      <c r="K509" s="55">
        <f t="shared" si="31"/>
        <v>0.85</v>
      </c>
      <c r="L509" s="55">
        <f t="shared" si="28"/>
        <v>731</v>
      </c>
      <c r="M509" s="55">
        <v>0</v>
      </c>
      <c r="N509" s="101">
        <f t="shared" si="32"/>
        <v>731</v>
      </c>
      <c r="O509" s="88" t="s">
        <v>141</v>
      </c>
      <c r="P509" s="53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</row>
    <row r="510" spans="1:28" hidden="1" x14ac:dyDescent="0.25">
      <c r="A510" s="224"/>
      <c r="B510" s="96">
        <v>44687</v>
      </c>
      <c r="C510" s="52" t="s">
        <v>53</v>
      </c>
      <c r="D510" s="53" t="s">
        <v>38</v>
      </c>
      <c r="E510" s="53" t="s">
        <v>39</v>
      </c>
      <c r="F510" s="54" t="s">
        <v>40</v>
      </c>
      <c r="G510" s="53">
        <v>3.9</v>
      </c>
      <c r="H510" s="53">
        <v>0</v>
      </c>
      <c r="I510" s="53">
        <v>860</v>
      </c>
      <c r="J510" s="53">
        <v>0</v>
      </c>
      <c r="K510" s="55">
        <f t="shared" si="31"/>
        <v>0.85</v>
      </c>
      <c r="L510" s="55">
        <f t="shared" si="28"/>
        <v>731</v>
      </c>
      <c r="M510" s="55">
        <v>0</v>
      </c>
      <c r="N510" s="101">
        <f t="shared" si="32"/>
        <v>731</v>
      </c>
      <c r="O510" s="57"/>
      <c r="P510" s="53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</row>
    <row r="511" spans="1:28" hidden="1" x14ac:dyDescent="0.25">
      <c r="A511" s="224"/>
      <c r="B511" s="97">
        <v>44688</v>
      </c>
      <c r="C511" s="58" t="s">
        <v>57</v>
      </c>
      <c r="D511" s="60" t="s">
        <v>38</v>
      </c>
      <c r="E511" s="60" t="s">
        <v>39</v>
      </c>
      <c r="F511" s="61" t="s">
        <v>40</v>
      </c>
      <c r="G511" s="60">
        <v>3.9</v>
      </c>
      <c r="H511" s="60">
        <v>0</v>
      </c>
      <c r="I511" s="60">
        <v>860</v>
      </c>
      <c r="J511" s="60">
        <v>0</v>
      </c>
      <c r="K511" s="62">
        <f t="shared" si="31"/>
        <v>0.85</v>
      </c>
      <c r="L511" s="62">
        <f t="shared" si="28"/>
        <v>731</v>
      </c>
      <c r="M511" s="62">
        <v>0</v>
      </c>
      <c r="N511" s="102">
        <f t="shared" si="32"/>
        <v>731</v>
      </c>
      <c r="O511" s="64" t="s">
        <v>142</v>
      </c>
      <c r="P511" s="53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</row>
    <row r="512" spans="1:28" ht="15.75" hidden="1" thickBot="1" x14ac:dyDescent="0.3">
      <c r="A512" s="225"/>
      <c r="B512" s="98">
        <v>44689</v>
      </c>
      <c r="C512" s="66" t="s">
        <v>59</v>
      </c>
      <c r="D512" s="67" t="s">
        <v>38</v>
      </c>
      <c r="E512" s="67" t="s">
        <v>39</v>
      </c>
      <c r="F512" s="68" t="s">
        <v>40</v>
      </c>
      <c r="G512" s="67">
        <v>3.9</v>
      </c>
      <c r="H512" s="67">
        <v>0</v>
      </c>
      <c r="I512" s="67">
        <v>860</v>
      </c>
      <c r="J512" s="67">
        <v>0</v>
      </c>
      <c r="K512" s="69">
        <f t="shared" si="31"/>
        <v>0.85</v>
      </c>
      <c r="L512" s="69">
        <f t="shared" si="28"/>
        <v>731</v>
      </c>
      <c r="M512" s="69">
        <v>0</v>
      </c>
      <c r="N512" s="103">
        <f t="shared" si="32"/>
        <v>731</v>
      </c>
      <c r="O512" s="71" t="s">
        <v>142</v>
      </c>
      <c r="P512" s="53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</row>
    <row r="513" spans="1:28" hidden="1" x14ac:dyDescent="0.25">
      <c r="A513" s="223">
        <f>_xlfn.ISOWEEKNUM(B513)</f>
        <v>19</v>
      </c>
      <c r="B513" s="96">
        <v>44690</v>
      </c>
      <c r="C513" s="72" t="s">
        <v>37</v>
      </c>
      <c r="D513" s="41" t="s">
        <v>38</v>
      </c>
      <c r="E513" s="41" t="s">
        <v>39</v>
      </c>
      <c r="F513" s="43" t="s">
        <v>40</v>
      </c>
      <c r="G513" s="41">
        <v>5.9</v>
      </c>
      <c r="H513" s="41">
        <v>0</v>
      </c>
      <c r="I513" s="41">
        <v>860</v>
      </c>
      <c r="J513" s="41">
        <v>0</v>
      </c>
      <c r="K513" s="73">
        <f t="shared" si="31"/>
        <v>0.85</v>
      </c>
      <c r="L513" s="73">
        <f t="shared" si="28"/>
        <v>731</v>
      </c>
      <c r="M513" s="73">
        <v>0</v>
      </c>
      <c r="N513" s="105">
        <f t="shared" si="32"/>
        <v>731</v>
      </c>
      <c r="O513" s="46" t="s">
        <v>143</v>
      </c>
      <c r="P513" s="53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</row>
    <row r="514" spans="1:28" hidden="1" x14ac:dyDescent="0.25">
      <c r="A514" s="224"/>
      <c r="B514" s="96">
        <v>44691</v>
      </c>
      <c r="C514" s="52" t="s">
        <v>42</v>
      </c>
      <c r="D514" s="53" t="s">
        <v>38</v>
      </c>
      <c r="E514" s="53" t="s">
        <v>39</v>
      </c>
      <c r="F514" s="54" t="s">
        <v>40</v>
      </c>
      <c r="G514" s="53">
        <v>3.9</v>
      </c>
      <c r="H514" s="53">
        <v>0</v>
      </c>
      <c r="I514" s="53">
        <v>860</v>
      </c>
      <c r="J514" s="53">
        <v>0</v>
      </c>
      <c r="K514" s="55">
        <f t="shared" si="31"/>
        <v>0.85</v>
      </c>
      <c r="L514" s="55">
        <f t="shared" si="28"/>
        <v>731</v>
      </c>
      <c r="M514" s="55">
        <v>0</v>
      </c>
      <c r="N514" s="101">
        <f t="shared" si="32"/>
        <v>731</v>
      </c>
      <c r="O514" s="57" t="s">
        <v>144</v>
      </c>
      <c r="P514" s="53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 spans="1:28" hidden="1" x14ac:dyDescent="0.25">
      <c r="A515" s="224"/>
      <c r="B515" s="96">
        <v>44692</v>
      </c>
      <c r="C515" s="52" t="s">
        <v>46</v>
      </c>
      <c r="D515" s="53" t="s">
        <v>38</v>
      </c>
      <c r="E515" s="53" t="s">
        <v>39</v>
      </c>
      <c r="F515" s="54" t="s">
        <v>40</v>
      </c>
      <c r="G515" s="53">
        <v>3.9</v>
      </c>
      <c r="H515" s="53">
        <v>0</v>
      </c>
      <c r="I515" s="53">
        <v>860</v>
      </c>
      <c r="J515" s="53">
        <v>0</v>
      </c>
      <c r="K515" s="55">
        <f t="shared" si="31"/>
        <v>0.85</v>
      </c>
      <c r="L515" s="55">
        <f t="shared" si="28"/>
        <v>731</v>
      </c>
      <c r="M515" s="55">
        <v>0</v>
      </c>
      <c r="N515" s="101">
        <f t="shared" si="32"/>
        <v>731</v>
      </c>
      <c r="O515" s="57"/>
      <c r="P515" s="53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</row>
    <row r="516" spans="1:28" hidden="1" x14ac:dyDescent="0.25">
      <c r="A516" s="224"/>
      <c r="B516" s="96">
        <v>44693</v>
      </c>
      <c r="C516" s="52" t="s">
        <v>50</v>
      </c>
      <c r="D516" s="53" t="s">
        <v>38</v>
      </c>
      <c r="E516" s="53" t="s">
        <v>39</v>
      </c>
      <c r="F516" s="54" t="s">
        <v>40</v>
      </c>
      <c r="G516" s="53">
        <v>5.9</v>
      </c>
      <c r="H516" s="53">
        <v>0</v>
      </c>
      <c r="I516" s="53">
        <v>860</v>
      </c>
      <c r="J516" s="53">
        <v>0</v>
      </c>
      <c r="K516" s="55">
        <f t="shared" si="31"/>
        <v>0.85</v>
      </c>
      <c r="L516" s="55">
        <f t="shared" si="28"/>
        <v>731</v>
      </c>
      <c r="M516" s="55">
        <v>0</v>
      </c>
      <c r="N516" s="101">
        <f t="shared" si="32"/>
        <v>731</v>
      </c>
      <c r="O516" s="57"/>
      <c r="P516" s="53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</row>
    <row r="517" spans="1:28" hidden="1" x14ac:dyDescent="0.25">
      <c r="A517" s="224"/>
      <c r="B517" s="96">
        <v>44694</v>
      </c>
      <c r="C517" s="52" t="s">
        <v>53</v>
      </c>
      <c r="D517" s="53" t="s">
        <v>38</v>
      </c>
      <c r="E517" s="53" t="s">
        <v>39</v>
      </c>
      <c r="F517" s="54" t="s">
        <v>40</v>
      </c>
      <c r="G517" s="53">
        <v>5.9</v>
      </c>
      <c r="H517" s="53">
        <v>0</v>
      </c>
      <c r="I517" s="53">
        <v>860</v>
      </c>
      <c r="J517" s="53">
        <v>0</v>
      </c>
      <c r="K517" s="55">
        <f t="shared" si="31"/>
        <v>0.85</v>
      </c>
      <c r="L517" s="55">
        <f t="shared" si="28"/>
        <v>731</v>
      </c>
      <c r="M517" s="55">
        <v>0</v>
      </c>
      <c r="N517" s="101">
        <f t="shared" si="32"/>
        <v>731</v>
      </c>
      <c r="O517" s="57"/>
      <c r="P517" s="53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</row>
    <row r="518" spans="1:28" hidden="1" x14ac:dyDescent="0.25">
      <c r="A518" s="224"/>
      <c r="B518" s="97">
        <v>44695</v>
      </c>
      <c r="C518" s="58" t="s">
        <v>57</v>
      </c>
      <c r="D518" s="60" t="s">
        <v>38</v>
      </c>
      <c r="E518" s="60" t="s">
        <v>39</v>
      </c>
      <c r="F518" s="61" t="s">
        <v>40</v>
      </c>
      <c r="G518" s="60">
        <v>5.9</v>
      </c>
      <c r="H518" s="60">
        <v>0</v>
      </c>
      <c r="I518" s="60">
        <v>860</v>
      </c>
      <c r="J518" s="60">
        <v>0</v>
      </c>
      <c r="K518" s="62">
        <f t="shared" si="31"/>
        <v>0.85</v>
      </c>
      <c r="L518" s="62">
        <f t="shared" si="28"/>
        <v>731</v>
      </c>
      <c r="M518" s="62">
        <v>0</v>
      </c>
      <c r="N518" s="102">
        <f t="shared" si="32"/>
        <v>731</v>
      </c>
      <c r="O518" s="64"/>
      <c r="P518" s="53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</row>
    <row r="519" spans="1:28" ht="15.75" hidden="1" thickBot="1" x14ac:dyDescent="0.3">
      <c r="A519" s="225"/>
      <c r="B519" s="98">
        <v>44696</v>
      </c>
      <c r="C519" s="66" t="s">
        <v>59</v>
      </c>
      <c r="D519" s="67" t="s">
        <v>38</v>
      </c>
      <c r="E519" s="67" t="s">
        <v>39</v>
      </c>
      <c r="F519" s="68" t="s">
        <v>40</v>
      </c>
      <c r="G519" s="67">
        <v>5.9</v>
      </c>
      <c r="H519" s="67">
        <v>0</v>
      </c>
      <c r="I519" s="67">
        <v>860</v>
      </c>
      <c r="J519" s="67">
        <v>0</v>
      </c>
      <c r="K519" s="69">
        <f t="shared" si="31"/>
        <v>0.85</v>
      </c>
      <c r="L519" s="69">
        <f t="shared" si="28"/>
        <v>731</v>
      </c>
      <c r="M519" s="69">
        <v>0</v>
      </c>
      <c r="N519" s="103">
        <f t="shared" si="32"/>
        <v>731</v>
      </c>
      <c r="O519" s="71" t="s">
        <v>84</v>
      </c>
      <c r="P519" s="53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</row>
    <row r="520" spans="1:28" hidden="1" x14ac:dyDescent="0.25">
      <c r="A520" s="223">
        <f>_xlfn.ISOWEEKNUM(B520)</f>
        <v>20</v>
      </c>
      <c r="B520" s="96">
        <v>44697</v>
      </c>
      <c r="C520" s="72" t="s">
        <v>37</v>
      </c>
      <c r="D520" s="41" t="s">
        <v>38</v>
      </c>
      <c r="E520" s="41" t="s">
        <v>39</v>
      </c>
      <c r="F520" s="43" t="s">
        <v>40</v>
      </c>
      <c r="G520" s="41">
        <v>4.9000000000000004</v>
      </c>
      <c r="H520" s="41">
        <v>0</v>
      </c>
      <c r="I520" s="41">
        <v>860</v>
      </c>
      <c r="J520" s="41">
        <v>0</v>
      </c>
      <c r="K520" s="73">
        <f t="shared" si="31"/>
        <v>0.85</v>
      </c>
      <c r="L520" s="73">
        <f t="shared" si="28"/>
        <v>731</v>
      </c>
      <c r="M520" s="73">
        <v>0</v>
      </c>
      <c r="N520" s="105">
        <f t="shared" si="32"/>
        <v>731</v>
      </c>
      <c r="O520" s="87" t="s">
        <v>145</v>
      </c>
      <c r="P520" s="53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</row>
    <row r="521" spans="1:28" hidden="1" x14ac:dyDescent="0.25">
      <c r="A521" s="224"/>
      <c r="B521" s="96">
        <v>44698</v>
      </c>
      <c r="C521" s="52" t="s">
        <v>42</v>
      </c>
      <c r="D521" s="53" t="s">
        <v>38</v>
      </c>
      <c r="E521" s="53" t="s">
        <v>39</v>
      </c>
      <c r="F521" s="54" t="s">
        <v>40</v>
      </c>
      <c r="G521" s="53">
        <v>3.9</v>
      </c>
      <c r="H521" s="53">
        <v>0</v>
      </c>
      <c r="I521" s="53">
        <v>860</v>
      </c>
      <c r="J521" s="53">
        <v>0</v>
      </c>
      <c r="K521" s="55">
        <f t="shared" si="31"/>
        <v>0.85</v>
      </c>
      <c r="L521" s="55">
        <f t="shared" si="28"/>
        <v>731</v>
      </c>
      <c r="M521" s="55">
        <v>0</v>
      </c>
      <c r="N521" s="101">
        <f t="shared" si="32"/>
        <v>731</v>
      </c>
      <c r="O521" s="57"/>
      <c r="P521" s="53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 spans="1:28" hidden="1" x14ac:dyDescent="0.25">
      <c r="A522" s="224"/>
      <c r="B522" s="96">
        <v>44699</v>
      </c>
      <c r="C522" s="52" t="s">
        <v>46</v>
      </c>
      <c r="D522" s="53" t="s">
        <v>38</v>
      </c>
      <c r="E522" s="53" t="s">
        <v>39</v>
      </c>
      <c r="F522" s="54" t="s">
        <v>40</v>
      </c>
      <c r="G522" s="53">
        <v>3.9</v>
      </c>
      <c r="H522" s="53">
        <v>0</v>
      </c>
      <c r="I522" s="53">
        <v>860</v>
      </c>
      <c r="J522" s="53">
        <v>0</v>
      </c>
      <c r="K522" s="55">
        <f t="shared" si="31"/>
        <v>0.85</v>
      </c>
      <c r="L522" s="55">
        <f t="shared" si="28"/>
        <v>731</v>
      </c>
      <c r="M522" s="55">
        <v>0</v>
      </c>
      <c r="N522" s="101">
        <f t="shared" si="32"/>
        <v>731</v>
      </c>
      <c r="O522" s="57"/>
      <c r="P522" s="53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</row>
    <row r="523" spans="1:28" hidden="1" x14ac:dyDescent="0.25">
      <c r="A523" s="224"/>
      <c r="B523" s="96">
        <v>44700</v>
      </c>
      <c r="C523" s="52" t="s">
        <v>50</v>
      </c>
      <c r="D523" s="53" t="s">
        <v>38</v>
      </c>
      <c r="E523" s="53" t="s">
        <v>39</v>
      </c>
      <c r="F523" s="54" t="s">
        <v>40</v>
      </c>
      <c r="G523" s="53">
        <v>3.9</v>
      </c>
      <c r="H523" s="53">
        <v>0</v>
      </c>
      <c r="I523" s="53">
        <v>860</v>
      </c>
      <c r="J523" s="53">
        <v>0</v>
      </c>
      <c r="K523" s="55">
        <f t="shared" si="31"/>
        <v>0.85</v>
      </c>
      <c r="L523" s="55">
        <f t="shared" si="28"/>
        <v>731</v>
      </c>
      <c r="M523" s="55">
        <v>0</v>
      </c>
      <c r="N523" s="101">
        <f t="shared" si="32"/>
        <v>731</v>
      </c>
      <c r="O523" s="57"/>
      <c r="P523" s="53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</row>
    <row r="524" spans="1:28" hidden="1" x14ac:dyDescent="0.25">
      <c r="A524" s="224"/>
      <c r="B524" s="96">
        <v>44701</v>
      </c>
      <c r="C524" s="52" t="s">
        <v>53</v>
      </c>
      <c r="D524" s="53" t="s">
        <v>38</v>
      </c>
      <c r="E524" s="53" t="s">
        <v>39</v>
      </c>
      <c r="F524" s="54" t="s">
        <v>40</v>
      </c>
      <c r="G524" s="53">
        <v>3.9</v>
      </c>
      <c r="H524" s="53">
        <v>0</v>
      </c>
      <c r="I524" s="53">
        <v>860</v>
      </c>
      <c r="J524" s="53">
        <v>0</v>
      </c>
      <c r="K524" s="55">
        <f t="shared" ref="K524:K560" si="33">VLOOKUP($D524&amp;$E524&amp;$F524&amp;YEAR($B524),$P:$AA,9,FALSE)</f>
        <v>0.85</v>
      </c>
      <c r="L524" s="55">
        <f t="shared" si="28"/>
        <v>731</v>
      </c>
      <c r="M524" s="55">
        <v>0</v>
      </c>
      <c r="N524" s="101">
        <f t="shared" si="32"/>
        <v>731</v>
      </c>
      <c r="O524" s="57"/>
      <c r="P524" s="53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</row>
    <row r="525" spans="1:28" hidden="1" x14ac:dyDescent="0.25">
      <c r="A525" s="224"/>
      <c r="B525" s="97">
        <v>44702</v>
      </c>
      <c r="C525" s="58" t="s">
        <v>57</v>
      </c>
      <c r="D525" s="60" t="s">
        <v>38</v>
      </c>
      <c r="E525" s="60" t="s">
        <v>39</v>
      </c>
      <c r="F525" s="61" t="s">
        <v>40</v>
      </c>
      <c r="G525" s="60">
        <v>3.9</v>
      </c>
      <c r="H525" s="60">
        <v>0</v>
      </c>
      <c r="I525" s="60">
        <v>860</v>
      </c>
      <c r="J525" s="60">
        <v>0</v>
      </c>
      <c r="K525" s="62">
        <f t="shared" si="33"/>
        <v>0.85</v>
      </c>
      <c r="L525" s="62">
        <f t="shared" si="28"/>
        <v>731</v>
      </c>
      <c r="M525" s="62">
        <v>0</v>
      </c>
      <c r="N525" s="102">
        <f t="shared" si="32"/>
        <v>731</v>
      </c>
      <c r="O525" s="64"/>
      <c r="P525" s="53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</row>
    <row r="526" spans="1:28" ht="15.75" hidden="1" thickBot="1" x14ac:dyDescent="0.3">
      <c r="A526" s="225"/>
      <c r="B526" s="98">
        <v>44703</v>
      </c>
      <c r="C526" s="66" t="s">
        <v>59</v>
      </c>
      <c r="D526" s="67" t="s">
        <v>38</v>
      </c>
      <c r="E526" s="67" t="s">
        <v>39</v>
      </c>
      <c r="F526" s="68" t="s">
        <v>40</v>
      </c>
      <c r="G526" s="67">
        <v>3.9</v>
      </c>
      <c r="H526" s="67">
        <v>0</v>
      </c>
      <c r="I526" s="67">
        <v>860</v>
      </c>
      <c r="J526" s="67">
        <v>0</v>
      </c>
      <c r="K526" s="69">
        <f t="shared" si="33"/>
        <v>0.85</v>
      </c>
      <c r="L526" s="69">
        <f t="shared" si="28"/>
        <v>731</v>
      </c>
      <c r="M526" s="69">
        <v>0</v>
      </c>
      <c r="N526" s="103">
        <f t="shared" si="32"/>
        <v>731</v>
      </c>
      <c r="O526" s="71"/>
      <c r="P526" s="53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</row>
    <row r="527" spans="1:28" hidden="1" x14ac:dyDescent="0.25">
      <c r="A527" s="223">
        <f>_xlfn.ISOWEEKNUM(B527)</f>
        <v>21</v>
      </c>
      <c r="B527" s="96">
        <v>44704</v>
      </c>
      <c r="C527" s="72" t="s">
        <v>37</v>
      </c>
      <c r="D527" s="41" t="s">
        <v>38</v>
      </c>
      <c r="E527" s="41" t="s">
        <v>39</v>
      </c>
      <c r="F527" s="43" t="s">
        <v>40</v>
      </c>
      <c r="G527" s="41">
        <v>4.9000000000000004</v>
      </c>
      <c r="H527" s="41">
        <v>0</v>
      </c>
      <c r="I527" s="41">
        <v>860</v>
      </c>
      <c r="J527" s="41">
        <v>0</v>
      </c>
      <c r="K527" s="73">
        <f t="shared" si="33"/>
        <v>0.85</v>
      </c>
      <c r="L527" s="73">
        <f t="shared" si="28"/>
        <v>731</v>
      </c>
      <c r="M527" s="73">
        <v>0</v>
      </c>
      <c r="N527" s="105">
        <f t="shared" si="32"/>
        <v>731</v>
      </c>
      <c r="O527" s="46"/>
      <c r="P527" s="53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</row>
    <row r="528" spans="1:28" hidden="1" x14ac:dyDescent="0.25">
      <c r="A528" s="224"/>
      <c r="B528" s="96">
        <v>44705</v>
      </c>
      <c r="C528" s="52" t="s">
        <v>42</v>
      </c>
      <c r="D528" s="53" t="s">
        <v>38</v>
      </c>
      <c r="E528" s="53" t="s">
        <v>39</v>
      </c>
      <c r="F528" s="54" t="s">
        <v>40</v>
      </c>
      <c r="G528" s="53">
        <v>3.9</v>
      </c>
      <c r="H528" s="53">
        <v>0</v>
      </c>
      <c r="I528" s="53">
        <v>860</v>
      </c>
      <c r="J528" s="53">
        <v>0</v>
      </c>
      <c r="K528" s="55">
        <f t="shared" si="33"/>
        <v>0.85</v>
      </c>
      <c r="L528" s="55">
        <f t="shared" si="28"/>
        <v>731</v>
      </c>
      <c r="M528" s="55">
        <v>0</v>
      </c>
      <c r="N528" s="101">
        <f t="shared" si="32"/>
        <v>731</v>
      </c>
      <c r="O528" s="57"/>
      <c r="P528" s="53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 spans="1:28" hidden="1" x14ac:dyDescent="0.25">
      <c r="A529" s="224"/>
      <c r="B529" s="96">
        <v>44706</v>
      </c>
      <c r="C529" s="52" t="s">
        <v>46</v>
      </c>
      <c r="D529" s="53" t="s">
        <v>38</v>
      </c>
      <c r="E529" s="53" t="s">
        <v>39</v>
      </c>
      <c r="F529" s="54" t="s">
        <v>40</v>
      </c>
      <c r="G529" s="53">
        <v>3.9</v>
      </c>
      <c r="H529" s="53">
        <v>0</v>
      </c>
      <c r="I529" s="53">
        <v>860</v>
      </c>
      <c r="J529" s="53">
        <v>0</v>
      </c>
      <c r="K529" s="55">
        <f t="shared" si="33"/>
        <v>0.85</v>
      </c>
      <c r="L529" s="55">
        <f t="shared" si="28"/>
        <v>731</v>
      </c>
      <c r="M529" s="55">
        <v>0</v>
      </c>
      <c r="N529" s="101">
        <f t="shared" si="32"/>
        <v>731</v>
      </c>
      <c r="O529" s="57"/>
      <c r="P529" s="53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</row>
    <row r="530" spans="1:28" hidden="1" x14ac:dyDescent="0.25">
      <c r="A530" s="224"/>
      <c r="B530" s="135">
        <v>44707</v>
      </c>
      <c r="C530" s="90" t="s">
        <v>50</v>
      </c>
      <c r="D530" s="53" t="s">
        <v>38</v>
      </c>
      <c r="E530" s="53" t="s">
        <v>39</v>
      </c>
      <c r="F530" s="54" t="s">
        <v>40</v>
      </c>
      <c r="G530" s="53">
        <v>3.9</v>
      </c>
      <c r="H530" s="53">
        <v>0</v>
      </c>
      <c r="I530" s="53">
        <v>860</v>
      </c>
      <c r="J530" s="53">
        <v>0</v>
      </c>
      <c r="K530" s="55">
        <f t="shared" si="33"/>
        <v>0.85</v>
      </c>
      <c r="L530" s="55">
        <f t="shared" si="28"/>
        <v>731</v>
      </c>
      <c r="M530" s="55">
        <v>0</v>
      </c>
      <c r="N530" s="101">
        <f t="shared" si="32"/>
        <v>731</v>
      </c>
      <c r="O530" s="57"/>
      <c r="P530" s="53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</row>
    <row r="531" spans="1:28" hidden="1" x14ac:dyDescent="0.25">
      <c r="A531" s="224"/>
      <c r="B531" s="96">
        <v>44708</v>
      </c>
      <c r="C531" s="52" t="s">
        <v>53</v>
      </c>
      <c r="D531" s="53" t="s">
        <v>38</v>
      </c>
      <c r="E531" s="53" t="s">
        <v>39</v>
      </c>
      <c r="F531" s="54" t="s">
        <v>40</v>
      </c>
      <c r="G531" s="53">
        <v>5.9</v>
      </c>
      <c r="H531" s="53">
        <v>0</v>
      </c>
      <c r="I531" s="53">
        <v>860</v>
      </c>
      <c r="J531" s="53">
        <v>0</v>
      </c>
      <c r="K531" s="55">
        <f t="shared" si="33"/>
        <v>0.85</v>
      </c>
      <c r="L531" s="55">
        <f t="shared" si="28"/>
        <v>731</v>
      </c>
      <c r="M531" s="55">
        <v>0</v>
      </c>
      <c r="N531" s="101">
        <f t="shared" si="32"/>
        <v>731</v>
      </c>
      <c r="O531" s="57"/>
      <c r="P531" s="53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</row>
    <row r="532" spans="1:28" hidden="1" x14ac:dyDescent="0.25">
      <c r="A532" s="224"/>
      <c r="B532" s="97">
        <v>44709</v>
      </c>
      <c r="C532" s="58" t="s">
        <v>57</v>
      </c>
      <c r="D532" s="60" t="s">
        <v>38</v>
      </c>
      <c r="E532" s="60" t="s">
        <v>39</v>
      </c>
      <c r="F532" s="61" t="s">
        <v>40</v>
      </c>
      <c r="G532" s="60">
        <v>5.9</v>
      </c>
      <c r="H532" s="60">
        <v>0</v>
      </c>
      <c r="I532" s="60">
        <v>860</v>
      </c>
      <c r="J532" s="60">
        <v>0</v>
      </c>
      <c r="K532" s="62">
        <f t="shared" si="33"/>
        <v>0.85</v>
      </c>
      <c r="L532" s="62">
        <f t="shared" ref="L532:L589" si="34">IF(J532&lt;&gt;0,J532,I532)*K532</f>
        <v>731</v>
      </c>
      <c r="M532" s="62">
        <v>0</v>
      </c>
      <c r="N532" s="102">
        <f t="shared" si="32"/>
        <v>731</v>
      </c>
      <c r="O532" s="64"/>
      <c r="P532" s="53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</row>
    <row r="533" spans="1:28" ht="15.75" hidden="1" thickBot="1" x14ac:dyDescent="0.3">
      <c r="A533" s="225"/>
      <c r="B533" s="98">
        <v>44710</v>
      </c>
      <c r="C533" s="66" t="s">
        <v>59</v>
      </c>
      <c r="D533" s="67" t="s">
        <v>38</v>
      </c>
      <c r="E533" s="67" t="s">
        <v>39</v>
      </c>
      <c r="F533" s="68" t="s">
        <v>40</v>
      </c>
      <c r="G533" s="67">
        <v>5.9</v>
      </c>
      <c r="H533" s="67">
        <v>0</v>
      </c>
      <c r="I533" s="67">
        <v>860</v>
      </c>
      <c r="J533" s="67">
        <v>0</v>
      </c>
      <c r="K533" s="69">
        <f t="shared" si="33"/>
        <v>0.85</v>
      </c>
      <c r="L533" s="69">
        <f t="shared" si="34"/>
        <v>731</v>
      </c>
      <c r="M533" s="69">
        <v>0</v>
      </c>
      <c r="N533" s="103">
        <f t="shared" si="32"/>
        <v>731</v>
      </c>
      <c r="O533" s="71"/>
      <c r="P533" s="53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</row>
    <row r="534" spans="1:28" hidden="1" x14ac:dyDescent="0.25">
      <c r="A534" s="223">
        <f>_xlfn.ISOWEEKNUM(B534)</f>
        <v>22</v>
      </c>
      <c r="B534" s="96">
        <v>44711</v>
      </c>
      <c r="C534" s="72" t="s">
        <v>37</v>
      </c>
      <c r="D534" s="41" t="s">
        <v>38</v>
      </c>
      <c r="E534" s="41" t="s">
        <v>39</v>
      </c>
      <c r="F534" s="43" t="s">
        <v>40</v>
      </c>
      <c r="G534" s="41">
        <v>8</v>
      </c>
      <c r="H534" s="41">
        <v>0</v>
      </c>
      <c r="I534" s="41">
        <v>860</v>
      </c>
      <c r="J534" s="41">
        <v>0</v>
      </c>
      <c r="K534" s="73">
        <f t="shared" si="33"/>
        <v>0.85</v>
      </c>
      <c r="L534" s="73">
        <f t="shared" si="34"/>
        <v>731</v>
      </c>
      <c r="M534" s="73">
        <v>0</v>
      </c>
      <c r="N534" s="105">
        <f t="shared" si="32"/>
        <v>731</v>
      </c>
      <c r="O534" s="46"/>
      <c r="P534" s="53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</row>
    <row r="535" spans="1:28" hidden="1" x14ac:dyDescent="0.25">
      <c r="A535" s="224"/>
      <c r="B535" s="96">
        <v>44712</v>
      </c>
      <c r="C535" s="52" t="s">
        <v>42</v>
      </c>
      <c r="D535" s="53" t="s">
        <v>38</v>
      </c>
      <c r="E535" s="53" t="s">
        <v>39</v>
      </c>
      <c r="F535" s="54" t="s">
        <v>40</v>
      </c>
      <c r="G535" s="53">
        <v>10</v>
      </c>
      <c r="H535" s="53">
        <v>0</v>
      </c>
      <c r="I535" s="53">
        <v>860</v>
      </c>
      <c r="J535" s="53">
        <v>0</v>
      </c>
      <c r="K535" s="55">
        <f t="shared" si="33"/>
        <v>0.85</v>
      </c>
      <c r="L535" s="55">
        <f t="shared" si="34"/>
        <v>731</v>
      </c>
      <c r="M535" s="55">
        <v>0</v>
      </c>
      <c r="N535" s="101">
        <f t="shared" si="32"/>
        <v>731</v>
      </c>
      <c r="O535" s="57"/>
      <c r="P535" s="53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 spans="1:28" hidden="1" x14ac:dyDescent="0.25">
      <c r="A536" s="224"/>
      <c r="B536" s="96">
        <v>44713</v>
      </c>
      <c r="C536" s="52" t="s">
        <v>46</v>
      </c>
      <c r="D536" s="53" t="s">
        <v>38</v>
      </c>
      <c r="E536" s="53" t="s">
        <v>39</v>
      </c>
      <c r="F536" s="54" t="s">
        <v>40</v>
      </c>
      <c r="G536" s="53">
        <v>12</v>
      </c>
      <c r="H536" s="53">
        <v>0</v>
      </c>
      <c r="I536" s="53">
        <v>860</v>
      </c>
      <c r="J536" s="53">
        <v>0</v>
      </c>
      <c r="K536" s="55">
        <f t="shared" si="33"/>
        <v>0.85</v>
      </c>
      <c r="L536" s="55">
        <f t="shared" si="34"/>
        <v>731</v>
      </c>
      <c r="M536" s="55">
        <v>0</v>
      </c>
      <c r="N536" s="101">
        <f t="shared" si="32"/>
        <v>731</v>
      </c>
      <c r="O536" s="57" t="s">
        <v>146</v>
      </c>
      <c r="P536" s="53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</row>
    <row r="537" spans="1:28" hidden="1" x14ac:dyDescent="0.25">
      <c r="A537" s="224"/>
      <c r="B537" s="96">
        <v>44714</v>
      </c>
      <c r="C537" s="52" t="s">
        <v>50</v>
      </c>
      <c r="D537" s="53" t="s">
        <v>38</v>
      </c>
      <c r="E537" s="53" t="s">
        <v>39</v>
      </c>
      <c r="F537" s="54" t="s">
        <v>40</v>
      </c>
      <c r="G537" s="53">
        <v>5.9</v>
      </c>
      <c r="H537" s="53">
        <v>0</v>
      </c>
      <c r="I537" s="53">
        <v>860</v>
      </c>
      <c r="J537" s="53">
        <v>0</v>
      </c>
      <c r="K537" s="55">
        <f t="shared" si="33"/>
        <v>0.85</v>
      </c>
      <c r="L537" s="55">
        <f t="shared" si="34"/>
        <v>731</v>
      </c>
      <c r="M537" s="55">
        <v>0</v>
      </c>
      <c r="N537" s="101">
        <f t="shared" si="32"/>
        <v>731</v>
      </c>
      <c r="O537" s="57"/>
      <c r="P537" s="53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</row>
    <row r="538" spans="1:28" hidden="1" x14ac:dyDescent="0.25">
      <c r="A538" s="224"/>
      <c r="B538" s="96">
        <v>44715</v>
      </c>
      <c r="C538" s="52" t="s">
        <v>53</v>
      </c>
      <c r="D538" s="53" t="s">
        <v>38</v>
      </c>
      <c r="E538" s="53" t="s">
        <v>39</v>
      </c>
      <c r="F538" s="54" t="s">
        <v>40</v>
      </c>
      <c r="G538" s="53">
        <v>3.9</v>
      </c>
      <c r="H538" s="53">
        <v>0</v>
      </c>
      <c r="I538" s="53">
        <v>860</v>
      </c>
      <c r="J538" s="53">
        <v>0</v>
      </c>
      <c r="K538" s="55">
        <f t="shared" si="33"/>
        <v>0.85</v>
      </c>
      <c r="L538" s="55">
        <f t="shared" si="34"/>
        <v>731</v>
      </c>
      <c r="M538" s="55">
        <v>0</v>
      </c>
      <c r="N538" s="101">
        <f t="shared" ref="N538:N569" si="35">L538*(1-M538)</f>
        <v>731</v>
      </c>
      <c r="O538" s="57"/>
      <c r="P538" s="53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</row>
    <row r="539" spans="1:28" hidden="1" x14ac:dyDescent="0.25">
      <c r="A539" s="224"/>
      <c r="B539" s="97">
        <v>44716</v>
      </c>
      <c r="C539" s="58" t="s">
        <v>57</v>
      </c>
      <c r="D539" s="60" t="s">
        <v>38</v>
      </c>
      <c r="E539" s="60" t="s">
        <v>39</v>
      </c>
      <c r="F539" s="61" t="s">
        <v>40</v>
      </c>
      <c r="G539" s="60">
        <v>3.9</v>
      </c>
      <c r="H539" s="60">
        <v>0</v>
      </c>
      <c r="I539" s="60">
        <v>860</v>
      </c>
      <c r="J539" s="60">
        <v>0</v>
      </c>
      <c r="K539" s="62">
        <f t="shared" si="33"/>
        <v>0.85</v>
      </c>
      <c r="L539" s="62">
        <f t="shared" si="34"/>
        <v>731</v>
      </c>
      <c r="M539" s="62">
        <v>0</v>
      </c>
      <c r="N539" s="102">
        <f t="shared" si="35"/>
        <v>731</v>
      </c>
      <c r="O539" s="64"/>
      <c r="P539" s="53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</row>
    <row r="540" spans="1:28" ht="15.75" hidden="1" thickBot="1" x14ac:dyDescent="0.3">
      <c r="A540" s="225"/>
      <c r="B540" s="98">
        <v>44717</v>
      </c>
      <c r="C540" s="66" t="s">
        <v>59</v>
      </c>
      <c r="D540" s="67" t="s">
        <v>38</v>
      </c>
      <c r="E540" s="67" t="s">
        <v>39</v>
      </c>
      <c r="F540" s="68" t="s">
        <v>40</v>
      </c>
      <c r="G540" s="67">
        <v>3.9</v>
      </c>
      <c r="H540" s="67">
        <v>0</v>
      </c>
      <c r="I540" s="67">
        <v>860</v>
      </c>
      <c r="J540" s="67">
        <v>0</v>
      </c>
      <c r="K540" s="69">
        <f t="shared" si="33"/>
        <v>0.85</v>
      </c>
      <c r="L540" s="69">
        <f t="shared" si="34"/>
        <v>731</v>
      </c>
      <c r="M540" s="69">
        <v>0</v>
      </c>
      <c r="N540" s="103">
        <f t="shared" si="35"/>
        <v>731</v>
      </c>
      <c r="O540" s="71"/>
      <c r="P540" s="53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</row>
    <row r="541" spans="1:28" hidden="1" x14ac:dyDescent="0.25">
      <c r="A541" s="223">
        <f>_xlfn.ISOWEEKNUM(B541)</f>
        <v>23</v>
      </c>
      <c r="B541" s="135">
        <v>44718</v>
      </c>
      <c r="C541" s="86" t="s">
        <v>37</v>
      </c>
      <c r="D541" s="41" t="s">
        <v>38</v>
      </c>
      <c r="E541" s="41" t="s">
        <v>39</v>
      </c>
      <c r="F541" s="43" t="s">
        <v>40</v>
      </c>
      <c r="G541" s="41">
        <v>3.9</v>
      </c>
      <c r="H541" s="41">
        <v>0</v>
      </c>
      <c r="I541" s="41">
        <v>860</v>
      </c>
      <c r="J541" s="41">
        <v>0</v>
      </c>
      <c r="K541" s="73">
        <f t="shared" si="33"/>
        <v>0.85</v>
      </c>
      <c r="L541" s="73">
        <f t="shared" si="34"/>
        <v>731</v>
      </c>
      <c r="M541" s="73">
        <v>0</v>
      </c>
      <c r="N541" s="105">
        <f t="shared" si="35"/>
        <v>731</v>
      </c>
      <c r="O541" s="46"/>
      <c r="P541" s="53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</row>
    <row r="542" spans="1:28" hidden="1" x14ac:dyDescent="0.25">
      <c r="A542" s="224"/>
      <c r="B542" s="96">
        <v>44719</v>
      </c>
      <c r="C542" s="52" t="s">
        <v>42</v>
      </c>
      <c r="D542" s="53" t="s">
        <v>38</v>
      </c>
      <c r="E542" s="53" t="s">
        <v>39</v>
      </c>
      <c r="F542" s="54" t="s">
        <v>40</v>
      </c>
      <c r="G542" s="53">
        <v>4.9000000000000004</v>
      </c>
      <c r="H542" s="53">
        <v>0</v>
      </c>
      <c r="I542" s="53">
        <v>860</v>
      </c>
      <c r="J542" s="53">
        <v>0</v>
      </c>
      <c r="K542" s="55">
        <f t="shared" si="33"/>
        <v>0.85</v>
      </c>
      <c r="L542" s="55">
        <f t="shared" si="34"/>
        <v>731</v>
      </c>
      <c r="M542" s="55">
        <v>0</v>
      </c>
      <c r="N542" s="101">
        <f t="shared" si="35"/>
        <v>731</v>
      </c>
      <c r="O542" s="57"/>
      <c r="P542" s="53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 spans="1:28" hidden="1" x14ac:dyDescent="0.25">
      <c r="A543" s="224"/>
      <c r="B543" s="96">
        <v>44720</v>
      </c>
      <c r="C543" s="52" t="s">
        <v>46</v>
      </c>
      <c r="D543" s="53" t="s">
        <v>38</v>
      </c>
      <c r="E543" s="53" t="s">
        <v>39</v>
      </c>
      <c r="F543" s="54" t="s">
        <v>40</v>
      </c>
      <c r="G543" s="53">
        <v>4.9000000000000004</v>
      </c>
      <c r="H543" s="53">
        <v>0</v>
      </c>
      <c r="I543" s="53">
        <v>860</v>
      </c>
      <c r="J543" s="53">
        <v>0</v>
      </c>
      <c r="K543" s="55">
        <f t="shared" si="33"/>
        <v>0.85</v>
      </c>
      <c r="L543" s="55">
        <f t="shared" si="34"/>
        <v>731</v>
      </c>
      <c r="M543" s="55">
        <v>0</v>
      </c>
      <c r="N543" s="101">
        <f t="shared" si="35"/>
        <v>731</v>
      </c>
      <c r="O543" s="57"/>
      <c r="P543" s="53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</row>
    <row r="544" spans="1:28" hidden="1" x14ac:dyDescent="0.25">
      <c r="A544" s="224"/>
      <c r="B544" s="96">
        <v>44721</v>
      </c>
      <c r="C544" s="52" t="s">
        <v>50</v>
      </c>
      <c r="D544" s="53" t="s">
        <v>38</v>
      </c>
      <c r="E544" s="53" t="s">
        <v>39</v>
      </c>
      <c r="F544" s="54" t="s">
        <v>40</v>
      </c>
      <c r="G544" s="53">
        <v>5.9</v>
      </c>
      <c r="H544" s="53">
        <v>0</v>
      </c>
      <c r="I544" s="53">
        <v>860</v>
      </c>
      <c r="J544" s="53">
        <v>0</v>
      </c>
      <c r="K544" s="55">
        <f t="shared" si="33"/>
        <v>0.85</v>
      </c>
      <c r="L544" s="55">
        <f t="shared" si="34"/>
        <v>731</v>
      </c>
      <c r="M544" s="55">
        <v>0</v>
      </c>
      <c r="N544" s="101">
        <f t="shared" si="35"/>
        <v>731</v>
      </c>
      <c r="O544" s="57"/>
      <c r="P544" s="53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</row>
    <row r="545" spans="1:28" hidden="1" x14ac:dyDescent="0.25">
      <c r="A545" s="224"/>
      <c r="B545" s="96">
        <v>44722</v>
      </c>
      <c r="C545" s="52" t="s">
        <v>53</v>
      </c>
      <c r="D545" s="53" t="s">
        <v>38</v>
      </c>
      <c r="E545" s="53" t="s">
        <v>39</v>
      </c>
      <c r="F545" s="54" t="s">
        <v>40</v>
      </c>
      <c r="G545" s="53">
        <v>8</v>
      </c>
      <c r="H545" s="53">
        <v>0</v>
      </c>
      <c r="I545" s="53">
        <v>860</v>
      </c>
      <c r="J545" s="53">
        <v>0</v>
      </c>
      <c r="K545" s="55">
        <f t="shared" si="33"/>
        <v>0.85</v>
      </c>
      <c r="L545" s="55">
        <f t="shared" si="34"/>
        <v>731</v>
      </c>
      <c r="M545" s="55">
        <v>0</v>
      </c>
      <c r="N545" s="101">
        <f t="shared" si="35"/>
        <v>731</v>
      </c>
      <c r="O545" s="57"/>
      <c r="P545" s="53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</row>
    <row r="546" spans="1:28" hidden="1" x14ac:dyDescent="0.25">
      <c r="A546" s="224"/>
      <c r="B546" s="97">
        <v>44723</v>
      </c>
      <c r="C546" s="58" t="s">
        <v>57</v>
      </c>
      <c r="D546" s="60" t="s">
        <v>38</v>
      </c>
      <c r="E546" s="60" t="s">
        <v>39</v>
      </c>
      <c r="F546" s="61" t="s">
        <v>40</v>
      </c>
      <c r="G546" s="60">
        <v>8</v>
      </c>
      <c r="H546" s="60">
        <v>0</v>
      </c>
      <c r="I546" s="60">
        <v>860</v>
      </c>
      <c r="J546" s="60">
        <v>0</v>
      </c>
      <c r="K546" s="62">
        <f t="shared" si="33"/>
        <v>0.85</v>
      </c>
      <c r="L546" s="62">
        <f t="shared" si="34"/>
        <v>731</v>
      </c>
      <c r="M546" s="62">
        <v>0</v>
      </c>
      <c r="N546" s="102">
        <f t="shared" si="35"/>
        <v>731</v>
      </c>
      <c r="O546" s="64"/>
      <c r="P546" s="53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</row>
    <row r="547" spans="1:28" ht="15.75" hidden="1" thickBot="1" x14ac:dyDescent="0.3">
      <c r="A547" s="225"/>
      <c r="B547" s="98">
        <v>44724</v>
      </c>
      <c r="C547" s="66" t="s">
        <v>59</v>
      </c>
      <c r="D547" s="67" t="s">
        <v>38</v>
      </c>
      <c r="E547" s="67" t="s">
        <v>39</v>
      </c>
      <c r="F547" s="68" t="s">
        <v>40</v>
      </c>
      <c r="G547" s="67">
        <v>8</v>
      </c>
      <c r="H547" s="67">
        <v>0</v>
      </c>
      <c r="I547" s="67">
        <v>860</v>
      </c>
      <c r="J547" s="67">
        <v>0</v>
      </c>
      <c r="K547" s="69">
        <f t="shared" si="33"/>
        <v>0.85</v>
      </c>
      <c r="L547" s="69">
        <f t="shared" si="34"/>
        <v>731</v>
      </c>
      <c r="M547" s="69">
        <v>0</v>
      </c>
      <c r="N547" s="103">
        <f t="shared" si="35"/>
        <v>731</v>
      </c>
      <c r="O547" s="71"/>
      <c r="P547" s="53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</row>
    <row r="548" spans="1:28" hidden="1" x14ac:dyDescent="0.25">
      <c r="A548" s="223">
        <f>_xlfn.ISOWEEKNUM(B548)</f>
        <v>24</v>
      </c>
      <c r="B548" s="96">
        <v>44725</v>
      </c>
      <c r="C548" s="72" t="s">
        <v>37</v>
      </c>
      <c r="D548" s="41" t="s">
        <v>38</v>
      </c>
      <c r="E548" s="41" t="s">
        <v>39</v>
      </c>
      <c r="F548" s="43" t="s">
        <v>40</v>
      </c>
      <c r="G548" s="41">
        <v>5.9</v>
      </c>
      <c r="H548" s="41">
        <v>0</v>
      </c>
      <c r="I548" s="41">
        <v>860</v>
      </c>
      <c r="J548" s="41">
        <v>0</v>
      </c>
      <c r="K548" s="73">
        <f t="shared" si="33"/>
        <v>0.85</v>
      </c>
      <c r="L548" s="73">
        <f t="shared" si="34"/>
        <v>731</v>
      </c>
      <c r="M548" s="73">
        <v>0</v>
      </c>
      <c r="N548" s="105">
        <f t="shared" si="35"/>
        <v>731</v>
      </c>
      <c r="O548" s="138"/>
      <c r="P548" s="53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</row>
    <row r="549" spans="1:28" hidden="1" x14ac:dyDescent="0.25">
      <c r="A549" s="224"/>
      <c r="B549" s="96">
        <v>44726</v>
      </c>
      <c r="C549" s="52" t="s">
        <v>42</v>
      </c>
      <c r="D549" s="53" t="s">
        <v>38</v>
      </c>
      <c r="E549" s="53" t="s">
        <v>39</v>
      </c>
      <c r="F549" s="54" t="s">
        <v>40</v>
      </c>
      <c r="G549" s="41">
        <v>3.9</v>
      </c>
      <c r="H549" s="53">
        <v>0</v>
      </c>
      <c r="I549" s="53">
        <v>860</v>
      </c>
      <c r="J549" s="53">
        <v>0</v>
      </c>
      <c r="K549" s="55">
        <f t="shared" si="33"/>
        <v>0.85</v>
      </c>
      <c r="L549" s="55">
        <f t="shared" si="34"/>
        <v>731</v>
      </c>
      <c r="M549" s="55">
        <v>0</v>
      </c>
      <c r="N549" s="101">
        <f t="shared" si="35"/>
        <v>731</v>
      </c>
      <c r="O549" s="57"/>
      <c r="P549" s="53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 spans="1:28" hidden="1" x14ac:dyDescent="0.25">
      <c r="A550" s="224"/>
      <c r="B550" s="96">
        <v>44727</v>
      </c>
      <c r="C550" s="52" t="s">
        <v>46</v>
      </c>
      <c r="D550" s="53" t="s">
        <v>38</v>
      </c>
      <c r="E550" s="53" t="s">
        <v>39</v>
      </c>
      <c r="F550" s="54" t="s">
        <v>40</v>
      </c>
      <c r="G550" s="41">
        <v>3.9</v>
      </c>
      <c r="H550" s="53">
        <v>0</v>
      </c>
      <c r="I550" s="53">
        <v>860</v>
      </c>
      <c r="J550" s="53">
        <v>0</v>
      </c>
      <c r="K550" s="55">
        <f t="shared" si="33"/>
        <v>0.85</v>
      </c>
      <c r="L550" s="55">
        <f t="shared" si="34"/>
        <v>731</v>
      </c>
      <c r="M550" s="55">
        <v>0</v>
      </c>
      <c r="N550" s="101">
        <f t="shared" si="35"/>
        <v>731</v>
      </c>
      <c r="O550" s="57"/>
      <c r="P550" s="53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</row>
    <row r="551" spans="1:28" hidden="1" x14ac:dyDescent="0.25">
      <c r="A551" s="224"/>
      <c r="B551" s="135">
        <v>44728</v>
      </c>
      <c r="C551" s="90" t="s">
        <v>50</v>
      </c>
      <c r="D551" s="53" t="s">
        <v>38</v>
      </c>
      <c r="E551" s="53" t="s">
        <v>39</v>
      </c>
      <c r="F551" s="54" t="s">
        <v>40</v>
      </c>
      <c r="G551" s="41">
        <v>3.9</v>
      </c>
      <c r="H551" s="53">
        <v>0</v>
      </c>
      <c r="I551" s="53">
        <v>860</v>
      </c>
      <c r="J551" s="53">
        <v>0</v>
      </c>
      <c r="K551" s="55">
        <f t="shared" si="33"/>
        <v>0.85</v>
      </c>
      <c r="L551" s="55">
        <f t="shared" si="34"/>
        <v>731</v>
      </c>
      <c r="M551" s="55">
        <v>0</v>
      </c>
      <c r="N551" s="101">
        <f t="shared" si="35"/>
        <v>731</v>
      </c>
      <c r="O551" s="57"/>
      <c r="P551" s="53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</row>
    <row r="552" spans="1:28" hidden="1" x14ac:dyDescent="0.25">
      <c r="A552" s="224"/>
      <c r="B552" s="96">
        <v>44729</v>
      </c>
      <c r="C552" s="52" t="s">
        <v>53</v>
      </c>
      <c r="D552" s="53" t="s">
        <v>38</v>
      </c>
      <c r="E552" s="53" t="s">
        <v>39</v>
      </c>
      <c r="F552" s="54" t="s">
        <v>40</v>
      </c>
      <c r="G552" s="41">
        <v>3.9</v>
      </c>
      <c r="H552" s="53">
        <v>0</v>
      </c>
      <c r="I552" s="53">
        <v>860</v>
      </c>
      <c r="J552" s="53">
        <v>0</v>
      </c>
      <c r="K552" s="55">
        <f t="shared" si="33"/>
        <v>0.85</v>
      </c>
      <c r="L552" s="55">
        <f t="shared" si="34"/>
        <v>731</v>
      </c>
      <c r="M552" s="55">
        <v>0</v>
      </c>
      <c r="N552" s="101">
        <f t="shared" si="35"/>
        <v>731</v>
      </c>
      <c r="O552" s="57"/>
      <c r="P552" s="53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</row>
    <row r="553" spans="1:28" hidden="1" x14ac:dyDescent="0.25">
      <c r="A553" s="224"/>
      <c r="B553" s="97">
        <v>44730</v>
      </c>
      <c r="C553" s="58" t="s">
        <v>57</v>
      </c>
      <c r="D553" s="60" t="s">
        <v>38</v>
      </c>
      <c r="E553" s="60" t="s">
        <v>39</v>
      </c>
      <c r="F553" s="61" t="s">
        <v>40</v>
      </c>
      <c r="G553" s="136">
        <v>3.9</v>
      </c>
      <c r="H553" s="60">
        <v>0</v>
      </c>
      <c r="I553" s="60">
        <v>860</v>
      </c>
      <c r="J553" s="60">
        <v>0</v>
      </c>
      <c r="K553" s="62">
        <f t="shared" si="33"/>
        <v>0.85</v>
      </c>
      <c r="L553" s="62">
        <f t="shared" si="34"/>
        <v>731</v>
      </c>
      <c r="M553" s="62">
        <v>0</v>
      </c>
      <c r="N553" s="102">
        <f t="shared" si="35"/>
        <v>731</v>
      </c>
      <c r="O553" s="64"/>
      <c r="P553" s="53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</row>
    <row r="554" spans="1:28" ht="15.75" hidden="1" thickBot="1" x14ac:dyDescent="0.3">
      <c r="A554" s="225"/>
      <c r="B554" s="98">
        <v>44731</v>
      </c>
      <c r="C554" s="66" t="s">
        <v>59</v>
      </c>
      <c r="D554" s="67" t="s">
        <v>38</v>
      </c>
      <c r="E554" s="67" t="s">
        <v>39</v>
      </c>
      <c r="F554" s="68" t="s">
        <v>40</v>
      </c>
      <c r="G554" s="137">
        <v>5.9</v>
      </c>
      <c r="H554" s="67">
        <v>0</v>
      </c>
      <c r="I554" s="67">
        <v>860</v>
      </c>
      <c r="J554" s="67">
        <v>0</v>
      </c>
      <c r="K554" s="69">
        <f t="shared" si="33"/>
        <v>0.85</v>
      </c>
      <c r="L554" s="69">
        <f t="shared" si="34"/>
        <v>731</v>
      </c>
      <c r="M554" s="69">
        <v>0</v>
      </c>
      <c r="N554" s="103">
        <f t="shared" si="35"/>
        <v>731</v>
      </c>
      <c r="O554" s="71"/>
      <c r="P554" s="53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</row>
    <row r="555" spans="1:28" hidden="1" x14ac:dyDescent="0.25">
      <c r="A555" s="223">
        <f>_xlfn.ISOWEEKNUM(B555)</f>
        <v>25</v>
      </c>
      <c r="B555" s="96">
        <v>44732</v>
      </c>
      <c r="C555" s="72" t="s">
        <v>37</v>
      </c>
      <c r="D555" s="41" t="s">
        <v>38</v>
      </c>
      <c r="E555" s="41" t="s">
        <v>39</v>
      </c>
      <c r="F555" s="43" t="s">
        <v>40</v>
      </c>
      <c r="G555" s="41" t="s">
        <v>11</v>
      </c>
      <c r="H555" s="41">
        <v>0</v>
      </c>
      <c r="I555" s="41">
        <v>860</v>
      </c>
      <c r="J555" s="41">
        <v>0</v>
      </c>
      <c r="K555" s="73">
        <f t="shared" si="33"/>
        <v>0.85</v>
      </c>
      <c r="L555" s="73">
        <f t="shared" si="34"/>
        <v>731</v>
      </c>
      <c r="M555" s="73">
        <v>0</v>
      </c>
      <c r="N555" s="105">
        <f t="shared" si="35"/>
        <v>731</v>
      </c>
      <c r="O555" s="46" t="s">
        <v>147</v>
      </c>
      <c r="P555" s="13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</row>
    <row r="556" spans="1:28" hidden="1" x14ac:dyDescent="0.25">
      <c r="A556" s="224"/>
      <c r="B556" s="96">
        <v>44733</v>
      </c>
      <c r="C556" s="52" t="s">
        <v>42</v>
      </c>
      <c r="D556" s="53" t="s">
        <v>38</v>
      </c>
      <c r="E556" s="53" t="s">
        <v>39</v>
      </c>
      <c r="F556" s="54" t="s">
        <v>40</v>
      </c>
      <c r="G556" s="41" t="s">
        <v>12</v>
      </c>
      <c r="H556" s="53">
        <v>0</v>
      </c>
      <c r="I556" s="53">
        <v>860</v>
      </c>
      <c r="J556" s="53">
        <v>0</v>
      </c>
      <c r="K556" s="55">
        <f t="shared" si="33"/>
        <v>0.85</v>
      </c>
      <c r="L556" s="55">
        <f t="shared" si="34"/>
        <v>731</v>
      </c>
      <c r="M556" s="55">
        <v>0</v>
      </c>
      <c r="N556" s="101">
        <f t="shared" si="35"/>
        <v>731</v>
      </c>
      <c r="O556" s="57" t="s">
        <v>148</v>
      </c>
      <c r="P556" s="53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 spans="1:28" hidden="1" x14ac:dyDescent="0.25">
      <c r="A557" s="224"/>
      <c r="B557" s="96">
        <v>44734</v>
      </c>
      <c r="C557" s="52" t="s">
        <v>46</v>
      </c>
      <c r="D557" s="53" t="s">
        <v>38</v>
      </c>
      <c r="E557" s="53" t="s">
        <v>39</v>
      </c>
      <c r="F557" s="54" t="s">
        <v>40</v>
      </c>
      <c r="G557" s="41">
        <v>3.9</v>
      </c>
      <c r="H557" s="53">
        <v>0</v>
      </c>
      <c r="I557" s="53">
        <v>860</v>
      </c>
      <c r="J557" s="53">
        <v>0</v>
      </c>
      <c r="K557" s="55">
        <f t="shared" si="33"/>
        <v>0.85</v>
      </c>
      <c r="L557" s="55">
        <f t="shared" si="34"/>
        <v>731</v>
      </c>
      <c r="M557" s="55">
        <v>0</v>
      </c>
      <c r="N557" s="101">
        <f t="shared" si="35"/>
        <v>731</v>
      </c>
      <c r="O557" s="57"/>
      <c r="P557" s="53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</row>
    <row r="558" spans="1:28" hidden="1" x14ac:dyDescent="0.25">
      <c r="A558" s="224"/>
      <c r="B558" s="96">
        <v>44735</v>
      </c>
      <c r="C558" s="52" t="s">
        <v>50</v>
      </c>
      <c r="D558" s="53" t="s">
        <v>38</v>
      </c>
      <c r="E558" s="53" t="s">
        <v>39</v>
      </c>
      <c r="F558" s="54" t="s">
        <v>40</v>
      </c>
      <c r="G558" s="41">
        <v>4.9000000000000004</v>
      </c>
      <c r="H558" s="53">
        <v>0</v>
      </c>
      <c r="I558" s="53">
        <v>860</v>
      </c>
      <c r="J558" s="53">
        <v>0</v>
      </c>
      <c r="K558" s="55">
        <f t="shared" si="33"/>
        <v>0.85</v>
      </c>
      <c r="L558" s="55">
        <f t="shared" si="34"/>
        <v>731</v>
      </c>
      <c r="M558" s="55">
        <v>0</v>
      </c>
      <c r="N558" s="101">
        <f t="shared" si="35"/>
        <v>731</v>
      </c>
      <c r="O558" s="57"/>
      <c r="P558" s="53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</row>
    <row r="559" spans="1:28" hidden="1" x14ac:dyDescent="0.25">
      <c r="A559" s="224"/>
      <c r="B559" s="96">
        <v>44736</v>
      </c>
      <c r="C559" s="52" t="s">
        <v>53</v>
      </c>
      <c r="D559" s="53" t="s">
        <v>38</v>
      </c>
      <c r="E559" s="53" t="s">
        <v>39</v>
      </c>
      <c r="F559" s="54" t="s">
        <v>40</v>
      </c>
      <c r="G559" s="41">
        <v>3.9</v>
      </c>
      <c r="H559" s="53">
        <v>0</v>
      </c>
      <c r="I559" s="53">
        <v>860</v>
      </c>
      <c r="J559" s="53">
        <v>0</v>
      </c>
      <c r="K559" s="55">
        <f t="shared" si="33"/>
        <v>0.85</v>
      </c>
      <c r="L559" s="55">
        <f t="shared" si="34"/>
        <v>731</v>
      </c>
      <c r="M559" s="55">
        <v>0</v>
      </c>
      <c r="N559" s="101">
        <f t="shared" si="35"/>
        <v>731</v>
      </c>
      <c r="O559" s="57"/>
      <c r="P559" s="53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</row>
    <row r="560" spans="1:28" hidden="1" x14ac:dyDescent="0.25">
      <c r="A560" s="224"/>
      <c r="B560" s="97">
        <v>44737</v>
      </c>
      <c r="C560" s="58" t="s">
        <v>57</v>
      </c>
      <c r="D560" s="60" t="s">
        <v>38</v>
      </c>
      <c r="E560" s="60" t="s">
        <v>39</v>
      </c>
      <c r="F560" s="61" t="s">
        <v>40</v>
      </c>
      <c r="G560" s="136">
        <v>3.9</v>
      </c>
      <c r="H560" s="60">
        <v>0</v>
      </c>
      <c r="I560" s="60">
        <v>860</v>
      </c>
      <c r="J560" s="60">
        <v>0</v>
      </c>
      <c r="K560" s="62">
        <f t="shared" si="33"/>
        <v>0.85</v>
      </c>
      <c r="L560" s="62">
        <f t="shared" si="34"/>
        <v>731</v>
      </c>
      <c r="M560" s="62">
        <v>0</v>
      </c>
      <c r="N560" s="102">
        <f t="shared" si="35"/>
        <v>731</v>
      </c>
      <c r="O560" s="64"/>
      <c r="P560" s="53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</row>
    <row r="561" spans="1:28" ht="15.75" hidden="1" thickBot="1" x14ac:dyDescent="0.3">
      <c r="A561" s="225"/>
      <c r="B561" s="98">
        <v>44738</v>
      </c>
      <c r="C561" s="66" t="s">
        <v>59</v>
      </c>
      <c r="D561" s="67" t="s">
        <v>38</v>
      </c>
      <c r="E561" s="67" t="s">
        <v>39</v>
      </c>
      <c r="F561" s="68" t="s">
        <v>40</v>
      </c>
      <c r="G561" s="137">
        <v>3.9</v>
      </c>
      <c r="H561" s="67">
        <v>0</v>
      </c>
      <c r="I561" s="67">
        <v>860</v>
      </c>
      <c r="J561" s="67">
        <v>0</v>
      </c>
      <c r="K561" s="69">
        <v>0.85</v>
      </c>
      <c r="L561" s="69">
        <f t="shared" si="34"/>
        <v>731</v>
      </c>
      <c r="M561" s="69">
        <v>0</v>
      </c>
      <c r="N561" s="103">
        <f t="shared" si="35"/>
        <v>731</v>
      </c>
      <c r="O561" s="71"/>
      <c r="P561" s="53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</row>
    <row r="562" spans="1:28" hidden="1" x14ac:dyDescent="0.25">
      <c r="A562" s="223">
        <f>_xlfn.ISOWEEKNUM(B562)</f>
        <v>26</v>
      </c>
      <c r="B562" s="96">
        <v>44739</v>
      </c>
      <c r="C562" s="72" t="s">
        <v>37</v>
      </c>
      <c r="D562" s="41" t="s">
        <v>38</v>
      </c>
      <c r="E562" s="41" t="s">
        <v>55</v>
      </c>
      <c r="F562" s="43" t="s">
        <v>40</v>
      </c>
      <c r="G562" s="41">
        <v>3.9</v>
      </c>
      <c r="H562" s="41">
        <v>0</v>
      </c>
      <c r="I562" s="41">
        <v>840</v>
      </c>
      <c r="J562" s="41">
        <v>0</v>
      </c>
      <c r="K562" s="73">
        <v>0.85</v>
      </c>
      <c r="L562" s="73">
        <f t="shared" si="34"/>
        <v>714</v>
      </c>
      <c r="M562" s="73">
        <v>0</v>
      </c>
      <c r="N562" s="105">
        <f t="shared" si="35"/>
        <v>714</v>
      </c>
      <c r="O562" s="46" t="s">
        <v>149</v>
      </c>
      <c r="P562" s="53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</row>
    <row r="563" spans="1:28" hidden="1" x14ac:dyDescent="0.25">
      <c r="A563" s="224"/>
      <c r="B563" s="96">
        <v>44740</v>
      </c>
      <c r="C563" s="52" t="s">
        <v>42</v>
      </c>
      <c r="D563" s="53" t="s">
        <v>38</v>
      </c>
      <c r="E563" s="53" t="s">
        <v>55</v>
      </c>
      <c r="F563" s="54" t="s">
        <v>40</v>
      </c>
      <c r="G563" s="41">
        <v>3.9</v>
      </c>
      <c r="H563" s="53">
        <v>0</v>
      </c>
      <c r="I563" s="53">
        <v>820</v>
      </c>
      <c r="J563" s="53">
        <v>0</v>
      </c>
      <c r="K563" s="55">
        <v>0.85</v>
      </c>
      <c r="L563" s="55">
        <f t="shared" si="34"/>
        <v>697</v>
      </c>
      <c r="M563" s="55">
        <v>0</v>
      </c>
      <c r="N563" s="101">
        <f t="shared" si="35"/>
        <v>697</v>
      </c>
      <c r="O563" s="57"/>
      <c r="P563" s="53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 spans="1:28" hidden="1" x14ac:dyDescent="0.25">
      <c r="A564" s="224"/>
      <c r="B564" s="96">
        <v>44741</v>
      </c>
      <c r="C564" s="52" t="s">
        <v>46</v>
      </c>
      <c r="D564" s="53" t="s">
        <v>38</v>
      </c>
      <c r="E564" s="53" t="s">
        <v>55</v>
      </c>
      <c r="F564" s="54" t="s">
        <v>40</v>
      </c>
      <c r="G564" s="41">
        <v>3.9</v>
      </c>
      <c r="H564" s="53">
        <v>0</v>
      </c>
      <c r="I564" s="53">
        <v>820</v>
      </c>
      <c r="J564" s="53">
        <v>0</v>
      </c>
      <c r="K564" s="55">
        <v>0.85</v>
      </c>
      <c r="L564" s="55">
        <f t="shared" si="34"/>
        <v>697</v>
      </c>
      <c r="M564" s="55">
        <v>0</v>
      </c>
      <c r="N564" s="101">
        <f t="shared" si="35"/>
        <v>697</v>
      </c>
      <c r="O564" s="57" t="s">
        <v>150</v>
      </c>
      <c r="P564" s="53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</row>
    <row r="565" spans="1:28" hidden="1" x14ac:dyDescent="0.25">
      <c r="A565" s="224"/>
      <c r="B565" s="96">
        <v>44742</v>
      </c>
      <c r="C565" s="52" t="s">
        <v>50</v>
      </c>
      <c r="D565" s="53" t="s">
        <v>38</v>
      </c>
      <c r="E565" s="53" t="s">
        <v>55</v>
      </c>
      <c r="F565" s="54" t="s">
        <v>40</v>
      </c>
      <c r="G565" s="140">
        <v>3.9</v>
      </c>
      <c r="H565" s="53">
        <v>0</v>
      </c>
      <c r="I565" s="53">
        <v>820</v>
      </c>
      <c r="J565" s="53">
        <v>0</v>
      </c>
      <c r="K565" s="55">
        <v>0.85</v>
      </c>
      <c r="L565" s="55">
        <f t="shared" si="34"/>
        <v>697</v>
      </c>
      <c r="M565" s="55">
        <v>0</v>
      </c>
      <c r="N565" s="101">
        <f t="shared" si="35"/>
        <v>697</v>
      </c>
      <c r="O565" s="57"/>
    </row>
    <row r="566" spans="1:28" hidden="1" x14ac:dyDescent="0.25">
      <c r="A566" s="224"/>
      <c r="B566" s="96">
        <v>44743</v>
      </c>
      <c r="C566" s="52" t="s">
        <v>53</v>
      </c>
      <c r="D566" s="53" t="s">
        <v>38</v>
      </c>
      <c r="E566" s="53" t="s">
        <v>55</v>
      </c>
      <c r="F566" s="54" t="s">
        <v>40</v>
      </c>
      <c r="G566" s="141">
        <v>3.9</v>
      </c>
      <c r="H566" s="53">
        <v>0</v>
      </c>
      <c r="I566" s="53">
        <v>820</v>
      </c>
      <c r="J566" s="53">
        <v>0</v>
      </c>
      <c r="K566" s="55">
        <v>0.83</v>
      </c>
      <c r="L566" s="55">
        <f t="shared" si="34"/>
        <v>680.6</v>
      </c>
      <c r="M566" s="55">
        <v>0</v>
      </c>
      <c r="N566" s="101">
        <f t="shared" si="35"/>
        <v>680.6</v>
      </c>
      <c r="O566" s="57"/>
    </row>
    <row r="567" spans="1:28" hidden="1" x14ac:dyDescent="0.25">
      <c r="A567" s="224"/>
      <c r="B567" s="97">
        <v>44744</v>
      </c>
      <c r="C567" s="58" t="s">
        <v>57</v>
      </c>
      <c r="D567" s="60" t="s">
        <v>38</v>
      </c>
      <c r="E567" s="121" t="s">
        <v>45</v>
      </c>
      <c r="F567" s="61" t="s">
        <v>40</v>
      </c>
      <c r="G567" s="142">
        <v>3.9</v>
      </c>
      <c r="H567" s="60">
        <v>0</v>
      </c>
      <c r="I567" s="60">
        <v>820</v>
      </c>
      <c r="J567" s="60">
        <v>0</v>
      </c>
      <c r="K567" s="62">
        <v>0.83</v>
      </c>
      <c r="L567" s="62">
        <f t="shared" si="34"/>
        <v>680.6</v>
      </c>
      <c r="M567" s="62">
        <v>0</v>
      </c>
      <c r="N567" s="102">
        <f t="shared" si="35"/>
        <v>680.6</v>
      </c>
      <c r="O567" s="64" t="s">
        <v>151</v>
      </c>
    </row>
    <row r="568" spans="1:28" ht="15.75" hidden="1" thickBot="1" x14ac:dyDescent="0.3">
      <c r="A568" s="225"/>
      <c r="B568" s="98">
        <v>44745</v>
      </c>
      <c r="C568" s="66" t="s">
        <v>59</v>
      </c>
      <c r="D568" s="67" t="s">
        <v>38</v>
      </c>
      <c r="E568" s="121" t="s">
        <v>45</v>
      </c>
      <c r="F568" s="68" t="s">
        <v>40</v>
      </c>
      <c r="G568" s="143">
        <v>4.9000000000000004</v>
      </c>
      <c r="H568" s="67">
        <v>0</v>
      </c>
      <c r="I568" s="67">
        <v>820</v>
      </c>
      <c r="J568" s="67">
        <v>0</v>
      </c>
      <c r="K568" s="69">
        <v>0.83</v>
      </c>
      <c r="L568" s="69">
        <f t="shared" si="34"/>
        <v>680.6</v>
      </c>
      <c r="M568" s="69">
        <v>0</v>
      </c>
      <c r="N568" s="103">
        <f t="shared" si="35"/>
        <v>680.6</v>
      </c>
      <c r="O568" s="71" t="s">
        <v>152</v>
      </c>
    </row>
    <row r="569" spans="1:28" hidden="1" x14ac:dyDescent="0.25">
      <c r="A569" s="223">
        <f>_xlfn.ISOWEEKNUM(B569)</f>
        <v>27</v>
      </c>
      <c r="B569" s="96">
        <v>44746</v>
      </c>
      <c r="C569" s="72" t="s">
        <v>37</v>
      </c>
      <c r="D569" s="41" t="s">
        <v>38</v>
      </c>
      <c r="E569" s="121" t="s">
        <v>45</v>
      </c>
      <c r="F569" s="43" t="s">
        <v>40</v>
      </c>
      <c r="G569" s="140">
        <v>5.9</v>
      </c>
      <c r="H569" s="41">
        <v>0</v>
      </c>
      <c r="I569" s="41">
        <v>820</v>
      </c>
      <c r="J569" s="41">
        <v>0</v>
      </c>
      <c r="K569" s="73">
        <v>0.83</v>
      </c>
      <c r="L569" s="73">
        <f t="shared" si="34"/>
        <v>680.6</v>
      </c>
      <c r="M569" s="73">
        <v>0</v>
      </c>
      <c r="N569" s="105">
        <f t="shared" si="35"/>
        <v>680.6</v>
      </c>
      <c r="O569" s="87" t="s">
        <v>82</v>
      </c>
    </row>
    <row r="570" spans="1:28" hidden="1" x14ac:dyDescent="0.25">
      <c r="A570" s="224"/>
      <c r="B570" s="96">
        <v>44747</v>
      </c>
      <c r="C570" s="52" t="s">
        <v>42</v>
      </c>
      <c r="D570" s="53" t="s">
        <v>38</v>
      </c>
      <c r="E570" s="121" t="s">
        <v>45</v>
      </c>
      <c r="F570" s="54" t="s">
        <v>40</v>
      </c>
      <c r="G570" s="141">
        <v>5.9</v>
      </c>
      <c r="H570" s="53">
        <v>0</v>
      </c>
      <c r="I570" s="53">
        <v>820</v>
      </c>
      <c r="J570" s="53">
        <v>0</v>
      </c>
      <c r="K570" s="55">
        <v>0.83</v>
      </c>
      <c r="L570" s="55">
        <f t="shared" si="34"/>
        <v>680.6</v>
      </c>
      <c r="M570" s="55">
        <v>0</v>
      </c>
      <c r="N570" s="101">
        <f t="shared" ref="N570:N589" si="36">L570*(1-M570)</f>
        <v>680.6</v>
      </c>
      <c r="O570" s="57"/>
    </row>
    <row r="571" spans="1:28" hidden="1" x14ac:dyDescent="0.25">
      <c r="A571" s="224"/>
      <c r="B571" s="96">
        <v>44748</v>
      </c>
      <c r="C571" s="52" t="s">
        <v>46</v>
      </c>
      <c r="D571" s="53" t="s">
        <v>38</v>
      </c>
      <c r="E571" s="121" t="s">
        <v>45</v>
      </c>
      <c r="F571" s="54" t="s">
        <v>40</v>
      </c>
      <c r="G571" s="141">
        <v>5.9</v>
      </c>
      <c r="H571" s="53">
        <v>0</v>
      </c>
      <c r="I571" s="53">
        <v>820</v>
      </c>
      <c r="J571" s="53">
        <v>0</v>
      </c>
      <c r="K571" s="55">
        <v>0.83</v>
      </c>
      <c r="L571" s="55">
        <f t="shared" si="34"/>
        <v>680.6</v>
      </c>
      <c r="M571" s="55">
        <v>0</v>
      </c>
      <c r="N571" s="101">
        <f t="shared" si="36"/>
        <v>680.6</v>
      </c>
      <c r="O571" s="57"/>
    </row>
    <row r="572" spans="1:28" hidden="1" x14ac:dyDescent="0.25">
      <c r="A572" s="224"/>
      <c r="B572" s="96">
        <v>44749</v>
      </c>
      <c r="C572" s="52" t="s">
        <v>50</v>
      </c>
      <c r="D572" s="53" t="s">
        <v>38</v>
      </c>
      <c r="E572" s="121" t="s">
        <v>45</v>
      </c>
      <c r="F572" s="54" t="s">
        <v>40</v>
      </c>
      <c r="G572" s="141">
        <v>8</v>
      </c>
      <c r="H572" s="53">
        <v>0</v>
      </c>
      <c r="I572" s="53">
        <v>820</v>
      </c>
      <c r="J572" s="53">
        <v>0</v>
      </c>
      <c r="K572" s="55">
        <v>0.83</v>
      </c>
      <c r="L572" s="55">
        <f t="shared" si="34"/>
        <v>680.6</v>
      </c>
      <c r="M572" s="55">
        <v>0</v>
      </c>
      <c r="N572" s="101">
        <f t="shared" si="36"/>
        <v>680.6</v>
      </c>
      <c r="O572" s="88" t="s">
        <v>82</v>
      </c>
    </row>
    <row r="573" spans="1:28" hidden="1" x14ac:dyDescent="0.25">
      <c r="A573" s="224"/>
      <c r="B573" s="96">
        <v>44750</v>
      </c>
      <c r="C573" s="52" t="s">
        <v>53</v>
      </c>
      <c r="D573" s="53" t="s">
        <v>38</v>
      </c>
      <c r="E573" s="121" t="s">
        <v>45</v>
      </c>
      <c r="F573" s="54" t="s">
        <v>40</v>
      </c>
      <c r="G573" s="141">
        <v>10</v>
      </c>
      <c r="H573" s="53">
        <v>0</v>
      </c>
      <c r="I573" s="53">
        <v>820</v>
      </c>
      <c r="J573" s="53">
        <v>0</v>
      </c>
      <c r="K573" s="55">
        <v>0.83</v>
      </c>
      <c r="L573" s="55">
        <f t="shared" si="34"/>
        <v>680.6</v>
      </c>
      <c r="M573" s="55">
        <v>0</v>
      </c>
      <c r="N573" s="101">
        <f t="shared" si="36"/>
        <v>680.6</v>
      </c>
      <c r="O573" s="139" t="s">
        <v>153</v>
      </c>
    </row>
    <row r="574" spans="1:28" hidden="1" x14ac:dyDescent="0.25">
      <c r="A574" s="224"/>
      <c r="B574" s="97">
        <v>44751</v>
      </c>
      <c r="C574" s="58" t="s">
        <v>57</v>
      </c>
      <c r="D574" s="60" t="s">
        <v>38</v>
      </c>
      <c r="E574" s="121" t="s">
        <v>45</v>
      </c>
      <c r="F574" s="61" t="s">
        <v>40</v>
      </c>
      <c r="G574" s="142">
        <v>10</v>
      </c>
      <c r="H574" s="60">
        <v>0</v>
      </c>
      <c r="I574" s="60">
        <v>820</v>
      </c>
      <c r="J574" s="60">
        <v>0</v>
      </c>
      <c r="K574" s="62">
        <v>0.83</v>
      </c>
      <c r="L574" s="62">
        <f t="shared" si="34"/>
        <v>680.6</v>
      </c>
      <c r="M574" s="62">
        <v>0</v>
      </c>
      <c r="N574" s="102">
        <f t="shared" si="36"/>
        <v>680.6</v>
      </c>
      <c r="O574" s="64"/>
    </row>
    <row r="575" spans="1:28" ht="15.75" hidden="1" thickBot="1" x14ac:dyDescent="0.3">
      <c r="A575" s="225"/>
      <c r="B575" s="98">
        <v>44752</v>
      </c>
      <c r="C575" s="66" t="s">
        <v>59</v>
      </c>
      <c r="D575" s="67" t="s">
        <v>38</v>
      </c>
      <c r="E575" s="121" t="s">
        <v>45</v>
      </c>
      <c r="F575" s="68" t="s">
        <v>40</v>
      </c>
      <c r="G575" s="143">
        <v>10</v>
      </c>
      <c r="H575" s="67">
        <v>0</v>
      </c>
      <c r="I575" s="67">
        <v>820</v>
      </c>
      <c r="J575" s="67">
        <v>0</v>
      </c>
      <c r="K575" s="69">
        <v>0.83</v>
      </c>
      <c r="L575" s="69">
        <f t="shared" si="34"/>
        <v>680.6</v>
      </c>
      <c r="M575" s="69">
        <v>0</v>
      </c>
      <c r="N575" s="103">
        <f t="shared" si="36"/>
        <v>680.6</v>
      </c>
      <c r="O575" s="71"/>
    </row>
    <row r="576" spans="1:28" hidden="1" x14ac:dyDescent="0.25">
      <c r="A576" s="223">
        <f>_xlfn.ISOWEEKNUM(B576)</f>
        <v>28</v>
      </c>
      <c r="B576" s="96">
        <v>44753</v>
      </c>
      <c r="C576" s="72" t="s">
        <v>37</v>
      </c>
      <c r="D576" s="41" t="s">
        <v>38</v>
      </c>
      <c r="E576" s="121" t="s">
        <v>45</v>
      </c>
      <c r="F576" s="43" t="s">
        <v>40</v>
      </c>
      <c r="G576" s="144">
        <v>10</v>
      </c>
      <c r="H576" s="41">
        <v>0</v>
      </c>
      <c r="I576" s="41">
        <v>820</v>
      </c>
      <c r="J576" s="41">
        <v>0</v>
      </c>
      <c r="K576" s="73">
        <v>0.83</v>
      </c>
      <c r="L576" s="73">
        <f t="shared" si="34"/>
        <v>680.6</v>
      </c>
      <c r="M576" s="73">
        <v>0</v>
      </c>
      <c r="N576" s="105">
        <f t="shared" si="36"/>
        <v>680.6</v>
      </c>
      <c r="O576" s="46"/>
    </row>
    <row r="577" spans="1:15" hidden="1" x14ac:dyDescent="0.25">
      <c r="A577" s="224"/>
      <c r="B577" s="96">
        <v>44754</v>
      </c>
      <c r="C577" s="52" t="s">
        <v>42</v>
      </c>
      <c r="D577" s="53" t="s">
        <v>38</v>
      </c>
      <c r="E577" s="121" t="s">
        <v>45</v>
      </c>
      <c r="F577" s="54" t="s">
        <v>40</v>
      </c>
      <c r="G577" s="53">
        <v>8</v>
      </c>
      <c r="H577" s="53">
        <v>0</v>
      </c>
      <c r="I577" s="53">
        <v>820</v>
      </c>
      <c r="J577" s="53">
        <v>0</v>
      </c>
      <c r="K577" s="55">
        <v>0.83</v>
      </c>
      <c r="L577" s="55">
        <f t="shared" si="34"/>
        <v>680.6</v>
      </c>
      <c r="M577" s="55">
        <v>0</v>
      </c>
      <c r="N577" s="101">
        <f t="shared" si="36"/>
        <v>680.6</v>
      </c>
      <c r="O577" s="57"/>
    </row>
    <row r="578" spans="1:15" hidden="1" x14ac:dyDescent="0.25">
      <c r="A578" s="224"/>
      <c r="B578" s="96">
        <v>44755</v>
      </c>
      <c r="C578" s="52" t="s">
        <v>46</v>
      </c>
      <c r="D578" s="53" t="s">
        <v>38</v>
      </c>
      <c r="E578" s="121" t="s">
        <v>45</v>
      </c>
      <c r="F578" s="54" t="s">
        <v>40</v>
      </c>
      <c r="G578" s="53">
        <v>8</v>
      </c>
      <c r="H578" s="53">
        <v>0</v>
      </c>
      <c r="I578" s="53">
        <v>820</v>
      </c>
      <c r="J578" s="53">
        <v>0</v>
      </c>
      <c r="K578" s="55">
        <v>0.83</v>
      </c>
      <c r="L578" s="55">
        <f t="shared" si="34"/>
        <v>680.6</v>
      </c>
      <c r="M578" s="55">
        <v>0</v>
      </c>
      <c r="N578" s="101">
        <f t="shared" si="36"/>
        <v>680.6</v>
      </c>
      <c r="O578" s="57"/>
    </row>
    <row r="579" spans="1:15" hidden="1" x14ac:dyDescent="0.25">
      <c r="A579" s="224"/>
      <c r="B579" s="96">
        <v>44756</v>
      </c>
      <c r="C579" s="52" t="s">
        <v>50</v>
      </c>
      <c r="D579" s="53" t="s">
        <v>38</v>
      </c>
      <c r="E579" s="121" t="s">
        <v>45</v>
      </c>
      <c r="F579" s="54" t="s">
        <v>40</v>
      </c>
      <c r="G579" s="53">
        <v>8</v>
      </c>
      <c r="H579" s="53">
        <v>0</v>
      </c>
      <c r="I579" s="53">
        <v>820</v>
      </c>
      <c r="J579" s="53">
        <v>0</v>
      </c>
      <c r="K579" s="55">
        <v>0.83</v>
      </c>
      <c r="L579" s="55">
        <f t="shared" si="34"/>
        <v>680.6</v>
      </c>
      <c r="M579" s="55">
        <v>0</v>
      </c>
      <c r="N579" s="101">
        <f t="shared" si="36"/>
        <v>680.6</v>
      </c>
      <c r="O579" s="57"/>
    </row>
    <row r="580" spans="1:15" hidden="1" x14ac:dyDescent="0.25">
      <c r="A580" s="224"/>
      <c r="B580" s="96">
        <v>44757</v>
      </c>
      <c r="C580" s="52" t="s">
        <v>53</v>
      </c>
      <c r="D580" s="53" t="s">
        <v>38</v>
      </c>
      <c r="E580" s="121" t="s">
        <v>45</v>
      </c>
      <c r="F580" s="54" t="s">
        <v>40</v>
      </c>
      <c r="G580" s="53">
        <v>8</v>
      </c>
      <c r="H580" s="53">
        <v>0</v>
      </c>
      <c r="I580" s="53">
        <v>820</v>
      </c>
      <c r="J580" s="53">
        <v>0</v>
      </c>
      <c r="K580" s="55">
        <v>0.83</v>
      </c>
      <c r="L580" s="55">
        <f t="shared" si="34"/>
        <v>680.6</v>
      </c>
      <c r="M580" s="55">
        <v>0</v>
      </c>
      <c r="N580" s="101">
        <f t="shared" si="36"/>
        <v>680.6</v>
      </c>
      <c r="O580" s="57" t="s">
        <v>154</v>
      </c>
    </row>
    <row r="581" spans="1:15" hidden="1" x14ac:dyDescent="0.25">
      <c r="A581" s="224"/>
      <c r="B581" s="97">
        <v>44758</v>
      </c>
      <c r="C581" s="58" t="s">
        <v>57</v>
      </c>
      <c r="D581" s="60" t="s">
        <v>38</v>
      </c>
      <c r="E581" s="121" t="s">
        <v>45</v>
      </c>
      <c r="F581" s="61" t="s">
        <v>40</v>
      </c>
      <c r="G581" s="60">
        <v>3.9</v>
      </c>
      <c r="H581" s="60">
        <v>0</v>
      </c>
      <c r="I581" s="60">
        <v>820</v>
      </c>
      <c r="J581" s="60">
        <v>0</v>
      </c>
      <c r="K581" s="62">
        <v>0.83</v>
      </c>
      <c r="L581" s="62">
        <f t="shared" si="34"/>
        <v>680.6</v>
      </c>
      <c r="M581" s="62">
        <v>0</v>
      </c>
      <c r="N581" s="102">
        <f t="shared" si="36"/>
        <v>680.6</v>
      </c>
      <c r="O581" s="64"/>
    </row>
    <row r="582" spans="1:15" ht="15.75" hidden="1" thickBot="1" x14ac:dyDescent="0.3">
      <c r="A582" s="225"/>
      <c r="B582" s="98">
        <v>44759</v>
      </c>
      <c r="C582" s="66" t="s">
        <v>59</v>
      </c>
      <c r="D582" s="67" t="s">
        <v>38</v>
      </c>
      <c r="E582" s="121" t="s">
        <v>45</v>
      </c>
      <c r="F582" s="68" t="s">
        <v>40</v>
      </c>
      <c r="G582" s="67">
        <v>3.9</v>
      </c>
      <c r="H582" s="67">
        <v>0</v>
      </c>
      <c r="I582" s="67">
        <v>820</v>
      </c>
      <c r="J582" s="67">
        <v>0</v>
      </c>
      <c r="K582" s="69">
        <v>0.83</v>
      </c>
      <c r="L582" s="69">
        <f t="shared" si="34"/>
        <v>680.6</v>
      </c>
      <c r="M582" s="69">
        <v>0</v>
      </c>
      <c r="N582" s="103">
        <f t="shared" si="36"/>
        <v>680.6</v>
      </c>
      <c r="O582" s="71"/>
    </row>
    <row r="583" spans="1:15" hidden="1" x14ac:dyDescent="0.25">
      <c r="A583" s="223">
        <f>_xlfn.ISOWEEKNUM(B583)</f>
        <v>29</v>
      </c>
      <c r="B583" s="96">
        <v>44760</v>
      </c>
      <c r="C583" s="72" t="s">
        <v>37</v>
      </c>
      <c r="D583" s="41" t="s">
        <v>38</v>
      </c>
      <c r="E583" s="121" t="s">
        <v>45</v>
      </c>
      <c r="F583" s="43" t="s">
        <v>40</v>
      </c>
      <c r="G583" s="41">
        <v>5.9</v>
      </c>
      <c r="H583" s="41">
        <v>0</v>
      </c>
      <c r="I583" s="41">
        <v>820</v>
      </c>
      <c r="J583" s="41">
        <v>0</v>
      </c>
      <c r="K583" s="73">
        <v>0.83</v>
      </c>
      <c r="L583" s="73">
        <f t="shared" si="34"/>
        <v>680.6</v>
      </c>
      <c r="M583" s="73">
        <v>0</v>
      </c>
      <c r="N583" s="105">
        <f t="shared" si="36"/>
        <v>680.6</v>
      </c>
      <c r="O583" s="46"/>
    </row>
    <row r="584" spans="1:15" hidden="1" x14ac:dyDescent="0.25">
      <c r="A584" s="224"/>
      <c r="B584" s="96">
        <v>44761</v>
      </c>
      <c r="C584" s="52" t="s">
        <v>42</v>
      </c>
      <c r="D584" s="53" t="s">
        <v>38</v>
      </c>
      <c r="E584" s="121" t="s">
        <v>45</v>
      </c>
      <c r="F584" s="54" t="s">
        <v>40</v>
      </c>
      <c r="G584" s="53">
        <v>5.9</v>
      </c>
      <c r="H584" s="53">
        <v>0</v>
      </c>
      <c r="I584" s="53">
        <v>820</v>
      </c>
      <c r="J584" s="53">
        <v>0</v>
      </c>
      <c r="K584" s="55">
        <v>0.83</v>
      </c>
      <c r="L584" s="55">
        <f t="shared" si="34"/>
        <v>680.6</v>
      </c>
      <c r="M584" s="55">
        <v>0</v>
      </c>
      <c r="N584" s="101">
        <f t="shared" si="36"/>
        <v>680.6</v>
      </c>
      <c r="O584" s="57"/>
    </row>
    <row r="585" spans="1:15" hidden="1" x14ac:dyDescent="0.25">
      <c r="A585" s="224"/>
      <c r="B585" s="96">
        <v>44762</v>
      </c>
      <c r="C585" s="52" t="s">
        <v>46</v>
      </c>
      <c r="D585" s="53" t="s">
        <v>38</v>
      </c>
      <c r="E585" s="121" t="s">
        <v>45</v>
      </c>
      <c r="F585" s="54" t="s">
        <v>40</v>
      </c>
      <c r="G585" s="53" t="s">
        <v>10</v>
      </c>
      <c r="H585" s="53">
        <v>0</v>
      </c>
      <c r="I585" s="53">
        <v>820</v>
      </c>
      <c r="J585" s="53">
        <v>0</v>
      </c>
      <c r="K585" s="55">
        <v>0.85</v>
      </c>
      <c r="L585" s="55">
        <f t="shared" si="34"/>
        <v>697</v>
      </c>
      <c r="M585" s="55">
        <v>0</v>
      </c>
      <c r="N585" s="101">
        <f t="shared" si="36"/>
        <v>697</v>
      </c>
      <c r="O585" s="57" t="s">
        <v>155</v>
      </c>
    </row>
    <row r="586" spans="1:15" hidden="1" x14ac:dyDescent="0.25">
      <c r="A586" s="224"/>
      <c r="B586" s="96">
        <v>44763</v>
      </c>
      <c r="C586" s="52" t="s">
        <v>50</v>
      </c>
      <c r="D586" s="53" t="s">
        <v>38</v>
      </c>
      <c r="E586" s="53" t="s">
        <v>55</v>
      </c>
      <c r="F586" s="54" t="s">
        <v>40</v>
      </c>
      <c r="G586" s="53">
        <v>3.9</v>
      </c>
      <c r="H586" s="53">
        <v>0</v>
      </c>
      <c r="I586" s="53">
        <v>820</v>
      </c>
      <c r="J586" s="53">
        <v>0</v>
      </c>
      <c r="K586" s="55">
        <v>0.85</v>
      </c>
      <c r="L586" s="55">
        <f t="shared" si="34"/>
        <v>697</v>
      </c>
      <c r="M586" s="55">
        <v>0</v>
      </c>
      <c r="N586" s="101">
        <f t="shared" si="36"/>
        <v>697</v>
      </c>
      <c r="O586" s="57"/>
    </row>
    <row r="587" spans="1:15" hidden="1" x14ac:dyDescent="0.25">
      <c r="A587" s="224"/>
      <c r="B587" s="96">
        <v>44764</v>
      </c>
      <c r="C587" s="52" t="s">
        <v>53</v>
      </c>
      <c r="D587" s="53" t="s">
        <v>38</v>
      </c>
      <c r="E587" s="53" t="s">
        <v>55</v>
      </c>
      <c r="F587" s="54" t="s">
        <v>40</v>
      </c>
      <c r="G587" s="53">
        <v>3.9</v>
      </c>
      <c r="H587" s="53">
        <v>0</v>
      </c>
      <c r="I587" s="53">
        <v>820</v>
      </c>
      <c r="J587" s="53">
        <v>0</v>
      </c>
      <c r="K587" s="55">
        <v>0.85</v>
      </c>
      <c r="L587" s="55">
        <f t="shared" si="34"/>
        <v>697</v>
      </c>
      <c r="M587" s="55">
        <v>0</v>
      </c>
      <c r="N587" s="101">
        <f t="shared" si="36"/>
        <v>697</v>
      </c>
      <c r="O587" s="57"/>
    </row>
    <row r="588" spans="1:15" hidden="1" x14ac:dyDescent="0.25">
      <c r="A588" s="224"/>
      <c r="B588" s="97">
        <v>44765</v>
      </c>
      <c r="C588" s="58" t="s">
        <v>57</v>
      </c>
      <c r="D588" s="60" t="s">
        <v>38</v>
      </c>
      <c r="E588" s="60" t="s">
        <v>39</v>
      </c>
      <c r="F588" s="61" t="s">
        <v>40</v>
      </c>
      <c r="G588" s="60">
        <v>3.9</v>
      </c>
      <c r="H588" s="60">
        <v>0</v>
      </c>
      <c r="I588" s="60">
        <v>820</v>
      </c>
      <c r="J588" s="60">
        <v>0</v>
      </c>
      <c r="K588" s="62">
        <f>VLOOKUP($D588&amp;$E588&amp;$F588&amp;YEAR($B588),$P:$AA,9,FALSE)</f>
        <v>0.85</v>
      </c>
      <c r="L588" s="62">
        <f t="shared" si="34"/>
        <v>697</v>
      </c>
      <c r="M588" s="62">
        <v>0</v>
      </c>
      <c r="N588" s="102">
        <f t="shared" si="36"/>
        <v>697</v>
      </c>
      <c r="O588" s="64"/>
    </row>
    <row r="589" spans="1:15" ht="15.75" hidden="1" thickBot="1" x14ac:dyDescent="0.3">
      <c r="A589" s="225"/>
      <c r="B589" s="98">
        <v>44766</v>
      </c>
      <c r="C589" s="66" t="s">
        <v>59</v>
      </c>
      <c r="D589" s="67" t="s">
        <v>38</v>
      </c>
      <c r="E589" s="67" t="s">
        <v>39</v>
      </c>
      <c r="F589" s="68" t="s">
        <v>40</v>
      </c>
      <c r="G589" s="67">
        <v>3.9</v>
      </c>
      <c r="H589" s="67">
        <v>0</v>
      </c>
      <c r="I589" s="67">
        <v>820</v>
      </c>
      <c r="J589" s="67">
        <v>0</v>
      </c>
      <c r="K589" s="69">
        <f>VLOOKUP($D589&amp;$E589&amp;$F589&amp;YEAR($B589),$P:$AA,9,FALSE)</f>
        <v>0.85</v>
      </c>
      <c r="L589" s="69">
        <f t="shared" si="34"/>
        <v>697</v>
      </c>
      <c r="M589" s="69">
        <v>0</v>
      </c>
      <c r="N589" s="103">
        <f t="shared" si="36"/>
        <v>697</v>
      </c>
      <c r="O589" s="71"/>
    </row>
    <row r="590" spans="1:15" hidden="1" x14ac:dyDescent="0.25">
      <c r="A590" s="223">
        <f>_xlfn.ISOWEEKNUM(B590)</f>
        <v>30</v>
      </c>
      <c r="B590" s="96">
        <v>44767</v>
      </c>
      <c r="C590" s="72" t="s">
        <v>37</v>
      </c>
      <c r="D590" s="41" t="s">
        <v>38</v>
      </c>
      <c r="E590" s="41" t="s">
        <v>39</v>
      </c>
      <c r="F590" s="43" t="s">
        <v>40</v>
      </c>
      <c r="G590" s="41">
        <v>4.9000000000000004</v>
      </c>
      <c r="H590" s="41">
        <v>900</v>
      </c>
      <c r="I590" s="41">
        <v>820</v>
      </c>
      <c r="J590" s="41">
        <v>0</v>
      </c>
      <c r="K590" s="73">
        <v>0.85</v>
      </c>
      <c r="L590" s="73">
        <v>731</v>
      </c>
      <c r="M590" s="73">
        <v>0.03</v>
      </c>
      <c r="N590" s="105">
        <v>709</v>
      </c>
      <c r="O590" s="46"/>
    </row>
    <row r="591" spans="1:15" hidden="1" x14ac:dyDescent="0.25">
      <c r="A591" s="224"/>
      <c r="B591" s="96">
        <v>44768</v>
      </c>
      <c r="C591" s="52" t="s">
        <v>42</v>
      </c>
      <c r="D591" s="53" t="s">
        <v>38</v>
      </c>
      <c r="E591" s="53" t="s">
        <v>39</v>
      </c>
      <c r="F591" s="54" t="s">
        <v>40</v>
      </c>
      <c r="G591" s="53">
        <v>5.9</v>
      </c>
      <c r="H591" s="53">
        <v>900</v>
      </c>
      <c r="I591" s="53">
        <v>820</v>
      </c>
      <c r="J591" s="53">
        <v>0</v>
      </c>
      <c r="K591" s="55">
        <v>0.85</v>
      </c>
      <c r="L591" s="55">
        <v>731</v>
      </c>
      <c r="M591" s="55">
        <v>0.03</v>
      </c>
      <c r="N591" s="101">
        <v>709</v>
      </c>
      <c r="O591" s="57"/>
    </row>
    <row r="592" spans="1:15" hidden="1" x14ac:dyDescent="0.25">
      <c r="A592" s="224"/>
      <c r="B592" s="96">
        <v>44769</v>
      </c>
      <c r="C592" s="52" t="s">
        <v>46</v>
      </c>
      <c r="D592" s="53" t="s">
        <v>38</v>
      </c>
      <c r="E592" s="53" t="s">
        <v>39</v>
      </c>
      <c r="F592" s="54" t="s">
        <v>40</v>
      </c>
      <c r="G592" s="53">
        <v>5.9</v>
      </c>
      <c r="H592" s="53">
        <v>900</v>
      </c>
      <c r="I592" s="53">
        <v>820</v>
      </c>
      <c r="J592" s="53">
        <v>0</v>
      </c>
      <c r="K592" s="55">
        <v>0.85</v>
      </c>
      <c r="L592" s="55">
        <v>731</v>
      </c>
      <c r="M592" s="55">
        <v>0.03</v>
      </c>
      <c r="N592" s="101">
        <v>709</v>
      </c>
      <c r="O592" s="57"/>
    </row>
    <row r="593" spans="1:15" hidden="1" x14ac:dyDescent="0.25">
      <c r="A593" s="224"/>
      <c r="B593" s="96">
        <v>44770</v>
      </c>
      <c r="C593" s="52" t="s">
        <v>50</v>
      </c>
      <c r="D593" s="53" t="s">
        <v>38</v>
      </c>
      <c r="E593" s="53" t="s">
        <v>39</v>
      </c>
      <c r="F593" s="54" t="s">
        <v>40</v>
      </c>
      <c r="G593" s="53">
        <v>5.9</v>
      </c>
      <c r="H593" s="53">
        <v>900</v>
      </c>
      <c r="I593" s="53">
        <v>820</v>
      </c>
      <c r="J593" s="53">
        <v>0</v>
      </c>
      <c r="K593" s="55">
        <v>0.85</v>
      </c>
      <c r="L593" s="55">
        <v>731</v>
      </c>
      <c r="M593" s="55">
        <v>0.03</v>
      </c>
      <c r="N593" s="101">
        <v>709</v>
      </c>
      <c r="O593" s="57" t="s">
        <v>117</v>
      </c>
    </row>
    <row r="594" spans="1:15" hidden="1" x14ac:dyDescent="0.25">
      <c r="A594" s="224"/>
      <c r="B594" s="96">
        <v>44771</v>
      </c>
      <c r="C594" s="52" t="s">
        <v>53</v>
      </c>
      <c r="D594" s="53" t="s">
        <v>38</v>
      </c>
      <c r="E594" s="53" t="s">
        <v>39</v>
      </c>
      <c r="F594" s="54" t="s">
        <v>40</v>
      </c>
      <c r="G594" s="53">
        <v>3.9</v>
      </c>
      <c r="H594" s="53">
        <v>900</v>
      </c>
      <c r="I594" s="53">
        <v>820</v>
      </c>
      <c r="J594" s="53">
        <v>0</v>
      </c>
      <c r="K594" s="55">
        <v>0.85</v>
      </c>
      <c r="L594" s="55">
        <v>731</v>
      </c>
      <c r="M594" s="55">
        <v>0.03</v>
      </c>
      <c r="N594" s="101">
        <v>709</v>
      </c>
      <c r="O594" s="57"/>
    </row>
    <row r="595" spans="1:15" hidden="1" x14ac:dyDescent="0.25">
      <c r="A595" s="224"/>
      <c r="B595" s="97">
        <v>44772</v>
      </c>
      <c r="C595" s="58" t="s">
        <v>57</v>
      </c>
      <c r="D595" s="60" t="s">
        <v>38</v>
      </c>
      <c r="E595" s="60" t="s">
        <v>39</v>
      </c>
      <c r="F595" s="61" t="s">
        <v>40</v>
      </c>
      <c r="G595" s="60">
        <v>3.9</v>
      </c>
      <c r="H595" s="60">
        <v>900</v>
      </c>
      <c r="I595" s="60">
        <v>820</v>
      </c>
      <c r="J595" s="60">
        <v>0</v>
      </c>
      <c r="K595" s="62">
        <v>0.85</v>
      </c>
      <c r="L595" s="62">
        <v>731</v>
      </c>
      <c r="M595" s="62">
        <v>0.03</v>
      </c>
      <c r="N595" s="102">
        <v>709</v>
      </c>
      <c r="O595" s="64"/>
    </row>
    <row r="596" spans="1:15" ht="15.75" hidden="1" thickBot="1" x14ac:dyDescent="0.3">
      <c r="A596" s="225"/>
      <c r="B596" s="98">
        <v>44773</v>
      </c>
      <c r="C596" s="66" t="s">
        <v>59</v>
      </c>
      <c r="D596" s="67" t="s">
        <v>38</v>
      </c>
      <c r="E596" s="67" t="s">
        <v>39</v>
      </c>
      <c r="F596" s="68" t="s">
        <v>40</v>
      </c>
      <c r="G596" s="67">
        <v>3.9</v>
      </c>
      <c r="H596" s="67">
        <v>900</v>
      </c>
      <c r="I596" s="67">
        <v>820</v>
      </c>
      <c r="J596" s="67">
        <v>0</v>
      </c>
      <c r="K596" s="69">
        <v>0.85</v>
      </c>
      <c r="L596" s="69">
        <v>731</v>
      </c>
      <c r="M596" s="69">
        <v>0.03</v>
      </c>
      <c r="N596" s="103">
        <v>709</v>
      </c>
      <c r="O596" s="71"/>
    </row>
    <row r="597" spans="1:15" hidden="1" x14ac:dyDescent="0.25">
      <c r="A597" s="223">
        <f>_xlfn.ISOWEEKNUM(B597)</f>
        <v>31</v>
      </c>
      <c r="B597" s="96">
        <v>44774</v>
      </c>
      <c r="C597" s="72" t="s">
        <v>37</v>
      </c>
      <c r="D597" s="41" t="s">
        <v>38</v>
      </c>
      <c r="E597" s="41" t="s">
        <v>39</v>
      </c>
      <c r="F597" s="43" t="s">
        <v>40</v>
      </c>
      <c r="G597" s="41">
        <v>4.9000000000000004</v>
      </c>
      <c r="H597" s="41">
        <v>900</v>
      </c>
      <c r="I597" s="41">
        <v>820</v>
      </c>
      <c r="J597" s="41">
        <v>0</v>
      </c>
      <c r="K597" s="73">
        <v>0.85</v>
      </c>
      <c r="L597" s="73">
        <f t="shared" ref="L597:L628" si="37">IF(J597&lt;&gt;0,J597,I597)*K597</f>
        <v>697</v>
      </c>
      <c r="M597" s="73">
        <v>0.03</v>
      </c>
      <c r="N597" s="105">
        <f t="shared" ref="N597:N628" si="38">+I597*0.85</f>
        <v>697</v>
      </c>
      <c r="O597" s="46"/>
    </row>
    <row r="598" spans="1:15" hidden="1" x14ac:dyDescent="0.25">
      <c r="A598" s="224"/>
      <c r="B598" s="96">
        <v>44775</v>
      </c>
      <c r="C598" s="52" t="s">
        <v>42</v>
      </c>
      <c r="D598" s="53" t="s">
        <v>38</v>
      </c>
      <c r="E598" s="53" t="s">
        <v>39</v>
      </c>
      <c r="F598" s="54" t="s">
        <v>40</v>
      </c>
      <c r="G598" s="53">
        <v>4.9000000000000004</v>
      </c>
      <c r="H598" s="53">
        <v>900</v>
      </c>
      <c r="I598" s="53">
        <v>830</v>
      </c>
      <c r="J598" s="53">
        <v>0</v>
      </c>
      <c r="K598" s="55">
        <v>0.85</v>
      </c>
      <c r="L598" s="55">
        <f t="shared" si="37"/>
        <v>705.5</v>
      </c>
      <c r="M598" s="55">
        <v>0.03</v>
      </c>
      <c r="N598" s="101">
        <f t="shared" si="38"/>
        <v>705.5</v>
      </c>
      <c r="O598" s="57"/>
    </row>
    <row r="599" spans="1:15" hidden="1" x14ac:dyDescent="0.25">
      <c r="A599" s="224"/>
      <c r="B599" s="96">
        <v>44776</v>
      </c>
      <c r="C599" s="52" t="s">
        <v>46</v>
      </c>
      <c r="D599" s="53" t="s">
        <v>38</v>
      </c>
      <c r="E599" s="53" t="s">
        <v>39</v>
      </c>
      <c r="F599" s="54" t="s">
        <v>40</v>
      </c>
      <c r="G599" s="53">
        <v>5.9</v>
      </c>
      <c r="H599" s="53">
        <v>900</v>
      </c>
      <c r="I599" s="53">
        <v>840</v>
      </c>
      <c r="J599" s="53">
        <v>0</v>
      </c>
      <c r="K599" s="55">
        <v>0.85</v>
      </c>
      <c r="L599" s="55">
        <f t="shared" si="37"/>
        <v>714</v>
      </c>
      <c r="M599" s="55">
        <v>0.03</v>
      </c>
      <c r="N599" s="101">
        <f t="shared" si="38"/>
        <v>714</v>
      </c>
      <c r="O599" s="57" t="s">
        <v>84</v>
      </c>
    </row>
    <row r="600" spans="1:15" hidden="1" x14ac:dyDescent="0.25">
      <c r="A600" s="224"/>
      <c r="B600" s="96">
        <v>44777</v>
      </c>
      <c r="C600" s="52" t="s">
        <v>50</v>
      </c>
      <c r="D600" s="53" t="s">
        <v>38</v>
      </c>
      <c r="E600" s="53" t="s">
        <v>39</v>
      </c>
      <c r="F600" s="54" t="s">
        <v>40</v>
      </c>
      <c r="G600" s="53">
        <v>8</v>
      </c>
      <c r="H600" s="53">
        <v>900</v>
      </c>
      <c r="I600" s="53">
        <v>850</v>
      </c>
      <c r="J600" s="53">
        <v>0</v>
      </c>
      <c r="K600" s="55">
        <v>0.85</v>
      </c>
      <c r="L600" s="55">
        <f t="shared" si="37"/>
        <v>722.5</v>
      </c>
      <c r="M600" s="55">
        <v>0.03</v>
      </c>
      <c r="N600" s="101">
        <f t="shared" si="38"/>
        <v>722.5</v>
      </c>
      <c r="O600" s="57"/>
    </row>
    <row r="601" spans="1:15" hidden="1" x14ac:dyDescent="0.25">
      <c r="A601" s="224"/>
      <c r="B601" s="96">
        <v>44778</v>
      </c>
      <c r="C601" s="52" t="s">
        <v>53</v>
      </c>
      <c r="D601" s="53" t="s">
        <v>38</v>
      </c>
      <c r="E601" s="53" t="s">
        <v>39</v>
      </c>
      <c r="F601" s="54" t="s">
        <v>40</v>
      </c>
      <c r="G601" s="53">
        <v>8</v>
      </c>
      <c r="H601" s="53">
        <v>900</v>
      </c>
      <c r="I601" s="53">
        <v>860</v>
      </c>
      <c r="J601" s="53">
        <v>0</v>
      </c>
      <c r="K601" s="55">
        <v>0.85</v>
      </c>
      <c r="L601" s="55">
        <f t="shared" si="37"/>
        <v>731</v>
      </c>
      <c r="M601" s="55">
        <v>0.03</v>
      </c>
      <c r="N601" s="101">
        <f t="shared" si="38"/>
        <v>731</v>
      </c>
      <c r="O601" s="57"/>
    </row>
    <row r="602" spans="1:15" hidden="1" x14ac:dyDescent="0.25">
      <c r="A602" s="224"/>
      <c r="B602" s="97">
        <v>44779</v>
      </c>
      <c r="C602" s="58" t="s">
        <v>57</v>
      </c>
      <c r="D602" s="60" t="s">
        <v>38</v>
      </c>
      <c r="E602" s="60" t="s">
        <v>39</v>
      </c>
      <c r="F602" s="61" t="s">
        <v>40</v>
      </c>
      <c r="G602" s="60">
        <v>8</v>
      </c>
      <c r="H602" s="60">
        <v>900</v>
      </c>
      <c r="I602" s="60">
        <v>860</v>
      </c>
      <c r="J602" s="60">
        <v>0</v>
      </c>
      <c r="K602" s="62">
        <v>0.85</v>
      </c>
      <c r="L602" s="62">
        <f t="shared" si="37"/>
        <v>731</v>
      </c>
      <c r="M602" s="62">
        <v>0.03</v>
      </c>
      <c r="N602" s="102">
        <f t="shared" si="38"/>
        <v>731</v>
      </c>
      <c r="O602" s="64"/>
    </row>
    <row r="603" spans="1:15" ht="15.75" hidden="1" thickBot="1" x14ac:dyDescent="0.3">
      <c r="A603" s="225"/>
      <c r="B603" s="98">
        <v>44780</v>
      </c>
      <c r="C603" s="66" t="s">
        <v>59</v>
      </c>
      <c r="D603" s="67" t="s">
        <v>38</v>
      </c>
      <c r="E603" s="67" t="s">
        <v>39</v>
      </c>
      <c r="F603" s="68" t="s">
        <v>40</v>
      </c>
      <c r="G603" s="67">
        <v>8</v>
      </c>
      <c r="H603" s="67">
        <v>900</v>
      </c>
      <c r="I603" s="67">
        <v>860</v>
      </c>
      <c r="J603" s="67">
        <v>0</v>
      </c>
      <c r="K603" s="69">
        <v>0.85</v>
      </c>
      <c r="L603" s="69">
        <f t="shared" si="37"/>
        <v>731</v>
      </c>
      <c r="M603" s="69">
        <v>0.03</v>
      </c>
      <c r="N603" s="103">
        <f t="shared" si="38"/>
        <v>731</v>
      </c>
      <c r="O603" s="71"/>
    </row>
    <row r="604" spans="1:15" hidden="1" x14ac:dyDescent="0.25">
      <c r="A604" s="223">
        <f>_xlfn.ISOWEEKNUM(B604)</f>
        <v>32</v>
      </c>
      <c r="B604" s="96">
        <v>44781</v>
      </c>
      <c r="C604" s="72" t="s">
        <v>37</v>
      </c>
      <c r="D604" s="41" t="s">
        <v>38</v>
      </c>
      <c r="E604" s="41" t="s">
        <v>39</v>
      </c>
      <c r="F604" s="43" t="s">
        <v>40</v>
      </c>
      <c r="G604" s="41">
        <v>10</v>
      </c>
      <c r="H604" s="41">
        <v>900</v>
      </c>
      <c r="I604" s="41">
        <v>860</v>
      </c>
      <c r="J604" s="41">
        <v>0</v>
      </c>
      <c r="K604" s="73">
        <v>0.85</v>
      </c>
      <c r="L604" s="73">
        <f t="shared" si="37"/>
        <v>731</v>
      </c>
      <c r="M604" s="73">
        <v>0.03</v>
      </c>
      <c r="N604" s="105">
        <f t="shared" si="38"/>
        <v>731</v>
      </c>
      <c r="O604" s="46"/>
    </row>
    <row r="605" spans="1:15" hidden="1" x14ac:dyDescent="0.25">
      <c r="A605" s="224"/>
      <c r="B605" s="96">
        <v>44782</v>
      </c>
      <c r="C605" s="52" t="s">
        <v>42</v>
      </c>
      <c r="D605" s="53" t="s">
        <v>38</v>
      </c>
      <c r="E605" s="53" t="s">
        <v>39</v>
      </c>
      <c r="F605" s="54" t="s">
        <v>40</v>
      </c>
      <c r="G605" s="53">
        <v>10</v>
      </c>
      <c r="H605" s="53">
        <v>900</v>
      </c>
      <c r="I605" s="53">
        <v>860</v>
      </c>
      <c r="J605" s="53">
        <v>0</v>
      </c>
      <c r="K605" s="55">
        <v>0.85</v>
      </c>
      <c r="L605" s="55">
        <f t="shared" si="37"/>
        <v>731</v>
      </c>
      <c r="M605" s="55">
        <v>0.03</v>
      </c>
      <c r="N605" s="101">
        <f t="shared" si="38"/>
        <v>731</v>
      </c>
      <c r="O605" s="57"/>
    </row>
    <row r="606" spans="1:15" hidden="1" x14ac:dyDescent="0.25">
      <c r="A606" s="224"/>
      <c r="B606" s="96">
        <v>44783</v>
      </c>
      <c r="C606" s="52" t="s">
        <v>46</v>
      </c>
      <c r="D606" s="53" t="s">
        <v>38</v>
      </c>
      <c r="E606" s="53" t="s">
        <v>39</v>
      </c>
      <c r="F606" s="54" t="s">
        <v>40</v>
      </c>
      <c r="G606" s="53">
        <v>10</v>
      </c>
      <c r="H606" s="53">
        <v>900</v>
      </c>
      <c r="I606" s="53">
        <v>860</v>
      </c>
      <c r="J606" s="53">
        <v>0</v>
      </c>
      <c r="K606" s="55">
        <v>0.85</v>
      </c>
      <c r="L606" s="55">
        <f t="shared" si="37"/>
        <v>731</v>
      </c>
      <c r="M606" s="55">
        <v>0.03</v>
      </c>
      <c r="N606" s="101">
        <f t="shared" si="38"/>
        <v>731</v>
      </c>
      <c r="O606" s="57"/>
    </row>
    <row r="607" spans="1:15" hidden="1" x14ac:dyDescent="0.25">
      <c r="A607" s="224"/>
      <c r="B607" s="96">
        <v>44784</v>
      </c>
      <c r="C607" s="52" t="s">
        <v>50</v>
      </c>
      <c r="D607" s="53" t="s">
        <v>38</v>
      </c>
      <c r="E607" s="53" t="s">
        <v>39</v>
      </c>
      <c r="F607" s="54" t="s">
        <v>40</v>
      </c>
      <c r="G607" s="53">
        <v>5.9</v>
      </c>
      <c r="H607" s="53">
        <v>900</v>
      </c>
      <c r="I607" s="53">
        <v>860</v>
      </c>
      <c r="J607" s="53">
        <v>0</v>
      </c>
      <c r="K607" s="55">
        <v>0.85</v>
      </c>
      <c r="L607" s="55">
        <f t="shared" si="37"/>
        <v>731</v>
      </c>
      <c r="M607" s="55">
        <v>0.03</v>
      </c>
      <c r="N607" s="101">
        <f t="shared" si="38"/>
        <v>731</v>
      </c>
      <c r="O607" s="57" t="s">
        <v>156</v>
      </c>
    </row>
    <row r="608" spans="1:15" hidden="1" x14ac:dyDescent="0.25">
      <c r="A608" s="224"/>
      <c r="B608" s="96">
        <v>44785</v>
      </c>
      <c r="C608" s="52" t="s">
        <v>53</v>
      </c>
      <c r="D608" s="53" t="s">
        <v>38</v>
      </c>
      <c r="E608" s="53" t="s">
        <v>39</v>
      </c>
      <c r="F608" s="54" t="s">
        <v>40</v>
      </c>
      <c r="G608" s="53">
        <v>5.9</v>
      </c>
      <c r="H608" s="53">
        <v>900</v>
      </c>
      <c r="I608" s="53">
        <v>860</v>
      </c>
      <c r="J608" s="53">
        <v>0</v>
      </c>
      <c r="K608" s="55">
        <v>0.85</v>
      </c>
      <c r="L608" s="55">
        <f t="shared" si="37"/>
        <v>731</v>
      </c>
      <c r="M608" s="55">
        <v>0.03</v>
      </c>
      <c r="N608" s="101">
        <f t="shared" si="38"/>
        <v>731</v>
      </c>
      <c r="O608" s="57"/>
    </row>
    <row r="609" spans="1:15" hidden="1" x14ac:dyDescent="0.25">
      <c r="A609" s="224"/>
      <c r="B609" s="97">
        <v>44786</v>
      </c>
      <c r="C609" s="58" t="s">
        <v>57</v>
      </c>
      <c r="D609" s="60" t="s">
        <v>38</v>
      </c>
      <c r="E609" s="60" t="s">
        <v>39</v>
      </c>
      <c r="F609" s="61" t="s">
        <v>40</v>
      </c>
      <c r="G609" s="60">
        <v>5.9</v>
      </c>
      <c r="H609" s="60">
        <v>900</v>
      </c>
      <c r="I609" s="60">
        <v>860</v>
      </c>
      <c r="J609" s="60">
        <v>0</v>
      </c>
      <c r="K609" s="62">
        <v>0.85</v>
      </c>
      <c r="L609" s="62">
        <f t="shared" si="37"/>
        <v>731</v>
      </c>
      <c r="M609" s="62">
        <v>0.03</v>
      </c>
      <c r="N609" s="102">
        <f t="shared" si="38"/>
        <v>731</v>
      </c>
      <c r="O609" s="64"/>
    </row>
    <row r="610" spans="1:15" ht="15.75" hidden="1" thickBot="1" x14ac:dyDescent="0.3">
      <c r="A610" s="225"/>
      <c r="B610" s="98">
        <v>44787</v>
      </c>
      <c r="C610" s="66" t="s">
        <v>59</v>
      </c>
      <c r="D610" s="67" t="s">
        <v>38</v>
      </c>
      <c r="E610" s="67" t="s">
        <v>39</v>
      </c>
      <c r="F610" s="68" t="s">
        <v>40</v>
      </c>
      <c r="G610" s="67">
        <v>5.9</v>
      </c>
      <c r="H610" s="67">
        <v>900</v>
      </c>
      <c r="I610" s="67">
        <v>860</v>
      </c>
      <c r="J610" s="67">
        <v>0</v>
      </c>
      <c r="K610" s="69">
        <v>0.85</v>
      </c>
      <c r="L610" s="69">
        <f t="shared" si="37"/>
        <v>731</v>
      </c>
      <c r="M610" s="69">
        <v>0.03</v>
      </c>
      <c r="N610" s="103">
        <f t="shared" si="38"/>
        <v>731</v>
      </c>
      <c r="O610" s="71"/>
    </row>
    <row r="611" spans="1:15" hidden="1" x14ac:dyDescent="0.25">
      <c r="A611" s="223">
        <f>_xlfn.ISOWEEKNUM(B611)</f>
        <v>33</v>
      </c>
      <c r="B611" s="96">
        <v>44788</v>
      </c>
      <c r="C611" s="72" t="s">
        <v>37</v>
      </c>
      <c r="D611" s="41" t="s">
        <v>38</v>
      </c>
      <c r="E611" s="41" t="s">
        <v>39</v>
      </c>
      <c r="F611" s="43" t="s">
        <v>40</v>
      </c>
      <c r="G611" s="41">
        <v>3.9</v>
      </c>
      <c r="H611" s="41">
        <v>0</v>
      </c>
      <c r="I611" s="41">
        <v>860</v>
      </c>
      <c r="J611" s="41">
        <v>0</v>
      </c>
      <c r="K611" s="73">
        <v>0.85</v>
      </c>
      <c r="L611" s="73">
        <f t="shared" si="37"/>
        <v>731</v>
      </c>
      <c r="M611" s="73">
        <v>0</v>
      </c>
      <c r="N611" s="105">
        <f t="shared" si="38"/>
        <v>731</v>
      </c>
      <c r="O611" s="46"/>
    </row>
    <row r="612" spans="1:15" hidden="1" x14ac:dyDescent="0.25">
      <c r="A612" s="224"/>
      <c r="B612" s="96">
        <v>44789</v>
      </c>
      <c r="C612" s="52" t="s">
        <v>42</v>
      </c>
      <c r="D612" s="53" t="s">
        <v>38</v>
      </c>
      <c r="E612" s="53" t="s">
        <v>39</v>
      </c>
      <c r="F612" s="54" t="s">
        <v>40</v>
      </c>
      <c r="G612" s="53">
        <v>3.9</v>
      </c>
      <c r="H612" s="53">
        <v>0</v>
      </c>
      <c r="I612" s="53">
        <v>860</v>
      </c>
      <c r="J612" s="53">
        <v>0</v>
      </c>
      <c r="K612" s="55">
        <v>0.85</v>
      </c>
      <c r="L612" s="55">
        <f t="shared" si="37"/>
        <v>731</v>
      </c>
      <c r="M612" s="55">
        <v>0</v>
      </c>
      <c r="N612" s="101">
        <f t="shared" si="38"/>
        <v>731</v>
      </c>
      <c r="O612" s="57"/>
    </row>
    <row r="613" spans="1:15" hidden="1" x14ac:dyDescent="0.25">
      <c r="A613" s="224"/>
      <c r="B613" s="96">
        <v>44790</v>
      </c>
      <c r="C613" s="52" t="s">
        <v>46</v>
      </c>
      <c r="D613" s="53" t="s">
        <v>38</v>
      </c>
      <c r="E613" s="53" t="s">
        <v>39</v>
      </c>
      <c r="F613" s="54" t="s">
        <v>40</v>
      </c>
      <c r="G613" s="53">
        <v>3.9</v>
      </c>
      <c r="H613" s="53">
        <v>0</v>
      </c>
      <c r="I613" s="53">
        <v>860</v>
      </c>
      <c r="J613" s="53">
        <v>0</v>
      </c>
      <c r="K613" s="55">
        <v>0.85</v>
      </c>
      <c r="L613" s="55">
        <f t="shared" si="37"/>
        <v>731</v>
      </c>
      <c r="M613" s="55">
        <v>0</v>
      </c>
      <c r="N613" s="101">
        <f t="shared" si="38"/>
        <v>731</v>
      </c>
      <c r="O613" s="57"/>
    </row>
    <row r="614" spans="1:15" hidden="1" x14ac:dyDescent="0.25">
      <c r="A614" s="224"/>
      <c r="B614" s="96">
        <v>44791</v>
      </c>
      <c r="C614" s="52" t="s">
        <v>50</v>
      </c>
      <c r="D614" s="53" t="s">
        <v>38</v>
      </c>
      <c r="E614" s="53" t="s">
        <v>39</v>
      </c>
      <c r="F614" s="54" t="s">
        <v>40</v>
      </c>
      <c r="G614" s="53">
        <v>3.9</v>
      </c>
      <c r="H614" s="53">
        <v>0</v>
      </c>
      <c r="I614" s="53">
        <v>860</v>
      </c>
      <c r="J614" s="53">
        <v>0</v>
      </c>
      <c r="K614" s="55">
        <v>0.85</v>
      </c>
      <c r="L614" s="55">
        <f t="shared" si="37"/>
        <v>731</v>
      </c>
      <c r="M614" s="55">
        <v>0</v>
      </c>
      <c r="N614" s="101">
        <f t="shared" si="38"/>
        <v>731</v>
      </c>
      <c r="O614" s="57"/>
    </row>
    <row r="615" spans="1:15" hidden="1" x14ac:dyDescent="0.25">
      <c r="A615" s="224"/>
      <c r="B615" s="96">
        <v>44792</v>
      </c>
      <c r="C615" s="52" t="s">
        <v>53</v>
      </c>
      <c r="D615" s="53" t="s">
        <v>38</v>
      </c>
      <c r="E615" s="53" t="s">
        <v>39</v>
      </c>
      <c r="F615" s="54" t="s">
        <v>40</v>
      </c>
      <c r="G615" s="53">
        <v>4.9000000000000004</v>
      </c>
      <c r="H615" s="53">
        <v>0</v>
      </c>
      <c r="I615" s="53">
        <v>860</v>
      </c>
      <c r="J615" s="53">
        <v>0</v>
      </c>
      <c r="K615" s="55">
        <v>0.85</v>
      </c>
      <c r="L615" s="55">
        <f t="shared" si="37"/>
        <v>731</v>
      </c>
      <c r="M615" s="55">
        <v>0</v>
      </c>
      <c r="N615" s="101">
        <f t="shared" si="38"/>
        <v>731</v>
      </c>
      <c r="O615" s="57"/>
    </row>
    <row r="616" spans="1:15" hidden="1" x14ac:dyDescent="0.25">
      <c r="A616" s="224"/>
      <c r="B616" s="97">
        <v>44793</v>
      </c>
      <c r="C616" s="58" t="s">
        <v>57</v>
      </c>
      <c r="D616" s="60" t="s">
        <v>38</v>
      </c>
      <c r="E616" s="60" t="s">
        <v>39</v>
      </c>
      <c r="F616" s="61" t="s">
        <v>40</v>
      </c>
      <c r="G616" s="60">
        <v>4.9000000000000004</v>
      </c>
      <c r="H616" s="60">
        <v>0</v>
      </c>
      <c r="I616" s="60">
        <v>860</v>
      </c>
      <c r="J616" s="60">
        <v>0</v>
      </c>
      <c r="K616" s="62">
        <v>0.85</v>
      </c>
      <c r="L616" s="62">
        <f t="shared" si="37"/>
        <v>731</v>
      </c>
      <c r="M616" s="62">
        <v>0</v>
      </c>
      <c r="N616" s="102">
        <f t="shared" si="38"/>
        <v>731</v>
      </c>
      <c r="O616" s="64"/>
    </row>
    <row r="617" spans="1:15" ht="15.75" hidden="1" thickBot="1" x14ac:dyDescent="0.3">
      <c r="A617" s="225"/>
      <c r="B617" s="98">
        <v>44794</v>
      </c>
      <c r="C617" s="66" t="s">
        <v>59</v>
      </c>
      <c r="D617" s="67" t="s">
        <v>38</v>
      </c>
      <c r="E617" s="67" t="s">
        <v>39</v>
      </c>
      <c r="F617" s="68" t="s">
        <v>40</v>
      </c>
      <c r="G617" s="67">
        <v>4.9000000000000004</v>
      </c>
      <c r="H617" s="67">
        <v>0</v>
      </c>
      <c r="I617" s="67">
        <v>860</v>
      </c>
      <c r="J617" s="67">
        <v>0</v>
      </c>
      <c r="K617" s="69">
        <v>0.85</v>
      </c>
      <c r="L617" s="69">
        <f t="shared" si="37"/>
        <v>731</v>
      </c>
      <c r="M617" s="69">
        <v>0</v>
      </c>
      <c r="N617" s="103">
        <f t="shared" si="38"/>
        <v>731</v>
      </c>
      <c r="O617" s="71"/>
    </row>
    <row r="618" spans="1:15" hidden="1" x14ac:dyDescent="0.25">
      <c r="A618" s="223">
        <f>_xlfn.ISOWEEKNUM(B618)</f>
        <v>34</v>
      </c>
      <c r="B618" s="96">
        <v>44795</v>
      </c>
      <c r="C618" s="72" t="s">
        <v>37</v>
      </c>
      <c r="D618" s="41" t="s">
        <v>38</v>
      </c>
      <c r="E618" s="41" t="s">
        <v>39</v>
      </c>
      <c r="F618" s="43" t="s">
        <v>40</v>
      </c>
      <c r="G618" s="41">
        <v>3.9</v>
      </c>
      <c r="H618" s="41">
        <v>0</v>
      </c>
      <c r="I618" s="41">
        <v>860</v>
      </c>
      <c r="J618" s="41">
        <v>0</v>
      </c>
      <c r="K618" s="73">
        <v>0.85</v>
      </c>
      <c r="L618" s="73">
        <f t="shared" si="37"/>
        <v>731</v>
      </c>
      <c r="M618" s="73">
        <v>0</v>
      </c>
      <c r="N618" s="105">
        <f t="shared" si="38"/>
        <v>731</v>
      </c>
      <c r="O618" s="46" t="s">
        <v>139</v>
      </c>
    </row>
    <row r="619" spans="1:15" hidden="1" x14ac:dyDescent="0.25">
      <c r="A619" s="224"/>
      <c r="B619" s="96">
        <v>44796</v>
      </c>
      <c r="C619" s="52" t="s">
        <v>42</v>
      </c>
      <c r="D619" s="53" t="s">
        <v>38</v>
      </c>
      <c r="E619" s="53" t="s">
        <v>39</v>
      </c>
      <c r="F619" s="54" t="s">
        <v>40</v>
      </c>
      <c r="G619" s="53">
        <v>3.9</v>
      </c>
      <c r="H619" s="53">
        <v>0</v>
      </c>
      <c r="I619" s="53">
        <v>860</v>
      </c>
      <c r="J619" s="53">
        <v>0</v>
      </c>
      <c r="K619" s="55">
        <v>0.85</v>
      </c>
      <c r="L619" s="55">
        <f t="shared" si="37"/>
        <v>731</v>
      </c>
      <c r="M619" s="55">
        <v>0</v>
      </c>
      <c r="N619" s="101">
        <f t="shared" si="38"/>
        <v>731</v>
      </c>
      <c r="O619" s="46" t="s">
        <v>139</v>
      </c>
    </row>
    <row r="620" spans="1:15" hidden="1" x14ac:dyDescent="0.25">
      <c r="A620" s="224"/>
      <c r="B620" s="96">
        <v>44797</v>
      </c>
      <c r="C620" s="52" t="s">
        <v>46</v>
      </c>
      <c r="D620" s="53" t="s">
        <v>38</v>
      </c>
      <c r="E620" s="53" t="s">
        <v>39</v>
      </c>
      <c r="F620" s="54" t="s">
        <v>40</v>
      </c>
      <c r="G620" s="53">
        <v>3.9</v>
      </c>
      <c r="H620" s="53">
        <v>0</v>
      </c>
      <c r="I620" s="53">
        <v>860</v>
      </c>
      <c r="J620" s="53">
        <v>0</v>
      </c>
      <c r="K620" s="55">
        <v>0.85</v>
      </c>
      <c r="L620" s="55">
        <f t="shared" si="37"/>
        <v>731</v>
      </c>
      <c r="M620" s="55">
        <v>0</v>
      </c>
      <c r="N620" s="101">
        <f t="shared" si="38"/>
        <v>731</v>
      </c>
      <c r="O620" s="46" t="s">
        <v>139</v>
      </c>
    </row>
    <row r="621" spans="1:15" hidden="1" x14ac:dyDescent="0.25">
      <c r="A621" s="224"/>
      <c r="B621" s="96">
        <v>44798</v>
      </c>
      <c r="C621" s="52" t="s">
        <v>50</v>
      </c>
      <c r="D621" s="53" t="s">
        <v>38</v>
      </c>
      <c r="E621" s="53" t="s">
        <v>39</v>
      </c>
      <c r="F621" s="54" t="s">
        <v>40</v>
      </c>
      <c r="G621" s="53">
        <v>5.9</v>
      </c>
      <c r="H621" s="53">
        <v>0</v>
      </c>
      <c r="I621" s="53">
        <v>860</v>
      </c>
      <c r="J621" s="53">
        <v>0</v>
      </c>
      <c r="K621" s="55">
        <v>0.85</v>
      </c>
      <c r="L621" s="55">
        <f t="shared" si="37"/>
        <v>731</v>
      </c>
      <c r="M621" s="55">
        <v>0</v>
      </c>
      <c r="N621" s="101">
        <f t="shared" si="38"/>
        <v>731</v>
      </c>
      <c r="O621" s="57"/>
    </row>
    <row r="622" spans="1:15" hidden="1" x14ac:dyDescent="0.25">
      <c r="A622" s="224"/>
      <c r="B622" s="96">
        <v>44799</v>
      </c>
      <c r="C622" s="52" t="s">
        <v>53</v>
      </c>
      <c r="D622" s="53" t="s">
        <v>38</v>
      </c>
      <c r="E622" s="53" t="s">
        <v>39</v>
      </c>
      <c r="F622" s="54" t="s">
        <v>40</v>
      </c>
      <c r="G622" s="53">
        <v>5.9</v>
      </c>
      <c r="H622" s="53">
        <v>0</v>
      </c>
      <c r="I622" s="53">
        <v>860</v>
      </c>
      <c r="J622" s="53">
        <v>0</v>
      </c>
      <c r="K622" s="55">
        <v>0.85</v>
      </c>
      <c r="L622" s="55">
        <f t="shared" si="37"/>
        <v>731</v>
      </c>
      <c r="M622" s="55">
        <v>0</v>
      </c>
      <c r="N622" s="101">
        <f t="shared" si="38"/>
        <v>731</v>
      </c>
      <c r="O622" s="57"/>
    </row>
    <row r="623" spans="1:15" hidden="1" x14ac:dyDescent="0.25">
      <c r="A623" s="224"/>
      <c r="B623" s="97">
        <v>44800</v>
      </c>
      <c r="C623" s="58" t="s">
        <v>57</v>
      </c>
      <c r="D623" s="60" t="s">
        <v>38</v>
      </c>
      <c r="E623" s="60" t="s">
        <v>39</v>
      </c>
      <c r="F623" s="61" t="s">
        <v>40</v>
      </c>
      <c r="G623" s="60">
        <v>5.9</v>
      </c>
      <c r="H623" s="60">
        <v>0</v>
      </c>
      <c r="I623" s="60">
        <v>860</v>
      </c>
      <c r="J623" s="60">
        <v>0</v>
      </c>
      <c r="K623" s="62">
        <v>0.85</v>
      </c>
      <c r="L623" s="62">
        <f t="shared" si="37"/>
        <v>731</v>
      </c>
      <c r="M623" s="62">
        <v>0</v>
      </c>
      <c r="N623" s="102">
        <f t="shared" si="38"/>
        <v>731</v>
      </c>
      <c r="O623" s="64"/>
    </row>
    <row r="624" spans="1:15" ht="15.75" hidden="1" thickBot="1" x14ac:dyDescent="0.3">
      <c r="A624" s="225"/>
      <c r="B624" s="98">
        <v>44801</v>
      </c>
      <c r="C624" s="66" t="s">
        <v>59</v>
      </c>
      <c r="D624" s="67" t="s">
        <v>38</v>
      </c>
      <c r="E624" s="67" t="s">
        <v>39</v>
      </c>
      <c r="F624" s="68" t="s">
        <v>40</v>
      </c>
      <c r="G624" s="67">
        <v>5.9</v>
      </c>
      <c r="H624" s="67">
        <v>0</v>
      </c>
      <c r="I624" s="67">
        <v>860</v>
      </c>
      <c r="J624" s="67">
        <v>0</v>
      </c>
      <c r="K624" s="69">
        <v>0.85</v>
      </c>
      <c r="L624" s="69">
        <f t="shared" si="37"/>
        <v>731</v>
      </c>
      <c r="M624" s="69">
        <v>0</v>
      </c>
      <c r="N624" s="103">
        <f t="shared" si="38"/>
        <v>731</v>
      </c>
      <c r="O624" s="71"/>
    </row>
    <row r="625" spans="1:15" hidden="1" x14ac:dyDescent="0.25">
      <c r="A625" s="223">
        <f>_xlfn.ISOWEEKNUM(B625)</f>
        <v>35</v>
      </c>
      <c r="B625" s="96">
        <v>44802</v>
      </c>
      <c r="C625" s="72" t="s">
        <v>37</v>
      </c>
      <c r="D625" s="41" t="s">
        <v>38</v>
      </c>
      <c r="E625" s="41" t="s">
        <v>39</v>
      </c>
      <c r="F625" s="43" t="s">
        <v>40</v>
      </c>
      <c r="G625" s="41">
        <v>5.9</v>
      </c>
      <c r="H625" s="41">
        <v>0</v>
      </c>
      <c r="I625" s="41">
        <v>860</v>
      </c>
      <c r="J625" s="41">
        <v>0</v>
      </c>
      <c r="K625" s="73">
        <v>0.85</v>
      </c>
      <c r="L625" s="73">
        <f t="shared" si="37"/>
        <v>731</v>
      </c>
      <c r="M625" s="73">
        <v>0</v>
      </c>
      <c r="N625" s="105">
        <f t="shared" si="38"/>
        <v>731</v>
      </c>
      <c r="O625" s="46"/>
    </row>
    <row r="626" spans="1:15" hidden="1" x14ac:dyDescent="0.25">
      <c r="A626" s="224"/>
      <c r="B626" s="96">
        <v>44803</v>
      </c>
      <c r="C626" s="52" t="s">
        <v>42</v>
      </c>
      <c r="D626" s="53" t="s">
        <v>38</v>
      </c>
      <c r="E626" s="53" t="s">
        <v>39</v>
      </c>
      <c r="F626" s="54" t="s">
        <v>40</v>
      </c>
      <c r="G626" s="53">
        <v>5.9</v>
      </c>
      <c r="H626" s="53">
        <v>0</v>
      </c>
      <c r="I626" s="53">
        <v>860</v>
      </c>
      <c r="J626" s="53">
        <v>0</v>
      </c>
      <c r="K626" s="55">
        <v>0.85</v>
      </c>
      <c r="L626" s="55">
        <f t="shared" si="37"/>
        <v>731</v>
      </c>
      <c r="M626" s="55">
        <v>0</v>
      </c>
      <c r="N626" s="101">
        <f t="shared" si="38"/>
        <v>731</v>
      </c>
      <c r="O626" s="57"/>
    </row>
    <row r="627" spans="1:15" hidden="1" x14ac:dyDescent="0.25">
      <c r="A627" s="224"/>
      <c r="B627" s="96">
        <v>44804</v>
      </c>
      <c r="C627" s="52" t="s">
        <v>46</v>
      </c>
      <c r="D627" s="53" t="s">
        <v>38</v>
      </c>
      <c r="E627" s="53" t="s">
        <v>39</v>
      </c>
      <c r="F627" s="54" t="s">
        <v>40</v>
      </c>
      <c r="G627" s="53">
        <v>3.9</v>
      </c>
      <c r="H627" s="53">
        <v>0</v>
      </c>
      <c r="I627" s="53">
        <v>860</v>
      </c>
      <c r="J627" s="53">
        <v>0</v>
      </c>
      <c r="K627" s="55">
        <v>0.85</v>
      </c>
      <c r="L627" s="55">
        <f t="shared" si="37"/>
        <v>731</v>
      </c>
      <c r="M627" s="55">
        <v>0</v>
      </c>
      <c r="N627" s="101">
        <f t="shared" si="38"/>
        <v>731</v>
      </c>
      <c r="O627" s="57"/>
    </row>
    <row r="628" spans="1:15" hidden="1" x14ac:dyDescent="0.25">
      <c r="A628" s="224"/>
      <c r="B628" s="96">
        <v>44805</v>
      </c>
      <c r="C628" s="52" t="s">
        <v>50</v>
      </c>
      <c r="D628" s="53" t="s">
        <v>38</v>
      </c>
      <c r="E628" s="53" t="s">
        <v>39</v>
      </c>
      <c r="F628" s="54" t="s">
        <v>40</v>
      </c>
      <c r="G628" s="53">
        <v>3.9</v>
      </c>
      <c r="H628" s="53">
        <v>0</v>
      </c>
      <c r="I628" s="53">
        <v>860</v>
      </c>
      <c r="J628" s="53">
        <v>0</v>
      </c>
      <c r="K628" s="55">
        <v>0.85</v>
      </c>
      <c r="L628" s="55">
        <f t="shared" si="37"/>
        <v>731</v>
      </c>
      <c r="M628" s="55">
        <v>0</v>
      </c>
      <c r="N628" s="101">
        <f t="shared" si="38"/>
        <v>731</v>
      </c>
      <c r="O628" s="57"/>
    </row>
    <row r="629" spans="1:15" hidden="1" x14ac:dyDescent="0.25">
      <c r="A629" s="224"/>
      <c r="B629" s="96">
        <v>44806</v>
      </c>
      <c r="C629" s="52" t="s">
        <v>53</v>
      </c>
      <c r="D629" s="53" t="s">
        <v>38</v>
      </c>
      <c r="E629" s="53" t="s">
        <v>39</v>
      </c>
      <c r="F629" s="54" t="s">
        <v>40</v>
      </c>
      <c r="G629" s="53">
        <v>3.9</v>
      </c>
      <c r="H629" s="53">
        <v>0</v>
      </c>
      <c r="I629" s="53">
        <v>860</v>
      </c>
      <c r="J629" s="53">
        <v>0</v>
      </c>
      <c r="K629" s="55">
        <v>0.85</v>
      </c>
      <c r="L629" s="55">
        <f t="shared" ref="L629:L658" si="39">IF(J629&lt;&gt;0,J629,I629)*K629</f>
        <v>731</v>
      </c>
      <c r="M629" s="55">
        <v>0</v>
      </c>
      <c r="N629" s="101">
        <f t="shared" ref="N629:N660" si="40">+I629*0.85</f>
        <v>731</v>
      </c>
      <c r="O629" s="57"/>
    </row>
    <row r="630" spans="1:15" hidden="1" x14ac:dyDescent="0.25">
      <c r="A630" s="224"/>
      <c r="B630" s="97">
        <v>44807</v>
      </c>
      <c r="C630" s="58" t="s">
        <v>57</v>
      </c>
      <c r="D630" s="60" t="s">
        <v>38</v>
      </c>
      <c r="E630" s="60" t="s">
        <v>39</v>
      </c>
      <c r="F630" s="61" t="s">
        <v>40</v>
      </c>
      <c r="G630" s="60">
        <v>3.9</v>
      </c>
      <c r="H630" s="60">
        <v>0</v>
      </c>
      <c r="I630" s="60">
        <v>860</v>
      </c>
      <c r="J630" s="60">
        <v>0</v>
      </c>
      <c r="K630" s="62">
        <v>0.85</v>
      </c>
      <c r="L630" s="62">
        <f t="shared" si="39"/>
        <v>731</v>
      </c>
      <c r="M630" s="62">
        <v>0</v>
      </c>
      <c r="N630" s="102">
        <f t="shared" si="40"/>
        <v>731</v>
      </c>
      <c r="O630" s="64"/>
    </row>
    <row r="631" spans="1:15" ht="15.75" hidden="1" thickBot="1" x14ac:dyDescent="0.3">
      <c r="A631" s="225"/>
      <c r="B631" s="98">
        <v>44808</v>
      </c>
      <c r="C631" s="66" t="s">
        <v>59</v>
      </c>
      <c r="D631" s="67" t="s">
        <v>38</v>
      </c>
      <c r="E631" s="67" t="s">
        <v>39</v>
      </c>
      <c r="F631" s="68" t="s">
        <v>40</v>
      </c>
      <c r="G631" s="67">
        <v>3.9</v>
      </c>
      <c r="H631" s="67">
        <v>0</v>
      </c>
      <c r="I631" s="67">
        <v>860</v>
      </c>
      <c r="J631" s="67">
        <v>0</v>
      </c>
      <c r="K631" s="69">
        <v>0.85</v>
      </c>
      <c r="L631" s="69">
        <f t="shared" si="39"/>
        <v>731</v>
      </c>
      <c r="M631" s="69">
        <v>0</v>
      </c>
      <c r="N631" s="103">
        <f t="shared" si="40"/>
        <v>731</v>
      </c>
      <c r="O631" s="71"/>
    </row>
    <row r="632" spans="1:15" hidden="1" x14ac:dyDescent="0.25">
      <c r="A632" s="223">
        <f>_xlfn.ISOWEEKNUM(B632)</f>
        <v>36</v>
      </c>
      <c r="B632" s="96">
        <v>44809</v>
      </c>
      <c r="C632" s="72" t="s">
        <v>37</v>
      </c>
      <c r="D632" s="41" t="s">
        <v>38</v>
      </c>
      <c r="E632" s="41" t="s">
        <v>39</v>
      </c>
      <c r="F632" s="43" t="s">
        <v>40</v>
      </c>
      <c r="G632" s="41">
        <v>3.9</v>
      </c>
      <c r="H632" s="41">
        <v>0</v>
      </c>
      <c r="I632" s="41">
        <v>860</v>
      </c>
      <c r="J632" s="41">
        <v>0</v>
      </c>
      <c r="K632" s="73">
        <v>0.85</v>
      </c>
      <c r="L632" s="73">
        <f t="shared" si="39"/>
        <v>731</v>
      </c>
      <c r="M632" s="73">
        <v>0</v>
      </c>
      <c r="N632" s="105">
        <f t="shared" si="40"/>
        <v>731</v>
      </c>
      <c r="O632" s="46"/>
    </row>
    <row r="633" spans="1:15" hidden="1" x14ac:dyDescent="0.25">
      <c r="A633" s="224"/>
      <c r="B633" s="96">
        <v>44810</v>
      </c>
      <c r="C633" s="52" t="s">
        <v>42</v>
      </c>
      <c r="D633" s="53" t="s">
        <v>38</v>
      </c>
      <c r="E633" s="53" t="s">
        <v>39</v>
      </c>
      <c r="F633" s="54" t="s">
        <v>40</v>
      </c>
      <c r="G633" s="53">
        <v>3.9</v>
      </c>
      <c r="H633" s="53">
        <v>0</v>
      </c>
      <c r="I633" s="53">
        <v>860</v>
      </c>
      <c r="J633" s="53">
        <v>0</v>
      </c>
      <c r="K633" s="55">
        <v>0.85</v>
      </c>
      <c r="L633" s="55">
        <f t="shared" si="39"/>
        <v>731</v>
      </c>
      <c r="M633" s="55">
        <v>0</v>
      </c>
      <c r="N633" s="101">
        <f t="shared" si="40"/>
        <v>731</v>
      </c>
      <c r="O633" s="57"/>
    </row>
    <row r="634" spans="1:15" hidden="1" x14ac:dyDescent="0.25">
      <c r="A634" s="224"/>
      <c r="B634" s="96">
        <v>44811</v>
      </c>
      <c r="C634" s="52" t="s">
        <v>46</v>
      </c>
      <c r="D634" s="53" t="s">
        <v>38</v>
      </c>
      <c r="E634" s="53" t="s">
        <v>39</v>
      </c>
      <c r="F634" s="54" t="s">
        <v>40</v>
      </c>
      <c r="G634" s="53">
        <v>3.9</v>
      </c>
      <c r="H634" s="53">
        <v>0</v>
      </c>
      <c r="I634" s="53">
        <v>860</v>
      </c>
      <c r="J634" s="53">
        <v>0</v>
      </c>
      <c r="K634" s="55">
        <v>0.85</v>
      </c>
      <c r="L634" s="55">
        <f t="shared" si="39"/>
        <v>731</v>
      </c>
      <c r="M634" s="55">
        <v>0</v>
      </c>
      <c r="N634" s="101">
        <f t="shared" si="40"/>
        <v>731</v>
      </c>
      <c r="O634" s="57"/>
    </row>
    <row r="635" spans="1:15" hidden="1" x14ac:dyDescent="0.25">
      <c r="A635" s="224"/>
      <c r="B635" s="96">
        <v>44812</v>
      </c>
      <c r="C635" s="52" t="s">
        <v>50</v>
      </c>
      <c r="D635" s="53" t="s">
        <v>38</v>
      </c>
      <c r="E635" s="53" t="s">
        <v>39</v>
      </c>
      <c r="F635" s="54" t="s">
        <v>40</v>
      </c>
      <c r="G635" s="53">
        <v>5.9</v>
      </c>
      <c r="H635" s="53">
        <v>0</v>
      </c>
      <c r="I635" s="53">
        <v>860</v>
      </c>
      <c r="J635" s="53">
        <v>0</v>
      </c>
      <c r="K635" s="55">
        <v>0.85</v>
      </c>
      <c r="L635" s="55">
        <f t="shared" si="39"/>
        <v>731</v>
      </c>
      <c r="M635" s="55">
        <v>0</v>
      </c>
      <c r="N635" s="101">
        <f t="shared" si="40"/>
        <v>731</v>
      </c>
      <c r="O635" s="57"/>
    </row>
    <row r="636" spans="1:15" hidden="1" x14ac:dyDescent="0.25">
      <c r="A636" s="224"/>
      <c r="B636" s="96">
        <v>44813</v>
      </c>
      <c r="C636" s="52" t="s">
        <v>53</v>
      </c>
      <c r="D636" s="53" t="s">
        <v>38</v>
      </c>
      <c r="E636" s="53" t="s">
        <v>39</v>
      </c>
      <c r="F636" s="54" t="s">
        <v>40</v>
      </c>
      <c r="G636" s="53">
        <v>5.9</v>
      </c>
      <c r="H636" s="53">
        <v>0</v>
      </c>
      <c r="I636" s="53">
        <v>860</v>
      </c>
      <c r="J636" s="53">
        <v>0</v>
      </c>
      <c r="K636" s="55">
        <v>0.85</v>
      </c>
      <c r="L636" s="55">
        <f t="shared" si="39"/>
        <v>731</v>
      </c>
      <c r="M636" s="55">
        <v>0</v>
      </c>
      <c r="N636" s="101">
        <f t="shared" si="40"/>
        <v>731</v>
      </c>
      <c r="O636" s="57"/>
    </row>
    <row r="637" spans="1:15" hidden="1" x14ac:dyDescent="0.25">
      <c r="A637" s="224"/>
      <c r="B637" s="97">
        <v>44814</v>
      </c>
      <c r="C637" s="58" t="s">
        <v>57</v>
      </c>
      <c r="D637" s="60" t="s">
        <v>38</v>
      </c>
      <c r="E637" s="60" t="s">
        <v>39</v>
      </c>
      <c r="F637" s="61" t="s">
        <v>40</v>
      </c>
      <c r="G637" s="60">
        <v>5.9</v>
      </c>
      <c r="H637" s="60">
        <v>0</v>
      </c>
      <c r="I637" s="60">
        <v>860</v>
      </c>
      <c r="J637" s="60">
        <v>0</v>
      </c>
      <c r="K637" s="62">
        <v>0.85</v>
      </c>
      <c r="L637" s="62">
        <f t="shared" si="39"/>
        <v>731</v>
      </c>
      <c r="M637" s="62">
        <v>0</v>
      </c>
      <c r="N637" s="102">
        <f t="shared" si="40"/>
        <v>731</v>
      </c>
      <c r="O637" s="64"/>
    </row>
    <row r="638" spans="1:15" ht="15.75" hidden="1" thickBot="1" x14ac:dyDescent="0.3">
      <c r="A638" s="225"/>
      <c r="B638" s="98">
        <v>44815</v>
      </c>
      <c r="C638" s="66" t="s">
        <v>59</v>
      </c>
      <c r="D638" s="67" t="s">
        <v>38</v>
      </c>
      <c r="E638" s="67" t="s">
        <v>39</v>
      </c>
      <c r="F638" s="68" t="s">
        <v>40</v>
      </c>
      <c r="G638" s="67">
        <v>5.9</v>
      </c>
      <c r="H638" s="67">
        <v>0</v>
      </c>
      <c r="I638" s="67">
        <v>860</v>
      </c>
      <c r="J638" s="67">
        <v>0</v>
      </c>
      <c r="K638" s="69">
        <v>0.85</v>
      </c>
      <c r="L638" s="69">
        <f t="shared" si="39"/>
        <v>731</v>
      </c>
      <c r="M638" s="69">
        <v>0</v>
      </c>
      <c r="N638" s="103">
        <f t="shared" si="40"/>
        <v>731</v>
      </c>
      <c r="O638" s="71"/>
    </row>
    <row r="639" spans="1:15" hidden="1" x14ac:dyDescent="0.25">
      <c r="A639" s="223">
        <f>_xlfn.ISOWEEKNUM(B639)</f>
        <v>37</v>
      </c>
      <c r="B639" s="96">
        <v>44816</v>
      </c>
      <c r="C639" s="72" t="s">
        <v>37</v>
      </c>
      <c r="D639" s="41" t="s">
        <v>38</v>
      </c>
      <c r="E639" s="41" t="s">
        <v>39</v>
      </c>
      <c r="F639" s="43" t="s">
        <v>40</v>
      </c>
      <c r="G639" s="41">
        <v>8</v>
      </c>
      <c r="H639" s="41">
        <v>0</v>
      </c>
      <c r="I639" s="41">
        <v>860</v>
      </c>
      <c r="J639" s="41">
        <v>0</v>
      </c>
      <c r="K639" s="73">
        <v>0.85</v>
      </c>
      <c r="L639" s="73">
        <f t="shared" si="39"/>
        <v>731</v>
      </c>
      <c r="M639" s="73">
        <v>0</v>
      </c>
      <c r="N639" s="105">
        <f t="shared" si="40"/>
        <v>731</v>
      </c>
      <c r="O639" s="46"/>
    </row>
    <row r="640" spans="1:15" hidden="1" x14ac:dyDescent="0.25">
      <c r="A640" s="224"/>
      <c r="B640" s="96">
        <v>44817</v>
      </c>
      <c r="C640" s="52" t="s">
        <v>42</v>
      </c>
      <c r="D640" s="53" t="s">
        <v>38</v>
      </c>
      <c r="E640" s="53" t="s">
        <v>39</v>
      </c>
      <c r="F640" s="54" t="s">
        <v>40</v>
      </c>
      <c r="G640" s="53">
        <v>10</v>
      </c>
      <c r="H640" s="53">
        <v>0</v>
      </c>
      <c r="I640" s="53">
        <v>860</v>
      </c>
      <c r="J640" s="53">
        <v>0</v>
      </c>
      <c r="K640" s="55">
        <v>0.85</v>
      </c>
      <c r="L640" s="55">
        <f t="shared" si="39"/>
        <v>731</v>
      </c>
      <c r="M640" s="55">
        <v>0</v>
      </c>
      <c r="N640" s="101">
        <f t="shared" si="40"/>
        <v>731</v>
      </c>
      <c r="O640" s="57"/>
    </row>
    <row r="641" spans="1:15" hidden="1" x14ac:dyDescent="0.25">
      <c r="A641" s="224"/>
      <c r="B641" s="96">
        <v>44818</v>
      </c>
      <c r="C641" s="52" t="s">
        <v>46</v>
      </c>
      <c r="D641" s="53" t="s">
        <v>38</v>
      </c>
      <c r="E641" s="53" t="s">
        <v>39</v>
      </c>
      <c r="F641" s="54" t="s">
        <v>40</v>
      </c>
      <c r="G641" s="53">
        <v>10</v>
      </c>
      <c r="H641" s="53">
        <v>0</v>
      </c>
      <c r="I641" s="53">
        <v>860</v>
      </c>
      <c r="J641" s="53">
        <v>0</v>
      </c>
      <c r="K641" s="55">
        <v>0.85</v>
      </c>
      <c r="L641" s="55">
        <f t="shared" si="39"/>
        <v>731</v>
      </c>
      <c r="M641" s="55">
        <v>0</v>
      </c>
      <c r="N641" s="101">
        <f t="shared" si="40"/>
        <v>731</v>
      </c>
      <c r="O641" s="57"/>
    </row>
    <row r="642" spans="1:15" hidden="1" x14ac:dyDescent="0.25">
      <c r="A642" s="224"/>
      <c r="B642" s="96">
        <v>44819</v>
      </c>
      <c r="C642" s="52" t="s">
        <v>50</v>
      </c>
      <c r="D642" s="53" t="s">
        <v>38</v>
      </c>
      <c r="E642" s="53" t="s">
        <v>39</v>
      </c>
      <c r="F642" s="54" t="s">
        <v>40</v>
      </c>
      <c r="G642" s="53">
        <v>10</v>
      </c>
      <c r="H642" s="53">
        <v>0</v>
      </c>
      <c r="I642" s="53">
        <v>860</v>
      </c>
      <c r="J642" s="53">
        <v>0</v>
      </c>
      <c r="K642" s="55">
        <v>0.85</v>
      </c>
      <c r="L642" s="55">
        <f t="shared" si="39"/>
        <v>731</v>
      </c>
      <c r="M642" s="55">
        <v>0</v>
      </c>
      <c r="N642" s="101">
        <f t="shared" si="40"/>
        <v>731</v>
      </c>
      <c r="O642" s="57"/>
    </row>
    <row r="643" spans="1:15" hidden="1" x14ac:dyDescent="0.25">
      <c r="A643" s="224"/>
      <c r="B643" s="96">
        <v>44820</v>
      </c>
      <c r="C643" s="52" t="s">
        <v>53</v>
      </c>
      <c r="D643" s="53" t="s">
        <v>38</v>
      </c>
      <c r="E643" s="53" t="s">
        <v>39</v>
      </c>
      <c r="F643" s="54" t="s">
        <v>40</v>
      </c>
      <c r="G643" s="53">
        <v>8</v>
      </c>
      <c r="H643" s="53">
        <v>0</v>
      </c>
      <c r="I643" s="53">
        <v>860</v>
      </c>
      <c r="J643" s="53">
        <v>0</v>
      </c>
      <c r="K643" s="55">
        <v>0.85</v>
      </c>
      <c r="L643" s="55">
        <f t="shared" si="39"/>
        <v>731</v>
      </c>
      <c r="M643" s="55">
        <v>0</v>
      </c>
      <c r="N643" s="101">
        <f t="shared" si="40"/>
        <v>731</v>
      </c>
      <c r="O643" s="57"/>
    </row>
    <row r="644" spans="1:15" hidden="1" x14ac:dyDescent="0.25">
      <c r="A644" s="224"/>
      <c r="B644" s="97">
        <v>44821</v>
      </c>
      <c r="C644" s="58" t="s">
        <v>57</v>
      </c>
      <c r="D644" s="60" t="s">
        <v>38</v>
      </c>
      <c r="E644" s="60" t="s">
        <v>39</v>
      </c>
      <c r="F644" s="61" t="s">
        <v>40</v>
      </c>
      <c r="G644" s="60">
        <v>8</v>
      </c>
      <c r="H644" s="60">
        <v>0</v>
      </c>
      <c r="I644" s="60">
        <v>860</v>
      </c>
      <c r="J644" s="60">
        <v>0</v>
      </c>
      <c r="K644" s="62">
        <v>0.85</v>
      </c>
      <c r="L644" s="62">
        <f t="shared" si="39"/>
        <v>731</v>
      </c>
      <c r="M644" s="62">
        <v>0</v>
      </c>
      <c r="N644" s="102">
        <f t="shared" si="40"/>
        <v>731</v>
      </c>
      <c r="O644" s="64"/>
    </row>
    <row r="645" spans="1:15" ht="15.75" hidden="1" thickBot="1" x14ac:dyDescent="0.3">
      <c r="A645" s="225"/>
      <c r="B645" s="98">
        <v>44822</v>
      </c>
      <c r="C645" s="66" t="s">
        <v>59</v>
      </c>
      <c r="D645" s="67" t="s">
        <v>38</v>
      </c>
      <c r="E645" s="67" t="s">
        <v>39</v>
      </c>
      <c r="F645" s="68" t="s">
        <v>40</v>
      </c>
      <c r="G645" s="67">
        <v>8</v>
      </c>
      <c r="H645" s="67">
        <v>0</v>
      </c>
      <c r="I645" s="67">
        <v>860</v>
      </c>
      <c r="J645" s="67">
        <v>0</v>
      </c>
      <c r="K645" s="69">
        <v>0.85</v>
      </c>
      <c r="L645" s="69">
        <f t="shared" si="39"/>
        <v>731</v>
      </c>
      <c r="M645" s="69">
        <v>0</v>
      </c>
      <c r="N645" s="103">
        <f t="shared" si="40"/>
        <v>731</v>
      </c>
      <c r="O645" s="71"/>
    </row>
    <row r="646" spans="1:15" hidden="1" x14ac:dyDescent="0.25">
      <c r="A646" s="223">
        <f>_xlfn.ISOWEEKNUM(B646)</f>
        <v>38</v>
      </c>
      <c r="B646" s="96">
        <v>44823</v>
      </c>
      <c r="C646" s="72" t="s">
        <v>37</v>
      </c>
      <c r="D646" s="41" t="s">
        <v>38</v>
      </c>
      <c r="E646" s="41" t="s">
        <v>39</v>
      </c>
      <c r="F646" s="43" t="s">
        <v>40</v>
      </c>
      <c r="G646" s="41">
        <v>5.9</v>
      </c>
      <c r="H646" s="41">
        <v>0</v>
      </c>
      <c r="I646" s="41">
        <v>860</v>
      </c>
      <c r="J646" s="41">
        <v>0</v>
      </c>
      <c r="K646" s="73">
        <v>0.85</v>
      </c>
      <c r="L646" s="73">
        <f t="shared" si="39"/>
        <v>731</v>
      </c>
      <c r="M646" s="73">
        <v>0</v>
      </c>
      <c r="N646" s="105">
        <f t="shared" si="40"/>
        <v>731</v>
      </c>
      <c r="O646" s="46"/>
    </row>
    <row r="647" spans="1:15" hidden="1" x14ac:dyDescent="0.25">
      <c r="A647" s="224"/>
      <c r="B647" s="96">
        <v>44824</v>
      </c>
      <c r="C647" s="52" t="s">
        <v>42</v>
      </c>
      <c r="D647" s="53" t="s">
        <v>38</v>
      </c>
      <c r="E647" s="53" t="s">
        <v>39</v>
      </c>
      <c r="F647" s="54" t="s">
        <v>40</v>
      </c>
      <c r="G647" s="53">
        <v>5.9</v>
      </c>
      <c r="H647" s="53">
        <v>0</v>
      </c>
      <c r="I647" s="53">
        <v>860</v>
      </c>
      <c r="J647" s="53">
        <v>0</v>
      </c>
      <c r="K647" s="55">
        <v>0.85</v>
      </c>
      <c r="L647" s="55">
        <f t="shared" si="39"/>
        <v>731</v>
      </c>
      <c r="M647" s="55">
        <v>0</v>
      </c>
      <c r="N647" s="101">
        <f t="shared" si="40"/>
        <v>731</v>
      </c>
      <c r="O647" s="57"/>
    </row>
    <row r="648" spans="1:15" hidden="1" x14ac:dyDescent="0.25">
      <c r="A648" s="224"/>
      <c r="B648" s="96">
        <v>44825</v>
      </c>
      <c r="C648" s="52" t="s">
        <v>46</v>
      </c>
      <c r="D648" s="53" t="s">
        <v>38</v>
      </c>
      <c r="E648" s="53" t="s">
        <v>39</v>
      </c>
      <c r="F648" s="54" t="s">
        <v>40</v>
      </c>
      <c r="G648" s="53">
        <v>4.9000000000000004</v>
      </c>
      <c r="H648" s="53">
        <v>0</v>
      </c>
      <c r="I648" s="53">
        <v>860</v>
      </c>
      <c r="J648" s="53">
        <v>0</v>
      </c>
      <c r="K648" s="55">
        <v>0.85</v>
      </c>
      <c r="L648" s="55">
        <f t="shared" si="39"/>
        <v>731</v>
      </c>
      <c r="M648" s="55">
        <v>0</v>
      </c>
      <c r="N648" s="101">
        <f t="shared" si="40"/>
        <v>731</v>
      </c>
      <c r="O648" s="57"/>
    </row>
    <row r="649" spans="1:15" hidden="1" x14ac:dyDescent="0.25">
      <c r="A649" s="224"/>
      <c r="B649" s="96">
        <v>44826</v>
      </c>
      <c r="C649" s="52" t="s">
        <v>50</v>
      </c>
      <c r="D649" s="53" t="s">
        <v>38</v>
      </c>
      <c r="E649" s="53" t="s">
        <v>39</v>
      </c>
      <c r="F649" s="54" t="s">
        <v>40</v>
      </c>
      <c r="G649" s="53">
        <v>3.9</v>
      </c>
      <c r="H649" s="53">
        <v>0</v>
      </c>
      <c r="I649" s="53">
        <v>850</v>
      </c>
      <c r="J649" s="53">
        <v>0</v>
      </c>
      <c r="K649" s="55">
        <v>0.85</v>
      </c>
      <c r="L649" s="55">
        <f t="shared" si="39"/>
        <v>722.5</v>
      </c>
      <c r="M649" s="55">
        <v>0</v>
      </c>
      <c r="N649" s="101">
        <f t="shared" si="40"/>
        <v>722.5</v>
      </c>
      <c r="O649" s="57"/>
    </row>
    <row r="650" spans="1:15" hidden="1" x14ac:dyDescent="0.25">
      <c r="A650" s="224"/>
      <c r="B650" s="96">
        <v>44827</v>
      </c>
      <c r="C650" s="52" t="s">
        <v>53</v>
      </c>
      <c r="D650" s="53" t="s">
        <v>38</v>
      </c>
      <c r="E650" s="53" t="s">
        <v>39</v>
      </c>
      <c r="F650" s="54" t="s">
        <v>40</v>
      </c>
      <c r="G650" s="53">
        <v>3.9</v>
      </c>
      <c r="H650" s="53">
        <v>0</v>
      </c>
      <c r="I650" s="53">
        <v>840</v>
      </c>
      <c r="J650" s="53">
        <v>0</v>
      </c>
      <c r="K650" s="55">
        <v>0.85</v>
      </c>
      <c r="L650" s="55">
        <f t="shared" si="39"/>
        <v>714</v>
      </c>
      <c r="M650" s="55">
        <v>0</v>
      </c>
      <c r="N650" s="101">
        <f t="shared" si="40"/>
        <v>714</v>
      </c>
      <c r="O650" s="57"/>
    </row>
    <row r="651" spans="1:15" hidden="1" x14ac:dyDescent="0.25">
      <c r="A651" s="224"/>
      <c r="B651" s="97">
        <v>44828</v>
      </c>
      <c r="C651" s="58" t="s">
        <v>57</v>
      </c>
      <c r="D651" s="60" t="s">
        <v>38</v>
      </c>
      <c r="E651" s="60" t="s">
        <v>39</v>
      </c>
      <c r="F651" s="61" t="s">
        <v>40</v>
      </c>
      <c r="G651" s="60">
        <v>3.9</v>
      </c>
      <c r="H651" s="60">
        <v>0</v>
      </c>
      <c r="I651" s="60">
        <v>830</v>
      </c>
      <c r="J651" s="60">
        <v>0</v>
      </c>
      <c r="K651" s="62">
        <v>0.85</v>
      </c>
      <c r="L651" s="62">
        <f t="shared" si="39"/>
        <v>705.5</v>
      </c>
      <c r="M651" s="62">
        <v>0</v>
      </c>
      <c r="N651" s="102">
        <f t="shared" si="40"/>
        <v>705.5</v>
      </c>
      <c r="O651" s="64"/>
    </row>
    <row r="652" spans="1:15" ht="15.75" hidden="1" thickBot="1" x14ac:dyDescent="0.3">
      <c r="A652" s="225"/>
      <c r="B652" s="98">
        <v>44829</v>
      </c>
      <c r="C652" s="66" t="s">
        <v>59</v>
      </c>
      <c r="D652" s="67" t="s">
        <v>38</v>
      </c>
      <c r="E652" s="67" t="s">
        <v>39</v>
      </c>
      <c r="F652" s="68" t="s">
        <v>40</v>
      </c>
      <c r="G652" s="67">
        <v>3.9</v>
      </c>
      <c r="H652" s="67">
        <v>0</v>
      </c>
      <c r="I652" s="67">
        <v>820</v>
      </c>
      <c r="J652" s="67">
        <v>0</v>
      </c>
      <c r="K652" s="69">
        <v>0.85</v>
      </c>
      <c r="L652" s="69">
        <f t="shared" si="39"/>
        <v>697</v>
      </c>
      <c r="M652" s="69">
        <v>0</v>
      </c>
      <c r="N652" s="103">
        <f t="shared" si="40"/>
        <v>697</v>
      </c>
      <c r="O652" s="71"/>
    </row>
    <row r="653" spans="1:15" hidden="1" x14ac:dyDescent="0.25">
      <c r="A653" s="223">
        <f>_xlfn.ISOWEEKNUM(B653)</f>
        <v>39</v>
      </c>
      <c r="B653" s="96">
        <v>44830</v>
      </c>
      <c r="C653" s="72" t="s">
        <v>37</v>
      </c>
      <c r="D653" s="41" t="s">
        <v>38</v>
      </c>
      <c r="E653" s="41" t="s">
        <v>39</v>
      </c>
      <c r="F653" s="43" t="s">
        <v>40</v>
      </c>
      <c r="G653" s="41">
        <v>3.9</v>
      </c>
      <c r="H653" s="41">
        <v>0</v>
      </c>
      <c r="I653" s="41">
        <v>820</v>
      </c>
      <c r="J653" s="41">
        <v>0</v>
      </c>
      <c r="K653" s="73">
        <v>0.85</v>
      </c>
      <c r="L653" s="73">
        <f t="shared" si="39"/>
        <v>697</v>
      </c>
      <c r="M653" s="73">
        <v>0</v>
      </c>
      <c r="N653" s="105">
        <f t="shared" si="40"/>
        <v>697</v>
      </c>
      <c r="O653" s="46"/>
    </row>
    <row r="654" spans="1:15" hidden="1" x14ac:dyDescent="0.25">
      <c r="A654" s="224"/>
      <c r="B654" s="96">
        <v>44831</v>
      </c>
      <c r="C654" s="52" t="s">
        <v>42</v>
      </c>
      <c r="D654" s="53" t="s">
        <v>38</v>
      </c>
      <c r="E654" s="41" t="s">
        <v>39</v>
      </c>
      <c r="F654" s="54" t="s">
        <v>40</v>
      </c>
      <c r="G654" s="53">
        <v>3.9</v>
      </c>
      <c r="H654" s="53">
        <v>0</v>
      </c>
      <c r="I654" s="53">
        <v>820</v>
      </c>
      <c r="J654" s="53">
        <v>0</v>
      </c>
      <c r="K654" s="55">
        <v>0.85</v>
      </c>
      <c r="L654" s="55">
        <f t="shared" si="39"/>
        <v>697</v>
      </c>
      <c r="M654" s="55">
        <v>0</v>
      </c>
      <c r="N654" s="101">
        <f t="shared" si="40"/>
        <v>697</v>
      </c>
      <c r="O654" s="57" t="s">
        <v>157</v>
      </c>
    </row>
    <row r="655" spans="1:15" hidden="1" x14ac:dyDescent="0.25">
      <c r="A655" s="224"/>
      <c r="B655" s="96">
        <v>44832</v>
      </c>
      <c r="C655" s="52" t="s">
        <v>46</v>
      </c>
      <c r="D655" s="53" t="s">
        <v>38</v>
      </c>
      <c r="E655" s="41" t="s">
        <v>39</v>
      </c>
      <c r="F655" s="54" t="s">
        <v>40</v>
      </c>
      <c r="G655" s="53">
        <v>3.9</v>
      </c>
      <c r="H655" s="53">
        <v>0</v>
      </c>
      <c r="I655" s="53">
        <v>820</v>
      </c>
      <c r="J655" s="53">
        <v>0</v>
      </c>
      <c r="K655" s="55">
        <v>0.85</v>
      </c>
      <c r="L655" s="55">
        <f t="shared" si="39"/>
        <v>697</v>
      </c>
      <c r="M655" s="55">
        <v>0</v>
      </c>
      <c r="N655" s="101">
        <f t="shared" si="40"/>
        <v>697</v>
      </c>
      <c r="O655" s="57" t="s">
        <v>158</v>
      </c>
    </row>
    <row r="656" spans="1:15" hidden="1" x14ac:dyDescent="0.25">
      <c r="A656" s="224"/>
      <c r="B656" s="96">
        <v>44833</v>
      </c>
      <c r="C656" s="52" t="s">
        <v>50</v>
      </c>
      <c r="D656" s="53" t="s">
        <v>38</v>
      </c>
      <c r="E656" s="53" t="s">
        <v>39</v>
      </c>
      <c r="F656" s="54" t="s">
        <v>40</v>
      </c>
      <c r="G656" s="53">
        <v>3.9</v>
      </c>
      <c r="H656" s="53">
        <v>0</v>
      </c>
      <c r="I656" s="53">
        <v>820</v>
      </c>
      <c r="J656" s="53">
        <v>0</v>
      </c>
      <c r="K656" s="55">
        <v>0.85</v>
      </c>
      <c r="L656" s="55">
        <f t="shared" si="39"/>
        <v>697</v>
      </c>
      <c r="M656" s="55">
        <v>0</v>
      </c>
      <c r="N656" s="101">
        <f t="shared" si="40"/>
        <v>697</v>
      </c>
      <c r="O656" s="57"/>
    </row>
    <row r="657" spans="1:15" hidden="1" x14ac:dyDescent="0.25">
      <c r="A657" s="224"/>
      <c r="B657" s="96">
        <v>44834</v>
      </c>
      <c r="C657" s="52" t="s">
        <v>53</v>
      </c>
      <c r="D657" s="53" t="s">
        <v>38</v>
      </c>
      <c r="E657" s="53" t="s">
        <v>39</v>
      </c>
      <c r="F657" s="54" t="s">
        <v>40</v>
      </c>
      <c r="G657" s="53">
        <v>3.9</v>
      </c>
      <c r="H657" s="53">
        <v>0</v>
      </c>
      <c r="I657" s="53">
        <v>820</v>
      </c>
      <c r="J657" s="53">
        <v>0</v>
      </c>
      <c r="K657" s="55">
        <v>0.85</v>
      </c>
      <c r="L657" s="55">
        <f t="shared" si="39"/>
        <v>697</v>
      </c>
      <c r="M657" s="55">
        <v>0</v>
      </c>
      <c r="N657" s="101">
        <f t="shared" si="40"/>
        <v>697</v>
      </c>
      <c r="O657" s="57"/>
    </row>
    <row r="658" spans="1:15" hidden="1" x14ac:dyDescent="0.25">
      <c r="A658" s="224"/>
      <c r="B658" s="97">
        <v>44835</v>
      </c>
      <c r="C658" s="58" t="s">
        <v>57</v>
      </c>
      <c r="D658" s="60" t="s">
        <v>38</v>
      </c>
      <c r="E658" s="53" t="s">
        <v>55</v>
      </c>
      <c r="F658" s="61" t="s">
        <v>40</v>
      </c>
      <c r="G658" s="60">
        <v>3.9</v>
      </c>
      <c r="H658" s="60">
        <v>0</v>
      </c>
      <c r="I658" s="60">
        <v>820</v>
      </c>
      <c r="J658" s="60">
        <v>0</v>
      </c>
      <c r="K658" s="62">
        <v>0.85</v>
      </c>
      <c r="L658" s="62">
        <f t="shared" si="39"/>
        <v>697</v>
      </c>
      <c r="M658" s="62">
        <v>0</v>
      </c>
      <c r="N658" s="102">
        <f t="shared" si="40"/>
        <v>697</v>
      </c>
      <c r="O658" s="64"/>
    </row>
    <row r="659" spans="1:15" ht="15.75" hidden="1" thickBot="1" x14ac:dyDescent="0.3">
      <c r="A659" s="225"/>
      <c r="B659" s="98">
        <v>44836</v>
      </c>
      <c r="C659" s="66" t="s">
        <v>59</v>
      </c>
      <c r="D659" s="67" t="s">
        <v>38</v>
      </c>
      <c r="E659" s="53" t="s">
        <v>55</v>
      </c>
      <c r="F659" s="68" t="s">
        <v>40</v>
      </c>
      <c r="G659" s="67">
        <v>3.9</v>
      </c>
      <c r="H659" s="67">
        <v>0</v>
      </c>
      <c r="I659" s="67">
        <v>820</v>
      </c>
      <c r="J659" s="67">
        <v>0</v>
      </c>
      <c r="K659" s="69">
        <v>0.85</v>
      </c>
      <c r="L659" s="69">
        <v>731</v>
      </c>
      <c r="M659" s="69">
        <v>0</v>
      </c>
      <c r="N659" s="103">
        <f t="shared" si="40"/>
        <v>697</v>
      </c>
      <c r="O659" s="71"/>
    </row>
    <row r="660" spans="1:15" hidden="1" x14ac:dyDescent="0.25">
      <c r="A660" s="223">
        <f>_xlfn.ISOWEEKNUM(B660)</f>
        <v>40</v>
      </c>
      <c r="B660" s="96">
        <v>44837</v>
      </c>
      <c r="C660" s="72" t="s">
        <v>37</v>
      </c>
      <c r="D660" s="41" t="s">
        <v>38</v>
      </c>
      <c r="E660" s="121" t="s">
        <v>45</v>
      </c>
      <c r="F660" s="43" t="s">
        <v>40</v>
      </c>
      <c r="G660" s="41">
        <v>3.9</v>
      </c>
      <c r="H660" s="41">
        <v>0</v>
      </c>
      <c r="I660" s="41">
        <v>820</v>
      </c>
      <c r="J660" s="41">
        <v>0</v>
      </c>
      <c r="K660" s="73">
        <v>0.85</v>
      </c>
      <c r="L660" s="73">
        <v>714</v>
      </c>
      <c r="M660" s="73">
        <v>0</v>
      </c>
      <c r="N660" s="105">
        <f t="shared" si="40"/>
        <v>697</v>
      </c>
      <c r="O660" s="46"/>
    </row>
    <row r="661" spans="1:15" hidden="1" x14ac:dyDescent="0.25">
      <c r="A661" s="224"/>
      <c r="B661" s="96">
        <v>44838</v>
      </c>
      <c r="C661" s="52" t="s">
        <v>42</v>
      </c>
      <c r="D661" s="53" t="s">
        <v>38</v>
      </c>
      <c r="E661" s="121" t="s">
        <v>45</v>
      </c>
      <c r="F661" s="54" t="s">
        <v>40</v>
      </c>
      <c r="G661" s="53" t="s">
        <v>9</v>
      </c>
      <c r="H661" s="53">
        <v>0</v>
      </c>
      <c r="I661" s="53">
        <v>820</v>
      </c>
      <c r="J661" s="53">
        <v>0</v>
      </c>
      <c r="K661" s="55">
        <v>0.85</v>
      </c>
      <c r="L661" s="55">
        <v>697</v>
      </c>
      <c r="M661" s="55">
        <v>0</v>
      </c>
      <c r="N661" s="101">
        <f t="shared" ref="N661:N692" si="41">+I661*0.85</f>
        <v>697</v>
      </c>
      <c r="O661" s="57" t="s">
        <v>159</v>
      </c>
    </row>
    <row r="662" spans="1:15" hidden="1" x14ac:dyDescent="0.25">
      <c r="A662" s="224"/>
      <c r="B662" s="96">
        <v>44839</v>
      </c>
      <c r="C662" s="52" t="s">
        <v>46</v>
      </c>
      <c r="D662" s="53" t="s">
        <v>38</v>
      </c>
      <c r="E662" s="121" t="s">
        <v>45</v>
      </c>
      <c r="F662" s="54" t="s">
        <v>40</v>
      </c>
      <c r="G662" s="53">
        <v>5.9</v>
      </c>
      <c r="H662" s="53">
        <v>0</v>
      </c>
      <c r="I662" s="53">
        <v>820</v>
      </c>
      <c r="J662" s="53">
        <v>0</v>
      </c>
      <c r="K662" s="55">
        <v>0.85</v>
      </c>
      <c r="L662" s="55">
        <v>697</v>
      </c>
      <c r="M662" s="55">
        <v>0</v>
      </c>
      <c r="N662" s="101">
        <f t="shared" si="41"/>
        <v>697</v>
      </c>
      <c r="O662" s="57"/>
    </row>
    <row r="663" spans="1:15" hidden="1" x14ac:dyDescent="0.25">
      <c r="A663" s="224"/>
      <c r="B663" s="96">
        <v>44840</v>
      </c>
      <c r="C663" s="52" t="s">
        <v>50</v>
      </c>
      <c r="D663" s="53" t="s">
        <v>38</v>
      </c>
      <c r="E663" s="121" t="s">
        <v>45</v>
      </c>
      <c r="F663" s="54" t="s">
        <v>40</v>
      </c>
      <c r="G663" s="53">
        <v>5.9</v>
      </c>
      <c r="H663" s="53">
        <v>0</v>
      </c>
      <c r="I663" s="53">
        <v>820</v>
      </c>
      <c r="J663" s="53">
        <v>0</v>
      </c>
      <c r="K663" s="55">
        <v>0.85</v>
      </c>
      <c r="L663" s="55">
        <v>697</v>
      </c>
      <c r="M663" s="55">
        <v>0</v>
      </c>
      <c r="N663" s="101">
        <f t="shared" si="41"/>
        <v>697</v>
      </c>
      <c r="O663" s="57"/>
    </row>
    <row r="664" spans="1:15" hidden="1" x14ac:dyDescent="0.25">
      <c r="A664" s="224"/>
      <c r="B664" s="96">
        <v>44841</v>
      </c>
      <c r="C664" s="52" t="s">
        <v>53</v>
      </c>
      <c r="D664" s="53" t="s">
        <v>38</v>
      </c>
      <c r="E664" s="121" t="s">
        <v>45</v>
      </c>
      <c r="F664" s="54" t="s">
        <v>40</v>
      </c>
      <c r="G664" s="53">
        <v>8</v>
      </c>
      <c r="H664" s="53">
        <v>0</v>
      </c>
      <c r="I664" s="53">
        <v>820</v>
      </c>
      <c r="J664" s="53">
        <v>0</v>
      </c>
      <c r="K664" s="55">
        <v>0.83</v>
      </c>
      <c r="L664" s="55">
        <v>680.6</v>
      </c>
      <c r="M664" s="55">
        <v>0</v>
      </c>
      <c r="N664" s="101">
        <f t="shared" si="41"/>
        <v>697</v>
      </c>
      <c r="O664" s="57"/>
    </row>
    <row r="665" spans="1:15" hidden="1" x14ac:dyDescent="0.25">
      <c r="A665" s="224"/>
      <c r="B665" s="97">
        <v>44842</v>
      </c>
      <c r="C665" s="58" t="s">
        <v>57</v>
      </c>
      <c r="D665" s="60" t="s">
        <v>38</v>
      </c>
      <c r="E665" s="121" t="s">
        <v>45</v>
      </c>
      <c r="F665" s="61" t="s">
        <v>40</v>
      </c>
      <c r="G665" s="60">
        <v>8</v>
      </c>
      <c r="H665" s="60">
        <v>0</v>
      </c>
      <c r="I665" s="60">
        <v>820</v>
      </c>
      <c r="J665" s="60">
        <v>0</v>
      </c>
      <c r="K665" s="62">
        <v>0.83</v>
      </c>
      <c r="L665" s="62">
        <v>680.6</v>
      </c>
      <c r="M665" s="62">
        <v>0</v>
      </c>
      <c r="N665" s="102">
        <f t="shared" si="41"/>
        <v>697</v>
      </c>
      <c r="O665" s="64"/>
    </row>
    <row r="666" spans="1:15" ht="15.75" hidden="1" thickBot="1" x14ac:dyDescent="0.3">
      <c r="A666" s="225"/>
      <c r="B666" s="98">
        <v>44843</v>
      </c>
      <c r="C666" s="66" t="s">
        <v>59</v>
      </c>
      <c r="D666" s="67" t="s">
        <v>38</v>
      </c>
      <c r="E666" s="120" t="s">
        <v>45</v>
      </c>
      <c r="F666" s="68" t="s">
        <v>40</v>
      </c>
      <c r="G666" s="67">
        <v>8</v>
      </c>
      <c r="H666" s="67">
        <v>0</v>
      </c>
      <c r="I666" s="67">
        <v>820</v>
      </c>
      <c r="J666" s="67">
        <v>0</v>
      </c>
      <c r="K666" s="69">
        <v>0.83</v>
      </c>
      <c r="L666" s="69">
        <v>680.6</v>
      </c>
      <c r="M666" s="69">
        <v>0</v>
      </c>
      <c r="N666" s="103">
        <f t="shared" si="41"/>
        <v>697</v>
      </c>
      <c r="O666" s="71"/>
    </row>
    <row r="667" spans="1:15" hidden="1" x14ac:dyDescent="0.25">
      <c r="A667" s="223">
        <f>_xlfn.ISOWEEKNUM(B667)</f>
        <v>41</v>
      </c>
      <c r="B667" s="96">
        <v>44844</v>
      </c>
      <c r="C667" s="72" t="s">
        <v>37</v>
      </c>
      <c r="D667" s="41" t="s">
        <v>38</v>
      </c>
      <c r="E667" s="121" t="s">
        <v>45</v>
      </c>
      <c r="F667" s="43" t="s">
        <v>40</v>
      </c>
      <c r="G667" s="41">
        <v>8</v>
      </c>
      <c r="H667" s="41">
        <v>0</v>
      </c>
      <c r="I667" s="41">
        <v>820</v>
      </c>
      <c r="J667" s="41">
        <v>0</v>
      </c>
      <c r="K667" s="73">
        <v>0.83</v>
      </c>
      <c r="L667" s="73">
        <v>680.6</v>
      </c>
      <c r="M667" s="73">
        <v>0</v>
      </c>
      <c r="N667" s="105">
        <f t="shared" si="41"/>
        <v>697</v>
      </c>
      <c r="O667" s="46" t="s">
        <v>160</v>
      </c>
    </row>
    <row r="668" spans="1:15" hidden="1" x14ac:dyDescent="0.25">
      <c r="A668" s="224"/>
      <c r="B668" s="96">
        <v>44845</v>
      </c>
      <c r="C668" s="52" t="s">
        <v>42</v>
      </c>
      <c r="D668" s="53" t="s">
        <v>38</v>
      </c>
      <c r="E668" s="121" t="s">
        <v>45</v>
      </c>
      <c r="F668" s="54" t="s">
        <v>40</v>
      </c>
      <c r="G668" s="53">
        <v>8</v>
      </c>
      <c r="H668" s="53">
        <v>0</v>
      </c>
      <c r="I668" s="53">
        <v>820</v>
      </c>
      <c r="J668" s="53">
        <v>0</v>
      </c>
      <c r="K668" s="55">
        <v>0.83</v>
      </c>
      <c r="L668" s="55">
        <v>680.6</v>
      </c>
      <c r="M668" s="55">
        <v>0</v>
      </c>
      <c r="N668" s="101">
        <f t="shared" si="41"/>
        <v>697</v>
      </c>
      <c r="O668" s="57"/>
    </row>
    <row r="669" spans="1:15" hidden="1" x14ac:dyDescent="0.25">
      <c r="A669" s="224"/>
      <c r="B669" s="96">
        <v>44846</v>
      </c>
      <c r="C669" s="52" t="s">
        <v>46</v>
      </c>
      <c r="D669" s="53" t="s">
        <v>38</v>
      </c>
      <c r="E669" s="121" t="s">
        <v>45</v>
      </c>
      <c r="F669" s="54" t="s">
        <v>40</v>
      </c>
      <c r="G669" s="53">
        <v>10</v>
      </c>
      <c r="H669" s="53">
        <v>0</v>
      </c>
      <c r="I669" s="53">
        <v>820</v>
      </c>
      <c r="J669" s="53">
        <v>0</v>
      </c>
      <c r="K669" s="55">
        <v>0.83</v>
      </c>
      <c r="L669" s="55">
        <v>680.6</v>
      </c>
      <c r="M669" s="55">
        <v>0</v>
      </c>
      <c r="N669" s="101">
        <f t="shared" si="41"/>
        <v>697</v>
      </c>
      <c r="O669" s="57"/>
    </row>
    <row r="670" spans="1:15" hidden="1" x14ac:dyDescent="0.25">
      <c r="A670" s="224"/>
      <c r="B670" s="96">
        <v>44847</v>
      </c>
      <c r="C670" s="52" t="s">
        <v>50</v>
      </c>
      <c r="D670" s="53" t="s">
        <v>38</v>
      </c>
      <c r="E670" s="121" t="s">
        <v>45</v>
      </c>
      <c r="F670" s="54" t="s">
        <v>40</v>
      </c>
      <c r="G670" s="53">
        <v>10</v>
      </c>
      <c r="H670" s="53">
        <v>0</v>
      </c>
      <c r="I670" s="53">
        <v>820</v>
      </c>
      <c r="J670" s="53">
        <v>0</v>
      </c>
      <c r="K670" s="55">
        <v>0.83</v>
      </c>
      <c r="L670" s="55">
        <v>680.6</v>
      </c>
      <c r="M670" s="55">
        <v>0</v>
      </c>
      <c r="N670" s="101">
        <f t="shared" si="41"/>
        <v>697</v>
      </c>
      <c r="O670" s="57"/>
    </row>
    <row r="671" spans="1:15" hidden="1" x14ac:dyDescent="0.25">
      <c r="A671" s="224"/>
      <c r="B671" s="96">
        <v>44848</v>
      </c>
      <c r="C671" s="52" t="s">
        <v>53</v>
      </c>
      <c r="D671" s="53" t="s">
        <v>38</v>
      </c>
      <c r="E671" s="121" t="s">
        <v>45</v>
      </c>
      <c r="F671" s="54" t="s">
        <v>40</v>
      </c>
      <c r="G671" s="53">
        <v>10</v>
      </c>
      <c r="H671" s="53">
        <v>0</v>
      </c>
      <c r="I671" s="53">
        <v>820</v>
      </c>
      <c r="J671" s="53">
        <v>0</v>
      </c>
      <c r="K671" s="55">
        <v>0.83</v>
      </c>
      <c r="L671" s="55">
        <v>680.6</v>
      </c>
      <c r="M671" s="55">
        <v>0</v>
      </c>
      <c r="N671" s="101">
        <f t="shared" si="41"/>
        <v>697</v>
      </c>
      <c r="O671" s="57"/>
    </row>
    <row r="672" spans="1:15" hidden="1" x14ac:dyDescent="0.25">
      <c r="A672" s="224"/>
      <c r="B672" s="97">
        <v>44849</v>
      </c>
      <c r="C672" s="58" t="s">
        <v>57</v>
      </c>
      <c r="D672" s="60" t="s">
        <v>38</v>
      </c>
      <c r="E672" s="121" t="s">
        <v>45</v>
      </c>
      <c r="F672" s="61" t="s">
        <v>40</v>
      </c>
      <c r="G672" s="60">
        <v>10</v>
      </c>
      <c r="H672" s="60">
        <v>0</v>
      </c>
      <c r="I672" s="60">
        <v>820</v>
      </c>
      <c r="J672" s="60">
        <v>0</v>
      </c>
      <c r="K672" s="62">
        <v>0.83</v>
      </c>
      <c r="L672" s="62">
        <v>680.6</v>
      </c>
      <c r="M672" s="62">
        <v>0</v>
      </c>
      <c r="N672" s="102">
        <f t="shared" si="41"/>
        <v>697</v>
      </c>
      <c r="O672" s="64"/>
    </row>
    <row r="673" spans="1:33" ht="15.75" hidden="1" thickBot="1" x14ac:dyDescent="0.3">
      <c r="A673" s="225"/>
      <c r="B673" s="98">
        <v>44850</v>
      </c>
      <c r="C673" s="66" t="s">
        <v>59</v>
      </c>
      <c r="D673" s="67" t="s">
        <v>38</v>
      </c>
      <c r="E673" s="120" t="s">
        <v>45</v>
      </c>
      <c r="F673" s="68" t="s">
        <v>40</v>
      </c>
      <c r="G673" s="67">
        <v>10</v>
      </c>
      <c r="H673" s="67">
        <v>0</v>
      </c>
      <c r="I673" s="67">
        <v>820</v>
      </c>
      <c r="J673" s="67">
        <v>0</v>
      </c>
      <c r="K673" s="69">
        <v>0.83</v>
      </c>
      <c r="L673" s="69">
        <v>680.6</v>
      </c>
      <c r="M673" s="69">
        <v>0</v>
      </c>
      <c r="N673" s="103">
        <f t="shared" si="41"/>
        <v>697</v>
      </c>
      <c r="O673" s="71"/>
    </row>
    <row r="674" spans="1:33" hidden="1" x14ac:dyDescent="0.25">
      <c r="A674" s="223">
        <f>_xlfn.ISOWEEKNUM(B674)</f>
        <v>42</v>
      </c>
      <c r="B674" s="96">
        <v>44851</v>
      </c>
      <c r="C674" s="72" t="s">
        <v>37</v>
      </c>
      <c r="D674" s="41" t="s">
        <v>38</v>
      </c>
      <c r="E674" s="121" t="s">
        <v>45</v>
      </c>
      <c r="F674" s="43" t="s">
        <v>40</v>
      </c>
      <c r="G674" s="41">
        <v>8</v>
      </c>
      <c r="H674" s="41">
        <v>0</v>
      </c>
      <c r="I674" s="41">
        <v>820</v>
      </c>
      <c r="J674" s="41">
        <v>0</v>
      </c>
      <c r="K674" s="73">
        <v>0.83</v>
      </c>
      <c r="L674" s="73">
        <v>680.6</v>
      </c>
      <c r="M674" s="73">
        <v>0</v>
      </c>
      <c r="N674" s="105">
        <f t="shared" si="41"/>
        <v>697</v>
      </c>
      <c r="O674" s="46"/>
    </row>
    <row r="675" spans="1:33" hidden="1" x14ac:dyDescent="0.25">
      <c r="A675" s="224"/>
      <c r="B675" s="96">
        <v>44852</v>
      </c>
      <c r="C675" s="52" t="s">
        <v>42</v>
      </c>
      <c r="D675" s="53" t="s">
        <v>38</v>
      </c>
      <c r="E675" s="121" t="s">
        <v>45</v>
      </c>
      <c r="F675" s="54" t="s">
        <v>40</v>
      </c>
      <c r="G675" s="53">
        <v>8</v>
      </c>
      <c r="H675" s="53">
        <v>0</v>
      </c>
      <c r="I675" s="53">
        <v>820</v>
      </c>
      <c r="J675" s="53">
        <v>0</v>
      </c>
      <c r="K675" s="55">
        <v>0.83</v>
      </c>
      <c r="L675" s="55">
        <v>680.6</v>
      </c>
      <c r="M675" s="55">
        <v>0</v>
      </c>
      <c r="N675" s="101">
        <f t="shared" si="41"/>
        <v>697</v>
      </c>
      <c r="O675" s="57"/>
    </row>
    <row r="676" spans="1:33" hidden="1" x14ac:dyDescent="0.25">
      <c r="A676" s="224"/>
      <c r="B676" s="96">
        <v>44853</v>
      </c>
      <c r="C676" s="52" t="s">
        <v>46</v>
      </c>
      <c r="D676" s="53" t="s">
        <v>38</v>
      </c>
      <c r="E676" s="121" t="s">
        <v>45</v>
      </c>
      <c r="F676" s="54" t="s">
        <v>40</v>
      </c>
      <c r="G676" s="53">
        <v>5.9</v>
      </c>
      <c r="H676" s="53">
        <v>0</v>
      </c>
      <c r="I676" s="53">
        <v>820</v>
      </c>
      <c r="J676" s="53">
        <v>0</v>
      </c>
      <c r="K676" s="55">
        <v>0.83</v>
      </c>
      <c r="L676" s="55">
        <v>680.6</v>
      </c>
      <c r="M676" s="55">
        <v>0</v>
      </c>
      <c r="N676" s="101">
        <f t="shared" si="41"/>
        <v>697</v>
      </c>
      <c r="O676" s="57"/>
    </row>
    <row r="677" spans="1:33" hidden="1" x14ac:dyDescent="0.25">
      <c r="A677" s="224"/>
      <c r="B677" s="96">
        <v>44854</v>
      </c>
      <c r="C677" s="52" t="s">
        <v>50</v>
      </c>
      <c r="D677" s="53" t="s">
        <v>38</v>
      </c>
      <c r="E677" s="121" t="s">
        <v>45</v>
      </c>
      <c r="F677" s="54" t="s">
        <v>40</v>
      </c>
      <c r="G677" s="53">
        <v>5.9</v>
      </c>
      <c r="H677" s="53">
        <v>0</v>
      </c>
      <c r="I677" s="53">
        <v>820</v>
      </c>
      <c r="J677" s="53">
        <v>0</v>
      </c>
      <c r="K677" s="55">
        <v>0.83</v>
      </c>
      <c r="L677" s="55">
        <v>680.6</v>
      </c>
      <c r="M677" s="55">
        <v>0</v>
      </c>
      <c r="N677" s="101">
        <f t="shared" si="41"/>
        <v>697</v>
      </c>
      <c r="O677" s="57"/>
    </row>
    <row r="678" spans="1:33" hidden="1" x14ac:dyDescent="0.25">
      <c r="A678" s="224"/>
      <c r="B678" s="96">
        <v>44855</v>
      </c>
      <c r="C678" s="52" t="s">
        <v>53</v>
      </c>
      <c r="D678" s="53" t="s">
        <v>38</v>
      </c>
      <c r="E678" s="121" t="s">
        <v>45</v>
      </c>
      <c r="F678" s="54" t="s">
        <v>40</v>
      </c>
      <c r="G678" s="53">
        <v>5.9</v>
      </c>
      <c r="H678" s="53">
        <v>0</v>
      </c>
      <c r="I678" s="53">
        <v>820</v>
      </c>
      <c r="J678" s="53">
        <v>0</v>
      </c>
      <c r="K678" s="55">
        <v>0.83</v>
      </c>
      <c r="L678" s="55">
        <v>680.6</v>
      </c>
      <c r="M678" s="55">
        <v>0</v>
      </c>
      <c r="N678" s="101">
        <f t="shared" si="41"/>
        <v>697</v>
      </c>
      <c r="O678" s="57"/>
    </row>
    <row r="679" spans="1:33" hidden="1" x14ac:dyDescent="0.25">
      <c r="A679" s="224"/>
      <c r="B679" s="97">
        <v>44856</v>
      </c>
      <c r="C679" s="58" t="s">
        <v>57</v>
      </c>
      <c r="D679" s="60" t="s">
        <v>38</v>
      </c>
      <c r="E679" s="121" t="s">
        <v>45</v>
      </c>
      <c r="F679" s="61" t="s">
        <v>40</v>
      </c>
      <c r="G679" s="60">
        <v>5.9</v>
      </c>
      <c r="H679" s="60">
        <v>0</v>
      </c>
      <c r="I679" s="60">
        <v>820</v>
      </c>
      <c r="J679" s="60">
        <v>0</v>
      </c>
      <c r="K679" s="62">
        <v>0.83</v>
      </c>
      <c r="L679" s="62">
        <v>680.6</v>
      </c>
      <c r="M679" s="62">
        <v>0</v>
      </c>
      <c r="N679" s="102">
        <f t="shared" si="41"/>
        <v>697</v>
      </c>
      <c r="O679" s="64"/>
    </row>
    <row r="680" spans="1:33" ht="15.75" hidden="1" thickBot="1" x14ac:dyDescent="0.3">
      <c r="A680" s="225"/>
      <c r="B680" s="98">
        <v>44857</v>
      </c>
      <c r="C680" s="66" t="s">
        <v>59</v>
      </c>
      <c r="D680" s="67" t="s">
        <v>38</v>
      </c>
      <c r="E680" s="120" t="s">
        <v>45</v>
      </c>
      <c r="F680" s="68" t="s">
        <v>40</v>
      </c>
      <c r="G680" s="67">
        <v>5.9</v>
      </c>
      <c r="H680" s="67">
        <v>0</v>
      </c>
      <c r="I680" s="67">
        <v>820</v>
      </c>
      <c r="J680" s="67">
        <v>0</v>
      </c>
      <c r="K680" s="69">
        <v>0.83</v>
      </c>
      <c r="L680" s="69">
        <v>680.6</v>
      </c>
      <c r="M680" s="69">
        <v>0</v>
      </c>
      <c r="N680" s="103">
        <f t="shared" si="41"/>
        <v>697</v>
      </c>
      <c r="O680" s="71"/>
    </row>
    <row r="681" spans="1:33" hidden="1" x14ac:dyDescent="0.25">
      <c r="A681" s="223">
        <f>_xlfn.ISOWEEKNUM(B681)</f>
        <v>43</v>
      </c>
      <c r="B681" s="96">
        <v>44858</v>
      </c>
      <c r="C681" s="72" t="s">
        <v>37</v>
      </c>
      <c r="D681" s="41" t="s">
        <v>38</v>
      </c>
      <c r="E681" s="121" t="s">
        <v>45</v>
      </c>
      <c r="F681" s="43" t="s">
        <v>40</v>
      </c>
      <c r="G681" s="41">
        <v>4.9000000000000004</v>
      </c>
      <c r="H681" s="41">
        <v>0</v>
      </c>
      <c r="I681" s="41">
        <v>820</v>
      </c>
      <c r="J681" s="41">
        <v>0</v>
      </c>
      <c r="K681" s="73">
        <v>0.85</v>
      </c>
      <c r="L681" s="73">
        <f t="shared" ref="L681:L744" si="42">IF(J681&lt;&gt;0,J681,I681)*K681</f>
        <v>697</v>
      </c>
      <c r="M681" s="73">
        <v>0</v>
      </c>
      <c r="N681" s="105">
        <f t="shared" si="41"/>
        <v>697</v>
      </c>
      <c r="O681" s="46"/>
    </row>
    <row r="682" spans="1:33" hidden="1" x14ac:dyDescent="0.25">
      <c r="A682" s="224"/>
      <c r="B682" s="96">
        <v>44859</v>
      </c>
      <c r="C682" s="52" t="s">
        <v>42</v>
      </c>
      <c r="D682" s="53" t="s">
        <v>38</v>
      </c>
      <c r="E682" s="121" t="s">
        <v>45</v>
      </c>
      <c r="F682" s="54" t="s">
        <v>40</v>
      </c>
      <c r="G682" s="53">
        <v>3.9</v>
      </c>
      <c r="H682" s="53">
        <v>0</v>
      </c>
      <c r="I682" s="53">
        <v>820</v>
      </c>
      <c r="J682" s="53">
        <v>0</v>
      </c>
      <c r="K682" s="55">
        <v>0.85</v>
      </c>
      <c r="L682" s="55">
        <f t="shared" si="42"/>
        <v>697</v>
      </c>
      <c r="M682" s="55">
        <v>0</v>
      </c>
      <c r="N682" s="101">
        <f t="shared" si="41"/>
        <v>697</v>
      </c>
      <c r="O682" s="57" t="s">
        <v>155</v>
      </c>
      <c r="AG682" s="108" t="s">
        <v>119</v>
      </c>
    </row>
    <row r="683" spans="1:33" hidden="1" x14ac:dyDescent="0.25">
      <c r="A683" s="224"/>
      <c r="B683" s="96">
        <v>44860</v>
      </c>
      <c r="C683" s="52" t="s">
        <v>46</v>
      </c>
      <c r="D683" s="53" t="s">
        <v>38</v>
      </c>
      <c r="E683" s="53" t="s">
        <v>55</v>
      </c>
      <c r="F683" s="54" t="s">
        <v>40</v>
      </c>
      <c r="G683" s="53">
        <v>3.9</v>
      </c>
      <c r="H683" s="53">
        <v>0</v>
      </c>
      <c r="I683" s="53">
        <v>820</v>
      </c>
      <c r="J683" s="53">
        <v>0</v>
      </c>
      <c r="K683" s="55">
        <v>0.85</v>
      </c>
      <c r="L683" s="55">
        <f t="shared" si="42"/>
        <v>697</v>
      </c>
      <c r="M683" s="55">
        <v>0</v>
      </c>
      <c r="N683" s="101">
        <f t="shared" si="41"/>
        <v>697</v>
      </c>
      <c r="O683" s="57"/>
    </row>
    <row r="684" spans="1:33" hidden="1" x14ac:dyDescent="0.25">
      <c r="A684" s="224"/>
      <c r="B684" s="96">
        <v>44861</v>
      </c>
      <c r="C684" s="52" t="s">
        <v>50</v>
      </c>
      <c r="D684" s="53" t="s">
        <v>38</v>
      </c>
      <c r="E684" s="53" t="s">
        <v>55</v>
      </c>
      <c r="F684" s="54" t="s">
        <v>40</v>
      </c>
      <c r="G684" s="53">
        <v>3.9</v>
      </c>
      <c r="H684" s="53">
        <v>0</v>
      </c>
      <c r="I684" s="53">
        <v>820</v>
      </c>
      <c r="J684" s="53">
        <v>0</v>
      </c>
      <c r="K684" s="55">
        <v>0.85</v>
      </c>
      <c r="L684" s="55">
        <f t="shared" si="42"/>
        <v>697</v>
      </c>
      <c r="M684" s="55">
        <v>0</v>
      </c>
      <c r="N684" s="101">
        <f t="shared" si="41"/>
        <v>697</v>
      </c>
      <c r="O684" s="57"/>
    </row>
    <row r="685" spans="1:33" hidden="1" x14ac:dyDescent="0.25">
      <c r="A685" s="224"/>
      <c r="B685" s="96">
        <v>44862</v>
      </c>
      <c r="C685" s="52" t="s">
        <v>53</v>
      </c>
      <c r="D685" s="53" t="s">
        <v>38</v>
      </c>
      <c r="E685" s="53" t="s">
        <v>39</v>
      </c>
      <c r="F685" s="54" t="s">
        <v>40</v>
      </c>
      <c r="G685" s="53">
        <v>3.9</v>
      </c>
      <c r="H685" s="53">
        <v>0</v>
      </c>
      <c r="I685" s="53">
        <v>820</v>
      </c>
      <c r="J685" s="53">
        <v>0</v>
      </c>
      <c r="K685" s="55">
        <v>0.85</v>
      </c>
      <c r="L685" s="55">
        <f t="shared" si="42"/>
        <v>697</v>
      </c>
      <c r="M685" s="55">
        <v>0</v>
      </c>
      <c r="N685" s="101">
        <f t="shared" si="41"/>
        <v>697</v>
      </c>
      <c r="O685" s="57"/>
    </row>
    <row r="686" spans="1:33" hidden="1" x14ac:dyDescent="0.25">
      <c r="A686" s="224"/>
      <c r="B686" s="97">
        <v>44863</v>
      </c>
      <c r="C686" s="58" t="s">
        <v>57</v>
      </c>
      <c r="D686" s="60" t="s">
        <v>38</v>
      </c>
      <c r="E686" s="60" t="s">
        <v>39</v>
      </c>
      <c r="F686" s="61" t="s">
        <v>40</v>
      </c>
      <c r="G686" s="60">
        <v>3.9</v>
      </c>
      <c r="H686" s="60">
        <v>0</v>
      </c>
      <c r="I686" s="60">
        <v>820</v>
      </c>
      <c r="J686" s="60">
        <v>0</v>
      </c>
      <c r="K686" s="62">
        <v>0.85</v>
      </c>
      <c r="L686" s="62">
        <f t="shared" si="42"/>
        <v>697</v>
      </c>
      <c r="M686" s="62">
        <v>0</v>
      </c>
      <c r="N686" s="102">
        <f t="shared" si="41"/>
        <v>697</v>
      </c>
      <c r="O686" s="64"/>
    </row>
    <row r="687" spans="1:33" ht="15.75" hidden="1" thickBot="1" x14ac:dyDescent="0.3">
      <c r="A687" s="225"/>
      <c r="B687" s="98">
        <v>44864</v>
      </c>
      <c r="C687" s="66" t="s">
        <v>59</v>
      </c>
      <c r="D687" s="67" t="s">
        <v>38</v>
      </c>
      <c r="E687" s="67" t="s">
        <v>39</v>
      </c>
      <c r="F687" s="68" t="s">
        <v>40</v>
      </c>
      <c r="G687" s="67">
        <v>3.9</v>
      </c>
      <c r="H687" s="67">
        <v>0</v>
      </c>
      <c r="I687" s="67">
        <v>820</v>
      </c>
      <c r="J687" s="67">
        <v>0</v>
      </c>
      <c r="K687" s="69">
        <v>0.85</v>
      </c>
      <c r="L687" s="69">
        <f t="shared" si="42"/>
        <v>697</v>
      </c>
      <c r="M687" s="69">
        <v>0</v>
      </c>
      <c r="N687" s="103">
        <f t="shared" si="41"/>
        <v>697</v>
      </c>
      <c r="O687" s="71"/>
    </row>
    <row r="688" spans="1:33" hidden="1" x14ac:dyDescent="0.25">
      <c r="A688" s="223">
        <f>_xlfn.ISOWEEKNUM(B688)</f>
        <v>44</v>
      </c>
      <c r="B688" s="96">
        <v>44865</v>
      </c>
      <c r="C688" s="72" t="s">
        <v>37</v>
      </c>
      <c r="D688" s="41" t="s">
        <v>38</v>
      </c>
      <c r="E688" s="41" t="s">
        <v>39</v>
      </c>
      <c r="F688" s="43" t="s">
        <v>40</v>
      </c>
      <c r="G688" s="41">
        <v>3.9</v>
      </c>
      <c r="H688" s="41">
        <v>0</v>
      </c>
      <c r="I688" s="41">
        <v>820</v>
      </c>
      <c r="J688" s="41">
        <v>0</v>
      </c>
      <c r="K688" s="73">
        <v>0.85</v>
      </c>
      <c r="L688" s="73">
        <f t="shared" si="42"/>
        <v>697</v>
      </c>
      <c r="M688" s="73">
        <v>0</v>
      </c>
      <c r="N688" s="105">
        <f t="shared" si="41"/>
        <v>697</v>
      </c>
      <c r="O688" s="46"/>
    </row>
    <row r="689" spans="1:15" hidden="1" x14ac:dyDescent="0.25">
      <c r="A689" s="224"/>
      <c r="B689" s="96">
        <v>44866</v>
      </c>
      <c r="C689" s="52" t="s">
        <v>42</v>
      </c>
      <c r="D689" s="53" t="s">
        <v>38</v>
      </c>
      <c r="E689" s="53" t="s">
        <v>39</v>
      </c>
      <c r="F689" s="54" t="s">
        <v>40</v>
      </c>
      <c r="G689" s="53">
        <v>3.9</v>
      </c>
      <c r="H689" s="53">
        <v>0</v>
      </c>
      <c r="I689" s="53">
        <v>820</v>
      </c>
      <c r="J689" s="53">
        <v>0</v>
      </c>
      <c r="K689" s="55">
        <v>0.85</v>
      </c>
      <c r="L689" s="55">
        <f t="shared" si="42"/>
        <v>697</v>
      </c>
      <c r="M689" s="55">
        <v>0</v>
      </c>
      <c r="N689" s="101">
        <f t="shared" si="41"/>
        <v>697</v>
      </c>
      <c r="O689" s="57"/>
    </row>
    <row r="690" spans="1:15" hidden="1" x14ac:dyDescent="0.25">
      <c r="A690" s="224"/>
      <c r="B690" s="96">
        <v>44867</v>
      </c>
      <c r="C690" s="52" t="s">
        <v>46</v>
      </c>
      <c r="D690" s="53" t="s">
        <v>38</v>
      </c>
      <c r="E690" s="53" t="s">
        <v>39</v>
      </c>
      <c r="F690" s="54" t="s">
        <v>40</v>
      </c>
      <c r="G690" s="53">
        <v>3.9</v>
      </c>
      <c r="H690" s="53">
        <v>0</v>
      </c>
      <c r="I690" s="53">
        <v>820</v>
      </c>
      <c r="J690" s="53">
        <v>0</v>
      </c>
      <c r="K690" s="55">
        <v>0.85</v>
      </c>
      <c r="L690" s="55">
        <f t="shared" si="42"/>
        <v>697</v>
      </c>
      <c r="M690" s="55">
        <v>0</v>
      </c>
      <c r="N690" s="101">
        <f t="shared" si="41"/>
        <v>697</v>
      </c>
      <c r="O690" s="57"/>
    </row>
    <row r="691" spans="1:15" hidden="1" x14ac:dyDescent="0.25">
      <c r="A691" s="224"/>
      <c r="B691" s="96">
        <v>44868</v>
      </c>
      <c r="C691" s="52" t="s">
        <v>50</v>
      </c>
      <c r="D691" s="53" t="s">
        <v>38</v>
      </c>
      <c r="E691" s="53" t="s">
        <v>39</v>
      </c>
      <c r="F691" s="54" t="s">
        <v>40</v>
      </c>
      <c r="G691" s="53">
        <v>5.9</v>
      </c>
      <c r="H691" s="53">
        <v>0</v>
      </c>
      <c r="I691" s="53">
        <v>820</v>
      </c>
      <c r="J691" s="53">
        <v>0</v>
      </c>
      <c r="K691" s="55">
        <v>0.85</v>
      </c>
      <c r="L691" s="55">
        <f t="shared" si="42"/>
        <v>697</v>
      </c>
      <c r="M691" s="55">
        <v>0</v>
      </c>
      <c r="N691" s="101">
        <f t="shared" si="41"/>
        <v>697</v>
      </c>
      <c r="O691" s="57"/>
    </row>
    <row r="692" spans="1:15" hidden="1" x14ac:dyDescent="0.25">
      <c r="A692" s="224"/>
      <c r="B692" s="96">
        <v>44869</v>
      </c>
      <c r="C692" s="52" t="s">
        <v>53</v>
      </c>
      <c r="D692" s="53" t="s">
        <v>38</v>
      </c>
      <c r="E692" s="53" t="s">
        <v>39</v>
      </c>
      <c r="F692" s="54" t="s">
        <v>40</v>
      </c>
      <c r="G692" s="53">
        <v>5.9</v>
      </c>
      <c r="H692" s="53">
        <v>0</v>
      </c>
      <c r="I692" s="53">
        <v>820</v>
      </c>
      <c r="J692" s="53">
        <v>0</v>
      </c>
      <c r="K692" s="55">
        <v>0.85</v>
      </c>
      <c r="L692" s="55">
        <f t="shared" si="42"/>
        <v>697</v>
      </c>
      <c r="M692" s="55">
        <v>0</v>
      </c>
      <c r="N692" s="101">
        <f t="shared" si="41"/>
        <v>697</v>
      </c>
      <c r="O692" s="57"/>
    </row>
    <row r="693" spans="1:15" hidden="1" x14ac:dyDescent="0.25">
      <c r="A693" s="224"/>
      <c r="B693" s="97">
        <v>44870</v>
      </c>
      <c r="C693" s="58" t="s">
        <v>57</v>
      </c>
      <c r="D693" s="60" t="s">
        <v>38</v>
      </c>
      <c r="E693" s="60" t="s">
        <v>39</v>
      </c>
      <c r="F693" s="61" t="s">
        <v>40</v>
      </c>
      <c r="G693" s="60">
        <v>5.9</v>
      </c>
      <c r="H693" s="60">
        <v>0</v>
      </c>
      <c r="I693" s="60">
        <v>820</v>
      </c>
      <c r="J693" s="60">
        <v>0</v>
      </c>
      <c r="K693" s="62">
        <v>0.85</v>
      </c>
      <c r="L693" s="62">
        <f t="shared" si="42"/>
        <v>697</v>
      </c>
      <c r="M693" s="62">
        <v>0</v>
      </c>
      <c r="N693" s="102">
        <f t="shared" ref="N693:N718" si="43">+I693*0.85</f>
        <v>697</v>
      </c>
      <c r="O693" s="64"/>
    </row>
    <row r="694" spans="1:15" ht="15.75" hidden="1" thickBot="1" x14ac:dyDescent="0.3">
      <c r="A694" s="225"/>
      <c r="B694" s="98">
        <v>44871</v>
      </c>
      <c r="C694" s="66" t="s">
        <v>59</v>
      </c>
      <c r="D694" s="67" t="s">
        <v>38</v>
      </c>
      <c r="E694" s="67" t="s">
        <v>39</v>
      </c>
      <c r="F694" s="68" t="s">
        <v>40</v>
      </c>
      <c r="G694" s="67">
        <v>5.9</v>
      </c>
      <c r="H694" s="67">
        <v>0</v>
      </c>
      <c r="I694" s="67">
        <v>820</v>
      </c>
      <c r="J694" s="67">
        <v>0</v>
      </c>
      <c r="K694" s="69">
        <v>0.85</v>
      </c>
      <c r="L694" s="69">
        <f t="shared" si="42"/>
        <v>697</v>
      </c>
      <c r="M694" s="69">
        <v>0</v>
      </c>
      <c r="N694" s="103">
        <f t="shared" si="43"/>
        <v>697</v>
      </c>
      <c r="O694" s="71"/>
    </row>
    <row r="695" spans="1:15" hidden="1" x14ac:dyDescent="0.25">
      <c r="A695" s="223">
        <f>_xlfn.ISOWEEKNUM(B695)</f>
        <v>45</v>
      </c>
      <c r="B695" s="96">
        <v>44872</v>
      </c>
      <c r="C695" s="72" t="s">
        <v>37</v>
      </c>
      <c r="D695" s="41" t="s">
        <v>38</v>
      </c>
      <c r="E695" s="41" t="s">
        <v>39</v>
      </c>
      <c r="F695" s="43" t="s">
        <v>40</v>
      </c>
      <c r="G695" s="41">
        <v>5.9</v>
      </c>
      <c r="H695" s="41">
        <v>0</v>
      </c>
      <c r="I695" s="41">
        <v>820</v>
      </c>
      <c r="J695" s="41">
        <v>0</v>
      </c>
      <c r="K695" s="73">
        <v>0.85</v>
      </c>
      <c r="L695" s="73">
        <f t="shared" si="42"/>
        <v>697</v>
      </c>
      <c r="M695" s="73">
        <v>0</v>
      </c>
      <c r="N695" s="105">
        <f t="shared" si="43"/>
        <v>697</v>
      </c>
      <c r="O695" s="46"/>
    </row>
    <row r="696" spans="1:15" hidden="1" x14ac:dyDescent="0.25">
      <c r="A696" s="224"/>
      <c r="B696" s="96">
        <v>44873</v>
      </c>
      <c r="C696" s="52" t="s">
        <v>42</v>
      </c>
      <c r="D696" s="53" t="s">
        <v>38</v>
      </c>
      <c r="E696" s="53" t="s">
        <v>39</v>
      </c>
      <c r="F696" s="54" t="s">
        <v>40</v>
      </c>
      <c r="G696" s="53">
        <v>5.9</v>
      </c>
      <c r="H696" s="53">
        <v>0</v>
      </c>
      <c r="I696" s="53">
        <v>820</v>
      </c>
      <c r="J696" s="53">
        <v>0</v>
      </c>
      <c r="K696" s="55">
        <v>0.85</v>
      </c>
      <c r="L696" s="55">
        <f t="shared" si="42"/>
        <v>697</v>
      </c>
      <c r="M696" s="55">
        <v>0</v>
      </c>
      <c r="N696" s="101">
        <f t="shared" si="43"/>
        <v>697</v>
      </c>
      <c r="O696" s="57"/>
    </row>
    <row r="697" spans="1:15" hidden="1" x14ac:dyDescent="0.25">
      <c r="A697" s="224"/>
      <c r="B697" s="96">
        <v>44874</v>
      </c>
      <c r="C697" s="52" t="s">
        <v>46</v>
      </c>
      <c r="D697" s="53" t="s">
        <v>38</v>
      </c>
      <c r="E697" s="53" t="s">
        <v>39</v>
      </c>
      <c r="F697" s="54" t="s">
        <v>40</v>
      </c>
      <c r="G697" s="53">
        <v>5.9</v>
      </c>
      <c r="H697" s="53">
        <v>0</v>
      </c>
      <c r="I697" s="53">
        <v>0</v>
      </c>
      <c r="J697" s="53">
        <v>0</v>
      </c>
      <c r="K697" s="55">
        <v>0.85</v>
      </c>
      <c r="L697" s="55">
        <f t="shared" si="42"/>
        <v>0</v>
      </c>
      <c r="M697" s="55">
        <v>0</v>
      </c>
      <c r="N697" s="101">
        <f t="shared" si="43"/>
        <v>0</v>
      </c>
      <c r="O697" s="57" t="s">
        <v>161</v>
      </c>
    </row>
    <row r="698" spans="1:15" hidden="1" x14ac:dyDescent="0.25">
      <c r="A698" s="224"/>
      <c r="B698" s="96">
        <v>44875</v>
      </c>
      <c r="C698" s="52" t="s">
        <v>50</v>
      </c>
      <c r="D698" s="53" t="s">
        <v>38</v>
      </c>
      <c r="E698" s="53" t="s">
        <v>39</v>
      </c>
      <c r="F698" s="54" t="s">
        <v>40</v>
      </c>
      <c r="G698" s="53">
        <v>3.9</v>
      </c>
      <c r="H698" s="53">
        <v>0</v>
      </c>
      <c r="I698" s="53">
        <v>0</v>
      </c>
      <c r="J698" s="53">
        <v>0</v>
      </c>
      <c r="K698" s="55">
        <v>0.85</v>
      </c>
      <c r="L698" s="55">
        <f t="shared" si="42"/>
        <v>0</v>
      </c>
      <c r="M698" s="55">
        <v>0</v>
      </c>
      <c r="N698" s="101">
        <f t="shared" si="43"/>
        <v>0</v>
      </c>
      <c r="O698" s="57" t="s">
        <v>162</v>
      </c>
    </row>
    <row r="699" spans="1:15" hidden="1" x14ac:dyDescent="0.25">
      <c r="A699" s="224"/>
      <c r="B699" s="96">
        <v>44876</v>
      </c>
      <c r="C699" s="52" t="s">
        <v>53</v>
      </c>
      <c r="D699" s="53" t="s">
        <v>38</v>
      </c>
      <c r="E699" s="53" t="s">
        <v>39</v>
      </c>
      <c r="F699" s="54" t="s">
        <v>40</v>
      </c>
      <c r="G699" s="53">
        <v>3.9</v>
      </c>
      <c r="H699" s="53">
        <v>0</v>
      </c>
      <c r="I699" s="53">
        <v>0</v>
      </c>
      <c r="J699" s="53">
        <v>0</v>
      </c>
      <c r="K699" s="55">
        <v>0.85</v>
      </c>
      <c r="L699" s="55">
        <f t="shared" si="42"/>
        <v>0</v>
      </c>
      <c r="M699" s="55">
        <v>0</v>
      </c>
      <c r="N699" s="101">
        <f t="shared" si="43"/>
        <v>0</v>
      </c>
      <c r="O699" s="57" t="s">
        <v>162</v>
      </c>
    </row>
    <row r="700" spans="1:15" hidden="1" x14ac:dyDescent="0.25">
      <c r="A700" s="224"/>
      <c r="B700" s="97">
        <v>44877</v>
      </c>
      <c r="C700" s="58" t="s">
        <v>57</v>
      </c>
      <c r="D700" s="60" t="s">
        <v>38</v>
      </c>
      <c r="E700" s="60" t="s">
        <v>39</v>
      </c>
      <c r="F700" s="61" t="s">
        <v>40</v>
      </c>
      <c r="G700" s="60">
        <v>3.9</v>
      </c>
      <c r="H700" s="60">
        <v>0</v>
      </c>
      <c r="I700" s="60">
        <v>0</v>
      </c>
      <c r="J700" s="60">
        <v>0</v>
      </c>
      <c r="K700" s="62">
        <v>0.85</v>
      </c>
      <c r="L700" s="62">
        <f t="shared" si="42"/>
        <v>0</v>
      </c>
      <c r="M700" s="62">
        <v>0</v>
      </c>
      <c r="N700" s="102">
        <f t="shared" si="43"/>
        <v>0</v>
      </c>
      <c r="O700" s="64" t="s">
        <v>162</v>
      </c>
    </row>
    <row r="701" spans="1:15" ht="15.75" hidden="1" thickBot="1" x14ac:dyDescent="0.3">
      <c r="A701" s="225"/>
      <c r="B701" s="98">
        <v>44878</v>
      </c>
      <c r="C701" s="66" t="s">
        <v>59</v>
      </c>
      <c r="D701" s="67" t="s">
        <v>38</v>
      </c>
      <c r="E701" s="67" t="s">
        <v>39</v>
      </c>
      <c r="F701" s="68" t="s">
        <v>40</v>
      </c>
      <c r="G701" s="67">
        <v>3.9</v>
      </c>
      <c r="H701" s="67">
        <v>0</v>
      </c>
      <c r="I701" s="67">
        <v>0</v>
      </c>
      <c r="J701" s="67">
        <v>0</v>
      </c>
      <c r="K701" s="69">
        <v>0.85</v>
      </c>
      <c r="L701" s="69">
        <f t="shared" si="42"/>
        <v>0</v>
      </c>
      <c r="M701" s="69">
        <v>0</v>
      </c>
      <c r="N701" s="103">
        <f t="shared" si="43"/>
        <v>0</v>
      </c>
      <c r="O701" s="71" t="s">
        <v>162</v>
      </c>
    </row>
    <row r="702" spans="1:15" hidden="1" x14ac:dyDescent="0.25">
      <c r="A702" s="223">
        <f>_xlfn.ISOWEEKNUM(B702)</f>
        <v>46</v>
      </c>
      <c r="B702" s="96">
        <v>44879</v>
      </c>
      <c r="C702" s="72" t="s">
        <v>37</v>
      </c>
      <c r="D702" s="41" t="s">
        <v>38</v>
      </c>
      <c r="E702" s="41" t="s">
        <v>39</v>
      </c>
      <c r="F702" s="43" t="s">
        <v>40</v>
      </c>
      <c r="G702" s="41">
        <v>3.9</v>
      </c>
      <c r="H702" s="41">
        <v>0</v>
      </c>
      <c r="I702" s="41">
        <v>0</v>
      </c>
      <c r="J702" s="41">
        <v>0</v>
      </c>
      <c r="K702" s="73">
        <v>0.85</v>
      </c>
      <c r="L702" s="73">
        <f t="shared" si="42"/>
        <v>0</v>
      </c>
      <c r="M702" s="73">
        <v>0</v>
      </c>
      <c r="N702" s="105">
        <f t="shared" si="43"/>
        <v>0</v>
      </c>
      <c r="O702" s="46" t="s">
        <v>162</v>
      </c>
    </row>
    <row r="703" spans="1:15" hidden="1" x14ac:dyDescent="0.25">
      <c r="A703" s="224"/>
      <c r="B703" s="96">
        <v>44880</v>
      </c>
      <c r="C703" s="52" t="s">
        <v>42</v>
      </c>
      <c r="D703" s="53" t="s">
        <v>38</v>
      </c>
      <c r="E703" s="53" t="s">
        <v>39</v>
      </c>
      <c r="F703" s="54" t="s">
        <v>40</v>
      </c>
      <c r="G703" s="53">
        <v>3.9</v>
      </c>
      <c r="H703" s="53">
        <v>0</v>
      </c>
      <c r="I703" s="53">
        <v>0</v>
      </c>
      <c r="J703" s="53">
        <v>0</v>
      </c>
      <c r="K703" s="55">
        <v>0.85</v>
      </c>
      <c r="L703" s="55">
        <f t="shared" si="42"/>
        <v>0</v>
      </c>
      <c r="M703" s="55">
        <v>0</v>
      </c>
      <c r="N703" s="101">
        <f t="shared" si="43"/>
        <v>0</v>
      </c>
      <c r="O703" s="57" t="s">
        <v>162</v>
      </c>
    </row>
    <row r="704" spans="1:15" hidden="1" x14ac:dyDescent="0.25">
      <c r="A704" s="224"/>
      <c r="B704" s="96">
        <v>44881</v>
      </c>
      <c r="C704" s="52" t="s">
        <v>46</v>
      </c>
      <c r="D704" s="53" t="s">
        <v>38</v>
      </c>
      <c r="E704" s="53" t="s">
        <v>39</v>
      </c>
      <c r="F704" s="54" t="s">
        <v>40</v>
      </c>
      <c r="G704" s="53">
        <v>3.9</v>
      </c>
      <c r="H704" s="53">
        <v>0</v>
      </c>
      <c r="I704" s="53">
        <v>0</v>
      </c>
      <c r="J704" s="53">
        <v>0</v>
      </c>
      <c r="K704" s="55">
        <v>0.85</v>
      </c>
      <c r="L704" s="55">
        <f t="shared" si="42"/>
        <v>0</v>
      </c>
      <c r="M704" s="55">
        <v>0</v>
      </c>
      <c r="N704" s="101">
        <f t="shared" si="43"/>
        <v>0</v>
      </c>
      <c r="O704" s="57" t="s">
        <v>162</v>
      </c>
    </row>
    <row r="705" spans="1:15" hidden="1" x14ac:dyDescent="0.25">
      <c r="A705" s="224"/>
      <c r="B705" s="96">
        <v>44882</v>
      </c>
      <c r="C705" s="52" t="s">
        <v>50</v>
      </c>
      <c r="D705" s="53" t="s">
        <v>38</v>
      </c>
      <c r="E705" s="53" t="s">
        <v>39</v>
      </c>
      <c r="F705" s="54" t="s">
        <v>40</v>
      </c>
      <c r="G705" s="53">
        <v>3.9</v>
      </c>
      <c r="H705" s="53">
        <v>0</v>
      </c>
      <c r="I705" s="53">
        <v>0</v>
      </c>
      <c r="J705" s="53">
        <v>0</v>
      </c>
      <c r="K705" s="55"/>
      <c r="L705" s="55">
        <f t="shared" si="42"/>
        <v>0</v>
      </c>
      <c r="M705" s="55">
        <v>0</v>
      </c>
      <c r="N705" s="101">
        <f t="shared" si="43"/>
        <v>0</v>
      </c>
      <c r="O705" s="57" t="s">
        <v>162</v>
      </c>
    </row>
    <row r="706" spans="1:15" hidden="1" x14ac:dyDescent="0.25">
      <c r="A706" s="224"/>
      <c r="B706" s="96">
        <v>44883</v>
      </c>
      <c r="C706" s="52" t="s">
        <v>53</v>
      </c>
      <c r="D706" s="53" t="s">
        <v>38</v>
      </c>
      <c r="E706" s="53"/>
      <c r="F706" s="54"/>
      <c r="G706" s="53"/>
      <c r="H706" s="53">
        <v>0</v>
      </c>
      <c r="I706" s="53">
        <v>0</v>
      </c>
      <c r="J706" s="53">
        <v>0</v>
      </c>
      <c r="K706" s="55"/>
      <c r="L706" s="55">
        <f t="shared" si="42"/>
        <v>0</v>
      </c>
      <c r="M706" s="55">
        <v>0</v>
      </c>
      <c r="N706" s="101">
        <f t="shared" si="43"/>
        <v>0</v>
      </c>
      <c r="O706" s="57" t="s">
        <v>162</v>
      </c>
    </row>
    <row r="707" spans="1:15" hidden="1" x14ac:dyDescent="0.25">
      <c r="A707" s="224"/>
      <c r="B707" s="97">
        <v>44884</v>
      </c>
      <c r="C707" s="58" t="s">
        <v>57</v>
      </c>
      <c r="D707" s="60" t="s">
        <v>38</v>
      </c>
      <c r="E707" s="60"/>
      <c r="F707" s="61"/>
      <c r="G707" s="60"/>
      <c r="H707" s="60">
        <v>0</v>
      </c>
      <c r="I707" s="60">
        <v>0</v>
      </c>
      <c r="J707" s="60">
        <v>0</v>
      </c>
      <c r="K707" s="62"/>
      <c r="L707" s="62">
        <f t="shared" si="42"/>
        <v>0</v>
      </c>
      <c r="M707" s="62">
        <v>0</v>
      </c>
      <c r="N707" s="102">
        <f t="shared" si="43"/>
        <v>0</v>
      </c>
      <c r="O707" s="64" t="s">
        <v>162</v>
      </c>
    </row>
    <row r="708" spans="1:15" ht="15.75" hidden="1" thickBot="1" x14ac:dyDescent="0.3">
      <c r="A708" s="225"/>
      <c r="B708" s="98">
        <v>44885</v>
      </c>
      <c r="C708" s="66" t="s">
        <v>59</v>
      </c>
      <c r="D708" s="67" t="s">
        <v>38</v>
      </c>
      <c r="E708" s="67"/>
      <c r="F708" s="68"/>
      <c r="G708" s="67"/>
      <c r="H708" s="67">
        <v>0</v>
      </c>
      <c r="I708" s="67">
        <v>0</v>
      </c>
      <c r="J708" s="67">
        <v>0</v>
      </c>
      <c r="K708" s="69"/>
      <c r="L708" s="69">
        <f t="shared" si="42"/>
        <v>0</v>
      </c>
      <c r="M708" s="69">
        <v>0</v>
      </c>
      <c r="N708" s="103">
        <f t="shared" si="43"/>
        <v>0</v>
      </c>
      <c r="O708" s="71" t="s">
        <v>162</v>
      </c>
    </row>
    <row r="709" spans="1:15" hidden="1" x14ac:dyDescent="0.25">
      <c r="A709" s="223">
        <f>_xlfn.ISOWEEKNUM(B709)</f>
        <v>47</v>
      </c>
      <c r="B709" s="96">
        <v>44886</v>
      </c>
      <c r="C709" s="72" t="s">
        <v>37</v>
      </c>
      <c r="D709" s="41" t="s">
        <v>38</v>
      </c>
      <c r="E709" s="41"/>
      <c r="F709" s="43"/>
      <c r="G709" s="41"/>
      <c r="H709" s="41">
        <v>0</v>
      </c>
      <c r="I709" s="41">
        <v>0</v>
      </c>
      <c r="J709" s="41">
        <v>0</v>
      </c>
      <c r="K709" s="73"/>
      <c r="L709" s="73">
        <f t="shared" si="42"/>
        <v>0</v>
      </c>
      <c r="M709" s="73">
        <v>0</v>
      </c>
      <c r="N709" s="105">
        <f t="shared" si="43"/>
        <v>0</v>
      </c>
      <c r="O709" s="46" t="s">
        <v>162</v>
      </c>
    </row>
    <row r="710" spans="1:15" hidden="1" x14ac:dyDescent="0.25">
      <c r="A710" s="224"/>
      <c r="B710" s="96">
        <v>44887</v>
      </c>
      <c r="C710" s="52" t="s">
        <v>42</v>
      </c>
      <c r="D710" s="53" t="s">
        <v>38</v>
      </c>
      <c r="E710" s="53"/>
      <c r="F710" s="54"/>
      <c r="G710" s="53"/>
      <c r="H710" s="53">
        <v>0</v>
      </c>
      <c r="I710" s="53">
        <v>0</v>
      </c>
      <c r="J710" s="53">
        <v>0</v>
      </c>
      <c r="K710" s="55"/>
      <c r="L710" s="55">
        <f t="shared" si="42"/>
        <v>0</v>
      </c>
      <c r="M710" s="55">
        <v>0</v>
      </c>
      <c r="N710" s="101">
        <f t="shared" si="43"/>
        <v>0</v>
      </c>
      <c r="O710" s="57" t="s">
        <v>162</v>
      </c>
    </row>
    <row r="711" spans="1:15" hidden="1" x14ac:dyDescent="0.25">
      <c r="A711" s="224"/>
      <c r="B711" s="96">
        <v>44888</v>
      </c>
      <c r="C711" s="52" t="s">
        <v>46</v>
      </c>
      <c r="D711" s="53" t="s">
        <v>38</v>
      </c>
      <c r="E711" s="53"/>
      <c r="F711" s="54"/>
      <c r="G711" s="53"/>
      <c r="H711" s="53">
        <v>0</v>
      </c>
      <c r="I711" s="53">
        <v>0</v>
      </c>
      <c r="J711" s="53">
        <v>0</v>
      </c>
      <c r="K711" s="55"/>
      <c r="L711" s="55">
        <f t="shared" si="42"/>
        <v>0</v>
      </c>
      <c r="M711" s="55">
        <v>0</v>
      </c>
      <c r="N711" s="101">
        <f t="shared" si="43"/>
        <v>0</v>
      </c>
      <c r="O711" s="57" t="s">
        <v>162</v>
      </c>
    </row>
    <row r="712" spans="1:15" hidden="1" x14ac:dyDescent="0.25">
      <c r="A712" s="224"/>
      <c r="B712" s="96">
        <v>44889</v>
      </c>
      <c r="C712" s="52" t="s">
        <v>50</v>
      </c>
      <c r="D712" s="53" t="s">
        <v>38</v>
      </c>
      <c r="E712" s="53"/>
      <c r="F712" s="54"/>
      <c r="G712" s="53"/>
      <c r="H712" s="53">
        <v>0</v>
      </c>
      <c r="I712" s="53">
        <v>0</v>
      </c>
      <c r="J712" s="53">
        <v>0</v>
      </c>
      <c r="K712" s="55"/>
      <c r="L712" s="55">
        <f t="shared" si="42"/>
        <v>0</v>
      </c>
      <c r="M712" s="55">
        <v>0</v>
      </c>
      <c r="N712" s="101">
        <f t="shared" si="43"/>
        <v>0</v>
      </c>
      <c r="O712" s="57" t="s">
        <v>162</v>
      </c>
    </row>
    <row r="713" spans="1:15" hidden="1" x14ac:dyDescent="0.25">
      <c r="A713" s="224"/>
      <c r="B713" s="96">
        <v>44890</v>
      </c>
      <c r="C713" s="52" t="s">
        <v>53</v>
      </c>
      <c r="D713" s="53" t="s">
        <v>38</v>
      </c>
      <c r="E713" s="53"/>
      <c r="F713" s="54"/>
      <c r="G713" s="53"/>
      <c r="H713" s="53">
        <v>0</v>
      </c>
      <c r="I713" s="53">
        <v>0</v>
      </c>
      <c r="J713" s="53">
        <v>0</v>
      </c>
      <c r="K713" s="55"/>
      <c r="L713" s="55">
        <f t="shared" si="42"/>
        <v>0</v>
      </c>
      <c r="M713" s="55">
        <v>0</v>
      </c>
      <c r="N713" s="101">
        <f t="shared" si="43"/>
        <v>0</v>
      </c>
      <c r="O713" s="57" t="s">
        <v>162</v>
      </c>
    </row>
    <row r="714" spans="1:15" hidden="1" x14ac:dyDescent="0.25">
      <c r="A714" s="224"/>
      <c r="B714" s="97">
        <v>44891</v>
      </c>
      <c r="C714" s="58" t="s">
        <v>57</v>
      </c>
      <c r="D714" s="60" t="s">
        <v>38</v>
      </c>
      <c r="E714" s="60"/>
      <c r="F714" s="61"/>
      <c r="G714" s="60"/>
      <c r="H714" s="60">
        <v>0</v>
      </c>
      <c r="I714" s="60">
        <v>0</v>
      </c>
      <c r="J714" s="60">
        <v>0</v>
      </c>
      <c r="K714" s="62"/>
      <c r="L714" s="62">
        <f t="shared" si="42"/>
        <v>0</v>
      </c>
      <c r="M714" s="62">
        <v>0</v>
      </c>
      <c r="N714" s="102">
        <f t="shared" si="43"/>
        <v>0</v>
      </c>
      <c r="O714" s="64" t="s">
        <v>162</v>
      </c>
    </row>
    <row r="715" spans="1:15" ht="15.75" hidden="1" thickBot="1" x14ac:dyDescent="0.3">
      <c r="A715" s="225"/>
      <c r="B715" s="98">
        <v>44892</v>
      </c>
      <c r="C715" s="66" t="s">
        <v>59</v>
      </c>
      <c r="D715" s="67" t="s">
        <v>38</v>
      </c>
      <c r="E715" s="67"/>
      <c r="F715" s="68"/>
      <c r="G715" s="67"/>
      <c r="H715" s="67">
        <v>0</v>
      </c>
      <c r="I715" s="67">
        <v>0</v>
      </c>
      <c r="J715" s="67">
        <v>0</v>
      </c>
      <c r="K715" s="69"/>
      <c r="L715" s="69">
        <f t="shared" si="42"/>
        <v>0</v>
      </c>
      <c r="M715" s="69">
        <v>0</v>
      </c>
      <c r="N715" s="103">
        <f t="shared" si="43"/>
        <v>0</v>
      </c>
      <c r="O715" s="71" t="s">
        <v>162</v>
      </c>
    </row>
    <row r="716" spans="1:15" hidden="1" x14ac:dyDescent="0.25">
      <c r="A716" s="223">
        <f>_xlfn.ISOWEEKNUM(B716)</f>
        <v>48</v>
      </c>
      <c r="B716" s="96">
        <v>44893</v>
      </c>
      <c r="C716" s="72" t="s">
        <v>37</v>
      </c>
      <c r="D716" s="41" t="s">
        <v>38</v>
      </c>
      <c r="E716" s="41"/>
      <c r="F716" s="43"/>
      <c r="G716" s="41"/>
      <c r="H716" s="41">
        <v>0</v>
      </c>
      <c r="I716" s="41">
        <v>0</v>
      </c>
      <c r="J716" s="41">
        <v>0</v>
      </c>
      <c r="K716" s="73"/>
      <c r="L716" s="73">
        <f t="shared" si="42"/>
        <v>0</v>
      </c>
      <c r="M716" s="73">
        <v>0</v>
      </c>
      <c r="N716" s="105">
        <f t="shared" si="43"/>
        <v>0</v>
      </c>
      <c r="O716" s="46" t="s">
        <v>162</v>
      </c>
    </row>
    <row r="717" spans="1:15" hidden="1" x14ac:dyDescent="0.25">
      <c r="A717" s="224"/>
      <c r="B717" s="96">
        <v>44894</v>
      </c>
      <c r="C717" s="52" t="s">
        <v>42</v>
      </c>
      <c r="D717" s="53" t="s">
        <v>38</v>
      </c>
      <c r="E717" s="53"/>
      <c r="F717" s="54"/>
      <c r="G717" s="53"/>
      <c r="H717" s="53">
        <v>0</v>
      </c>
      <c r="I717" s="53">
        <v>0</v>
      </c>
      <c r="J717" s="53">
        <v>0</v>
      </c>
      <c r="K717" s="55"/>
      <c r="L717" s="55">
        <f t="shared" si="42"/>
        <v>0</v>
      </c>
      <c r="M717" s="55">
        <v>0</v>
      </c>
      <c r="N717" s="101">
        <f t="shared" si="43"/>
        <v>0</v>
      </c>
      <c r="O717" s="57" t="s">
        <v>162</v>
      </c>
    </row>
    <row r="718" spans="1:15" hidden="1" x14ac:dyDescent="0.25">
      <c r="A718" s="224"/>
      <c r="B718" s="96">
        <v>44895</v>
      </c>
      <c r="C718" s="52" t="s">
        <v>46</v>
      </c>
      <c r="D718" s="53" t="s">
        <v>38</v>
      </c>
      <c r="E718" s="53"/>
      <c r="F718" s="54"/>
      <c r="G718" s="53"/>
      <c r="H718" s="53">
        <v>0</v>
      </c>
      <c r="I718" s="53">
        <v>0</v>
      </c>
      <c r="J718" s="53">
        <v>0</v>
      </c>
      <c r="K718" s="55"/>
      <c r="L718" s="55">
        <f t="shared" si="42"/>
        <v>0</v>
      </c>
      <c r="M718" s="55">
        <v>0</v>
      </c>
      <c r="N718" s="101">
        <f t="shared" si="43"/>
        <v>0</v>
      </c>
      <c r="O718" s="57" t="s">
        <v>162</v>
      </c>
    </row>
    <row r="719" spans="1:15" hidden="1" x14ac:dyDescent="0.25">
      <c r="A719" s="224"/>
      <c r="B719" s="96">
        <v>44896</v>
      </c>
      <c r="C719" s="52" t="s">
        <v>50</v>
      </c>
      <c r="D719" s="53" t="s">
        <v>38</v>
      </c>
      <c r="E719" s="53"/>
      <c r="F719" s="54"/>
      <c r="G719" s="53"/>
      <c r="H719" s="53">
        <v>0</v>
      </c>
      <c r="I719" s="53">
        <v>0</v>
      </c>
      <c r="J719" s="53">
        <v>0</v>
      </c>
      <c r="K719" s="55"/>
      <c r="L719" s="55">
        <f t="shared" si="42"/>
        <v>0</v>
      </c>
      <c r="M719" s="55">
        <v>0</v>
      </c>
      <c r="N719" s="101">
        <f t="shared" ref="N719:N782" si="44">L719*(1-M719)</f>
        <v>0</v>
      </c>
      <c r="O719" s="57" t="s">
        <v>162</v>
      </c>
    </row>
    <row r="720" spans="1:15" hidden="1" x14ac:dyDescent="0.25">
      <c r="A720" s="224"/>
      <c r="B720" s="96">
        <v>44897</v>
      </c>
      <c r="C720" s="52" t="s">
        <v>53</v>
      </c>
      <c r="D720" s="53" t="s">
        <v>38</v>
      </c>
      <c r="E720" s="53"/>
      <c r="F720" s="54"/>
      <c r="G720" s="53"/>
      <c r="H720" s="53">
        <v>0</v>
      </c>
      <c r="I720" s="53">
        <v>0</v>
      </c>
      <c r="J720" s="53">
        <v>0</v>
      </c>
      <c r="K720" s="55"/>
      <c r="L720" s="55">
        <f t="shared" si="42"/>
        <v>0</v>
      </c>
      <c r="M720" s="55">
        <v>0</v>
      </c>
      <c r="N720" s="101">
        <f t="shared" si="44"/>
        <v>0</v>
      </c>
      <c r="O720" s="57" t="s">
        <v>162</v>
      </c>
    </row>
    <row r="721" spans="1:15" hidden="1" x14ac:dyDescent="0.25">
      <c r="A721" s="224"/>
      <c r="B721" s="97">
        <v>44898</v>
      </c>
      <c r="C721" s="58" t="s">
        <v>57</v>
      </c>
      <c r="D721" s="60" t="s">
        <v>38</v>
      </c>
      <c r="E721" s="60"/>
      <c r="F721" s="61"/>
      <c r="G721" s="60"/>
      <c r="H721" s="60">
        <v>0</v>
      </c>
      <c r="I721" s="60">
        <v>0</v>
      </c>
      <c r="J721" s="60">
        <v>0</v>
      </c>
      <c r="K721" s="62"/>
      <c r="L721" s="62">
        <f t="shared" si="42"/>
        <v>0</v>
      </c>
      <c r="M721" s="62">
        <v>0</v>
      </c>
      <c r="N721" s="102">
        <f t="shared" si="44"/>
        <v>0</v>
      </c>
      <c r="O721" s="64" t="s">
        <v>162</v>
      </c>
    </row>
    <row r="722" spans="1:15" ht="15.75" hidden="1" thickBot="1" x14ac:dyDescent="0.3">
      <c r="A722" s="225"/>
      <c r="B722" s="98">
        <v>44899</v>
      </c>
      <c r="C722" s="66" t="s">
        <v>59</v>
      </c>
      <c r="D722" s="67" t="s">
        <v>38</v>
      </c>
      <c r="E722" s="67"/>
      <c r="F722" s="68"/>
      <c r="G722" s="67"/>
      <c r="H722" s="67">
        <v>0</v>
      </c>
      <c r="I722" s="67">
        <v>0</v>
      </c>
      <c r="J722" s="67">
        <v>0</v>
      </c>
      <c r="K722" s="69"/>
      <c r="L722" s="69">
        <f t="shared" si="42"/>
        <v>0</v>
      </c>
      <c r="M722" s="69">
        <v>0</v>
      </c>
      <c r="N722" s="103">
        <f t="shared" si="44"/>
        <v>0</v>
      </c>
      <c r="O722" s="71" t="s">
        <v>162</v>
      </c>
    </row>
    <row r="723" spans="1:15" hidden="1" x14ac:dyDescent="0.25">
      <c r="A723" s="223">
        <f>_xlfn.ISOWEEKNUM(B723)</f>
        <v>49</v>
      </c>
      <c r="B723" s="96">
        <v>44900</v>
      </c>
      <c r="C723" s="72" t="s">
        <v>37</v>
      </c>
      <c r="D723" s="41" t="s">
        <v>38</v>
      </c>
      <c r="E723" s="41"/>
      <c r="F723" s="43"/>
      <c r="G723" s="41"/>
      <c r="H723" s="41">
        <v>0</v>
      </c>
      <c r="I723" s="41">
        <v>0</v>
      </c>
      <c r="J723" s="41">
        <v>0</v>
      </c>
      <c r="K723" s="73"/>
      <c r="L723" s="73">
        <f t="shared" si="42"/>
        <v>0</v>
      </c>
      <c r="M723" s="73">
        <v>0</v>
      </c>
      <c r="N723" s="105">
        <f t="shared" si="44"/>
        <v>0</v>
      </c>
      <c r="O723" s="46" t="s">
        <v>162</v>
      </c>
    </row>
    <row r="724" spans="1:15" hidden="1" x14ac:dyDescent="0.25">
      <c r="A724" s="224"/>
      <c r="B724" s="96">
        <v>44901</v>
      </c>
      <c r="C724" s="52" t="s">
        <v>42</v>
      </c>
      <c r="D724" s="53" t="s">
        <v>38</v>
      </c>
      <c r="E724" s="53"/>
      <c r="F724" s="54"/>
      <c r="G724" s="53"/>
      <c r="H724" s="53">
        <v>0</v>
      </c>
      <c r="I724" s="53">
        <v>0</v>
      </c>
      <c r="J724" s="53">
        <v>0</v>
      </c>
      <c r="K724" s="55"/>
      <c r="L724" s="55">
        <f t="shared" si="42"/>
        <v>0</v>
      </c>
      <c r="M724" s="55">
        <v>0</v>
      </c>
      <c r="N724" s="101">
        <f t="shared" si="44"/>
        <v>0</v>
      </c>
      <c r="O724" s="57" t="s">
        <v>162</v>
      </c>
    </row>
    <row r="725" spans="1:15" hidden="1" x14ac:dyDescent="0.25">
      <c r="A725" s="224"/>
      <c r="B725" s="96">
        <v>44902</v>
      </c>
      <c r="C725" s="52" t="s">
        <v>46</v>
      </c>
      <c r="D725" s="53" t="s">
        <v>38</v>
      </c>
      <c r="E725" s="53"/>
      <c r="F725" s="54"/>
      <c r="G725" s="53"/>
      <c r="H725" s="53">
        <v>0</v>
      </c>
      <c r="I725" s="53">
        <v>0</v>
      </c>
      <c r="J725" s="53">
        <v>0</v>
      </c>
      <c r="K725" s="55"/>
      <c r="L725" s="55">
        <f t="shared" si="42"/>
        <v>0</v>
      </c>
      <c r="M725" s="55">
        <v>0</v>
      </c>
      <c r="N725" s="101">
        <f t="shared" si="44"/>
        <v>0</v>
      </c>
      <c r="O725" s="57" t="s">
        <v>162</v>
      </c>
    </row>
    <row r="726" spans="1:15" hidden="1" x14ac:dyDescent="0.25">
      <c r="A726" s="224"/>
      <c r="B726" s="96">
        <v>44903</v>
      </c>
      <c r="C726" s="52" t="s">
        <v>50</v>
      </c>
      <c r="D726" s="53" t="s">
        <v>38</v>
      </c>
      <c r="E726" s="53"/>
      <c r="F726" s="54"/>
      <c r="G726" s="53"/>
      <c r="H726" s="53">
        <v>0</v>
      </c>
      <c r="I726" s="53">
        <v>0</v>
      </c>
      <c r="J726" s="53">
        <v>0</v>
      </c>
      <c r="K726" s="55"/>
      <c r="L726" s="55">
        <f t="shared" si="42"/>
        <v>0</v>
      </c>
      <c r="M726" s="55">
        <v>0</v>
      </c>
      <c r="N726" s="101">
        <f t="shared" si="44"/>
        <v>0</v>
      </c>
      <c r="O726" s="57" t="s">
        <v>162</v>
      </c>
    </row>
    <row r="727" spans="1:15" hidden="1" x14ac:dyDescent="0.25">
      <c r="A727" s="224"/>
      <c r="B727" s="96">
        <v>44904</v>
      </c>
      <c r="C727" s="52" t="s">
        <v>53</v>
      </c>
      <c r="D727" s="53" t="s">
        <v>38</v>
      </c>
      <c r="E727" s="53"/>
      <c r="F727" s="54"/>
      <c r="G727" s="53"/>
      <c r="H727" s="53">
        <v>0</v>
      </c>
      <c r="I727" s="53">
        <v>0</v>
      </c>
      <c r="J727" s="53">
        <v>0</v>
      </c>
      <c r="K727" s="55"/>
      <c r="L727" s="55">
        <f t="shared" si="42"/>
        <v>0</v>
      </c>
      <c r="M727" s="55">
        <v>0</v>
      </c>
      <c r="N727" s="101">
        <f t="shared" si="44"/>
        <v>0</v>
      </c>
      <c r="O727" s="57" t="s">
        <v>162</v>
      </c>
    </row>
    <row r="728" spans="1:15" hidden="1" x14ac:dyDescent="0.25">
      <c r="A728" s="224"/>
      <c r="B728" s="97">
        <v>44905</v>
      </c>
      <c r="C728" s="58" t="s">
        <v>57</v>
      </c>
      <c r="D728" s="60" t="s">
        <v>38</v>
      </c>
      <c r="E728" s="60"/>
      <c r="F728" s="61"/>
      <c r="G728" s="60"/>
      <c r="H728" s="60">
        <v>0</v>
      </c>
      <c r="I728" s="60">
        <v>0</v>
      </c>
      <c r="J728" s="60">
        <v>0</v>
      </c>
      <c r="K728" s="62"/>
      <c r="L728" s="62">
        <f t="shared" si="42"/>
        <v>0</v>
      </c>
      <c r="M728" s="62">
        <v>0</v>
      </c>
      <c r="N728" s="102">
        <f t="shared" si="44"/>
        <v>0</v>
      </c>
      <c r="O728" s="64" t="s">
        <v>162</v>
      </c>
    </row>
    <row r="729" spans="1:15" ht="15.75" hidden="1" thickBot="1" x14ac:dyDescent="0.3">
      <c r="A729" s="225"/>
      <c r="B729" s="98">
        <v>44906</v>
      </c>
      <c r="C729" s="66" t="s">
        <v>59</v>
      </c>
      <c r="D729" s="67" t="s">
        <v>38</v>
      </c>
      <c r="E729" s="67"/>
      <c r="F729" s="68"/>
      <c r="G729" s="67"/>
      <c r="H729" s="67">
        <v>0</v>
      </c>
      <c r="I729" s="67">
        <v>0</v>
      </c>
      <c r="J729" s="67">
        <v>0</v>
      </c>
      <c r="K729" s="69"/>
      <c r="L729" s="69">
        <f t="shared" si="42"/>
        <v>0</v>
      </c>
      <c r="M729" s="69">
        <v>0</v>
      </c>
      <c r="N729" s="103">
        <f t="shared" si="44"/>
        <v>0</v>
      </c>
      <c r="O729" s="71" t="s">
        <v>162</v>
      </c>
    </row>
    <row r="730" spans="1:15" hidden="1" x14ac:dyDescent="0.25">
      <c r="A730" s="223">
        <f>_xlfn.ISOWEEKNUM(B730)</f>
        <v>50</v>
      </c>
      <c r="B730" s="96">
        <v>44907</v>
      </c>
      <c r="C730" s="72" t="s">
        <v>37</v>
      </c>
      <c r="D730" s="41" t="s">
        <v>38</v>
      </c>
      <c r="E730" s="41"/>
      <c r="F730" s="43"/>
      <c r="G730" s="41"/>
      <c r="H730" s="41">
        <v>0</v>
      </c>
      <c r="I730" s="41">
        <v>0</v>
      </c>
      <c r="J730" s="41">
        <v>0</v>
      </c>
      <c r="K730" s="73"/>
      <c r="L730" s="73">
        <f t="shared" si="42"/>
        <v>0</v>
      </c>
      <c r="M730" s="73">
        <v>0</v>
      </c>
      <c r="N730" s="105">
        <f t="shared" si="44"/>
        <v>0</v>
      </c>
      <c r="O730" s="46" t="s">
        <v>162</v>
      </c>
    </row>
    <row r="731" spans="1:15" hidden="1" x14ac:dyDescent="0.25">
      <c r="A731" s="224"/>
      <c r="B731" s="96">
        <v>44908</v>
      </c>
      <c r="C731" s="52" t="s">
        <v>42</v>
      </c>
      <c r="D731" s="53" t="s">
        <v>38</v>
      </c>
      <c r="E731" s="53"/>
      <c r="F731" s="54"/>
      <c r="G731" s="53"/>
      <c r="H731" s="53">
        <v>0</v>
      </c>
      <c r="I731" s="53">
        <v>0</v>
      </c>
      <c r="J731" s="53">
        <v>0</v>
      </c>
      <c r="K731" s="55"/>
      <c r="L731" s="55">
        <f t="shared" si="42"/>
        <v>0</v>
      </c>
      <c r="M731" s="55">
        <v>0</v>
      </c>
      <c r="N731" s="101">
        <f t="shared" si="44"/>
        <v>0</v>
      </c>
      <c r="O731" s="57" t="s">
        <v>162</v>
      </c>
    </row>
    <row r="732" spans="1:15" hidden="1" x14ac:dyDescent="0.25">
      <c r="A732" s="224"/>
      <c r="B732" s="96">
        <v>44909</v>
      </c>
      <c r="C732" s="52" t="s">
        <v>46</v>
      </c>
      <c r="D732" s="53" t="s">
        <v>38</v>
      </c>
      <c r="E732" s="53"/>
      <c r="F732" s="54"/>
      <c r="G732" s="53"/>
      <c r="H732" s="53">
        <v>0</v>
      </c>
      <c r="I732" s="53">
        <v>0</v>
      </c>
      <c r="J732" s="53">
        <v>0</v>
      </c>
      <c r="K732" s="55"/>
      <c r="L732" s="55">
        <f t="shared" si="42"/>
        <v>0</v>
      </c>
      <c r="M732" s="55">
        <v>0</v>
      </c>
      <c r="N732" s="101">
        <f t="shared" si="44"/>
        <v>0</v>
      </c>
      <c r="O732" s="57" t="s">
        <v>162</v>
      </c>
    </row>
    <row r="733" spans="1:15" hidden="1" x14ac:dyDescent="0.25">
      <c r="A733" s="224"/>
      <c r="B733" s="96">
        <v>44910</v>
      </c>
      <c r="C733" s="52" t="s">
        <v>50</v>
      </c>
      <c r="D733" s="53" t="s">
        <v>38</v>
      </c>
      <c r="E733" s="53"/>
      <c r="F733" s="54"/>
      <c r="G733" s="53"/>
      <c r="H733" s="53">
        <v>0</v>
      </c>
      <c r="I733" s="53">
        <v>0</v>
      </c>
      <c r="J733" s="53">
        <v>0</v>
      </c>
      <c r="K733" s="55"/>
      <c r="L733" s="55">
        <f t="shared" si="42"/>
        <v>0</v>
      </c>
      <c r="M733" s="55">
        <v>0</v>
      </c>
      <c r="N733" s="101">
        <f t="shared" si="44"/>
        <v>0</v>
      </c>
      <c r="O733" s="57" t="s">
        <v>162</v>
      </c>
    </row>
    <row r="734" spans="1:15" hidden="1" x14ac:dyDescent="0.25">
      <c r="A734" s="224"/>
      <c r="B734" s="96">
        <v>44911</v>
      </c>
      <c r="C734" s="52" t="s">
        <v>53</v>
      </c>
      <c r="D734" s="53" t="s">
        <v>38</v>
      </c>
      <c r="E734" s="53"/>
      <c r="F734" s="54"/>
      <c r="G734" s="53"/>
      <c r="H734" s="53">
        <v>0</v>
      </c>
      <c r="I734" s="53">
        <v>0</v>
      </c>
      <c r="J734" s="53">
        <v>0</v>
      </c>
      <c r="K734" s="55"/>
      <c r="L734" s="55">
        <f t="shared" si="42"/>
        <v>0</v>
      </c>
      <c r="M734" s="55">
        <v>0</v>
      </c>
      <c r="N734" s="101">
        <f t="shared" si="44"/>
        <v>0</v>
      </c>
      <c r="O734" s="57" t="s">
        <v>162</v>
      </c>
    </row>
    <row r="735" spans="1:15" hidden="1" x14ac:dyDescent="0.25">
      <c r="A735" s="224"/>
      <c r="B735" s="97">
        <v>44912</v>
      </c>
      <c r="C735" s="58" t="s">
        <v>57</v>
      </c>
      <c r="D735" s="60" t="s">
        <v>38</v>
      </c>
      <c r="E735" s="60"/>
      <c r="F735" s="61"/>
      <c r="G735" s="60"/>
      <c r="H735" s="60">
        <v>0</v>
      </c>
      <c r="I735" s="60">
        <v>0</v>
      </c>
      <c r="J735" s="60">
        <v>0</v>
      </c>
      <c r="K735" s="62"/>
      <c r="L735" s="62">
        <f t="shared" si="42"/>
        <v>0</v>
      </c>
      <c r="M735" s="62">
        <v>0</v>
      </c>
      <c r="N735" s="102">
        <f t="shared" si="44"/>
        <v>0</v>
      </c>
      <c r="O735" s="64" t="s">
        <v>162</v>
      </c>
    </row>
    <row r="736" spans="1:15" ht="15.75" hidden="1" thickBot="1" x14ac:dyDescent="0.3">
      <c r="A736" s="225"/>
      <c r="B736" s="98">
        <v>44913</v>
      </c>
      <c r="C736" s="66" t="s">
        <v>59</v>
      </c>
      <c r="D736" s="67" t="s">
        <v>38</v>
      </c>
      <c r="E736" s="67"/>
      <c r="F736" s="68"/>
      <c r="G736" s="67"/>
      <c r="H736" s="67">
        <v>0</v>
      </c>
      <c r="I736" s="67">
        <v>0</v>
      </c>
      <c r="J736" s="67">
        <v>0</v>
      </c>
      <c r="K736" s="69"/>
      <c r="L736" s="69">
        <f t="shared" si="42"/>
        <v>0</v>
      </c>
      <c r="M736" s="69">
        <v>0</v>
      </c>
      <c r="N736" s="103">
        <f t="shared" si="44"/>
        <v>0</v>
      </c>
      <c r="O736" s="71" t="s">
        <v>162</v>
      </c>
    </row>
    <row r="737" spans="1:15" hidden="1" x14ac:dyDescent="0.25">
      <c r="A737" s="223">
        <f>_xlfn.ISOWEEKNUM(B737)</f>
        <v>51</v>
      </c>
      <c r="B737" s="96">
        <v>44914</v>
      </c>
      <c r="C737" s="72" t="s">
        <v>37</v>
      </c>
      <c r="D737" s="41" t="s">
        <v>38</v>
      </c>
      <c r="E737" s="41"/>
      <c r="F737" s="43"/>
      <c r="G737" s="41"/>
      <c r="H737" s="41">
        <v>0</v>
      </c>
      <c r="I737" s="41">
        <v>0</v>
      </c>
      <c r="J737" s="41">
        <v>0</v>
      </c>
      <c r="K737" s="73"/>
      <c r="L737" s="73">
        <f t="shared" si="42"/>
        <v>0</v>
      </c>
      <c r="M737" s="73">
        <v>0</v>
      </c>
      <c r="N737" s="105">
        <f t="shared" si="44"/>
        <v>0</v>
      </c>
      <c r="O737" s="46" t="s">
        <v>162</v>
      </c>
    </row>
    <row r="738" spans="1:15" hidden="1" x14ac:dyDescent="0.25">
      <c r="A738" s="224"/>
      <c r="B738" s="96">
        <v>44915</v>
      </c>
      <c r="C738" s="52" t="s">
        <v>42</v>
      </c>
      <c r="D738" s="53" t="s">
        <v>38</v>
      </c>
      <c r="E738" s="53"/>
      <c r="F738" s="54"/>
      <c r="G738" s="53"/>
      <c r="H738" s="53">
        <v>0</v>
      </c>
      <c r="I738" s="53">
        <v>0</v>
      </c>
      <c r="J738" s="53">
        <v>0</v>
      </c>
      <c r="K738" s="55"/>
      <c r="L738" s="55">
        <f t="shared" si="42"/>
        <v>0</v>
      </c>
      <c r="M738" s="55">
        <v>0</v>
      </c>
      <c r="N738" s="101">
        <f t="shared" si="44"/>
        <v>0</v>
      </c>
      <c r="O738" s="57" t="s">
        <v>162</v>
      </c>
    </row>
    <row r="739" spans="1:15" hidden="1" x14ac:dyDescent="0.25">
      <c r="A739" s="224"/>
      <c r="B739" s="96">
        <v>44916</v>
      </c>
      <c r="C739" s="52" t="s">
        <v>46</v>
      </c>
      <c r="D739" s="53" t="s">
        <v>38</v>
      </c>
      <c r="E739" s="53"/>
      <c r="F739" s="54"/>
      <c r="G739" s="53"/>
      <c r="H739" s="53">
        <v>0</v>
      </c>
      <c r="I739" s="53">
        <v>0</v>
      </c>
      <c r="J739" s="53">
        <v>0</v>
      </c>
      <c r="K739" s="55"/>
      <c r="L739" s="55">
        <f t="shared" si="42"/>
        <v>0</v>
      </c>
      <c r="M739" s="55">
        <v>0</v>
      </c>
      <c r="N739" s="101">
        <f t="shared" si="44"/>
        <v>0</v>
      </c>
      <c r="O739" s="57" t="s">
        <v>162</v>
      </c>
    </row>
    <row r="740" spans="1:15" hidden="1" x14ac:dyDescent="0.25">
      <c r="A740" s="224"/>
      <c r="B740" s="96">
        <v>44917</v>
      </c>
      <c r="C740" s="52" t="s">
        <v>50</v>
      </c>
      <c r="D740" s="53" t="s">
        <v>38</v>
      </c>
      <c r="E740" s="53"/>
      <c r="F740" s="54"/>
      <c r="G740" s="53"/>
      <c r="H740" s="53">
        <v>0</v>
      </c>
      <c r="I740" s="53">
        <v>0</v>
      </c>
      <c r="J740" s="53">
        <v>0</v>
      </c>
      <c r="K740" s="55"/>
      <c r="L740" s="55">
        <f t="shared" si="42"/>
        <v>0</v>
      </c>
      <c r="M740" s="55">
        <v>0</v>
      </c>
      <c r="N740" s="101">
        <f t="shared" si="44"/>
        <v>0</v>
      </c>
      <c r="O740" s="57" t="s">
        <v>162</v>
      </c>
    </row>
    <row r="741" spans="1:15" hidden="1" x14ac:dyDescent="0.25">
      <c r="A741" s="224"/>
      <c r="B741" s="96">
        <v>44918</v>
      </c>
      <c r="C741" s="52" t="s">
        <v>53</v>
      </c>
      <c r="D741" s="53" t="s">
        <v>38</v>
      </c>
      <c r="E741" s="53"/>
      <c r="F741" s="54"/>
      <c r="G741" s="53"/>
      <c r="H741" s="53">
        <v>0</v>
      </c>
      <c r="I741" s="53">
        <v>0</v>
      </c>
      <c r="J741" s="53">
        <v>0</v>
      </c>
      <c r="K741" s="55"/>
      <c r="L741" s="55">
        <f t="shared" si="42"/>
        <v>0</v>
      </c>
      <c r="M741" s="55">
        <v>0</v>
      </c>
      <c r="N741" s="101">
        <f t="shared" si="44"/>
        <v>0</v>
      </c>
      <c r="O741" s="57" t="s">
        <v>162</v>
      </c>
    </row>
    <row r="742" spans="1:15" hidden="1" x14ac:dyDescent="0.25">
      <c r="A742" s="224"/>
      <c r="B742" s="97">
        <v>44919</v>
      </c>
      <c r="C742" s="58" t="s">
        <v>57</v>
      </c>
      <c r="D742" s="60" t="s">
        <v>38</v>
      </c>
      <c r="E742" s="60"/>
      <c r="F742" s="61"/>
      <c r="G742" s="60"/>
      <c r="H742" s="60">
        <v>0</v>
      </c>
      <c r="I742" s="60">
        <v>0</v>
      </c>
      <c r="J742" s="60">
        <v>0</v>
      </c>
      <c r="K742" s="62"/>
      <c r="L742" s="62">
        <f t="shared" si="42"/>
        <v>0</v>
      </c>
      <c r="M742" s="62">
        <v>0</v>
      </c>
      <c r="N742" s="102">
        <f t="shared" si="44"/>
        <v>0</v>
      </c>
      <c r="O742" s="64" t="s">
        <v>162</v>
      </c>
    </row>
    <row r="743" spans="1:15" ht="15.75" hidden="1" thickBot="1" x14ac:dyDescent="0.3">
      <c r="A743" s="225"/>
      <c r="B743" s="98">
        <v>44920</v>
      </c>
      <c r="C743" s="66" t="s">
        <v>59</v>
      </c>
      <c r="D743" s="67" t="s">
        <v>38</v>
      </c>
      <c r="E743" s="67"/>
      <c r="F743" s="68"/>
      <c r="G743" s="67"/>
      <c r="H743" s="67">
        <v>0</v>
      </c>
      <c r="I743" s="67">
        <v>0</v>
      </c>
      <c r="J743" s="67">
        <v>0</v>
      </c>
      <c r="K743" s="69"/>
      <c r="L743" s="69">
        <f t="shared" si="42"/>
        <v>0</v>
      </c>
      <c r="M743" s="69">
        <v>0</v>
      </c>
      <c r="N743" s="103">
        <f t="shared" si="44"/>
        <v>0</v>
      </c>
      <c r="O743" s="71" t="s">
        <v>162</v>
      </c>
    </row>
    <row r="744" spans="1:15" hidden="1" x14ac:dyDescent="0.25">
      <c r="A744" s="223">
        <f>_xlfn.ISOWEEKNUM(B744)</f>
        <v>52</v>
      </c>
      <c r="B744" s="96">
        <v>44921</v>
      </c>
      <c r="C744" s="72" t="s">
        <v>37</v>
      </c>
      <c r="D744" s="41" t="s">
        <v>38</v>
      </c>
      <c r="E744" s="41"/>
      <c r="F744" s="43"/>
      <c r="G744" s="41"/>
      <c r="H744" s="41">
        <v>0</v>
      </c>
      <c r="I744" s="41">
        <v>0</v>
      </c>
      <c r="J744" s="41">
        <v>0</v>
      </c>
      <c r="K744" s="73"/>
      <c r="L744" s="73">
        <f t="shared" si="42"/>
        <v>0</v>
      </c>
      <c r="M744" s="73">
        <v>0</v>
      </c>
      <c r="N744" s="105">
        <f t="shared" si="44"/>
        <v>0</v>
      </c>
      <c r="O744" s="46" t="s">
        <v>162</v>
      </c>
    </row>
    <row r="745" spans="1:15" hidden="1" x14ac:dyDescent="0.25">
      <c r="A745" s="224"/>
      <c r="B745" s="96">
        <v>44922</v>
      </c>
      <c r="C745" s="52" t="s">
        <v>42</v>
      </c>
      <c r="D745" s="53" t="s">
        <v>38</v>
      </c>
      <c r="E745" s="53"/>
      <c r="F745" s="54"/>
      <c r="G745" s="53"/>
      <c r="H745" s="53">
        <v>0</v>
      </c>
      <c r="I745" s="53">
        <v>0</v>
      </c>
      <c r="J745" s="53">
        <v>0</v>
      </c>
      <c r="K745" s="55"/>
      <c r="L745" s="55">
        <f t="shared" ref="L745:L808" si="45">IF(J745&lt;&gt;0,J745,I745)*K745</f>
        <v>0</v>
      </c>
      <c r="M745" s="55">
        <v>0</v>
      </c>
      <c r="N745" s="101">
        <f t="shared" si="44"/>
        <v>0</v>
      </c>
      <c r="O745" s="57" t="s">
        <v>162</v>
      </c>
    </row>
    <row r="746" spans="1:15" hidden="1" x14ac:dyDescent="0.25">
      <c r="A746" s="224"/>
      <c r="B746" s="96">
        <v>44923</v>
      </c>
      <c r="C746" s="52" t="s">
        <v>46</v>
      </c>
      <c r="D746" s="53" t="s">
        <v>38</v>
      </c>
      <c r="E746" s="53"/>
      <c r="F746" s="54"/>
      <c r="G746" s="53"/>
      <c r="H746" s="53">
        <v>0</v>
      </c>
      <c r="I746" s="53">
        <v>0</v>
      </c>
      <c r="J746" s="53">
        <v>0</v>
      </c>
      <c r="K746" s="55"/>
      <c r="L746" s="55">
        <f t="shared" si="45"/>
        <v>0</v>
      </c>
      <c r="M746" s="55">
        <v>0</v>
      </c>
      <c r="N746" s="101">
        <f t="shared" si="44"/>
        <v>0</v>
      </c>
      <c r="O746" s="57" t="s">
        <v>162</v>
      </c>
    </row>
    <row r="747" spans="1:15" hidden="1" x14ac:dyDescent="0.25">
      <c r="A747" s="224"/>
      <c r="B747" s="96">
        <v>44924</v>
      </c>
      <c r="C747" s="52" t="s">
        <v>50</v>
      </c>
      <c r="D747" s="53" t="s">
        <v>38</v>
      </c>
      <c r="E747" s="53"/>
      <c r="F747" s="54"/>
      <c r="G747" s="53"/>
      <c r="H747" s="53">
        <v>0</v>
      </c>
      <c r="I747" s="53">
        <v>0</v>
      </c>
      <c r="J747" s="53">
        <v>0</v>
      </c>
      <c r="K747" s="55"/>
      <c r="L747" s="55">
        <f t="shared" si="45"/>
        <v>0</v>
      </c>
      <c r="M747" s="55">
        <v>0</v>
      </c>
      <c r="N747" s="101">
        <f t="shared" si="44"/>
        <v>0</v>
      </c>
      <c r="O747" s="57" t="s">
        <v>162</v>
      </c>
    </row>
    <row r="748" spans="1:15" hidden="1" x14ac:dyDescent="0.25">
      <c r="A748" s="224"/>
      <c r="B748" s="96">
        <v>44925</v>
      </c>
      <c r="C748" s="52" t="s">
        <v>53</v>
      </c>
      <c r="D748" s="53" t="s">
        <v>38</v>
      </c>
      <c r="E748" s="53"/>
      <c r="F748" s="54"/>
      <c r="G748" s="53"/>
      <c r="H748" s="53">
        <v>0</v>
      </c>
      <c r="I748" s="53">
        <v>0</v>
      </c>
      <c r="J748" s="53">
        <v>0</v>
      </c>
      <c r="K748" s="55"/>
      <c r="L748" s="55">
        <f t="shared" si="45"/>
        <v>0</v>
      </c>
      <c r="M748" s="55">
        <v>0</v>
      </c>
      <c r="N748" s="101">
        <f t="shared" si="44"/>
        <v>0</v>
      </c>
      <c r="O748" s="57" t="s">
        <v>162</v>
      </c>
    </row>
    <row r="749" spans="1:15" hidden="1" x14ac:dyDescent="0.25">
      <c r="A749" s="224"/>
      <c r="B749" s="97">
        <v>44926</v>
      </c>
      <c r="C749" s="58" t="s">
        <v>57</v>
      </c>
      <c r="D749" s="60" t="s">
        <v>38</v>
      </c>
      <c r="E749" s="60"/>
      <c r="F749" s="61"/>
      <c r="G749" s="60"/>
      <c r="H749" s="60">
        <v>0</v>
      </c>
      <c r="I749" s="60">
        <v>0</v>
      </c>
      <c r="J749" s="60">
        <v>0</v>
      </c>
      <c r="K749" s="62"/>
      <c r="L749" s="62">
        <f t="shared" si="45"/>
        <v>0</v>
      </c>
      <c r="M749" s="62">
        <v>0</v>
      </c>
      <c r="N749" s="102">
        <f t="shared" si="44"/>
        <v>0</v>
      </c>
      <c r="O749" s="64" t="s">
        <v>162</v>
      </c>
    </row>
    <row r="750" spans="1:15" ht="15.75" hidden="1" thickBot="1" x14ac:dyDescent="0.3">
      <c r="A750" s="225"/>
      <c r="B750" s="98">
        <v>44927</v>
      </c>
      <c r="C750" s="66" t="s">
        <v>59</v>
      </c>
      <c r="D750" s="67" t="s">
        <v>38</v>
      </c>
      <c r="E750" s="67"/>
      <c r="F750" s="68"/>
      <c r="G750" s="67"/>
      <c r="H750" s="67">
        <v>0</v>
      </c>
      <c r="I750" s="67">
        <v>0</v>
      </c>
      <c r="J750" s="67">
        <v>0</v>
      </c>
      <c r="K750" s="69"/>
      <c r="L750" s="69">
        <f t="shared" si="45"/>
        <v>0</v>
      </c>
      <c r="M750" s="69">
        <v>0</v>
      </c>
      <c r="N750" s="103">
        <f t="shared" si="44"/>
        <v>0</v>
      </c>
      <c r="O750" s="71" t="s">
        <v>162</v>
      </c>
    </row>
    <row r="751" spans="1:15" hidden="1" x14ac:dyDescent="0.25">
      <c r="A751" s="223">
        <f>_xlfn.ISOWEEKNUM(B751)</f>
        <v>1</v>
      </c>
      <c r="B751" s="96">
        <v>44928</v>
      </c>
      <c r="C751" s="72" t="s">
        <v>37</v>
      </c>
      <c r="D751" s="41" t="s">
        <v>38</v>
      </c>
      <c r="E751" s="41"/>
      <c r="F751" s="43"/>
      <c r="G751" s="41"/>
      <c r="H751" s="41">
        <v>0</v>
      </c>
      <c r="I751" s="41">
        <v>0</v>
      </c>
      <c r="J751" s="41">
        <v>0</v>
      </c>
      <c r="K751" s="73"/>
      <c r="L751" s="73">
        <f t="shared" si="45"/>
        <v>0</v>
      </c>
      <c r="M751" s="73">
        <v>0</v>
      </c>
      <c r="N751" s="105">
        <f t="shared" si="44"/>
        <v>0</v>
      </c>
      <c r="O751" s="46" t="s">
        <v>162</v>
      </c>
    </row>
    <row r="752" spans="1:15" hidden="1" x14ac:dyDescent="0.25">
      <c r="A752" s="224"/>
      <c r="B752" s="96">
        <v>44929</v>
      </c>
      <c r="C752" s="52" t="s">
        <v>42</v>
      </c>
      <c r="D752" s="53" t="s">
        <v>38</v>
      </c>
      <c r="E752" s="53"/>
      <c r="F752" s="54"/>
      <c r="G752" s="53"/>
      <c r="H752" s="53">
        <v>0</v>
      </c>
      <c r="I752" s="53">
        <v>0</v>
      </c>
      <c r="J752" s="53">
        <v>0</v>
      </c>
      <c r="K752" s="55"/>
      <c r="L752" s="55">
        <f t="shared" si="45"/>
        <v>0</v>
      </c>
      <c r="M752" s="55">
        <v>0</v>
      </c>
      <c r="N752" s="101">
        <f t="shared" si="44"/>
        <v>0</v>
      </c>
      <c r="O752" s="57" t="s">
        <v>162</v>
      </c>
    </row>
    <row r="753" spans="1:15" hidden="1" x14ac:dyDescent="0.25">
      <c r="A753" s="224"/>
      <c r="B753" s="96">
        <v>44930</v>
      </c>
      <c r="C753" s="52" t="s">
        <v>46</v>
      </c>
      <c r="D753" s="53" t="s">
        <v>38</v>
      </c>
      <c r="E753" s="53"/>
      <c r="F753" s="54"/>
      <c r="G753" s="53"/>
      <c r="H753" s="53">
        <v>0</v>
      </c>
      <c r="I753" s="53">
        <v>0</v>
      </c>
      <c r="J753" s="53">
        <v>0</v>
      </c>
      <c r="K753" s="55"/>
      <c r="L753" s="55">
        <f t="shared" si="45"/>
        <v>0</v>
      </c>
      <c r="M753" s="55">
        <v>0</v>
      </c>
      <c r="N753" s="101">
        <f t="shared" si="44"/>
        <v>0</v>
      </c>
      <c r="O753" s="57" t="s">
        <v>162</v>
      </c>
    </row>
    <row r="754" spans="1:15" hidden="1" x14ac:dyDescent="0.25">
      <c r="A754" s="224"/>
      <c r="B754" s="96">
        <v>44931</v>
      </c>
      <c r="C754" s="52" t="s">
        <v>50</v>
      </c>
      <c r="D754" s="53" t="s">
        <v>38</v>
      </c>
      <c r="E754" s="53"/>
      <c r="F754" s="54"/>
      <c r="G754" s="53"/>
      <c r="H754" s="53">
        <v>0</v>
      </c>
      <c r="I754" s="53">
        <v>0</v>
      </c>
      <c r="J754" s="53">
        <v>0</v>
      </c>
      <c r="K754" s="55"/>
      <c r="L754" s="55">
        <f t="shared" si="45"/>
        <v>0</v>
      </c>
      <c r="M754" s="55">
        <v>0</v>
      </c>
      <c r="N754" s="101">
        <f t="shared" si="44"/>
        <v>0</v>
      </c>
      <c r="O754" s="57" t="s">
        <v>162</v>
      </c>
    </row>
    <row r="755" spans="1:15" hidden="1" x14ac:dyDescent="0.25">
      <c r="A755" s="224"/>
      <c r="B755" s="96">
        <v>44932</v>
      </c>
      <c r="C755" s="52" t="s">
        <v>53</v>
      </c>
      <c r="D755" s="53" t="s">
        <v>38</v>
      </c>
      <c r="E755" s="53"/>
      <c r="F755" s="54"/>
      <c r="G755" s="53"/>
      <c r="H755" s="53">
        <v>0</v>
      </c>
      <c r="I755" s="53">
        <v>0</v>
      </c>
      <c r="J755" s="53">
        <v>0</v>
      </c>
      <c r="K755" s="55"/>
      <c r="L755" s="55">
        <f t="shared" si="45"/>
        <v>0</v>
      </c>
      <c r="M755" s="55">
        <v>0</v>
      </c>
      <c r="N755" s="101">
        <f t="shared" si="44"/>
        <v>0</v>
      </c>
      <c r="O755" s="57" t="s">
        <v>162</v>
      </c>
    </row>
    <row r="756" spans="1:15" hidden="1" x14ac:dyDescent="0.25">
      <c r="A756" s="224"/>
      <c r="B756" s="97">
        <v>44933</v>
      </c>
      <c r="C756" s="58" t="s">
        <v>57</v>
      </c>
      <c r="D756" s="60" t="s">
        <v>38</v>
      </c>
      <c r="E756" s="60"/>
      <c r="F756" s="61"/>
      <c r="G756" s="60"/>
      <c r="H756" s="60">
        <v>0</v>
      </c>
      <c r="I756" s="60">
        <v>0</v>
      </c>
      <c r="J756" s="60">
        <v>0</v>
      </c>
      <c r="K756" s="62"/>
      <c r="L756" s="62">
        <f t="shared" si="45"/>
        <v>0</v>
      </c>
      <c r="M756" s="62">
        <v>0</v>
      </c>
      <c r="N756" s="102">
        <f t="shared" si="44"/>
        <v>0</v>
      </c>
      <c r="O756" s="64" t="s">
        <v>162</v>
      </c>
    </row>
    <row r="757" spans="1:15" ht="15.75" hidden="1" thickBot="1" x14ac:dyDescent="0.3">
      <c r="A757" s="225"/>
      <c r="B757" s="98">
        <v>44934</v>
      </c>
      <c r="C757" s="66" t="s">
        <v>59</v>
      </c>
      <c r="D757" s="67" t="s">
        <v>38</v>
      </c>
      <c r="E757" s="67"/>
      <c r="F757" s="68"/>
      <c r="G757" s="67"/>
      <c r="H757" s="67">
        <v>0</v>
      </c>
      <c r="I757" s="67">
        <v>0</v>
      </c>
      <c r="J757" s="67">
        <v>0</v>
      </c>
      <c r="K757" s="69"/>
      <c r="L757" s="69">
        <f t="shared" si="45"/>
        <v>0</v>
      </c>
      <c r="M757" s="69">
        <v>0</v>
      </c>
      <c r="N757" s="103">
        <f t="shared" si="44"/>
        <v>0</v>
      </c>
      <c r="O757" s="71" t="s">
        <v>162</v>
      </c>
    </row>
    <row r="758" spans="1:15" hidden="1" x14ac:dyDescent="0.25">
      <c r="A758" s="223">
        <f>_xlfn.ISOWEEKNUM(B758)</f>
        <v>2</v>
      </c>
      <c r="B758" s="96">
        <v>44935</v>
      </c>
      <c r="C758" s="72" t="s">
        <v>37</v>
      </c>
      <c r="D758" s="41" t="s">
        <v>38</v>
      </c>
      <c r="E758" s="41"/>
      <c r="F758" s="43"/>
      <c r="G758" s="41"/>
      <c r="H758" s="41">
        <v>0</v>
      </c>
      <c r="I758" s="41">
        <v>0</v>
      </c>
      <c r="J758" s="41">
        <v>0</v>
      </c>
      <c r="K758" s="73"/>
      <c r="L758" s="73">
        <f t="shared" si="45"/>
        <v>0</v>
      </c>
      <c r="M758" s="73">
        <v>0</v>
      </c>
      <c r="N758" s="105">
        <f t="shared" si="44"/>
        <v>0</v>
      </c>
      <c r="O758" s="46" t="s">
        <v>162</v>
      </c>
    </row>
    <row r="759" spans="1:15" hidden="1" x14ac:dyDescent="0.25">
      <c r="A759" s="224"/>
      <c r="B759" s="96">
        <v>44936</v>
      </c>
      <c r="C759" s="52" t="s">
        <v>42</v>
      </c>
      <c r="D759" s="53" t="s">
        <v>38</v>
      </c>
      <c r="E759" s="53"/>
      <c r="F759" s="54"/>
      <c r="G759" s="53"/>
      <c r="H759" s="53">
        <v>0</v>
      </c>
      <c r="I759" s="53">
        <v>0</v>
      </c>
      <c r="J759" s="53">
        <v>0</v>
      </c>
      <c r="K759" s="55"/>
      <c r="L759" s="55">
        <f t="shared" si="45"/>
        <v>0</v>
      </c>
      <c r="M759" s="55">
        <v>0</v>
      </c>
      <c r="N759" s="101">
        <f t="shared" si="44"/>
        <v>0</v>
      </c>
      <c r="O759" s="57" t="s">
        <v>162</v>
      </c>
    </row>
    <row r="760" spans="1:15" hidden="1" x14ac:dyDescent="0.25">
      <c r="A760" s="224"/>
      <c r="B760" s="96">
        <v>44937</v>
      </c>
      <c r="C760" s="52" t="s">
        <v>46</v>
      </c>
      <c r="D760" s="53" t="s">
        <v>38</v>
      </c>
      <c r="E760" s="53"/>
      <c r="F760" s="54"/>
      <c r="G760" s="53"/>
      <c r="H760" s="53">
        <v>0</v>
      </c>
      <c r="I760" s="53">
        <v>0</v>
      </c>
      <c r="J760" s="53">
        <v>0</v>
      </c>
      <c r="K760" s="55"/>
      <c r="L760" s="55">
        <f t="shared" si="45"/>
        <v>0</v>
      </c>
      <c r="M760" s="55">
        <v>0</v>
      </c>
      <c r="N760" s="101">
        <f t="shared" si="44"/>
        <v>0</v>
      </c>
      <c r="O760" s="57" t="s">
        <v>162</v>
      </c>
    </row>
    <row r="761" spans="1:15" hidden="1" x14ac:dyDescent="0.25">
      <c r="A761" s="224"/>
      <c r="B761" s="96">
        <v>44938</v>
      </c>
      <c r="C761" s="52" t="s">
        <v>50</v>
      </c>
      <c r="D761" s="53" t="s">
        <v>38</v>
      </c>
      <c r="E761" s="53"/>
      <c r="F761" s="54"/>
      <c r="G761" s="53"/>
      <c r="H761" s="53">
        <v>0</v>
      </c>
      <c r="I761" s="53">
        <v>0</v>
      </c>
      <c r="J761" s="53">
        <v>0</v>
      </c>
      <c r="K761" s="55"/>
      <c r="L761" s="55">
        <f t="shared" si="45"/>
        <v>0</v>
      </c>
      <c r="M761" s="55">
        <v>0</v>
      </c>
      <c r="N761" s="101">
        <f t="shared" si="44"/>
        <v>0</v>
      </c>
      <c r="O761" s="57" t="s">
        <v>162</v>
      </c>
    </row>
    <row r="762" spans="1:15" hidden="1" x14ac:dyDescent="0.25">
      <c r="A762" s="224"/>
      <c r="B762" s="96">
        <v>44939</v>
      </c>
      <c r="C762" s="52" t="s">
        <v>53</v>
      </c>
      <c r="D762" s="53" t="s">
        <v>38</v>
      </c>
      <c r="E762" s="53"/>
      <c r="F762" s="54"/>
      <c r="G762" s="53"/>
      <c r="H762" s="53">
        <v>0</v>
      </c>
      <c r="I762" s="53">
        <v>0</v>
      </c>
      <c r="J762" s="53">
        <v>0</v>
      </c>
      <c r="K762" s="55"/>
      <c r="L762" s="55">
        <f t="shared" si="45"/>
        <v>0</v>
      </c>
      <c r="M762" s="55">
        <v>0</v>
      </c>
      <c r="N762" s="101">
        <f t="shared" si="44"/>
        <v>0</v>
      </c>
      <c r="O762" s="57" t="s">
        <v>162</v>
      </c>
    </row>
    <row r="763" spans="1:15" hidden="1" x14ac:dyDescent="0.25">
      <c r="A763" s="224"/>
      <c r="B763" s="97">
        <v>44940</v>
      </c>
      <c r="C763" s="58" t="s">
        <v>57</v>
      </c>
      <c r="D763" s="60" t="s">
        <v>38</v>
      </c>
      <c r="E763" s="60"/>
      <c r="F763" s="61"/>
      <c r="G763" s="60"/>
      <c r="H763" s="60">
        <v>0</v>
      </c>
      <c r="I763" s="60">
        <v>0</v>
      </c>
      <c r="J763" s="60">
        <v>0</v>
      </c>
      <c r="K763" s="62"/>
      <c r="L763" s="62">
        <f t="shared" si="45"/>
        <v>0</v>
      </c>
      <c r="M763" s="62">
        <v>0</v>
      </c>
      <c r="N763" s="102">
        <f t="shared" si="44"/>
        <v>0</v>
      </c>
      <c r="O763" s="64" t="s">
        <v>162</v>
      </c>
    </row>
    <row r="764" spans="1:15" ht="15.75" hidden="1" thickBot="1" x14ac:dyDescent="0.3">
      <c r="A764" s="225"/>
      <c r="B764" s="98">
        <v>44941</v>
      </c>
      <c r="C764" s="66" t="s">
        <v>59</v>
      </c>
      <c r="D764" s="67" t="s">
        <v>38</v>
      </c>
      <c r="E764" s="67"/>
      <c r="F764" s="68"/>
      <c r="G764" s="67"/>
      <c r="H764" s="67">
        <v>0</v>
      </c>
      <c r="I764" s="67">
        <v>0</v>
      </c>
      <c r="J764" s="67">
        <v>0</v>
      </c>
      <c r="K764" s="69"/>
      <c r="L764" s="69">
        <f t="shared" si="45"/>
        <v>0</v>
      </c>
      <c r="M764" s="69">
        <v>0</v>
      </c>
      <c r="N764" s="103">
        <f t="shared" si="44"/>
        <v>0</v>
      </c>
      <c r="O764" s="71" t="s">
        <v>162</v>
      </c>
    </row>
    <row r="765" spans="1:15" hidden="1" x14ac:dyDescent="0.25">
      <c r="A765" s="223">
        <f>_xlfn.ISOWEEKNUM(B765)</f>
        <v>3</v>
      </c>
      <c r="B765" s="96">
        <v>44942</v>
      </c>
      <c r="C765" s="72" t="s">
        <v>37</v>
      </c>
      <c r="D765" s="41" t="s">
        <v>38</v>
      </c>
      <c r="E765" s="41"/>
      <c r="F765" s="43"/>
      <c r="G765" s="41"/>
      <c r="H765" s="41">
        <v>0</v>
      </c>
      <c r="I765" s="41">
        <v>0</v>
      </c>
      <c r="J765" s="41">
        <v>0</v>
      </c>
      <c r="K765" s="73"/>
      <c r="L765" s="73">
        <f t="shared" si="45"/>
        <v>0</v>
      </c>
      <c r="M765" s="73">
        <v>0</v>
      </c>
      <c r="N765" s="105">
        <f t="shared" si="44"/>
        <v>0</v>
      </c>
      <c r="O765" s="46" t="s">
        <v>162</v>
      </c>
    </row>
    <row r="766" spans="1:15" hidden="1" x14ac:dyDescent="0.25">
      <c r="A766" s="224"/>
      <c r="B766" s="96">
        <v>44943</v>
      </c>
      <c r="C766" s="52" t="s">
        <v>42</v>
      </c>
      <c r="D766" s="53" t="s">
        <v>38</v>
      </c>
      <c r="E766" s="53"/>
      <c r="F766" s="54"/>
      <c r="G766" s="53"/>
      <c r="H766" s="53">
        <v>0</v>
      </c>
      <c r="I766" s="53">
        <v>0</v>
      </c>
      <c r="J766" s="53">
        <v>0</v>
      </c>
      <c r="K766" s="55"/>
      <c r="L766" s="55">
        <f t="shared" si="45"/>
        <v>0</v>
      </c>
      <c r="M766" s="55">
        <v>0</v>
      </c>
      <c r="N766" s="101">
        <f t="shared" si="44"/>
        <v>0</v>
      </c>
      <c r="O766" s="57" t="s">
        <v>162</v>
      </c>
    </row>
    <row r="767" spans="1:15" hidden="1" x14ac:dyDescent="0.25">
      <c r="A767" s="224"/>
      <c r="B767" s="96">
        <v>44944</v>
      </c>
      <c r="C767" s="52" t="s">
        <v>46</v>
      </c>
      <c r="D767" s="53" t="s">
        <v>38</v>
      </c>
      <c r="E767" s="53"/>
      <c r="F767" s="54"/>
      <c r="G767" s="53"/>
      <c r="H767" s="53">
        <v>0</v>
      </c>
      <c r="I767" s="53">
        <v>0</v>
      </c>
      <c r="J767" s="53">
        <v>0</v>
      </c>
      <c r="K767" s="55"/>
      <c r="L767" s="55">
        <f t="shared" si="45"/>
        <v>0</v>
      </c>
      <c r="M767" s="55">
        <v>0</v>
      </c>
      <c r="N767" s="101">
        <f t="shared" si="44"/>
        <v>0</v>
      </c>
      <c r="O767" s="57" t="s">
        <v>162</v>
      </c>
    </row>
    <row r="768" spans="1:15" hidden="1" x14ac:dyDescent="0.25">
      <c r="A768" s="224"/>
      <c r="B768" s="96">
        <v>44945</v>
      </c>
      <c r="C768" s="52" t="s">
        <v>50</v>
      </c>
      <c r="D768" s="53" t="s">
        <v>38</v>
      </c>
      <c r="E768" s="53"/>
      <c r="F768" s="54"/>
      <c r="G768" s="53"/>
      <c r="H768" s="53">
        <v>0</v>
      </c>
      <c r="I768" s="53">
        <v>0</v>
      </c>
      <c r="J768" s="53">
        <v>0</v>
      </c>
      <c r="K768" s="55"/>
      <c r="L768" s="55">
        <f t="shared" si="45"/>
        <v>0</v>
      </c>
      <c r="M768" s="55">
        <v>0</v>
      </c>
      <c r="N768" s="101">
        <f t="shared" si="44"/>
        <v>0</v>
      </c>
      <c r="O768" s="57" t="s">
        <v>162</v>
      </c>
    </row>
    <row r="769" spans="1:15" hidden="1" x14ac:dyDescent="0.25">
      <c r="A769" s="224"/>
      <c r="B769" s="96">
        <v>44946</v>
      </c>
      <c r="C769" s="52" t="s">
        <v>53</v>
      </c>
      <c r="D769" s="53" t="s">
        <v>38</v>
      </c>
      <c r="E769" s="53"/>
      <c r="F769" s="54"/>
      <c r="G769" s="53"/>
      <c r="H769" s="53">
        <v>0</v>
      </c>
      <c r="I769" s="53">
        <v>0</v>
      </c>
      <c r="J769" s="53">
        <v>0</v>
      </c>
      <c r="K769" s="55"/>
      <c r="L769" s="55">
        <f t="shared" si="45"/>
        <v>0</v>
      </c>
      <c r="M769" s="55">
        <v>0</v>
      </c>
      <c r="N769" s="101">
        <f t="shared" si="44"/>
        <v>0</v>
      </c>
      <c r="O769" s="57" t="s">
        <v>162</v>
      </c>
    </row>
    <row r="770" spans="1:15" hidden="1" x14ac:dyDescent="0.25">
      <c r="A770" s="224"/>
      <c r="B770" s="97">
        <v>44947</v>
      </c>
      <c r="C770" s="58" t="s">
        <v>57</v>
      </c>
      <c r="D770" s="60" t="s">
        <v>38</v>
      </c>
      <c r="E770" s="60"/>
      <c r="F770" s="61"/>
      <c r="G770" s="60"/>
      <c r="H770" s="60">
        <v>0</v>
      </c>
      <c r="I770" s="60">
        <v>0</v>
      </c>
      <c r="J770" s="60">
        <v>0</v>
      </c>
      <c r="K770" s="62"/>
      <c r="L770" s="62">
        <f t="shared" si="45"/>
        <v>0</v>
      </c>
      <c r="M770" s="62">
        <v>0</v>
      </c>
      <c r="N770" s="102">
        <f t="shared" si="44"/>
        <v>0</v>
      </c>
      <c r="O770" s="64" t="s">
        <v>162</v>
      </c>
    </row>
    <row r="771" spans="1:15" ht="15.75" hidden="1" thickBot="1" x14ac:dyDescent="0.3">
      <c r="A771" s="225"/>
      <c r="B771" s="98">
        <v>44948</v>
      </c>
      <c r="C771" s="66" t="s">
        <v>59</v>
      </c>
      <c r="D771" s="67" t="s">
        <v>38</v>
      </c>
      <c r="E771" s="67"/>
      <c r="F771" s="68"/>
      <c r="G771" s="67"/>
      <c r="H771" s="67">
        <v>0</v>
      </c>
      <c r="I771" s="67">
        <v>0</v>
      </c>
      <c r="J771" s="67">
        <v>0</v>
      </c>
      <c r="K771" s="69"/>
      <c r="L771" s="69">
        <f t="shared" si="45"/>
        <v>0</v>
      </c>
      <c r="M771" s="69">
        <v>0</v>
      </c>
      <c r="N771" s="103">
        <f t="shared" si="44"/>
        <v>0</v>
      </c>
      <c r="O771" s="71" t="s">
        <v>162</v>
      </c>
    </row>
    <row r="772" spans="1:15" hidden="1" x14ac:dyDescent="0.25">
      <c r="A772" s="223">
        <f>_xlfn.ISOWEEKNUM(B772)</f>
        <v>4</v>
      </c>
      <c r="B772" s="96">
        <v>44949</v>
      </c>
      <c r="C772" s="72" t="s">
        <v>37</v>
      </c>
      <c r="D772" s="41" t="s">
        <v>38</v>
      </c>
      <c r="E772" s="41"/>
      <c r="F772" s="43"/>
      <c r="G772" s="41"/>
      <c r="H772" s="41">
        <v>0</v>
      </c>
      <c r="I772" s="41">
        <v>0</v>
      </c>
      <c r="J772" s="41">
        <v>0</v>
      </c>
      <c r="K772" s="73"/>
      <c r="L772" s="73">
        <f t="shared" si="45"/>
        <v>0</v>
      </c>
      <c r="M772" s="73">
        <v>0</v>
      </c>
      <c r="N772" s="105">
        <f t="shared" si="44"/>
        <v>0</v>
      </c>
      <c r="O772" s="46" t="s">
        <v>162</v>
      </c>
    </row>
    <row r="773" spans="1:15" hidden="1" x14ac:dyDescent="0.25">
      <c r="A773" s="224"/>
      <c r="B773" s="96">
        <v>44950</v>
      </c>
      <c r="C773" s="52" t="s">
        <v>42</v>
      </c>
      <c r="D773" s="53" t="s">
        <v>38</v>
      </c>
      <c r="E773" s="53"/>
      <c r="F773" s="54"/>
      <c r="G773" s="53"/>
      <c r="H773" s="53">
        <v>0</v>
      </c>
      <c r="I773" s="53">
        <v>0</v>
      </c>
      <c r="J773" s="53">
        <v>0</v>
      </c>
      <c r="K773" s="55"/>
      <c r="L773" s="55">
        <f t="shared" si="45"/>
        <v>0</v>
      </c>
      <c r="M773" s="55">
        <v>0</v>
      </c>
      <c r="N773" s="101">
        <f t="shared" si="44"/>
        <v>0</v>
      </c>
      <c r="O773" s="57" t="s">
        <v>162</v>
      </c>
    </row>
    <row r="774" spans="1:15" hidden="1" x14ac:dyDescent="0.25">
      <c r="A774" s="224"/>
      <c r="B774" s="96">
        <v>44951</v>
      </c>
      <c r="C774" s="52" t="s">
        <v>46</v>
      </c>
      <c r="D774" s="53" t="s">
        <v>38</v>
      </c>
      <c r="E774" s="53"/>
      <c r="F774" s="54"/>
      <c r="G774" s="53"/>
      <c r="H774" s="53">
        <v>0</v>
      </c>
      <c r="I774" s="53">
        <v>0</v>
      </c>
      <c r="J774" s="53">
        <v>0</v>
      </c>
      <c r="K774" s="55"/>
      <c r="L774" s="55">
        <f t="shared" si="45"/>
        <v>0</v>
      </c>
      <c r="M774" s="55">
        <v>0</v>
      </c>
      <c r="N774" s="101">
        <f t="shared" si="44"/>
        <v>0</v>
      </c>
      <c r="O774" s="57" t="s">
        <v>162</v>
      </c>
    </row>
    <row r="775" spans="1:15" hidden="1" x14ac:dyDescent="0.25">
      <c r="A775" s="224"/>
      <c r="B775" s="96">
        <v>44952</v>
      </c>
      <c r="C775" s="52" t="s">
        <v>50</v>
      </c>
      <c r="D775" s="53" t="s">
        <v>38</v>
      </c>
      <c r="E775" s="53"/>
      <c r="F775" s="54"/>
      <c r="G775" s="53"/>
      <c r="H775" s="53">
        <v>0</v>
      </c>
      <c r="I775" s="53">
        <v>0</v>
      </c>
      <c r="J775" s="53">
        <v>0</v>
      </c>
      <c r="K775" s="55"/>
      <c r="L775" s="55">
        <f t="shared" si="45"/>
        <v>0</v>
      </c>
      <c r="M775" s="55">
        <v>0</v>
      </c>
      <c r="N775" s="101">
        <f t="shared" si="44"/>
        <v>0</v>
      </c>
      <c r="O775" s="57" t="s">
        <v>162</v>
      </c>
    </row>
    <row r="776" spans="1:15" hidden="1" x14ac:dyDescent="0.25">
      <c r="A776" s="224"/>
      <c r="B776" s="96">
        <v>44953</v>
      </c>
      <c r="C776" s="52" t="s">
        <v>53</v>
      </c>
      <c r="D776" s="53" t="s">
        <v>38</v>
      </c>
      <c r="E776" s="53"/>
      <c r="F776" s="54"/>
      <c r="G776" s="53"/>
      <c r="H776" s="53">
        <v>0</v>
      </c>
      <c r="I776" s="53">
        <v>0</v>
      </c>
      <c r="J776" s="53">
        <v>0</v>
      </c>
      <c r="K776" s="55"/>
      <c r="L776" s="55">
        <f t="shared" si="45"/>
        <v>0</v>
      </c>
      <c r="M776" s="55">
        <v>0</v>
      </c>
      <c r="N776" s="101">
        <f t="shared" si="44"/>
        <v>0</v>
      </c>
      <c r="O776" s="57" t="s">
        <v>162</v>
      </c>
    </row>
    <row r="777" spans="1:15" hidden="1" x14ac:dyDescent="0.25">
      <c r="A777" s="224"/>
      <c r="B777" s="97">
        <v>44954</v>
      </c>
      <c r="C777" s="58" t="s">
        <v>57</v>
      </c>
      <c r="D777" s="60" t="s">
        <v>38</v>
      </c>
      <c r="E777" s="60"/>
      <c r="F777" s="61"/>
      <c r="G777" s="60"/>
      <c r="H777" s="60">
        <v>0</v>
      </c>
      <c r="I777" s="60">
        <v>0</v>
      </c>
      <c r="J777" s="60">
        <v>0</v>
      </c>
      <c r="K777" s="62"/>
      <c r="L777" s="62">
        <f t="shared" si="45"/>
        <v>0</v>
      </c>
      <c r="M777" s="62">
        <v>0</v>
      </c>
      <c r="N777" s="102">
        <f t="shared" si="44"/>
        <v>0</v>
      </c>
      <c r="O777" s="64" t="s">
        <v>162</v>
      </c>
    </row>
    <row r="778" spans="1:15" ht="15.75" hidden="1" thickBot="1" x14ac:dyDescent="0.3">
      <c r="A778" s="225"/>
      <c r="B778" s="98">
        <v>44955</v>
      </c>
      <c r="C778" s="66" t="s">
        <v>59</v>
      </c>
      <c r="D778" s="67" t="s">
        <v>38</v>
      </c>
      <c r="E778" s="67"/>
      <c r="F778" s="68"/>
      <c r="G778" s="67"/>
      <c r="H778" s="67">
        <v>0</v>
      </c>
      <c r="I778" s="67">
        <v>0</v>
      </c>
      <c r="J778" s="67">
        <v>0</v>
      </c>
      <c r="K778" s="69"/>
      <c r="L778" s="69">
        <f t="shared" si="45"/>
        <v>0</v>
      </c>
      <c r="M778" s="69">
        <v>0</v>
      </c>
      <c r="N778" s="103">
        <f t="shared" si="44"/>
        <v>0</v>
      </c>
      <c r="O778" s="71" t="s">
        <v>162</v>
      </c>
    </row>
    <row r="779" spans="1:15" hidden="1" x14ac:dyDescent="0.25">
      <c r="A779" s="223">
        <f>_xlfn.ISOWEEKNUM(B779)</f>
        <v>5</v>
      </c>
      <c r="B779" s="96">
        <v>44956</v>
      </c>
      <c r="C779" s="72" t="s">
        <v>37</v>
      </c>
      <c r="D779" s="41" t="s">
        <v>38</v>
      </c>
      <c r="E779" s="41"/>
      <c r="F779" s="43"/>
      <c r="G779" s="41"/>
      <c r="H779" s="41">
        <v>0</v>
      </c>
      <c r="I779" s="41">
        <v>0</v>
      </c>
      <c r="J779" s="41">
        <v>0</v>
      </c>
      <c r="K779" s="73"/>
      <c r="L779" s="73">
        <f t="shared" si="45"/>
        <v>0</v>
      </c>
      <c r="M779" s="73">
        <v>0</v>
      </c>
      <c r="N779" s="105">
        <f t="shared" si="44"/>
        <v>0</v>
      </c>
      <c r="O779" s="46" t="s">
        <v>162</v>
      </c>
    </row>
    <row r="780" spans="1:15" hidden="1" x14ac:dyDescent="0.25">
      <c r="A780" s="224"/>
      <c r="B780" s="96">
        <v>44957</v>
      </c>
      <c r="C780" s="52" t="s">
        <v>42</v>
      </c>
      <c r="D780" s="53" t="s">
        <v>38</v>
      </c>
      <c r="E780" s="53"/>
      <c r="F780" s="54"/>
      <c r="G780" s="53"/>
      <c r="H780" s="53">
        <v>0</v>
      </c>
      <c r="I780" s="53">
        <v>0</v>
      </c>
      <c r="J780" s="53">
        <v>0</v>
      </c>
      <c r="K780" s="55"/>
      <c r="L780" s="55">
        <f t="shared" si="45"/>
        <v>0</v>
      </c>
      <c r="M780" s="55">
        <v>0</v>
      </c>
      <c r="N780" s="101">
        <f t="shared" si="44"/>
        <v>0</v>
      </c>
      <c r="O780" s="57" t="s">
        <v>162</v>
      </c>
    </row>
    <row r="781" spans="1:15" hidden="1" x14ac:dyDescent="0.25">
      <c r="A781" s="224"/>
      <c r="B781" s="96">
        <v>44958</v>
      </c>
      <c r="C781" s="52" t="s">
        <v>46</v>
      </c>
      <c r="D781" s="53" t="s">
        <v>38</v>
      </c>
      <c r="E781" s="53"/>
      <c r="F781" s="54"/>
      <c r="G781" s="53"/>
      <c r="H781" s="53">
        <v>0</v>
      </c>
      <c r="I781" s="53">
        <v>0</v>
      </c>
      <c r="J781" s="53">
        <v>0</v>
      </c>
      <c r="K781" s="55"/>
      <c r="L781" s="55">
        <f t="shared" si="45"/>
        <v>0</v>
      </c>
      <c r="M781" s="55">
        <v>0</v>
      </c>
      <c r="N781" s="101">
        <f t="shared" si="44"/>
        <v>0</v>
      </c>
      <c r="O781" s="57" t="s">
        <v>162</v>
      </c>
    </row>
    <row r="782" spans="1:15" hidden="1" x14ac:dyDescent="0.25">
      <c r="A782" s="224"/>
      <c r="B782" s="96">
        <v>44959</v>
      </c>
      <c r="C782" s="52" t="s">
        <v>50</v>
      </c>
      <c r="D782" s="53" t="s">
        <v>38</v>
      </c>
      <c r="E782" s="53"/>
      <c r="F782" s="54"/>
      <c r="G782" s="53"/>
      <c r="H782" s="53">
        <v>0</v>
      </c>
      <c r="I782" s="53">
        <v>0</v>
      </c>
      <c r="J782" s="53">
        <v>0</v>
      </c>
      <c r="K782" s="55"/>
      <c r="L782" s="55">
        <f t="shared" si="45"/>
        <v>0</v>
      </c>
      <c r="M782" s="55">
        <v>0</v>
      </c>
      <c r="N782" s="101">
        <f t="shared" si="44"/>
        <v>0</v>
      </c>
      <c r="O782" s="57" t="s">
        <v>162</v>
      </c>
    </row>
    <row r="783" spans="1:15" hidden="1" x14ac:dyDescent="0.25">
      <c r="A783" s="224"/>
      <c r="B783" s="96">
        <v>44960</v>
      </c>
      <c r="C783" s="52" t="s">
        <v>53</v>
      </c>
      <c r="D783" s="53" t="s">
        <v>38</v>
      </c>
      <c r="E783" s="53"/>
      <c r="F783" s="54"/>
      <c r="G783" s="53"/>
      <c r="H783" s="53">
        <v>0</v>
      </c>
      <c r="I783" s="53">
        <v>0</v>
      </c>
      <c r="J783" s="53">
        <v>0</v>
      </c>
      <c r="K783" s="55"/>
      <c r="L783" s="55">
        <f t="shared" si="45"/>
        <v>0</v>
      </c>
      <c r="M783" s="55">
        <v>0</v>
      </c>
      <c r="N783" s="101">
        <f t="shared" ref="N783:N846" si="46">L783*(1-M783)</f>
        <v>0</v>
      </c>
      <c r="O783" s="57" t="s">
        <v>162</v>
      </c>
    </row>
    <row r="784" spans="1:15" hidden="1" x14ac:dyDescent="0.25">
      <c r="A784" s="224"/>
      <c r="B784" s="97">
        <v>44961</v>
      </c>
      <c r="C784" s="58" t="s">
        <v>57</v>
      </c>
      <c r="D784" s="60" t="s">
        <v>38</v>
      </c>
      <c r="E784" s="60"/>
      <c r="F784" s="61"/>
      <c r="G784" s="60"/>
      <c r="H784" s="60">
        <v>0</v>
      </c>
      <c r="I784" s="60">
        <v>0</v>
      </c>
      <c r="J784" s="60">
        <v>0</v>
      </c>
      <c r="K784" s="62"/>
      <c r="L784" s="62">
        <f t="shared" si="45"/>
        <v>0</v>
      </c>
      <c r="M784" s="62">
        <v>0</v>
      </c>
      <c r="N784" s="102">
        <f t="shared" si="46"/>
        <v>0</v>
      </c>
      <c r="O784" s="64" t="s">
        <v>162</v>
      </c>
    </row>
    <row r="785" spans="1:15" ht="15.75" hidden="1" thickBot="1" x14ac:dyDescent="0.3">
      <c r="A785" s="225"/>
      <c r="B785" s="98">
        <v>44962</v>
      </c>
      <c r="C785" s="66" t="s">
        <v>59</v>
      </c>
      <c r="D785" s="67" t="s">
        <v>38</v>
      </c>
      <c r="E785" s="67"/>
      <c r="F785" s="68"/>
      <c r="G785" s="67"/>
      <c r="H785" s="67">
        <v>0</v>
      </c>
      <c r="I785" s="67">
        <v>0</v>
      </c>
      <c r="J785" s="67">
        <v>0</v>
      </c>
      <c r="K785" s="69"/>
      <c r="L785" s="69">
        <f t="shared" si="45"/>
        <v>0</v>
      </c>
      <c r="M785" s="69">
        <v>0</v>
      </c>
      <c r="N785" s="103">
        <f t="shared" si="46"/>
        <v>0</v>
      </c>
      <c r="O785" s="71" t="s">
        <v>162</v>
      </c>
    </row>
    <row r="786" spans="1:15" hidden="1" x14ac:dyDescent="0.25">
      <c r="A786" s="223">
        <f>_xlfn.ISOWEEKNUM(B786)</f>
        <v>6</v>
      </c>
      <c r="B786" s="96">
        <v>44963</v>
      </c>
      <c r="C786" s="72" t="s">
        <v>37</v>
      </c>
      <c r="D786" s="41" t="s">
        <v>38</v>
      </c>
      <c r="E786" s="41"/>
      <c r="F786" s="43"/>
      <c r="G786" s="41"/>
      <c r="H786" s="41">
        <v>0</v>
      </c>
      <c r="I786" s="41">
        <v>0</v>
      </c>
      <c r="J786" s="41">
        <v>0</v>
      </c>
      <c r="K786" s="73"/>
      <c r="L786" s="73">
        <f t="shared" si="45"/>
        <v>0</v>
      </c>
      <c r="M786" s="73">
        <v>0</v>
      </c>
      <c r="N786" s="105">
        <f t="shared" si="46"/>
        <v>0</v>
      </c>
      <c r="O786" s="46" t="s">
        <v>162</v>
      </c>
    </row>
    <row r="787" spans="1:15" hidden="1" x14ac:dyDescent="0.25">
      <c r="A787" s="224"/>
      <c r="B787" s="96">
        <v>44964</v>
      </c>
      <c r="C787" s="52" t="s">
        <v>42</v>
      </c>
      <c r="D787" s="53" t="s">
        <v>38</v>
      </c>
      <c r="E787" s="53"/>
      <c r="F787" s="54"/>
      <c r="G787" s="53"/>
      <c r="H787" s="53">
        <v>0</v>
      </c>
      <c r="I787" s="53">
        <v>0</v>
      </c>
      <c r="J787" s="53">
        <v>0</v>
      </c>
      <c r="K787" s="55"/>
      <c r="L787" s="55">
        <f t="shared" si="45"/>
        <v>0</v>
      </c>
      <c r="M787" s="55">
        <v>0</v>
      </c>
      <c r="N787" s="101">
        <f t="shared" si="46"/>
        <v>0</v>
      </c>
      <c r="O787" s="57" t="s">
        <v>162</v>
      </c>
    </row>
    <row r="788" spans="1:15" hidden="1" x14ac:dyDescent="0.25">
      <c r="A788" s="224"/>
      <c r="B788" s="96">
        <v>44965</v>
      </c>
      <c r="C788" s="52" t="s">
        <v>46</v>
      </c>
      <c r="D788" s="53" t="s">
        <v>38</v>
      </c>
      <c r="E788" s="53"/>
      <c r="F788" s="54"/>
      <c r="G788" s="53"/>
      <c r="H788" s="53">
        <v>0</v>
      </c>
      <c r="I788" s="53">
        <v>0</v>
      </c>
      <c r="J788" s="53">
        <v>0</v>
      </c>
      <c r="K788" s="55"/>
      <c r="L788" s="55">
        <f t="shared" si="45"/>
        <v>0</v>
      </c>
      <c r="M788" s="55">
        <v>0</v>
      </c>
      <c r="N788" s="101">
        <f t="shared" si="46"/>
        <v>0</v>
      </c>
      <c r="O788" s="57" t="s">
        <v>162</v>
      </c>
    </row>
    <row r="789" spans="1:15" hidden="1" x14ac:dyDescent="0.25">
      <c r="A789" s="224"/>
      <c r="B789" s="96">
        <v>44966</v>
      </c>
      <c r="C789" s="52" t="s">
        <v>50</v>
      </c>
      <c r="D789" s="53" t="s">
        <v>38</v>
      </c>
      <c r="E789" s="53"/>
      <c r="F789" s="54"/>
      <c r="G789" s="53"/>
      <c r="H789" s="53">
        <v>0</v>
      </c>
      <c r="I789" s="53">
        <v>0</v>
      </c>
      <c r="J789" s="53">
        <v>0</v>
      </c>
      <c r="K789" s="55"/>
      <c r="L789" s="55">
        <f t="shared" si="45"/>
        <v>0</v>
      </c>
      <c r="M789" s="55">
        <v>0</v>
      </c>
      <c r="N789" s="101">
        <f t="shared" si="46"/>
        <v>0</v>
      </c>
      <c r="O789" s="57" t="s">
        <v>162</v>
      </c>
    </row>
    <row r="790" spans="1:15" hidden="1" x14ac:dyDescent="0.25">
      <c r="A790" s="224"/>
      <c r="B790" s="96">
        <v>44967</v>
      </c>
      <c r="C790" s="52" t="s">
        <v>53</v>
      </c>
      <c r="D790" s="53" t="s">
        <v>38</v>
      </c>
      <c r="E790" s="53"/>
      <c r="F790" s="54"/>
      <c r="G790" s="53"/>
      <c r="H790" s="53">
        <v>0</v>
      </c>
      <c r="I790" s="53">
        <v>0</v>
      </c>
      <c r="J790" s="53">
        <v>0</v>
      </c>
      <c r="K790" s="55"/>
      <c r="L790" s="55">
        <f t="shared" si="45"/>
        <v>0</v>
      </c>
      <c r="M790" s="55">
        <v>0</v>
      </c>
      <c r="N790" s="101">
        <f t="shared" si="46"/>
        <v>0</v>
      </c>
      <c r="O790" s="57" t="s">
        <v>162</v>
      </c>
    </row>
    <row r="791" spans="1:15" hidden="1" x14ac:dyDescent="0.25">
      <c r="A791" s="224"/>
      <c r="B791" s="97">
        <v>44968</v>
      </c>
      <c r="C791" s="58" t="s">
        <v>57</v>
      </c>
      <c r="D791" s="60" t="s">
        <v>38</v>
      </c>
      <c r="E791" s="60"/>
      <c r="F791" s="61"/>
      <c r="G791" s="60"/>
      <c r="H791" s="60">
        <v>0</v>
      </c>
      <c r="I791" s="60">
        <v>0</v>
      </c>
      <c r="J791" s="60">
        <v>0</v>
      </c>
      <c r="K791" s="62"/>
      <c r="L791" s="62">
        <f t="shared" si="45"/>
        <v>0</v>
      </c>
      <c r="M791" s="62">
        <v>0</v>
      </c>
      <c r="N791" s="102">
        <f t="shared" si="46"/>
        <v>0</v>
      </c>
      <c r="O791" s="64" t="s">
        <v>162</v>
      </c>
    </row>
    <row r="792" spans="1:15" ht="15.75" hidden="1" thickBot="1" x14ac:dyDescent="0.3">
      <c r="A792" s="225"/>
      <c r="B792" s="98">
        <v>44969</v>
      </c>
      <c r="C792" s="66" t="s">
        <v>59</v>
      </c>
      <c r="D792" s="67" t="s">
        <v>38</v>
      </c>
      <c r="E792" s="67"/>
      <c r="F792" s="68"/>
      <c r="G792" s="67"/>
      <c r="H792" s="67">
        <v>0</v>
      </c>
      <c r="I792" s="67">
        <v>0</v>
      </c>
      <c r="J792" s="67">
        <v>0</v>
      </c>
      <c r="K792" s="69"/>
      <c r="L792" s="69">
        <f t="shared" si="45"/>
        <v>0</v>
      </c>
      <c r="M792" s="69">
        <v>0</v>
      </c>
      <c r="N792" s="103">
        <f t="shared" si="46"/>
        <v>0</v>
      </c>
      <c r="O792" s="71" t="s">
        <v>162</v>
      </c>
    </row>
    <row r="793" spans="1:15" hidden="1" x14ac:dyDescent="0.25">
      <c r="A793" s="223">
        <f>_xlfn.ISOWEEKNUM(B793)</f>
        <v>7</v>
      </c>
      <c r="B793" s="96">
        <v>44970</v>
      </c>
      <c r="C793" s="72" t="s">
        <v>37</v>
      </c>
      <c r="D793" s="41" t="s">
        <v>38</v>
      </c>
      <c r="E793" s="41"/>
      <c r="F793" s="43"/>
      <c r="G793" s="41"/>
      <c r="H793" s="41">
        <v>0</v>
      </c>
      <c r="I793" s="41">
        <v>0</v>
      </c>
      <c r="J793" s="41">
        <v>0</v>
      </c>
      <c r="K793" s="73"/>
      <c r="L793" s="73">
        <f t="shared" si="45"/>
        <v>0</v>
      </c>
      <c r="M793" s="73">
        <v>0</v>
      </c>
      <c r="N793" s="105">
        <f t="shared" si="46"/>
        <v>0</v>
      </c>
      <c r="O793" s="46" t="s">
        <v>162</v>
      </c>
    </row>
    <row r="794" spans="1:15" hidden="1" x14ac:dyDescent="0.25">
      <c r="A794" s="224"/>
      <c r="B794" s="96">
        <v>44971</v>
      </c>
      <c r="C794" s="52" t="s">
        <v>42</v>
      </c>
      <c r="D794" s="53" t="s">
        <v>38</v>
      </c>
      <c r="E794" s="53"/>
      <c r="F794" s="54"/>
      <c r="G794" s="53"/>
      <c r="H794" s="53">
        <v>0</v>
      </c>
      <c r="I794" s="53">
        <v>0</v>
      </c>
      <c r="J794" s="53">
        <v>0</v>
      </c>
      <c r="K794" s="55"/>
      <c r="L794" s="55">
        <f t="shared" si="45"/>
        <v>0</v>
      </c>
      <c r="M794" s="55">
        <v>0</v>
      </c>
      <c r="N794" s="101">
        <f t="shared" si="46"/>
        <v>0</v>
      </c>
      <c r="O794" s="57" t="s">
        <v>162</v>
      </c>
    </row>
    <row r="795" spans="1:15" hidden="1" x14ac:dyDescent="0.25">
      <c r="A795" s="224"/>
      <c r="B795" s="96">
        <v>44972</v>
      </c>
      <c r="C795" s="52" t="s">
        <v>46</v>
      </c>
      <c r="D795" s="53" t="s">
        <v>38</v>
      </c>
      <c r="E795" s="53"/>
      <c r="F795" s="54"/>
      <c r="G795" s="53"/>
      <c r="H795" s="53">
        <v>0</v>
      </c>
      <c r="I795" s="53">
        <v>0</v>
      </c>
      <c r="J795" s="53">
        <v>0</v>
      </c>
      <c r="K795" s="55"/>
      <c r="L795" s="55">
        <f t="shared" si="45"/>
        <v>0</v>
      </c>
      <c r="M795" s="55">
        <v>0</v>
      </c>
      <c r="N795" s="101">
        <f t="shared" si="46"/>
        <v>0</v>
      </c>
      <c r="O795" s="57" t="s">
        <v>162</v>
      </c>
    </row>
    <row r="796" spans="1:15" hidden="1" x14ac:dyDescent="0.25">
      <c r="A796" s="224"/>
      <c r="B796" s="96">
        <v>44973</v>
      </c>
      <c r="C796" s="52" t="s">
        <v>50</v>
      </c>
      <c r="D796" s="53" t="s">
        <v>38</v>
      </c>
      <c r="E796" s="53"/>
      <c r="F796" s="54"/>
      <c r="G796" s="53"/>
      <c r="H796" s="53">
        <v>0</v>
      </c>
      <c r="I796" s="53">
        <v>0</v>
      </c>
      <c r="J796" s="53">
        <v>0</v>
      </c>
      <c r="K796" s="55"/>
      <c r="L796" s="55">
        <f t="shared" si="45"/>
        <v>0</v>
      </c>
      <c r="M796" s="55">
        <v>0</v>
      </c>
      <c r="N796" s="101">
        <f t="shared" si="46"/>
        <v>0</v>
      </c>
      <c r="O796" s="57" t="s">
        <v>162</v>
      </c>
    </row>
    <row r="797" spans="1:15" hidden="1" x14ac:dyDescent="0.25">
      <c r="A797" s="224"/>
      <c r="B797" s="96">
        <v>44974</v>
      </c>
      <c r="C797" s="52" t="s">
        <v>53</v>
      </c>
      <c r="D797" s="53" t="s">
        <v>38</v>
      </c>
      <c r="E797" s="53"/>
      <c r="F797" s="54"/>
      <c r="G797" s="53"/>
      <c r="H797" s="53">
        <v>0</v>
      </c>
      <c r="I797" s="53">
        <v>0</v>
      </c>
      <c r="J797" s="53">
        <v>0</v>
      </c>
      <c r="K797" s="55"/>
      <c r="L797" s="55">
        <f t="shared" si="45"/>
        <v>0</v>
      </c>
      <c r="M797" s="55">
        <v>0</v>
      </c>
      <c r="N797" s="101">
        <f t="shared" si="46"/>
        <v>0</v>
      </c>
      <c r="O797" s="57" t="s">
        <v>162</v>
      </c>
    </row>
    <row r="798" spans="1:15" hidden="1" x14ac:dyDescent="0.25">
      <c r="A798" s="224"/>
      <c r="B798" s="97">
        <v>44975</v>
      </c>
      <c r="C798" s="58" t="s">
        <v>57</v>
      </c>
      <c r="D798" s="60" t="s">
        <v>38</v>
      </c>
      <c r="E798" s="60"/>
      <c r="F798" s="61"/>
      <c r="G798" s="60"/>
      <c r="H798" s="60">
        <v>0</v>
      </c>
      <c r="I798" s="60">
        <v>0</v>
      </c>
      <c r="J798" s="60">
        <v>0</v>
      </c>
      <c r="K798" s="62"/>
      <c r="L798" s="62">
        <f t="shared" si="45"/>
        <v>0</v>
      </c>
      <c r="M798" s="62">
        <v>0</v>
      </c>
      <c r="N798" s="102">
        <f t="shared" si="46"/>
        <v>0</v>
      </c>
      <c r="O798" s="64" t="s">
        <v>162</v>
      </c>
    </row>
    <row r="799" spans="1:15" ht="15.75" hidden="1" thickBot="1" x14ac:dyDescent="0.3">
      <c r="A799" s="225"/>
      <c r="B799" s="98">
        <v>44976</v>
      </c>
      <c r="C799" s="66" t="s">
        <v>59</v>
      </c>
      <c r="D799" s="67" t="s">
        <v>38</v>
      </c>
      <c r="E799" s="67"/>
      <c r="F799" s="68"/>
      <c r="G799" s="67"/>
      <c r="H799" s="67">
        <v>0</v>
      </c>
      <c r="I799" s="67">
        <v>0</v>
      </c>
      <c r="J799" s="67">
        <v>0</v>
      </c>
      <c r="K799" s="69"/>
      <c r="L799" s="69">
        <f t="shared" si="45"/>
        <v>0</v>
      </c>
      <c r="M799" s="69">
        <v>0</v>
      </c>
      <c r="N799" s="103">
        <f t="shared" si="46"/>
        <v>0</v>
      </c>
      <c r="O799" s="71" t="s">
        <v>162</v>
      </c>
    </row>
    <row r="800" spans="1:15" hidden="1" x14ac:dyDescent="0.25">
      <c r="A800" s="223">
        <f>_xlfn.ISOWEEKNUM(B800)</f>
        <v>8</v>
      </c>
      <c r="B800" s="96">
        <v>44977</v>
      </c>
      <c r="C800" s="72" t="s">
        <v>37</v>
      </c>
      <c r="D800" s="41" t="s">
        <v>38</v>
      </c>
      <c r="E800" s="41"/>
      <c r="F800" s="43"/>
      <c r="G800" s="41"/>
      <c r="H800" s="41">
        <v>0</v>
      </c>
      <c r="I800" s="41">
        <v>0</v>
      </c>
      <c r="J800" s="41">
        <v>0</v>
      </c>
      <c r="K800" s="73"/>
      <c r="L800" s="73">
        <f t="shared" si="45"/>
        <v>0</v>
      </c>
      <c r="M800" s="73">
        <v>0</v>
      </c>
      <c r="N800" s="105">
        <f t="shared" si="46"/>
        <v>0</v>
      </c>
      <c r="O800" s="46" t="s">
        <v>162</v>
      </c>
    </row>
    <row r="801" spans="1:15" hidden="1" x14ac:dyDescent="0.25">
      <c r="A801" s="224"/>
      <c r="B801" s="96">
        <v>44978</v>
      </c>
      <c r="C801" s="52" t="s">
        <v>42</v>
      </c>
      <c r="D801" s="53" t="s">
        <v>38</v>
      </c>
      <c r="E801" s="53"/>
      <c r="F801" s="54"/>
      <c r="G801" s="53"/>
      <c r="H801" s="53">
        <v>0</v>
      </c>
      <c r="I801" s="53">
        <v>0</v>
      </c>
      <c r="J801" s="53">
        <v>0</v>
      </c>
      <c r="K801" s="55"/>
      <c r="L801" s="55">
        <f t="shared" si="45"/>
        <v>0</v>
      </c>
      <c r="M801" s="55">
        <v>0</v>
      </c>
      <c r="N801" s="101">
        <f t="shared" si="46"/>
        <v>0</v>
      </c>
      <c r="O801" s="57" t="s">
        <v>162</v>
      </c>
    </row>
    <row r="802" spans="1:15" hidden="1" x14ac:dyDescent="0.25">
      <c r="A802" s="224"/>
      <c r="B802" s="96">
        <v>44979</v>
      </c>
      <c r="C802" s="52" t="s">
        <v>46</v>
      </c>
      <c r="D802" s="53" t="s">
        <v>38</v>
      </c>
      <c r="E802" s="53"/>
      <c r="F802" s="54"/>
      <c r="G802" s="53"/>
      <c r="H802" s="53">
        <v>0</v>
      </c>
      <c r="I802" s="53">
        <v>0</v>
      </c>
      <c r="J802" s="53">
        <v>0</v>
      </c>
      <c r="K802" s="55"/>
      <c r="L802" s="55">
        <f t="shared" si="45"/>
        <v>0</v>
      </c>
      <c r="M802" s="55">
        <v>0</v>
      </c>
      <c r="N802" s="101">
        <f t="shared" si="46"/>
        <v>0</v>
      </c>
      <c r="O802" s="57" t="s">
        <v>162</v>
      </c>
    </row>
    <row r="803" spans="1:15" hidden="1" x14ac:dyDescent="0.25">
      <c r="A803" s="224"/>
      <c r="B803" s="96">
        <v>44980</v>
      </c>
      <c r="C803" s="52" t="s">
        <v>50</v>
      </c>
      <c r="D803" s="53" t="s">
        <v>38</v>
      </c>
      <c r="E803" s="53"/>
      <c r="F803" s="54"/>
      <c r="G803" s="53"/>
      <c r="H803" s="53">
        <v>0</v>
      </c>
      <c r="I803" s="53">
        <v>0</v>
      </c>
      <c r="J803" s="53">
        <v>0</v>
      </c>
      <c r="K803" s="55"/>
      <c r="L803" s="55">
        <f t="shared" si="45"/>
        <v>0</v>
      </c>
      <c r="M803" s="55">
        <v>0</v>
      </c>
      <c r="N803" s="101">
        <f t="shared" si="46"/>
        <v>0</v>
      </c>
      <c r="O803" s="57" t="s">
        <v>162</v>
      </c>
    </row>
    <row r="804" spans="1:15" hidden="1" x14ac:dyDescent="0.25">
      <c r="A804" s="224"/>
      <c r="B804" s="96">
        <v>44981</v>
      </c>
      <c r="C804" s="52" t="s">
        <v>53</v>
      </c>
      <c r="D804" s="53" t="s">
        <v>38</v>
      </c>
      <c r="E804" s="53"/>
      <c r="F804" s="54"/>
      <c r="G804" s="53"/>
      <c r="H804" s="53">
        <v>0</v>
      </c>
      <c r="I804" s="53">
        <v>0</v>
      </c>
      <c r="J804" s="53">
        <v>0</v>
      </c>
      <c r="K804" s="55"/>
      <c r="L804" s="55">
        <f t="shared" si="45"/>
        <v>0</v>
      </c>
      <c r="M804" s="55">
        <v>0</v>
      </c>
      <c r="N804" s="101">
        <f t="shared" si="46"/>
        <v>0</v>
      </c>
      <c r="O804" s="57" t="s">
        <v>162</v>
      </c>
    </row>
    <row r="805" spans="1:15" hidden="1" x14ac:dyDescent="0.25">
      <c r="A805" s="224"/>
      <c r="B805" s="97">
        <v>44982</v>
      </c>
      <c r="C805" s="58" t="s">
        <v>57</v>
      </c>
      <c r="D805" s="60" t="s">
        <v>38</v>
      </c>
      <c r="E805" s="60"/>
      <c r="F805" s="61"/>
      <c r="G805" s="60"/>
      <c r="H805" s="60">
        <v>0</v>
      </c>
      <c r="I805" s="60">
        <v>0</v>
      </c>
      <c r="J805" s="60">
        <v>0</v>
      </c>
      <c r="K805" s="62"/>
      <c r="L805" s="62">
        <f t="shared" si="45"/>
        <v>0</v>
      </c>
      <c r="M805" s="62">
        <v>0</v>
      </c>
      <c r="N805" s="102">
        <f t="shared" si="46"/>
        <v>0</v>
      </c>
      <c r="O805" s="64" t="s">
        <v>162</v>
      </c>
    </row>
    <row r="806" spans="1:15" ht="15.75" hidden="1" thickBot="1" x14ac:dyDescent="0.3">
      <c r="A806" s="225"/>
      <c r="B806" s="98">
        <v>44983</v>
      </c>
      <c r="C806" s="66" t="s">
        <v>59</v>
      </c>
      <c r="D806" s="67" t="s">
        <v>38</v>
      </c>
      <c r="E806" s="67"/>
      <c r="F806" s="68"/>
      <c r="G806" s="67"/>
      <c r="H806" s="67">
        <v>0</v>
      </c>
      <c r="I806" s="67">
        <v>0</v>
      </c>
      <c r="J806" s="67">
        <v>0</v>
      </c>
      <c r="K806" s="69"/>
      <c r="L806" s="69">
        <f t="shared" si="45"/>
        <v>0</v>
      </c>
      <c r="M806" s="69">
        <v>0</v>
      </c>
      <c r="N806" s="103">
        <f t="shared" si="46"/>
        <v>0</v>
      </c>
      <c r="O806" s="71" t="s">
        <v>162</v>
      </c>
    </row>
    <row r="807" spans="1:15" hidden="1" x14ac:dyDescent="0.25">
      <c r="A807" s="223">
        <f>_xlfn.ISOWEEKNUM(B807)</f>
        <v>9</v>
      </c>
      <c r="B807" s="96">
        <v>44984</v>
      </c>
      <c r="C807" s="72" t="s">
        <v>37</v>
      </c>
      <c r="D807" s="41" t="s">
        <v>38</v>
      </c>
      <c r="E807" s="41"/>
      <c r="F807" s="43"/>
      <c r="G807" s="41"/>
      <c r="H807" s="41">
        <v>0</v>
      </c>
      <c r="I807" s="41">
        <v>0</v>
      </c>
      <c r="J807" s="41">
        <v>0</v>
      </c>
      <c r="K807" s="73"/>
      <c r="L807" s="73">
        <f t="shared" si="45"/>
        <v>0</v>
      </c>
      <c r="M807" s="73">
        <v>0</v>
      </c>
      <c r="N807" s="105">
        <f t="shared" si="46"/>
        <v>0</v>
      </c>
      <c r="O807" s="46" t="s">
        <v>162</v>
      </c>
    </row>
    <row r="808" spans="1:15" hidden="1" x14ac:dyDescent="0.25">
      <c r="A808" s="224"/>
      <c r="B808" s="96">
        <v>44985</v>
      </c>
      <c r="C808" s="52" t="s">
        <v>42</v>
      </c>
      <c r="D808" s="53" t="s">
        <v>38</v>
      </c>
      <c r="E808" s="53"/>
      <c r="F808" s="54"/>
      <c r="G808" s="53"/>
      <c r="H808" s="53">
        <v>0</v>
      </c>
      <c r="I808" s="53">
        <v>0</v>
      </c>
      <c r="J808" s="53">
        <v>0</v>
      </c>
      <c r="K808" s="55"/>
      <c r="L808" s="55">
        <f t="shared" si="45"/>
        <v>0</v>
      </c>
      <c r="M808" s="55">
        <v>0</v>
      </c>
      <c r="N808" s="101">
        <f t="shared" si="46"/>
        <v>0</v>
      </c>
      <c r="O808" s="57" t="s">
        <v>162</v>
      </c>
    </row>
    <row r="809" spans="1:15" hidden="1" x14ac:dyDescent="0.25">
      <c r="A809" s="224"/>
      <c r="B809" s="96">
        <v>44986</v>
      </c>
      <c r="C809" s="52" t="s">
        <v>46</v>
      </c>
      <c r="D809" s="53" t="s">
        <v>38</v>
      </c>
      <c r="E809" s="53"/>
      <c r="F809" s="54"/>
      <c r="G809" s="53"/>
      <c r="H809" s="53">
        <v>0</v>
      </c>
      <c r="I809" s="53">
        <v>0</v>
      </c>
      <c r="J809" s="53">
        <v>0</v>
      </c>
      <c r="K809" s="55"/>
      <c r="L809" s="55">
        <f t="shared" ref="L809:L872" si="47">IF(J809&lt;&gt;0,J809,I809)*K809</f>
        <v>0</v>
      </c>
      <c r="M809" s="55">
        <v>0</v>
      </c>
      <c r="N809" s="101">
        <f t="shared" si="46"/>
        <v>0</v>
      </c>
      <c r="O809" s="57" t="s">
        <v>162</v>
      </c>
    </row>
    <row r="810" spans="1:15" hidden="1" x14ac:dyDescent="0.25">
      <c r="A810" s="224"/>
      <c r="B810" s="96">
        <v>44987</v>
      </c>
      <c r="C810" s="52" t="s">
        <v>50</v>
      </c>
      <c r="D810" s="53" t="s">
        <v>38</v>
      </c>
      <c r="E810" s="53"/>
      <c r="F810" s="54"/>
      <c r="G810" s="53"/>
      <c r="H810" s="53">
        <v>0</v>
      </c>
      <c r="I810" s="53">
        <v>0</v>
      </c>
      <c r="J810" s="53">
        <v>0</v>
      </c>
      <c r="K810" s="55"/>
      <c r="L810" s="55">
        <f t="shared" si="47"/>
        <v>0</v>
      </c>
      <c r="M810" s="55">
        <v>0</v>
      </c>
      <c r="N810" s="101">
        <f t="shared" si="46"/>
        <v>0</v>
      </c>
      <c r="O810" s="57" t="s">
        <v>162</v>
      </c>
    </row>
    <row r="811" spans="1:15" hidden="1" x14ac:dyDescent="0.25">
      <c r="A811" s="224"/>
      <c r="B811" s="96">
        <v>44988</v>
      </c>
      <c r="C811" s="52" t="s">
        <v>53</v>
      </c>
      <c r="D811" s="53" t="s">
        <v>38</v>
      </c>
      <c r="E811" s="53"/>
      <c r="F811" s="54"/>
      <c r="G811" s="53"/>
      <c r="H811" s="53">
        <v>0</v>
      </c>
      <c r="I811" s="53">
        <v>0</v>
      </c>
      <c r="J811" s="53">
        <v>0</v>
      </c>
      <c r="K811" s="55"/>
      <c r="L811" s="55">
        <f t="shared" si="47"/>
        <v>0</v>
      </c>
      <c r="M811" s="55">
        <v>0</v>
      </c>
      <c r="N811" s="101">
        <f t="shared" si="46"/>
        <v>0</v>
      </c>
      <c r="O811" s="57" t="s">
        <v>162</v>
      </c>
    </row>
    <row r="812" spans="1:15" hidden="1" x14ac:dyDescent="0.25">
      <c r="A812" s="224"/>
      <c r="B812" s="97">
        <v>44989</v>
      </c>
      <c r="C812" s="58" t="s">
        <v>57</v>
      </c>
      <c r="D812" s="60" t="s">
        <v>38</v>
      </c>
      <c r="E812" s="60"/>
      <c r="F812" s="61"/>
      <c r="G812" s="60"/>
      <c r="H812" s="60">
        <v>0</v>
      </c>
      <c r="I812" s="60">
        <v>0</v>
      </c>
      <c r="J812" s="60">
        <v>0</v>
      </c>
      <c r="K812" s="62"/>
      <c r="L812" s="62">
        <f t="shared" si="47"/>
        <v>0</v>
      </c>
      <c r="M812" s="62">
        <v>0</v>
      </c>
      <c r="N812" s="102">
        <f t="shared" si="46"/>
        <v>0</v>
      </c>
      <c r="O812" s="64" t="s">
        <v>162</v>
      </c>
    </row>
    <row r="813" spans="1:15" ht="15.75" hidden="1" thickBot="1" x14ac:dyDescent="0.3">
      <c r="A813" s="225"/>
      <c r="B813" s="98">
        <v>44990</v>
      </c>
      <c r="C813" s="66" t="s">
        <v>59</v>
      </c>
      <c r="D813" s="67" t="s">
        <v>38</v>
      </c>
      <c r="E813" s="67"/>
      <c r="F813" s="68"/>
      <c r="G813" s="67"/>
      <c r="H813" s="67">
        <v>0</v>
      </c>
      <c r="I813" s="67">
        <v>0</v>
      </c>
      <c r="J813" s="67">
        <v>0</v>
      </c>
      <c r="K813" s="69"/>
      <c r="L813" s="69">
        <f t="shared" si="47"/>
        <v>0</v>
      </c>
      <c r="M813" s="69">
        <v>0</v>
      </c>
      <c r="N813" s="103">
        <f t="shared" si="46"/>
        <v>0</v>
      </c>
      <c r="O813" s="71" t="s">
        <v>162</v>
      </c>
    </row>
    <row r="814" spans="1:15" hidden="1" x14ac:dyDescent="0.25">
      <c r="A814" s="223">
        <f>_xlfn.ISOWEEKNUM(B814)</f>
        <v>10</v>
      </c>
      <c r="B814" s="96">
        <v>44991</v>
      </c>
      <c r="C814" s="72" t="s">
        <v>37</v>
      </c>
      <c r="D814" s="41" t="s">
        <v>38</v>
      </c>
      <c r="E814" s="41"/>
      <c r="F814" s="43"/>
      <c r="G814" s="41"/>
      <c r="H814" s="41">
        <v>0</v>
      </c>
      <c r="I814" s="41">
        <v>0</v>
      </c>
      <c r="J814" s="41">
        <v>0</v>
      </c>
      <c r="K814" s="73"/>
      <c r="L814" s="73">
        <f t="shared" si="47"/>
        <v>0</v>
      </c>
      <c r="M814" s="73">
        <v>0</v>
      </c>
      <c r="N814" s="105">
        <f t="shared" si="46"/>
        <v>0</v>
      </c>
      <c r="O814" s="46" t="s">
        <v>162</v>
      </c>
    </row>
    <row r="815" spans="1:15" hidden="1" x14ac:dyDescent="0.25">
      <c r="A815" s="224"/>
      <c r="B815" s="96">
        <v>44992</v>
      </c>
      <c r="C815" s="52" t="s">
        <v>42</v>
      </c>
      <c r="D815" s="53" t="s">
        <v>38</v>
      </c>
      <c r="E815" s="53"/>
      <c r="F815" s="54"/>
      <c r="G815" s="53"/>
      <c r="H815" s="53">
        <v>0</v>
      </c>
      <c r="I815" s="53">
        <v>0</v>
      </c>
      <c r="J815" s="53">
        <v>0</v>
      </c>
      <c r="K815" s="55"/>
      <c r="L815" s="55">
        <f t="shared" si="47"/>
        <v>0</v>
      </c>
      <c r="M815" s="55">
        <v>0</v>
      </c>
      <c r="N815" s="101">
        <f t="shared" si="46"/>
        <v>0</v>
      </c>
      <c r="O815" s="57" t="s">
        <v>162</v>
      </c>
    </row>
    <row r="816" spans="1:15" hidden="1" x14ac:dyDescent="0.25">
      <c r="A816" s="224"/>
      <c r="B816" s="96">
        <v>44993</v>
      </c>
      <c r="C816" s="52" t="s">
        <v>46</v>
      </c>
      <c r="D816" s="53" t="s">
        <v>38</v>
      </c>
      <c r="E816" s="53"/>
      <c r="F816" s="54"/>
      <c r="G816" s="53"/>
      <c r="H816" s="53">
        <v>0</v>
      </c>
      <c r="I816" s="53">
        <v>0</v>
      </c>
      <c r="J816" s="53">
        <v>0</v>
      </c>
      <c r="K816" s="55"/>
      <c r="L816" s="55">
        <f t="shared" si="47"/>
        <v>0</v>
      </c>
      <c r="M816" s="55">
        <v>0</v>
      </c>
      <c r="N816" s="101">
        <f t="shared" si="46"/>
        <v>0</v>
      </c>
      <c r="O816" s="57" t="s">
        <v>162</v>
      </c>
    </row>
    <row r="817" spans="1:15" hidden="1" x14ac:dyDescent="0.25">
      <c r="A817" s="224"/>
      <c r="B817" s="96">
        <v>44994</v>
      </c>
      <c r="C817" s="52" t="s">
        <v>50</v>
      </c>
      <c r="D817" s="53" t="s">
        <v>38</v>
      </c>
      <c r="E817" s="53"/>
      <c r="F817" s="54"/>
      <c r="G817" s="53"/>
      <c r="H817" s="53">
        <v>0</v>
      </c>
      <c r="I817" s="53">
        <v>0</v>
      </c>
      <c r="J817" s="53">
        <v>0</v>
      </c>
      <c r="K817" s="55"/>
      <c r="L817" s="55">
        <f t="shared" si="47"/>
        <v>0</v>
      </c>
      <c r="M817" s="55">
        <v>0</v>
      </c>
      <c r="N817" s="101">
        <f t="shared" si="46"/>
        <v>0</v>
      </c>
      <c r="O817" s="57" t="s">
        <v>162</v>
      </c>
    </row>
    <row r="818" spans="1:15" hidden="1" x14ac:dyDescent="0.25">
      <c r="A818" s="224"/>
      <c r="B818" s="96">
        <v>44995</v>
      </c>
      <c r="C818" s="52" t="s">
        <v>53</v>
      </c>
      <c r="D818" s="53" t="s">
        <v>38</v>
      </c>
      <c r="E818" s="53"/>
      <c r="F818" s="54"/>
      <c r="G818" s="53"/>
      <c r="H818" s="53">
        <v>0</v>
      </c>
      <c r="I818" s="53">
        <v>0</v>
      </c>
      <c r="J818" s="53">
        <v>0</v>
      </c>
      <c r="K818" s="55"/>
      <c r="L818" s="55">
        <f t="shared" si="47"/>
        <v>0</v>
      </c>
      <c r="M818" s="55">
        <v>0</v>
      </c>
      <c r="N818" s="101">
        <f t="shared" si="46"/>
        <v>0</v>
      </c>
      <c r="O818" s="57" t="s">
        <v>162</v>
      </c>
    </row>
    <row r="819" spans="1:15" hidden="1" x14ac:dyDescent="0.25">
      <c r="A819" s="224"/>
      <c r="B819" s="97">
        <v>44996</v>
      </c>
      <c r="C819" s="58" t="s">
        <v>57</v>
      </c>
      <c r="D819" s="60" t="s">
        <v>38</v>
      </c>
      <c r="E819" s="60"/>
      <c r="F819" s="61"/>
      <c r="G819" s="60"/>
      <c r="H819" s="60">
        <v>0</v>
      </c>
      <c r="I819" s="60">
        <v>0</v>
      </c>
      <c r="J819" s="60">
        <v>0</v>
      </c>
      <c r="K819" s="62"/>
      <c r="L819" s="62">
        <f t="shared" si="47"/>
        <v>0</v>
      </c>
      <c r="M819" s="62">
        <v>0</v>
      </c>
      <c r="N819" s="102">
        <f t="shared" si="46"/>
        <v>0</v>
      </c>
      <c r="O819" s="64" t="s">
        <v>162</v>
      </c>
    </row>
    <row r="820" spans="1:15" ht="15.75" hidden="1" thickBot="1" x14ac:dyDescent="0.3">
      <c r="A820" s="225"/>
      <c r="B820" s="98">
        <v>44997</v>
      </c>
      <c r="C820" s="66" t="s">
        <v>59</v>
      </c>
      <c r="D820" s="67" t="s">
        <v>38</v>
      </c>
      <c r="E820" s="67"/>
      <c r="F820" s="68"/>
      <c r="G820" s="67"/>
      <c r="H820" s="67">
        <v>0</v>
      </c>
      <c r="I820" s="67">
        <v>0</v>
      </c>
      <c r="J820" s="67">
        <v>0</v>
      </c>
      <c r="K820" s="69"/>
      <c r="L820" s="69">
        <f t="shared" si="47"/>
        <v>0</v>
      </c>
      <c r="M820" s="69">
        <v>0</v>
      </c>
      <c r="N820" s="103">
        <f t="shared" si="46"/>
        <v>0</v>
      </c>
      <c r="O820" s="71" t="s">
        <v>162</v>
      </c>
    </row>
    <row r="821" spans="1:15" hidden="1" x14ac:dyDescent="0.25">
      <c r="A821" s="223">
        <f>_xlfn.ISOWEEKNUM(B821)</f>
        <v>11</v>
      </c>
      <c r="B821" s="96">
        <v>44998</v>
      </c>
      <c r="C821" s="72" t="s">
        <v>37</v>
      </c>
      <c r="D821" s="41" t="s">
        <v>38</v>
      </c>
      <c r="E821" s="41"/>
      <c r="F821" s="43"/>
      <c r="G821" s="41"/>
      <c r="H821" s="41">
        <v>0</v>
      </c>
      <c r="I821" s="41">
        <v>0</v>
      </c>
      <c r="J821" s="41">
        <v>0</v>
      </c>
      <c r="K821" s="73"/>
      <c r="L821" s="73">
        <f t="shared" si="47"/>
        <v>0</v>
      </c>
      <c r="M821" s="73">
        <v>0</v>
      </c>
      <c r="N821" s="105">
        <f t="shared" si="46"/>
        <v>0</v>
      </c>
      <c r="O821" s="46" t="s">
        <v>162</v>
      </c>
    </row>
    <row r="822" spans="1:15" hidden="1" x14ac:dyDescent="0.25">
      <c r="A822" s="224"/>
      <c r="B822" s="96">
        <v>44999</v>
      </c>
      <c r="C822" s="52" t="s">
        <v>42</v>
      </c>
      <c r="D822" s="53" t="s">
        <v>38</v>
      </c>
      <c r="E822" s="53"/>
      <c r="F822" s="54"/>
      <c r="G822" s="53"/>
      <c r="H822" s="53">
        <v>0</v>
      </c>
      <c r="I822" s="53">
        <v>0</v>
      </c>
      <c r="J822" s="53">
        <v>0</v>
      </c>
      <c r="K822" s="55"/>
      <c r="L822" s="55">
        <f t="shared" si="47"/>
        <v>0</v>
      </c>
      <c r="M822" s="55">
        <v>0</v>
      </c>
      <c r="N822" s="101">
        <f t="shared" si="46"/>
        <v>0</v>
      </c>
      <c r="O822" s="57" t="s">
        <v>162</v>
      </c>
    </row>
    <row r="823" spans="1:15" hidden="1" x14ac:dyDescent="0.25">
      <c r="A823" s="224"/>
      <c r="B823" s="96">
        <v>45000</v>
      </c>
      <c r="C823" s="52" t="s">
        <v>46</v>
      </c>
      <c r="D823" s="53" t="s">
        <v>38</v>
      </c>
      <c r="E823" s="53"/>
      <c r="F823" s="54"/>
      <c r="G823" s="53"/>
      <c r="H823" s="53">
        <v>0</v>
      </c>
      <c r="I823" s="53">
        <v>0</v>
      </c>
      <c r="J823" s="53">
        <v>0</v>
      </c>
      <c r="K823" s="55"/>
      <c r="L823" s="55">
        <f t="shared" si="47"/>
        <v>0</v>
      </c>
      <c r="M823" s="55">
        <v>0</v>
      </c>
      <c r="N823" s="101">
        <f t="shared" si="46"/>
        <v>0</v>
      </c>
      <c r="O823" s="57" t="s">
        <v>162</v>
      </c>
    </row>
    <row r="824" spans="1:15" hidden="1" x14ac:dyDescent="0.25">
      <c r="A824" s="224"/>
      <c r="B824" s="96">
        <v>45001</v>
      </c>
      <c r="C824" s="52" t="s">
        <v>50</v>
      </c>
      <c r="D824" s="53" t="s">
        <v>38</v>
      </c>
      <c r="E824" s="53"/>
      <c r="F824" s="54"/>
      <c r="G824" s="53"/>
      <c r="H824" s="53">
        <v>0</v>
      </c>
      <c r="I824" s="53">
        <v>0</v>
      </c>
      <c r="J824" s="53">
        <v>0</v>
      </c>
      <c r="K824" s="55"/>
      <c r="L824" s="55">
        <f t="shared" si="47"/>
        <v>0</v>
      </c>
      <c r="M824" s="55">
        <v>0</v>
      </c>
      <c r="N824" s="101">
        <f t="shared" si="46"/>
        <v>0</v>
      </c>
      <c r="O824" s="57" t="s">
        <v>162</v>
      </c>
    </row>
    <row r="825" spans="1:15" hidden="1" x14ac:dyDescent="0.25">
      <c r="A825" s="224"/>
      <c r="B825" s="96">
        <v>45002</v>
      </c>
      <c r="C825" s="52" t="s">
        <v>53</v>
      </c>
      <c r="D825" s="53" t="s">
        <v>38</v>
      </c>
      <c r="E825" s="53"/>
      <c r="F825" s="54"/>
      <c r="G825" s="53"/>
      <c r="H825" s="53">
        <v>0</v>
      </c>
      <c r="I825" s="53">
        <v>0</v>
      </c>
      <c r="J825" s="53">
        <v>0</v>
      </c>
      <c r="K825" s="55"/>
      <c r="L825" s="55">
        <f t="shared" si="47"/>
        <v>0</v>
      </c>
      <c r="M825" s="55">
        <v>0</v>
      </c>
      <c r="N825" s="101">
        <f t="shared" si="46"/>
        <v>0</v>
      </c>
      <c r="O825" s="57" t="s">
        <v>162</v>
      </c>
    </row>
    <row r="826" spans="1:15" hidden="1" x14ac:dyDescent="0.25">
      <c r="A826" s="224"/>
      <c r="B826" s="97">
        <v>45003</v>
      </c>
      <c r="C826" s="58" t="s">
        <v>57</v>
      </c>
      <c r="D826" s="60" t="s">
        <v>38</v>
      </c>
      <c r="E826" s="60"/>
      <c r="F826" s="61"/>
      <c r="G826" s="60"/>
      <c r="H826" s="60">
        <v>0</v>
      </c>
      <c r="I826" s="60">
        <v>0</v>
      </c>
      <c r="J826" s="60">
        <v>0</v>
      </c>
      <c r="K826" s="62"/>
      <c r="L826" s="62">
        <f t="shared" si="47"/>
        <v>0</v>
      </c>
      <c r="M826" s="62">
        <v>0</v>
      </c>
      <c r="N826" s="102">
        <f t="shared" si="46"/>
        <v>0</v>
      </c>
      <c r="O826" s="64" t="s">
        <v>162</v>
      </c>
    </row>
    <row r="827" spans="1:15" ht="15.75" hidden="1" thickBot="1" x14ac:dyDescent="0.3">
      <c r="A827" s="225"/>
      <c r="B827" s="98">
        <v>45004</v>
      </c>
      <c r="C827" s="66" t="s">
        <v>59</v>
      </c>
      <c r="D827" s="67" t="s">
        <v>38</v>
      </c>
      <c r="E827" s="67"/>
      <c r="F827" s="68"/>
      <c r="G827" s="67"/>
      <c r="H827" s="67">
        <v>0</v>
      </c>
      <c r="I827" s="67">
        <v>0</v>
      </c>
      <c r="J827" s="67">
        <v>0</v>
      </c>
      <c r="K827" s="69"/>
      <c r="L827" s="69">
        <f t="shared" si="47"/>
        <v>0</v>
      </c>
      <c r="M827" s="69">
        <v>0</v>
      </c>
      <c r="N827" s="103">
        <f t="shared" si="46"/>
        <v>0</v>
      </c>
      <c r="O827" s="71" t="s">
        <v>162</v>
      </c>
    </row>
    <row r="828" spans="1:15" hidden="1" x14ac:dyDescent="0.25">
      <c r="A828" s="223">
        <f>_xlfn.ISOWEEKNUM(B828)</f>
        <v>12</v>
      </c>
      <c r="B828" s="96">
        <v>45005</v>
      </c>
      <c r="C828" s="72" t="s">
        <v>37</v>
      </c>
      <c r="D828" s="41" t="s">
        <v>38</v>
      </c>
      <c r="E828" s="41"/>
      <c r="F828" s="43"/>
      <c r="G828" s="41"/>
      <c r="H828" s="41">
        <v>0</v>
      </c>
      <c r="I828" s="41">
        <v>0</v>
      </c>
      <c r="J828" s="41">
        <v>0</v>
      </c>
      <c r="K828" s="73"/>
      <c r="L828" s="73">
        <f t="shared" si="47"/>
        <v>0</v>
      </c>
      <c r="M828" s="73">
        <v>0</v>
      </c>
      <c r="N828" s="105">
        <f t="shared" si="46"/>
        <v>0</v>
      </c>
      <c r="O828" s="46" t="s">
        <v>162</v>
      </c>
    </row>
    <row r="829" spans="1:15" hidden="1" x14ac:dyDescent="0.25">
      <c r="A829" s="224"/>
      <c r="B829" s="96">
        <v>45006</v>
      </c>
      <c r="C829" s="52" t="s">
        <v>42</v>
      </c>
      <c r="D829" s="53" t="s">
        <v>38</v>
      </c>
      <c r="E829" s="53"/>
      <c r="F829" s="54"/>
      <c r="G829" s="53"/>
      <c r="H829" s="53">
        <v>0</v>
      </c>
      <c r="I829" s="53">
        <v>0</v>
      </c>
      <c r="J829" s="53">
        <v>0</v>
      </c>
      <c r="K829" s="55"/>
      <c r="L829" s="55">
        <f t="shared" si="47"/>
        <v>0</v>
      </c>
      <c r="M829" s="55">
        <v>0</v>
      </c>
      <c r="N829" s="101">
        <f t="shared" si="46"/>
        <v>0</v>
      </c>
      <c r="O829" s="57" t="s">
        <v>162</v>
      </c>
    </row>
    <row r="830" spans="1:15" hidden="1" x14ac:dyDescent="0.25">
      <c r="A830" s="224"/>
      <c r="B830" s="96">
        <v>45007</v>
      </c>
      <c r="C830" s="52" t="s">
        <v>46</v>
      </c>
      <c r="D830" s="53" t="s">
        <v>38</v>
      </c>
      <c r="E830" s="53"/>
      <c r="F830" s="54"/>
      <c r="G830" s="53"/>
      <c r="H830" s="53">
        <v>0</v>
      </c>
      <c r="I830" s="53">
        <v>0</v>
      </c>
      <c r="J830" s="53">
        <v>0</v>
      </c>
      <c r="K830" s="55"/>
      <c r="L830" s="55">
        <f t="shared" si="47"/>
        <v>0</v>
      </c>
      <c r="M830" s="55">
        <v>0</v>
      </c>
      <c r="N830" s="101">
        <f t="shared" si="46"/>
        <v>0</v>
      </c>
      <c r="O830" s="57" t="s">
        <v>162</v>
      </c>
    </row>
    <row r="831" spans="1:15" hidden="1" x14ac:dyDescent="0.25">
      <c r="A831" s="224"/>
      <c r="B831" s="96">
        <v>45008</v>
      </c>
      <c r="C831" s="52" t="s">
        <v>50</v>
      </c>
      <c r="D831" s="53" t="s">
        <v>38</v>
      </c>
      <c r="E831" s="53"/>
      <c r="F831" s="54"/>
      <c r="G831" s="53"/>
      <c r="H831" s="53">
        <v>0</v>
      </c>
      <c r="I831" s="53">
        <v>0</v>
      </c>
      <c r="J831" s="53">
        <v>0</v>
      </c>
      <c r="K831" s="55"/>
      <c r="L831" s="55">
        <f t="shared" si="47"/>
        <v>0</v>
      </c>
      <c r="M831" s="55">
        <v>0</v>
      </c>
      <c r="N831" s="101">
        <f t="shared" si="46"/>
        <v>0</v>
      </c>
      <c r="O831" s="57" t="s">
        <v>162</v>
      </c>
    </row>
    <row r="832" spans="1:15" hidden="1" x14ac:dyDescent="0.25">
      <c r="A832" s="224"/>
      <c r="B832" s="96">
        <v>45009</v>
      </c>
      <c r="C832" s="52" t="s">
        <v>53</v>
      </c>
      <c r="D832" s="53" t="s">
        <v>38</v>
      </c>
      <c r="E832" s="53"/>
      <c r="F832" s="54"/>
      <c r="G832" s="53"/>
      <c r="H832" s="53">
        <v>0</v>
      </c>
      <c r="I832" s="53">
        <v>0</v>
      </c>
      <c r="J832" s="53">
        <v>0</v>
      </c>
      <c r="K832" s="55"/>
      <c r="L832" s="55">
        <f t="shared" si="47"/>
        <v>0</v>
      </c>
      <c r="M832" s="55">
        <v>0</v>
      </c>
      <c r="N832" s="101">
        <f t="shared" si="46"/>
        <v>0</v>
      </c>
      <c r="O832" s="57" t="s">
        <v>162</v>
      </c>
    </row>
    <row r="833" spans="1:15" hidden="1" x14ac:dyDescent="0.25">
      <c r="A833" s="224"/>
      <c r="B833" s="97">
        <v>45010</v>
      </c>
      <c r="C833" s="58" t="s">
        <v>57</v>
      </c>
      <c r="D833" s="60" t="s">
        <v>38</v>
      </c>
      <c r="E833" s="60"/>
      <c r="F833" s="61"/>
      <c r="G833" s="60"/>
      <c r="H833" s="60">
        <v>0</v>
      </c>
      <c r="I833" s="60">
        <v>0</v>
      </c>
      <c r="J833" s="60">
        <v>0</v>
      </c>
      <c r="K833" s="62"/>
      <c r="L833" s="62">
        <f t="shared" si="47"/>
        <v>0</v>
      </c>
      <c r="M833" s="62">
        <v>0</v>
      </c>
      <c r="N833" s="102">
        <f t="shared" si="46"/>
        <v>0</v>
      </c>
      <c r="O833" s="64" t="s">
        <v>162</v>
      </c>
    </row>
    <row r="834" spans="1:15" ht="15.75" hidden="1" thickBot="1" x14ac:dyDescent="0.3">
      <c r="A834" s="225"/>
      <c r="B834" s="98">
        <v>45011</v>
      </c>
      <c r="C834" s="66" t="s">
        <v>59</v>
      </c>
      <c r="D834" s="67" t="s">
        <v>38</v>
      </c>
      <c r="E834" s="67"/>
      <c r="F834" s="68"/>
      <c r="G834" s="67"/>
      <c r="H834" s="67">
        <v>0</v>
      </c>
      <c r="I834" s="67">
        <v>0</v>
      </c>
      <c r="J834" s="67">
        <v>0</v>
      </c>
      <c r="K834" s="69"/>
      <c r="L834" s="69">
        <f t="shared" si="47"/>
        <v>0</v>
      </c>
      <c r="M834" s="69">
        <v>0</v>
      </c>
      <c r="N834" s="103">
        <f t="shared" si="46"/>
        <v>0</v>
      </c>
      <c r="O834" s="71" t="s">
        <v>162</v>
      </c>
    </row>
    <row r="835" spans="1:15" hidden="1" x14ac:dyDescent="0.25">
      <c r="A835" s="223">
        <f>_xlfn.ISOWEEKNUM(B835)</f>
        <v>13</v>
      </c>
      <c r="B835" s="96">
        <v>45012</v>
      </c>
      <c r="C835" s="72" t="s">
        <v>37</v>
      </c>
      <c r="D835" s="41" t="s">
        <v>38</v>
      </c>
      <c r="E835" s="41"/>
      <c r="F835" s="43"/>
      <c r="G835" s="41"/>
      <c r="H835" s="41">
        <v>0</v>
      </c>
      <c r="I835" s="41">
        <v>0</v>
      </c>
      <c r="J835" s="41">
        <v>0</v>
      </c>
      <c r="K835" s="73"/>
      <c r="L835" s="73">
        <f t="shared" si="47"/>
        <v>0</v>
      </c>
      <c r="M835" s="73">
        <v>0</v>
      </c>
      <c r="N835" s="105">
        <f t="shared" si="46"/>
        <v>0</v>
      </c>
      <c r="O835" s="46" t="s">
        <v>162</v>
      </c>
    </row>
    <row r="836" spans="1:15" hidden="1" x14ac:dyDescent="0.25">
      <c r="A836" s="224"/>
      <c r="B836" s="96">
        <v>45013</v>
      </c>
      <c r="C836" s="52" t="s">
        <v>42</v>
      </c>
      <c r="D836" s="53" t="s">
        <v>38</v>
      </c>
      <c r="E836" s="53"/>
      <c r="F836" s="54"/>
      <c r="G836" s="53"/>
      <c r="H836" s="53">
        <v>0</v>
      </c>
      <c r="I836" s="53">
        <v>0</v>
      </c>
      <c r="J836" s="53">
        <v>0</v>
      </c>
      <c r="K836" s="55"/>
      <c r="L836" s="55">
        <f t="shared" si="47"/>
        <v>0</v>
      </c>
      <c r="M836" s="55">
        <v>0</v>
      </c>
      <c r="N836" s="101">
        <f t="shared" si="46"/>
        <v>0</v>
      </c>
      <c r="O836" s="57" t="s">
        <v>162</v>
      </c>
    </row>
    <row r="837" spans="1:15" hidden="1" x14ac:dyDescent="0.25">
      <c r="A837" s="224"/>
      <c r="B837" s="96">
        <v>45014</v>
      </c>
      <c r="C837" s="52" t="s">
        <v>46</v>
      </c>
      <c r="D837" s="53" t="s">
        <v>38</v>
      </c>
      <c r="E837" s="53"/>
      <c r="F837" s="54"/>
      <c r="G837" s="53"/>
      <c r="H837" s="53">
        <v>0</v>
      </c>
      <c r="I837" s="53">
        <v>0</v>
      </c>
      <c r="J837" s="53">
        <v>0</v>
      </c>
      <c r="K837" s="55"/>
      <c r="L837" s="55">
        <f t="shared" si="47"/>
        <v>0</v>
      </c>
      <c r="M837" s="55">
        <v>0</v>
      </c>
      <c r="N837" s="101">
        <f t="shared" si="46"/>
        <v>0</v>
      </c>
      <c r="O837" s="57" t="s">
        <v>162</v>
      </c>
    </row>
    <row r="838" spans="1:15" hidden="1" x14ac:dyDescent="0.25">
      <c r="A838" s="224"/>
      <c r="B838" s="96">
        <v>45015</v>
      </c>
      <c r="C838" s="52" t="s">
        <v>50</v>
      </c>
      <c r="D838" s="53" t="s">
        <v>38</v>
      </c>
      <c r="E838" s="53"/>
      <c r="F838" s="54"/>
      <c r="G838" s="53"/>
      <c r="H838" s="53">
        <v>0</v>
      </c>
      <c r="I838" s="53">
        <v>0</v>
      </c>
      <c r="J838" s="53">
        <v>0</v>
      </c>
      <c r="K838" s="55"/>
      <c r="L838" s="55">
        <f t="shared" si="47"/>
        <v>0</v>
      </c>
      <c r="M838" s="55">
        <v>0</v>
      </c>
      <c r="N838" s="101">
        <f t="shared" si="46"/>
        <v>0</v>
      </c>
      <c r="O838" s="57" t="s">
        <v>162</v>
      </c>
    </row>
    <row r="839" spans="1:15" hidden="1" x14ac:dyDescent="0.25">
      <c r="A839" s="224"/>
      <c r="B839" s="96">
        <v>45016</v>
      </c>
      <c r="C839" s="52" t="s">
        <v>53</v>
      </c>
      <c r="D839" s="53" t="s">
        <v>38</v>
      </c>
      <c r="E839" s="53"/>
      <c r="F839" s="54"/>
      <c r="G839" s="53"/>
      <c r="H839" s="53">
        <v>0</v>
      </c>
      <c r="I839" s="53">
        <v>0</v>
      </c>
      <c r="J839" s="53">
        <v>0</v>
      </c>
      <c r="K839" s="55"/>
      <c r="L839" s="55">
        <f t="shared" si="47"/>
        <v>0</v>
      </c>
      <c r="M839" s="55">
        <v>0</v>
      </c>
      <c r="N839" s="101">
        <f t="shared" si="46"/>
        <v>0</v>
      </c>
      <c r="O839" s="57" t="s">
        <v>162</v>
      </c>
    </row>
    <row r="840" spans="1:15" hidden="1" x14ac:dyDescent="0.25">
      <c r="A840" s="224"/>
      <c r="B840" s="97">
        <v>45017</v>
      </c>
      <c r="C840" s="58" t="s">
        <v>57</v>
      </c>
      <c r="D840" s="60" t="s">
        <v>38</v>
      </c>
      <c r="E840" s="60"/>
      <c r="F840" s="61"/>
      <c r="G840" s="60"/>
      <c r="H840" s="60">
        <v>0</v>
      </c>
      <c r="I840" s="60">
        <v>0</v>
      </c>
      <c r="J840" s="60">
        <v>0</v>
      </c>
      <c r="K840" s="62"/>
      <c r="L840" s="62">
        <f t="shared" si="47"/>
        <v>0</v>
      </c>
      <c r="M840" s="62">
        <v>0</v>
      </c>
      <c r="N840" s="102">
        <f t="shared" si="46"/>
        <v>0</v>
      </c>
      <c r="O840" s="64" t="s">
        <v>162</v>
      </c>
    </row>
    <row r="841" spans="1:15" ht="15.75" hidden="1" thickBot="1" x14ac:dyDescent="0.3">
      <c r="A841" s="225"/>
      <c r="B841" s="98">
        <v>45018</v>
      </c>
      <c r="C841" s="66" t="s">
        <v>59</v>
      </c>
      <c r="D841" s="67" t="s">
        <v>38</v>
      </c>
      <c r="E841" s="67"/>
      <c r="F841" s="68"/>
      <c r="G841" s="67"/>
      <c r="H841" s="67">
        <v>0</v>
      </c>
      <c r="I841" s="67">
        <v>0</v>
      </c>
      <c r="J841" s="67">
        <v>0</v>
      </c>
      <c r="K841" s="69"/>
      <c r="L841" s="69">
        <f t="shared" si="47"/>
        <v>0</v>
      </c>
      <c r="M841" s="69">
        <v>0</v>
      </c>
      <c r="N841" s="103">
        <f t="shared" si="46"/>
        <v>0</v>
      </c>
      <c r="O841" s="71" t="s">
        <v>162</v>
      </c>
    </row>
    <row r="842" spans="1:15" hidden="1" x14ac:dyDescent="0.25">
      <c r="A842" s="223">
        <f>_xlfn.ISOWEEKNUM(B842)</f>
        <v>14</v>
      </c>
      <c r="B842" s="96">
        <v>45019</v>
      </c>
      <c r="C842" s="72" t="s">
        <v>37</v>
      </c>
      <c r="D842" s="41" t="s">
        <v>38</v>
      </c>
      <c r="E842" s="41"/>
      <c r="F842" s="43"/>
      <c r="G842" s="41"/>
      <c r="H842" s="41">
        <v>0</v>
      </c>
      <c r="I842" s="41">
        <v>0</v>
      </c>
      <c r="J842" s="41">
        <v>0</v>
      </c>
      <c r="K842" s="73"/>
      <c r="L842" s="73">
        <f t="shared" si="47"/>
        <v>0</v>
      </c>
      <c r="M842" s="73">
        <v>0</v>
      </c>
      <c r="N842" s="105">
        <f t="shared" si="46"/>
        <v>0</v>
      </c>
      <c r="O842" s="46" t="s">
        <v>162</v>
      </c>
    </row>
    <row r="843" spans="1:15" hidden="1" x14ac:dyDescent="0.25">
      <c r="A843" s="224"/>
      <c r="B843" s="96">
        <v>45020</v>
      </c>
      <c r="C843" s="52" t="s">
        <v>42</v>
      </c>
      <c r="D843" s="53" t="s">
        <v>38</v>
      </c>
      <c r="E843" s="53"/>
      <c r="F843" s="54"/>
      <c r="G843" s="53"/>
      <c r="H843" s="53">
        <v>0</v>
      </c>
      <c r="I843" s="53">
        <v>0</v>
      </c>
      <c r="J843" s="53">
        <v>0</v>
      </c>
      <c r="K843" s="55"/>
      <c r="L843" s="55">
        <f t="shared" si="47"/>
        <v>0</v>
      </c>
      <c r="M843" s="55">
        <v>0</v>
      </c>
      <c r="N843" s="101">
        <f t="shared" si="46"/>
        <v>0</v>
      </c>
      <c r="O843" s="57" t="s">
        <v>162</v>
      </c>
    </row>
    <row r="844" spans="1:15" hidden="1" x14ac:dyDescent="0.25">
      <c r="A844" s="224"/>
      <c r="B844" s="96">
        <v>45021</v>
      </c>
      <c r="C844" s="52" t="s">
        <v>46</v>
      </c>
      <c r="D844" s="53" t="s">
        <v>38</v>
      </c>
      <c r="E844" s="53"/>
      <c r="F844" s="54"/>
      <c r="G844" s="53"/>
      <c r="H844" s="53">
        <v>0</v>
      </c>
      <c r="I844" s="53">
        <v>0</v>
      </c>
      <c r="J844" s="53">
        <v>0</v>
      </c>
      <c r="K844" s="55"/>
      <c r="L844" s="55">
        <f t="shared" si="47"/>
        <v>0</v>
      </c>
      <c r="M844" s="55">
        <v>0</v>
      </c>
      <c r="N844" s="101">
        <f t="shared" si="46"/>
        <v>0</v>
      </c>
      <c r="O844" s="57" t="s">
        <v>162</v>
      </c>
    </row>
    <row r="845" spans="1:15" hidden="1" x14ac:dyDescent="0.25">
      <c r="A845" s="224"/>
      <c r="B845" s="96">
        <v>45022</v>
      </c>
      <c r="C845" s="52" t="s">
        <v>50</v>
      </c>
      <c r="D845" s="53" t="s">
        <v>38</v>
      </c>
      <c r="E845" s="53"/>
      <c r="F845" s="54"/>
      <c r="G845" s="53"/>
      <c r="H845" s="53">
        <v>0</v>
      </c>
      <c r="I845" s="53">
        <v>0</v>
      </c>
      <c r="J845" s="53">
        <v>0</v>
      </c>
      <c r="K845" s="55"/>
      <c r="L845" s="55">
        <f t="shared" si="47"/>
        <v>0</v>
      </c>
      <c r="M845" s="55">
        <v>0</v>
      </c>
      <c r="N845" s="101">
        <f t="shared" si="46"/>
        <v>0</v>
      </c>
      <c r="O845" s="57" t="s">
        <v>162</v>
      </c>
    </row>
    <row r="846" spans="1:15" hidden="1" x14ac:dyDescent="0.25">
      <c r="A846" s="224"/>
      <c r="B846" s="96">
        <v>45023</v>
      </c>
      <c r="C846" s="52" t="s">
        <v>53</v>
      </c>
      <c r="D846" s="53" t="s">
        <v>38</v>
      </c>
      <c r="E846" s="53"/>
      <c r="F846" s="54"/>
      <c r="G846" s="53"/>
      <c r="H846" s="53">
        <v>0</v>
      </c>
      <c r="I846" s="53">
        <v>0</v>
      </c>
      <c r="J846" s="53">
        <v>0</v>
      </c>
      <c r="K846" s="55"/>
      <c r="L846" s="55">
        <f t="shared" si="47"/>
        <v>0</v>
      </c>
      <c r="M846" s="55">
        <v>0</v>
      </c>
      <c r="N846" s="101">
        <f t="shared" si="46"/>
        <v>0</v>
      </c>
      <c r="O846" s="57" t="s">
        <v>162</v>
      </c>
    </row>
    <row r="847" spans="1:15" hidden="1" x14ac:dyDescent="0.25">
      <c r="A847" s="224"/>
      <c r="B847" s="97">
        <v>45024</v>
      </c>
      <c r="C847" s="58" t="s">
        <v>57</v>
      </c>
      <c r="D847" s="60" t="s">
        <v>38</v>
      </c>
      <c r="E847" s="60"/>
      <c r="F847" s="61"/>
      <c r="G847" s="60"/>
      <c r="H847" s="60">
        <v>0</v>
      </c>
      <c r="I847" s="60">
        <v>0</v>
      </c>
      <c r="J847" s="60">
        <v>0</v>
      </c>
      <c r="K847" s="62"/>
      <c r="L847" s="62">
        <f t="shared" si="47"/>
        <v>0</v>
      </c>
      <c r="M847" s="62">
        <v>0</v>
      </c>
      <c r="N847" s="102">
        <f t="shared" ref="N847:N910" si="48">L847*(1-M847)</f>
        <v>0</v>
      </c>
      <c r="O847" s="64" t="s">
        <v>162</v>
      </c>
    </row>
    <row r="848" spans="1:15" ht="15.75" hidden="1" thickBot="1" x14ac:dyDescent="0.3">
      <c r="A848" s="225"/>
      <c r="B848" s="98">
        <v>45025</v>
      </c>
      <c r="C848" s="66" t="s">
        <v>59</v>
      </c>
      <c r="D848" s="67" t="s">
        <v>38</v>
      </c>
      <c r="E848" s="67"/>
      <c r="F848" s="68"/>
      <c r="G848" s="67"/>
      <c r="H848" s="67">
        <v>0</v>
      </c>
      <c r="I848" s="67">
        <v>0</v>
      </c>
      <c r="J848" s="67">
        <v>0</v>
      </c>
      <c r="K848" s="69"/>
      <c r="L848" s="69">
        <f t="shared" si="47"/>
        <v>0</v>
      </c>
      <c r="M848" s="69">
        <v>0</v>
      </c>
      <c r="N848" s="103">
        <f t="shared" si="48"/>
        <v>0</v>
      </c>
      <c r="O848" s="71" t="s">
        <v>162</v>
      </c>
    </row>
    <row r="849" spans="1:15" hidden="1" x14ac:dyDescent="0.25">
      <c r="A849" s="223">
        <f>_xlfn.ISOWEEKNUM(B849)</f>
        <v>15</v>
      </c>
      <c r="B849" s="96">
        <v>45026</v>
      </c>
      <c r="C849" s="72" t="s">
        <v>37</v>
      </c>
      <c r="D849" s="41" t="s">
        <v>38</v>
      </c>
      <c r="E849" s="41"/>
      <c r="F849" s="43"/>
      <c r="G849" s="41"/>
      <c r="H849" s="41">
        <v>0</v>
      </c>
      <c r="I849" s="41">
        <v>0</v>
      </c>
      <c r="J849" s="41">
        <v>0</v>
      </c>
      <c r="K849" s="73"/>
      <c r="L849" s="73">
        <f t="shared" si="47"/>
        <v>0</v>
      </c>
      <c r="M849" s="73">
        <v>0</v>
      </c>
      <c r="N849" s="105">
        <f t="shared" si="48"/>
        <v>0</v>
      </c>
      <c r="O849" s="46" t="s">
        <v>162</v>
      </c>
    </row>
    <row r="850" spans="1:15" hidden="1" x14ac:dyDescent="0.25">
      <c r="A850" s="224"/>
      <c r="B850" s="96">
        <v>45027</v>
      </c>
      <c r="C850" s="52" t="s">
        <v>42</v>
      </c>
      <c r="D850" s="53" t="s">
        <v>38</v>
      </c>
      <c r="E850" s="53"/>
      <c r="F850" s="54"/>
      <c r="G850" s="53"/>
      <c r="H850" s="53">
        <v>0</v>
      </c>
      <c r="I850" s="53">
        <v>0</v>
      </c>
      <c r="J850" s="53">
        <v>0</v>
      </c>
      <c r="K850" s="55"/>
      <c r="L850" s="55">
        <f t="shared" si="47"/>
        <v>0</v>
      </c>
      <c r="M850" s="55">
        <v>0</v>
      </c>
      <c r="N850" s="101">
        <f t="shared" si="48"/>
        <v>0</v>
      </c>
      <c r="O850" s="57" t="s">
        <v>162</v>
      </c>
    </row>
    <row r="851" spans="1:15" hidden="1" x14ac:dyDescent="0.25">
      <c r="A851" s="224"/>
      <c r="B851" s="96">
        <v>45028</v>
      </c>
      <c r="C851" s="52" t="s">
        <v>46</v>
      </c>
      <c r="D851" s="53" t="s">
        <v>38</v>
      </c>
      <c r="E851" s="53"/>
      <c r="F851" s="54"/>
      <c r="G851" s="53"/>
      <c r="H851" s="53">
        <v>0</v>
      </c>
      <c r="I851" s="53">
        <v>0</v>
      </c>
      <c r="J851" s="53">
        <v>0</v>
      </c>
      <c r="K851" s="55"/>
      <c r="L851" s="55">
        <f t="shared" si="47"/>
        <v>0</v>
      </c>
      <c r="M851" s="55">
        <v>0</v>
      </c>
      <c r="N851" s="101">
        <f t="shared" si="48"/>
        <v>0</v>
      </c>
      <c r="O851" s="57" t="s">
        <v>162</v>
      </c>
    </row>
    <row r="852" spans="1:15" hidden="1" x14ac:dyDescent="0.25">
      <c r="A852" s="224"/>
      <c r="B852" s="96">
        <v>45029</v>
      </c>
      <c r="C852" s="52" t="s">
        <v>50</v>
      </c>
      <c r="D852" s="53" t="s">
        <v>38</v>
      </c>
      <c r="E852" s="53"/>
      <c r="F852" s="54"/>
      <c r="G852" s="53"/>
      <c r="H852" s="53">
        <v>0</v>
      </c>
      <c r="I852" s="53">
        <v>0</v>
      </c>
      <c r="J852" s="53">
        <v>0</v>
      </c>
      <c r="K852" s="55"/>
      <c r="L852" s="55">
        <f t="shared" si="47"/>
        <v>0</v>
      </c>
      <c r="M852" s="55">
        <v>0</v>
      </c>
      <c r="N852" s="101">
        <f t="shared" si="48"/>
        <v>0</v>
      </c>
      <c r="O852" s="57" t="s">
        <v>162</v>
      </c>
    </row>
    <row r="853" spans="1:15" hidden="1" x14ac:dyDescent="0.25">
      <c r="A853" s="224"/>
      <c r="B853" s="96">
        <v>45030</v>
      </c>
      <c r="C853" s="52" t="s">
        <v>53</v>
      </c>
      <c r="D853" s="53" t="s">
        <v>38</v>
      </c>
      <c r="E853" s="53"/>
      <c r="F853" s="54"/>
      <c r="G853" s="53"/>
      <c r="H853" s="53">
        <v>0</v>
      </c>
      <c r="I853" s="53">
        <v>0</v>
      </c>
      <c r="J853" s="53">
        <v>0</v>
      </c>
      <c r="K853" s="55"/>
      <c r="L853" s="55">
        <f t="shared" si="47"/>
        <v>0</v>
      </c>
      <c r="M853" s="55">
        <v>0</v>
      </c>
      <c r="N853" s="101">
        <f t="shared" si="48"/>
        <v>0</v>
      </c>
      <c r="O853" s="57" t="s">
        <v>162</v>
      </c>
    </row>
    <row r="854" spans="1:15" hidden="1" x14ac:dyDescent="0.25">
      <c r="A854" s="224"/>
      <c r="B854" s="97">
        <v>45031</v>
      </c>
      <c r="C854" s="58" t="s">
        <v>57</v>
      </c>
      <c r="D854" s="60" t="s">
        <v>38</v>
      </c>
      <c r="E854" s="60"/>
      <c r="F854" s="61"/>
      <c r="G854" s="60"/>
      <c r="H854" s="60">
        <v>0</v>
      </c>
      <c r="I854" s="60">
        <v>0</v>
      </c>
      <c r="J854" s="60">
        <v>0</v>
      </c>
      <c r="K854" s="62"/>
      <c r="L854" s="62">
        <f t="shared" si="47"/>
        <v>0</v>
      </c>
      <c r="M854" s="62">
        <v>0</v>
      </c>
      <c r="N854" s="102">
        <f t="shared" si="48"/>
        <v>0</v>
      </c>
      <c r="O854" s="64" t="s">
        <v>162</v>
      </c>
    </row>
    <row r="855" spans="1:15" ht="15.75" hidden="1" thickBot="1" x14ac:dyDescent="0.3">
      <c r="A855" s="225"/>
      <c r="B855" s="98">
        <v>45032</v>
      </c>
      <c r="C855" s="66" t="s">
        <v>59</v>
      </c>
      <c r="D855" s="67" t="s">
        <v>38</v>
      </c>
      <c r="E855" s="67"/>
      <c r="F855" s="68"/>
      <c r="G855" s="67"/>
      <c r="H855" s="67">
        <v>0</v>
      </c>
      <c r="I855" s="67">
        <v>0</v>
      </c>
      <c r="J855" s="67">
        <v>0</v>
      </c>
      <c r="K855" s="69"/>
      <c r="L855" s="69">
        <f t="shared" si="47"/>
        <v>0</v>
      </c>
      <c r="M855" s="69">
        <v>0</v>
      </c>
      <c r="N855" s="103">
        <f t="shared" si="48"/>
        <v>0</v>
      </c>
      <c r="O855" s="71" t="s">
        <v>162</v>
      </c>
    </row>
    <row r="856" spans="1:15" hidden="1" x14ac:dyDescent="0.25">
      <c r="A856" s="223">
        <f>_xlfn.ISOWEEKNUM(B856)</f>
        <v>16</v>
      </c>
      <c r="B856" s="96">
        <v>45033</v>
      </c>
      <c r="C856" s="72" t="s">
        <v>37</v>
      </c>
      <c r="D856" s="41" t="s">
        <v>38</v>
      </c>
      <c r="E856" s="41"/>
      <c r="F856" s="43"/>
      <c r="G856" s="41"/>
      <c r="H856" s="41">
        <v>0</v>
      </c>
      <c r="I856" s="41">
        <v>0</v>
      </c>
      <c r="J856" s="41">
        <v>0</v>
      </c>
      <c r="K856" s="73"/>
      <c r="L856" s="73">
        <f t="shared" si="47"/>
        <v>0</v>
      </c>
      <c r="M856" s="73">
        <v>0</v>
      </c>
      <c r="N856" s="105">
        <f t="shared" si="48"/>
        <v>0</v>
      </c>
      <c r="O856" s="46" t="s">
        <v>162</v>
      </c>
    </row>
    <row r="857" spans="1:15" hidden="1" x14ac:dyDescent="0.25">
      <c r="A857" s="224"/>
      <c r="B857" s="96">
        <v>45034</v>
      </c>
      <c r="C857" s="52" t="s">
        <v>42</v>
      </c>
      <c r="D857" s="53" t="s">
        <v>38</v>
      </c>
      <c r="E857" s="53"/>
      <c r="F857" s="54"/>
      <c r="G857" s="53"/>
      <c r="H857" s="53">
        <v>0</v>
      </c>
      <c r="I857" s="53">
        <v>0</v>
      </c>
      <c r="J857" s="53">
        <v>0</v>
      </c>
      <c r="K857" s="55"/>
      <c r="L857" s="55">
        <f t="shared" si="47"/>
        <v>0</v>
      </c>
      <c r="M857" s="55">
        <v>0</v>
      </c>
      <c r="N857" s="101">
        <f t="shared" si="48"/>
        <v>0</v>
      </c>
      <c r="O857" s="57" t="s">
        <v>162</v>
      </c>
    </row>
    <row r="858" spans="1:15" hidden="1" x14ac:dyDescent="0.25">
      <c r="A858" s="224"/>
      <c r="B858" s="96">
        <v>45035</v>
      </c>
      <c r="C858" s="52" t="s">
        <v>46</v>
      </c>
      <c r="D858" s="53" t="s">
        <v>38</v>
      </c>
      <c r="E858" s="53"/>
      <c r="F858" s="54"/>
      <c r="G858" s="53"/>
      <c r="H858" s="53">
        <v>0</v>
      </c>
      <c r="I858" s="53">
        <v>0</v>
      </c>
      <c r="J858" s="53">
        <v>0</v>
      </c>
      <c r="K858" s="55"/>
      <c r="L858" s="55">
        <f t="shared" si="47"/>
        <v>0</v>
      </c>
      <c r="M858" s="55">
        <v>0</v>
      </c>
      <c r="N858" s="101">
        <f t="shared" si="48"/>
        <v>0</v>
      </c>
      <c r="O858" s="57" t="s">
        <v>162</v>
      </c>
    </row>
    <row r="859" spans="1:15" hidden="1" x14ac:dyDescent="0.25">
      <c r="A859" s="224"/>
      <c r="B859" s="96">
        <v>45036</v>
      </c>
      <c r="C859" s="52" t="s">
        <v>50</v>
      </c>
      <c r="D859" s="53" t="s">
        <v>38</v>
      </c>
      <c r="E859" s="53"/>
      <c r="F859" s="54"/>
      <c r="G859" s="53"/>
      <c r="H859" s="53">
        <v>0</v>
      </c>
      <c r="I859" s="53">
        <v>0</v>
      </c>
      <c r="J859" s="53">
        <v>0</v>
      </c>
      <c r="K859" s="55"/>
      <c r="L859" s="55">
        <f t="shared" si="47"/>
        <v>0</v>
      </c>
      <c r="M859" s="55">
        <v>0</v>
      </c>
      <c r="N859" s="101">
        <f t="shared" si="48"/>
        <v>0</v>
      </c>
      <c r="O859" s="57" t="s">
        <v>162</v>
      </c>
    </row>
    <row r="860" spans="1:15" hidden="1" x14ac:dyDescent="0.25">
      <c r="A860" s="224"/>
      <c r="B860" s="96">
        <v>45037</v>
      </c>
      <c r="C860" s="52" t="s">
        <v>53</v>
      </c>
      <c r="D860" s="53" t="s">
        <v>38</v>
      </c>
      <c r="E860" s="53"/>
      <c r="F860" s="54"/>
      <c r="G860" s="53"/>
      <c r="H860" s="53">
        <v>0</v>
      </c>
      <c r="I860" s="53">
        <v>0</v>
      </c>
      <c r="J860" s="53">
        <v>0</v>
      </c>
      <c r="K860" s="55"/>
      <c r="L860" s="55">
        <f t="shared" si="47"/>
        <v>0</v>
      </c>
      <c r="M860" s="55">
        <v>0</v>
      </c>
      <c r="N860" s="101">
        <f t="shared" si="48"/>
        <v>0</v>
      </c>
      <c r="O860" s="57" t="s">
        <v>162</v>
      </c>
    </row>
    <row r="861" spans="1:15" hidden="1" x14ac:dyDescent="0.25">
      <c r="A861" s="224"/>
      <c r="B861" s="97">
        <v>45038</v>
      </c>
      <c r="C861" s="58" t="s">
        <v>57</v>
      </c>
      <c r="D861" s="60" t="s">
        <v>38</v>
      </c>
      <c r="E861" s="60"/>
      <c r="F861" s="61"/>
      <c r="G861" s="60"/>
      <c r="H861" s="60">
        <v>0</v>
      </c>
      <c r="I861" s="60">
        <v>0</v>
      </c>
      <c r="J861" s="60">
        <v>0</v>
      </c>
      <c r="K861" s="62"/>
      <c r="L861" s="62">
        <f t="shared" si="47"/>
        <v>0</v>
      </c>
      <c r="M861" s="62">
        <v>0</v>
      </c>
      <c r="N861" s="102">
        <f t="shared" si="48"/>
        <v>0</v>
      </c>
      <c r="O861" s="64" t="s">
        <v>162</v>
      </c>
    </row>
    <row r="862" spans="1:15" ht="15.75" hidden="1" thickBot="1" x14ac:dyDescent="0.3">
      <c r="A862" s="225"/>
      <c r="B862" s="98">
        <v>45039</v>
      </c>
      <c r="C862" s="66" t="s">
        <v>59</v>
      </c>
      <c r="D862" s="67" t="s">
        <v>38</v>
      </c>
      <c r="E862" s="67"/>
      <c r="F862" s="68"/>
      <c r="G862" s="67"/>
      <c r="H862" s="67">
        <v>0</v>
      </c>
      <c r="I862" s="67">
        <v>0</v>
      </c>
      <c r="J862" s="67">
        <v>0</v>
      </c>
      <c r="K862" s="69"/>
      <c r="L862" s="69">
        <f t="shared" si="47"/>
        <v>0</v>
      </c>
      <c r="M862" s="69">
        <v>0</v>
      </c>
      <c r="N862" s="103">
        <f t="shared" si="48"/>
        <v>0</v>
      </c>
      <c r="O862" s="71" t="s">
        <v>162</v>
      </c>
    </row>
    <row r="863" spans="1:15" hidden="1" x14ac:dyDescent="0.25">
      <c r="A863" s="223">
        <f>_xlfn.ISOWEEKNUM(B863)</f>
        <v>17</v>
      </c>
      <c r="B863" s="96">
        <v>45040</v>
      </c>
      <c r="C863" s="72" t="s">
        <v>37</v>
      </c>
      <c r="D863" s="41" t="s">
        <v>38</v>
      </c>
      <c r="E863" s="41"/>
      <c r="F863" s="43"/>
      <c r="G863" s="41"/>
      <c r="H863" s="41">
        <v>0</v>
      </c>
      <c r="I863" s="41">
        <v>0</v>
      </c>
      <c r="J863" s="41">
        <v>0</v>
      </c>
      <c r="K863" s="73"/>
      <c r="L863" s="73">
        <f t="shared" si="47"/>
        <v>0</v>
      </c>
      <c r="M863" s="73">
        <v>0</v>
      </c>
      <c r="N863" s="105">
        <f t="shared" si="48"/>
        <v>0</v>
      </c>
      <c r="O863" s="46" t="s">
        <v>162</v>
      </c>
    </row>
    <row r="864" spans="1:15" hidden="1" x14ac:dyDescent="0.25">
      <c r="A864" s="224"/>
      <c r="B864" s="96">
        <v>45041</v>
      </c>
      <c r="C864" s="52" t="s">
        <v>42</v>
      </c>
      <c r="D864" s="53" t="s">
        <v>38</v>
      </c>
      <c r="E864" s="53"/>
      <c r="F864" s="54"/>
      <c r="G864" s="53"/>
      <c r="H864" s="53">
        <v>0</v>
      </c>
      <c r="I864" s="53">
        <v>0</v>
      </c>
      <c r="J864" s="53">
        <v>0</v>
      </c>
      <c r="K864" s="55"/>
      <c r="L864" s="55">
        <f t="shared" si="47"/>
        <v>0</v>
      </c>
      <c r="M864" s="55">
        <v>0</v>
      </c>
      <c r="N864" s="101">
        <f t="shared" si="48"/>
        <v>0</v>
      </c>
      <c r="O864" s="57" t="s">
        <v>162</v>
      </c>
    </row>
    <row r="865" spans="1:15" hidden="1" x14ac:dyDescent="0.25">
      <c r="A865" s="224"/>
      <c r="B865" s="96">
        <v>45042</v>
      </c>
      <c r="C865" s="52" t="s">
        <v>46</v>
      </c>
      <c r="D865" s="53" t="s">
        <v>38</v>
      </c>
      <c r="E865" s="53"/>
      <c r="F865" s="54"/>
      <c r="G865" s="53"/>
      <c r="H865" s="53">
        <v>0</v>
      </c>
      <c r="I865" s="53">
        <v>0</v>
      </c>
      <c r="J865" s="53">
        <v>0</v>
      </c>
      <c r="K865" s="55"/>
      <c r="L865" s="55">
        <f t="shared" si="47"/>
        <v>0</v>
      </c>
      <c r="M865" s="55">
        <v>0</v>
      </c>
      <c r="N865" s="101">
        <f t="shared" si="48"/>
        <v>0</v>
      </c>
      <c r="O865" s="57" t="s">
        <v>162</v>
      </c>
    </row>
    <row r="866" spans="1:15" hidden="1" x14ac:dyDescent="0.25">
      <c r="A866" s="224"/>
      <c r="B866" s="96">
        <v>45043</v>
      </c>
      <c r="C866" s="52" t="s">
        <v>50</v>
      </c>
      <c r="D866" s="53" t="s">
        <v>38</v>
      </c>
      <c r="E866" s="53"/>
      <c r="F866" s="54"/>
      <c r="G866" s="53"/>
      <c r="H866" s="53">
        <v>0</v>
      </c>
      <c r="I866" s="53">
        <v>0</v>
      </c>
      <c r="J866" s="53">
        <v>0</v>
      </c>
      <c r="K866" s="55"/>
      <c r="L866" s="55">
        <f t="shared" si="47"/>
        <v>0</v>
      </c>
      <c r="M866" s="55">
        <v>0</v>
      </c>
      <c r="N866" s="101">
        <f t="shared" si="48"/>
        <v>0</v>
      </c>
      <c r="O866" s="57" t="s">
        <v>162</v>
      </c>
    </row>
    <row r="867" spans="1:15" hidden="1" x14ac:dyDescent="0.25">
      <c r="A867" s="224"/>
      <c r="B867" s="96">
        <v>45044</v>
      </c>
      <c r="C867" s="52" t="s">
        <v>53</v>
      </c>
      <c r="D867" s="53" t="s">
        <v>38</v>
      </c>
      <c r="E867" s="53"/>
      <c r="F867" s="54"/>
      <c r="G867" s="53"/>
      <c r="H867" s="53">
        <v>0</v>
      </c>
      <c r="I867" s="53">
        <v>0</v>
      </c>
      <c r="J867" s="53">
        <v>0</v>
      </c>
      <c r="K867" s="55"/>
      <c r="L867" s="55">
        <f t="shared" si="47"/>
        <v>0</v>
      </c>
      <c r="M867" s="55">
        <v>0</v>
      </c>
      <c r="N867" s="101">
        <f t="shared" si="48"/>
        <v>0</v>
      </c>
      <c r="O867" s="57" t="s">
        <v>162</v>
      </c>
    </row>
    <row r="868" spans="1:15" hidden="1" x14ac:dyDescent="0.25">
      <c r="A868" s="224"/>
      <c r="B868" s="97">
        <v>45045</v>
      </c>
      <c r="C868" s="58" t="s">
        <v>57</v>
      </c>
      <c r="D868" s="60" t="s">
        <v>38</v>
      </c>
      <c r="E868" s="60"/>
      <c r="F868" s="61"/>
      <c r="G868" s="60"/>
      <c r="H868" s="60">
        <v>0</v>
      </c>
      <c r="I868" s="60">
        <v>0</v>
      </c>
      <c r="J868" s="60">
        <v>0</v>
      </c>
      <c r="K868" s="62"/>
      <c r="L868" s="62">
        <f t="shared" si="47"/>
        <v>0</v>
      </c>
      <c r="M868" s="62">
        <v>0</v>
      </c>
      <c r="N868" s="102">
        <f t="shared" si="48"/>
        <v>0</v>
      </c>
      <c r="O868" s="64" t="s">
        <v>162</v>
      </c>
    </row>
    <row r="869" spans="1:15" ht="15.75" hidden="1" thickBot="1" x14ac:dyDescent="0.3">
      <c r="A869" s="225"/>
      <c r="B869" s="98">
        <v>45046</v>
      </c>
      <c r="C869" s="66" t="s">
        <v>59</v>
      </c>
      <c r="D869" s="67" t="s">
        <v>38</v>
      </c>
      <c r="E869" s="67"/>
      <c r="F869" s="68"/>
      <c r="G869" s="67"/>
      <c r="H869" s="67">
        <v>0</v>
      </c>
      <c r="I869" s="67">
        <v>0</v>
      </c>
      <c r="J869" s="67">
        <v>0</v>
      </c>
      <c r="K869" s="69"/>
      <c r="L869" s="69">
        <f t="shared" si="47"/>
        <v>0</v>
      </c>
      <c r="M869" s="69">
        <v>0</v>
      </c>
      <c r="N869" s="103">
        <f t="shared" si="48"/>
        <v>0</v>
      </c>
      <c r="O869" s="71" t="s">
        <v>162</v>
      </c>
    </row>
    <row r="870" spans="1:15" hidden="1" x14ac:dyDescent="0.25">
      <c r="A870" s="223">
        <f>_xlfn.ISOWEEKNUM(B870)</f>
        <v>18</v>
      </c>
      <c r="B870" s="96">
        <v>45047</v>
      </c>
      <c r="C870" s="72" t="s">
        <v>37</v>
      </c>
      <c r="D870" s="41" t="s">
        <v>38</v>
      </c>
      <c r="E870" s="41"/>
      <c r="F870" s="43"/>
      <c r="G870" s="41"/>
      <c r="H870" s="41">
        <v>0</v>
      </c>
      <c r="I870" s="41">
        <v>0</v>
      </c>
      <c r="J870" s="41">
        <v>0</v>
      </c>
      <c r="K870" s="73"/>
      <c r="L870" s="73">
        <f t="shared" si="47"/>
        <v>0</v>
      </c>
      <c r="M870" s="73">
        <v>0</v>
      </c>
      <c r="N870" s="105">
        <f t="shared" si="48"/>
        <v>0</v>
      </c>
      <c r="O870" s="46" t="s">
        <v>162</v>
      </c>
    </row>
    <row r="871" spans="1:15" hidden="1" x14ac:dyDescent="0.25">
      <c r="A871" s="224"/>
      <c r="B871" s="96">
        <v>45048</v>
      </c>
      <c r="C871" s="52" t="s">
        <v>42</v>
      </c>
      <c r="D871" s="53" t="s">
        <v>38</v>
      </c>
      <c r="E871" s="53"/>
      <c r="F871" s="54"/>
      <c r="G871" s="53"/>
      <c r="H871" s="53">
        <v>0</v>
      </c>
      <c r="I871" s="53">
        <v>0</v>
      </c>
      <c r="J871" s="53">
        <v>0</v>
      </c>
      <c r="K871" s="55"/>
      <c r="L871" s="55">
        <f t="shared" si="47"/>
        <v>0</v>
      </c>
      <c r="M871" s="55">
        <v>0</v>
      </c>
      <c r="N871" s="101">
        <f t="shared" si="48"/>
        <v>0</v>
      </c>
      <c r="O871" s="57" t="s">
        <v>162</v>
      </c>
    </row>
    <row r="872" spans="1:15" hidden="1" x14ac:dyDescent="0.25">
      <c r="A872" s="224"/>
      <c r="B872" s="96">
        <v>45049</v>
      </c>
      <c r="C872" s="52" t="s">
        <v>46</v>
      </c>
      <c r="D872" s="53" t="s">
        <v>38</v>
      </c>
      <c r="E872" s="53"/>
      <c r="F872" s="54"/>
      <c r="G872" s="53"/>
      <c r="H872" s="53">
        <v>0</v>
      </c>
      <c r="I872" s="53">
        <v>0</v>
      </c>
      <c r="J872" s="53">
        <v>0</v>
      </c>
      <c r="K872" s="55"/>
      <c r="L872" s="55">
        <f t="shared" si="47"/>
        <v>0</v>
      </c>
      <c r="M872" s="55">
        <v>0</v>
      </c>
      <c r="N872" s="101">
        <f t="shared" si="48"/>
        <v>0</v>
      </c>
      <c r="O872" s="57" t="s">
        <v>162</v>
      </c>
    </row>
    <row r="873" spans="1:15" hidden="1" x14ac:dyDescent="0.25">
      <c r="A873" s="224"/>
      <c r="B873" s="96">
        <v>45050</v>
      </c>
      <c r="C873" s="52" t="s">
        <v>50</v>
      </c>
      <c r="D873" s="53" t="s">
        <v>38</v>
      </c>
      <c r="E873" s="53"/>
      <c r="F873" s="54"/>
      <c r="G873" s="53"/>
      <c r="H873" s="53">
        <v>0</v>
      </c>
      <c r="I873" s="53">
        <v>0</v>
      </c>
      <c r="J873" s="53">
        <v>0</v>
      </c>
      <c r="K873" s="55"/>
      <c r="L873" s="55">
        <f t="shared" ref="L873:L936" si="49">IF(J873&lt;&gt;0,J873,I873)*K873</f>
        <v>0</v>
      </c>
      <c r="M873" s="55">
        <v>0</v>
      </c>
      <c r="N873" s="101">
        <f t="shared" si="48"/>
        <v>0</v>
      </c>
      <c r="O873" s="57" t="s">
        <v>162</v>
      </c>
    </row>
    <row r="874" spans="1:15" hidden="1" x14ac:dyDescent="0.25">
      <c r="A874" s="224"/>
      <c r="B874" s="96">
        <v>45051</v>
      </c>
      <c r="C874" s="52" t="s">
        <v>53</v>
      </c>
      <c r="D874" s="53" t="s">
        <v>38</v>
      </c>
      <c r="E874" s="53"/>
      <c r="F874" s="54"/>
      <c r="G874" s="53"/>
      <c r="H874" s="53">
        <v>0</v>
      </c>
      <c r="I874" s="53">
        <v>0</v>
      </c>
      <c r="J874" s="53">
        <v>0</v>
      </c>
      <c r="K874" s="55"/>
      <c r="L874" s="55">
        <f t="shared" si="49"/>
        <v>0</v>
      </c>
      <c r="M874" s="55">
        <v>0</v>
      </c>
      <c r="N874" s="101">
        <f t="shared" si="48"/>
        <v>0</v>
      </c>
      <c r="O874" s="57" t="s">
        <v>162</v>
      </c>
    </row>
    <row r="875" spans="1:15" hidden="1" x14ac:dyDescent="0.25">
      <c r="A875" s="224"/>
      <c r="B875" s="97">
        <v>45052</v>
      </c>
      <c r="C875" s="58" t="s">
        <v>57</v>
      </c>
      <c r="D875" s="60" t="s">
        <v>38</v>
      </c>
      <c r="E875" s="60"/>
      <c r="F875" s="61"/>
      <c r="G875" s="60"/>
      <c r="H875" s="60">
        <v>0</v>
      </c>
      <c r="I875" s="60">
        <v>0</v>
      </c>
      <c r="J875" s="60">
        <v>0</v>
      </c>
      <c r="K875" s="62"/>
      <c r="L875" s="62">
        <f t="shared" si="49"/>
        <v>0</v>
      </c>
      <c r="M875" s="62">
        <v>0</v>
      </c>
      <c r="N875" s="102">
        <f t="shared" si="48"/>
        <v>0</v>
      </c>
      <c r="O875" s="64" t="s">
        <v>162</v>
      </c>
    </row>
    <row r="876" spans="1:15" ht="15.75" hidden="1" thickBot="1" x14ac:dyDescent="0.3">
      <c r="A876" s="225"/>
      <c r="B876" s="98">
        <v>45053</v>
      </c>
      <c r="C876" s="66" t="s">
        <v>59</v>
      </c>
      <c r="D876" s="67" t="s">
        <v>38</v>
      </c>
      <c r="E876" s="67"/>
      <c r="F876" s="68"/>
      <c r="G876" s="67"/>
      <c r="H876" s="67">
        <v>0</v>
      </c>
      <c r="I876" s="67">
        <v>0</v>
      </c>
      <c r="J876" s="67">
        <v>0</v>
      </c>
      <c r="K876" s="69"/>
      <c r="L876" s="69">
        <f t="shared" si="49"/>
        <v>0</v>
      </c>
      <c r="M876" s="69">
        <v>0</v>
      </c>
      <c r="N876" s="103">
        <f t="shared" si="48"/>
        <v>0</v>
      </c>
      <c r="O876" s="71" t="s">
        <v>162</v>
      </c>
    </row>
    <row r="877" spans="1:15" hidden="1" x14ac:dyDescent="0.25">
      <c r="A877" s="223">
        <f>_xlfn.ISOWEEKNUM(B877)</f>
        <v>19</v>
      </c>
      <c r="B877" s="96">
        <v>45054</v>
      </c>
      <c r="C877" s="72" t="s">
        <v>37</v>
      </c>
      <c r="D877" s="41" t="s">
        <v>38</v>
      </c>
      <c r="E877" s="41"/>
      <c r="F877" s="43"/>
      <c r="G877" s="41"/>
      <c r="H877" s="41">
        <v>0</v>
      </c>
      <c r="I877" s="41">
        <v>0</v>
      </c>
      <c r="J877" s="41">
        <v>0</v>
      </c>
      <c r="K877" s="73"/>
      <c r="L877" s="73">
        <f t="shared" si="49"/>
        <v>0</v>
      </c>
      <c r="M877" s="73">
        <v>0</v>
      </c>
      <c r="N877" s="105">
        <f t="shared" si="48"/>
        <v>0</v>
      </c>
      <c r="O877" s="46" t="s">
        <v>162</v>
      </c>
    </row>
    <row r="878" spans="1:15" hidden="1" x14ac:dyDescent="0.25">
      <c r="A878" s="224"/>
      <c r="B878" s="96">
        <v>45055</v>
      </c>
      <c r="C878" s="52" t="s">
        <v>42</v>
      </c>
      <c r="D878" s="53" t="s">
        <v>38</v>
      </c>
      <c r="E878" s="53"/>
      <c r="F878" s="54"/>
      <c r="G878" s="53"/>
      <c r="H878" s="53">
        <v>0</v>
      </c>
      <c r="I878" s="53">
        <v>0</v>
      </c>
      <c r="J878" s="53">
        <v>0</v>
      </c>
      <c r="K878" s="55"/>
      <c r="L878" s="55">
        <f t="shared" si="49"/>
        <v>0</v>
      </c>
      <c r="M878" s="55">
        <v>0</v>
      </c>
      <c r="N878" s="101">
        <f t="shared" si="48"/>
        <v>0</v>
      </c>
      <c r="O878" s="57" t="s">
        <v>162</v>
      </c>
    </row>
    <row r="879" spans="1:15" hidden="1" x14ac:dyDescent="0.25">
      <c r="A879" s="224"/>
      <c r="B879" s="96">
        <v>45056</v>
      </c>
      <c r="C879" s="52" t="s">
        <v>46</v>
      </c>
      <c r="D879" s="53" t="s">
        <v>38</v>
      </c>
      <c r="E879" s="53"/>
      <c r="F879" s="54"/>
      <c r="G879" s="53"/>
      <c r="H879" s="53">
        <v>0</v>
      </c>
      <c r="I879" s="53">
        <v>0</v>
      </c>
      <c r="J879" s="53">
        <v>0</v>
      </c>
      <c r="K879" s="55"/>
      <c r="L879" s="55">
        <f t="shared" si="49"/>
        <v>0</v>
      </c>
      <c r="M879" s="55">
        <v>0</v>
      </c>
      <c r="N879" s="101">
        <f t="shared" si="48"/>
        <v>0</v>
      </c>
      <c r="O879" s="57" t="s">
        <v>162</v>
      </c>
    </row>
    <row r="880" spans="1:15" hidden="1" x14ac:dyDescent="0.25">
      <c r="A880" s="224"/>
      <c r="B880" s="96">
        <v>45057</v>
      </c>
      <c r="C880" s="52" t="s">
        <v>50</v>
      </c>
      <c r="D880" s="53" t="s">
        <v>38</v>
      </c>
      <c r="E880" s="53"/>
      <c r="F880" s="54"/>
      <c r="G880" s="53"/>
      <c r="H880" s="53">
        <v>0</v>
      </c>
      <c r="I880" s="53">
        <v>0</v>
      </c>
      <c r="J880" s="53">
        <v>0</v>
      </c>
      <c r="K880" s="55"/>
      <c r="L880" s="55">
        <f t="shared" si="49"/>
        <v>0</v>
      </c>
      <c r="M880" s="55">
        <v>0</v>
      </c>
      <c r="N880" s="101">
        <f t="shared" si="48"/>
        <v>0</v>
      </c>
      <c r="O880" s="57" t="s">
        <v>162</v>
      </c>
    </row>
    <row r="881" spans="1:15" hidden="1" x14ac:dyDescent="0.25">
      <c r="A881" s="224"/>
      <c r="B881" s="96">
        <v>45058</v>
      </c>
      <c r="C881" s="52" t="s">
        <v>53</v>
      </c>
      <c r="D881" s="53" t="s">
        <v>38</v>
      </c>
      <c r="E881" s="53"/>
      <c r="F881" s="54"/>
      <c r="G881" s="53"/>
      <c r="H881" s="53">
        <v>0</v>
      </c>
      <c r="I881" s="53">
        <v>0</v>
      </c>
      <c r="J881" s="53">
        <v>0</v>
      </c>
      <c r="K881" s="55"/>
      <c r="L881" s="55">
        <f t="shared" si="49"/>
        <v>0</v>
      </c>
      <c r="M881" s="55">
        <v>0</v>
      </c>
      <c r="N881" s="101">
        <f t="shared" si="48"/>
        <v>0</v>
      </c>
      <c r="O881" s="57" t="s">
        <v>162</v>
      </c>
    </row>
    <row r="882" spans="1:15" hidden="1" x14ac:dyDescent="0.25">
      <c r="A882" s="224"/>
      <c r="B882" s="97">
        <v>45059</v>
      </c>
      <c r="C882" s="58" t="s">
        <v>57</v>
      </c>
      <c r="D882" s="60" t="s">
        <v>38</v>
      </c>
      <c r="E882" s="60"/>
      <c r="F882" s="61"/>
      <c r="G882" s="60"/>
      <c r="H882" s="60">
        <v>0</v>
      </c>
      <c r="I882" s="60">
        <v>0</v>
      </c>
      <c r="J882" s="60">
        <v>0</v>
      </c>
      <c r="K882" s="62"/>
      <c r="L882" s="62">
        <f t="shared" si="49"/>
        <v>0</v>
      </c>
      <c r="M882" s="62">
        <v>0</v>
      </c>
      <c r="N882" s="102">
        <f t="shared" si="48"/>
        <v>0</v>
      </c>
      <c r="O882" s="64" t="s">
        <v>162</v>
      </c>
    </row>
    <row r="883" spans="1:15" ht="15.75" hidden="1" thickBot="1" x14ac:dyDescent="0.3">
      <c r="A883" s="225"/>
      <c r="B883" s="98">
        <v>45060</v>
      </c>
      <c r="C883" s="66" t="s">
        <v>59</v>
      </c>
      <c r="D883" s="67" t="s">
        <v>38</v>
      </c>
      <c r="E883" s="67"/>
      <c r="F883" s="68"/>
      <c r="G883" s="67"/>
      <c r="H883" s="67">
        <v>0</v>
      </c>
      <c r="I883" s="67">
        <v>0</v>
      </c>
      <c r="J883" s="67">
        <v>0</v>
      </c>
      <c r="K883" s="69"/>
      <c r="L883" s="69">
        <f t="shared" si="49"/>
        <v>0</v>
      </c>
      <c r="M883" s="69">
        <v>0</v>
      </c>
      <c r="N883" s="103">
        <f t="shared" si="48"/>
        <v>0</v>
      </c>
      <c r="O883" s="71" t="s">
        <v>162</v>
      </c>
    </row>
    <row r="884" spans="1:15" hidden="1" x14ac:dyDescent="0.25">
      <c r="A884" s="223">
        <f>_xlfn.ISOWEEKNUM(B884)</f>
        <v>20</v>
      </c>
      <c r="B884" s="96">
        <v>45061</v>
      </c>
      <c r="C884" s="72" t="s">
        <v>37</v>
      </c>
      <c r="D884" s="41" t="s">
        <v>38</v>
      </c>
      <c r="E884" s="41"/>
      <c r="F884" s="43"/>
      <c r="G884" s="41"/>
      <c r="H884" s="41">
        <v>0</v>
      </c>
      <c r="I884" s="41">
        <v>0</v>
      </c>
      <c r="J884" s="41">
        <v>0</v>
      </c>
      <c r="K884" s="73"/>
      <c r="L884" s="73">
        <f t="shared" si="49"/>
        <v>0</v>
      </c>
      <c r="M884" s="73">
        <v>0</v>
      </c>
      <c r="N884" s="105">
        <f t="shared" si="48"/>
        <v>0</v>
      </c>
      <c r="O884" s="46" t="s">
        <v>162</v>
      </c>
    </row>
    <row r="885" spans="1:15" hidden="1" x14ac:dyDescent="0.25">
      <c r="A885" s="224"/>
      <c r="B885" s="96">
        <v>45062</v>
      </c>
      <c r="C885" s="52" t="s">
        <v>42</v>
      </c>
      <c r="D885" s="53" t="s">
        <v>38</v>
      </c>
      <c r="E885" s="53"/>
      <c r="F885" s="54"/>
      <c r="G885" s="53"/>
      <c r="H885" s="53">
        <v>0</v>
      </c>
      <c r="I885" s="53">
        <v>0</v>
      </c>
      <c r="J885" s="53">
        <v>0</v>
      </c>
      <c r="K885" s="55"/>
      <c r="L885" s="55">
        <f t="shared" si="49"/>
        <v>0</v>
      </c>
      <c r="M885" s="55">
        <v>0</v>
      </c>
      <c r="N885" s="101">
        <f t="shared" si="48"/>
        <v>0</v>
      </c>
      <c r="O885" s="57" t="s">
        <v>162</v>
      </c>
    </row>
    <row r="886" spans="1:15" hidden="1" x14ac:dyDescent="0.25">
      <c r="A886" s="224"/>
      <c r="B886" s="96">
        <v>45063</v>
      </c>
      <c r="C886" s="52" t="s">
        <v>46</v>
      </c>
      <c r="D886" s="53" t="s">
        <v>38</v>
      </c>
      <c r="E886" s="53"/>
      <c r="F886" s="54"/>
      <c r="G886" s="53"/>
      <c r="H886" s="53">
        <v>0</v>
      </c>
      <c r="I886" s="53">
        <v>0</v>
      </c>
      <c r="J886" s="53">
        <v>0</v>
      </c>
      <c r="K886" s="55"/>
      <c r="L886" s="55">
        <f t="shared" si="49"/>
        <v>0</v>
      </c>
      <c r="M886" s="55">
        <v>0</v>
      </c>
      <c r="N886" s="101">
        <f t="shared" si="48"/>
        <v>0</v>
      </c>
      <c r="O886" s="57" t="s">
        <v>162</v>
      </c>
    </row>
    <row r="887" spans="1:15" hidden="1" x14ac:dyDescent="0.25">
      <c r="A887" s="224"/>
      <c r="B887" s="96">
        <v>45064</v>
      </c>
      <c r="C887" s="52" t="s">
        <v>50</v>
      </c>
      <c r="D887" s="53" t="s">
        <v>38</v>
      </c>
      <c r="E887" s="53"/>
      <c r="F887" s="54"/>
      <c r="G887" s="53"/>
      <c r="H887" s="53">
        <v>0</v>
      </c>
      <c r="I887" s="53">
        <v>0</v>
      </c>
      <c r="J887" s="53">
        <v>0</v>
      </c>
      <c r="K887" s="55"/>
      <c r="L887" s="55">
        <f t="shared" si="49"/>
        <v>0</v>
      </c>
      <c r="M887" s="55">
        <v>0</v>
      </c>
      <c r="N887" s="101">
        <f t="shared" si="48"/>
        <v>0</v>
      </c>
      <c r="O887" s="57" t="s">
        <v>162</v>
      </c>
    </row>
    <row r="888" spans="1:15" hidden="1" x14ac:dyDescent="0.25">
      <c r="A888" s="224"/>
      <c r="B888" s="96">
        <v>45065</v>
      </c>
      <c r="C888" s="52" t="s">
        <v>53</v>
      </c>
      <c r="D888" s="53" t="s">
        <v>38</v>
      </c>
      <c r="E888" s="53"/>
      <c r="F888" s="54"/>
      <c r="G888" s="53"/>
      <c r="H888" s="53">
        <v>0</v>
      </c>
      <c r="I888" s="53">
        <v>0</v>
      </c>
      <c r="J888" s="53">
        <v>0</v>
      </c>
      <c r="K888" s="55"/>
      <c r="L888" s="55">
        <f t="shared" si="49"/>
        <v>0</v>
      </c>
      <c r="M888" s="55">
        <v>0</v>
      </c>
      <c r="N888" s="101">
        <f t="shared" si="48"/>
        <v>0</v>
      </c>
      <c r="O888" s="57" t="s">
        <v>162</v>
      </c>
    </row>
    <row r="889" spans="1:15" hidden="1" x14ac:dyDescent="0.25">
      <c r="A889" s="224"/>
      <c r="B889" s="97">
        <v>45066</v>
      </c>
      <c r="C889" s="58" t="s">
        <v>57</v>
      </c>
      <c r="D889" s="60" t="s">
        <v>38</v>
      </c>
      <c r="E889" s="60"/>
      <c r="F889" s="61"/>
      <c r="G889" s="60"/>
      <c r="H889" s="60">
        <v>0</v>
      </c>
      <c r="I889" s="60">
        <v>0</v>
      </c>
      <c r="J889" s="60">
        <v>0</v>
      </c>
      <c r="K889" s="62"/>
      <c r="L889" s="62">
        <f t="shared" si="49"/>
        <v>0</v>
      </c>
      <c r="M889" s="62">
        <v>0</v>
      </c>
      <c r="N889" s="102">
        <f t="shared" si="48"/>
        <v>0</v>
      </c>
      <c r="O889" s="64" t="s">
        <v>162</v>
      </c>
    </row>
    <row r="890" spans="1:15" ht="15.75" hidden="1" thickBot="1" x14ac:dyDescent="0.3">
      <c r="A890" s="225"/>
      <c r="B890" s="98">
        <v>45067</v>
      </c>
      <c r="C890" s="66" t="s">
        <v>59</v>
      </c>
      <c r="D890" s="67" t="s">
        <v>38</v>
      </c>
      <c r="E890" s="67"/>
      <c r="F890" s="68"/>
      <c r="G890" s="67"/>
      <c r="H890" s="67">
        <v>0</v>
      </c>
      <c r="I890" s="67">
        <v>0</v>
      </c>
      <c r="J890" s="67">
        <v>0</v>
      </c>
      <c r="K890" s="69"/>
      <c r="L890" s="69">
        <f t="shared" si="49"/>
        <v>0</v>
      </c>
      <c r="M890" s="69">
        <v>0</v>
      </c>
      <c r="N890" s="103">
        <f t="shared" si="48"/>
        <v>0</v>
      </c>
      <c r="O890" s="71" t="s">
        <v>162</v>
      </c>
    </row>
    <row r="891" spans="1:15" hidden="1" x14ac:dyDescent="0.25">
      <c r="A891" s="223">
        <f>_xlfn.ISOWEEKNUM(B891)</f>
        <v>21</v>
      </c>
      <c r="B891" s="96">
        <v>45068</v>
      </c>
      <c r="C891" s="72" t="s">
        <v>37</v>
      </c>
      <c r="D891" s="41" t="s">
        <v>38</v>
      </c>
      <c r="E891" s="41"/>
      <c r="F891" s="43"/>
      <c r="G891" s="41"/>
      <c r="H891" s="41">
        <v>0</v>
      </c>
      <c r="I891" s="41">
        <v>0</v>
      </c>
      <c r="J891" s="41">
        <v>0</v>
      </c>
      <c r="K891" s="73"/>
      <c r="L891" s="73">
        <f t="shared" si="49"/>
        <v>0</v>
      </c>
      <c r="M891" s="73">
        <v>0</v>
      </c>
      <c r="N891" s="105">
        <f t="shared" si="48"/>
        <v>0</v>
      </c>
      <c r="O891" s="46" t="s">
        <v>162</v>
      </c>
    </row>
    <row r="892" spans="1:15" hidden="1" x14ac:dyDescent="0.25">
      <c r="A892" s="224"/>
      <c r="B892" s="96">
        <v>45069</v>
      </c>
      <c r="C892" s="52" t="s">
        <v>42</v>
      </c>
      <c r="D892" s="53" t="s">
        <v>38</v>
      </c>
      <c r="E892" s="53"/>
      <c r="F892" s="54"/>
      <c r="G892" s="53"/>
      <c r="H892" s="53">
        <v>0</v>
      </c>
      <c r="I892" s="53">
        <v>0</v>
      </c>
      <c r="J892" s="53">
        <v>0</v>
      </c>
      <c r="K892" s="55"/>
      <c r="L892" s="55">
        <f t="shared" si="49"/>
        <v>0</v>
      </c>
      <c r="M892" s="55">
        <v>0</v>
      </c>
      <c r="N892" s="101">
        <f t="shared" si="48"/>
        <v>0</v>
      </c>
      <c r="O892" s="57" t="s">
        <v>162</v>
      </c>
    </row>
    <row r="893" spans="1:15" hidden="1" x14ac:dyDescent="0.25">
      <c r="A893" s="224"/>
      <c r="B893" s="96">
        <v>45070</v>
      </c>
      <c r="C893" s="52" t="s">
        <v>46</v>
      </c>
      <c r="D893" s="53" t="s">
        <v>38</v>
      </c>
      <c r="E893" s="53"/>
      <c r="F893" s="54"/>
      <c r="G893" s="53"/>
      <c r="H893" s="53">
        <v>0</v>
      </c>
      <c r="I893" s="53">
        <v>0</v>
      </c>
      <c r="J893" s="53">
        <v>0</v>
      </c>
      <c r="K893" s="55"/>
      <c r="L893" s="55">
        <f t="shared" si="49"/>
        <v>0</v>
      </c>
      <c r="M893" s="55">
        <v>0</v>
      </c>
      <c r="N893" s="101">
        <f t="shared" si="48"/>
        <v>0</v>
      </c>
      <c r="O893" s="57" t="s">
        <v>162</v>
      </c>
    </row>
    <row r="894" spans="1:15" hidden="1" x14ac:dyDescent="0.25">
      <c r="A894" s="224"/>
      <c r="B894" s="96">
        <v>45071</v>
      </c>
      <c r="C894" s="52" t="s">
        <v>50</v>
      </c>
      <c r="D894" s="53" t="s">
        <v>38</v>
      </c>
      <c r="E894" s="53"/>
      <c r="F894" s="54"/>
      <c r="G894" s="53"/>
      <c r="H894" s="53">
        <v>0</v>
      </c>
      <c r="I894" s="53">
        <v>0</v>
      </c>
      <c r="J894" s="53">
        <v>0</v>
      </c>
      <c r="K894" s="55"/>
      <c r="L894" s="55">
        <f t="shared" si="49"/>
        <v>0</v>
      </c>
      <c r="M894" s="55">
        <v>0</v>
      </c>
      <c r="N894" s="101">
        <f t="shared" si="48"/>
        <v>0</v>
      </c>
      <c r="O894" s="57" t="s">
        <v>162</v>
      </c>
    </row>
    <row r="895" spans="1:15" hidden="1" x14ac:dyDescent="0.25">
      <c r="A895" s="224"/>
      <c r="B895" s="96">
        <v>45072</v>
      </c>
      <c r="C895" s="52" t="s">
        <v>53</v>
      </c>
      <c r="D895" s="53" t="s">
        <v>38</v>
      </c>
      <c r="E895" s="53"/>
      <c r="F895" s="54"/>
      <c r="G895" s="53"/>
      <c r="H895" s="53">
        <v>0</v>
      </c>
      <c r="I895" s="53">
        <v>0</v>
      </c>
      <c r="J895" s="53">
        <v>0</v>
      </c>
      <c r="K895" s="55"/>
      <c r="L895" s="55">
        <f t="shared" si="49"/>
        <v>0</v>
      </c>
      <c r="M895" s="55">
        <v>0</v>
      </c>
      <c r="N895" s="101">
        <f t="shared" si="48"/>
        <v>0</v>
      </c>
      <c r="O895" s="57" t="s">
        <v>162</v>
      </c>
    </row>
    <row r="896" spans="1:15" hidden="1" x14ac:dyDescent="0.25">
      <c r="A896" s="224"/>
      <c r="B896" s="97">
        <v>45073</v>
      </c>
      <c r="C896" s="58" t="s">
        <v>57</v>
      </c>
      <c r="D896" s="60" t="s">
        <v>38</v>
      </c>
      <c r="E896" s="60"/>
      <c r="F896" s="61"/>
      <c r="G896" s="60"/>
      <c r="H896" s="60">
        <v>0</v>
      </c>
      <c r="I896" s="60">
        <v>0</v>
      </c>
      <c r="J896" s="60">
        <v>0</v>
      </c>
      <c r="K896" s="62"/>
      <c r="L896" s="62">
        <f t="shared" si="49"/>
        <v>0</v>
      </c>
      <c r="M896" s="62">
        <v>0</v>
      </c>
      <c r="N896" s="102">
        <f t="shared" si="48"/>
        <v>0</v>
      </c>
      <c r="O896" s="64" t="s">
        <v>162</v>
      </c>
    </row>
    <row r="897" spans="1:15" ht="15.75" hidden="1" thickBot="1" x14ac:dyDescent="0.3">
      <c r="A897" s="225"/>
      <c r="B897" s="98">
        <v>45074</v>
      </c>
      <c r="C897" s="66" t="s">
        <v>59</v>
      </c>
      <c r="D897" s="67" t="s">
        <v>38</v>
      </c>
      <c r="E897" s="67"/>
      <c r="F897" s="68"/>
      <c r="G897" s="67"/>
      <c r="H897" s="67">
        <v>0</v>
      </c>
      <c r="I897" s="67">
        <v>0</v>
      </c>
      <c r="J897" s="67">
        <v>0</v>
      </c>
      <c r="K897" s="69"/>
      <c r="L897" s="69">
        <f t="shared" si="49"/>
        <v>0</v>
      </c>
      <c r="M897" s="69">
        <v>0</v>
      </c>
      <c r="N897" s="103">
        <f t="shared" si="48"/>
        <v>0</v>
      </c>
      <c r="O897" s="71" t="s">
        <v>162</v>
      </c>
    </row>
    <row r="898" spans="1:15" hidden="1" x14ac:dyDescent="0.25">
      <c r="A898" s="223">
        <f>_xlfn.ISOWEEKNUM(B898)</f>
        <v>22</v>
      </c>
      <c r="B898" s="96">
        <v>45075</v>
      </c>
      <c r="C898" s="72" t="s">
        <v>37</v>
      </c>
      <c r="D898" s="41" t="s">
        <v>38</v>
      </c>
      <c r="E898" s="41"/>
      <c r="F898" s="43"/>
      <c r="G898" s="41"/>
      <c r="H898" s="41">
        <v>0</v>
      </c>
      <c r="I898" s="41">
        <v>0</v>
      </c>
      <c r="J898" s="41">
        <v>0</v>
      </c>
      <c r="K898" s="73"/>
      <c r="L898" s="73">
        <f t="shared" si="49"/>
        <v>0</v>
      </c>
      <c r="M898" s="73">
        <v>0</v>
      </c>
      <c r="N898" s="105">
        <f t="shared" si="48"/>
        <v>0</v>
      </c>
      <c r="O898" s="46" t="s">
        <v>162</v>
      </c>
    </row>
    <row r="899" spans="1:15" hidden="1" x14ac:dyDescent="0.25">
      <c r="A899" s="224"/>
      <c r="B899" s="96">
        <v>45076</v>
      </c>
      <c r="C899" s="52" t="s">
        <v>42</v>
      </c>
      <c r="D899" s="53" t="s">
        <v>38</v>
      </c>
      <c r="E899" s="53"/>
      <c r="F899" s="54"/>
      <c r="G899" s="53"/>
      <c r="H899" s="53">
        <v>0</v>
      </c>
      <c r="I899" s="53">
        <v>0</v>
      </c>
      <c r="J899" s="53">
        <v>0</v>
      </c>
      <c r="K899" s="55"/>
      <c r="L899" s="55">
        <f t="shared" si="49"/>
        <v>0</v>
      </c>
      <c r="M899" s="55">
        <v>0</v>
      </c>
      <c r="N899" s="101">
        <f t="shared" si="48"/>
        <v>0</v>
      </c>
      <c r="O899" s="57" t="s">
        <v>162</v>
      </c>
    </row>
    <row r="900" spans="1:15" hidden="1" x14ac:dyDescent="0.25">
      <c r="A900" s="224"/>
      <c r="B900" s="96">
        <v>45077</v>
      </c>
      <c r="C900" s="52" t="s">
        <v>46</v>
      </c>
      <c r="D900" s="53" t="s">
        <v>38</v>
      </c>
      <c r="E900" s="53"/>
      <c r="F900" s="54"/>
      <c r="G900" s="53"/>
      <c r="H900" s="53">
        <v>0</v>
      </c>
      <c r="I900" s="53">
        <v>0</v>
      </c>
      <c r="J900" s="53">
        <v>0</v>
      </c>
      <c r="K900" s="55"/>
      <c r="L900" s="55">
        <f t="shared" si="49"/>
        <v>0</v>
      </c>
      <c r="M900" s="55">
        <v>0</v>
      </c>
      <c r="N900" s="101">
        <f t="shared" si="48"/>
        <v>0</v>
      </c>
      <c r="O900" s="57" t="s">
        <v>162</v>
      </c>
    </row>
    <row r="901" spans="1:15" hidden="1" x14ac:dyDescent="0.25">
      <c r="A901" s="224"/>
      <c r="B901" s="96">
        <v>45078</v>
      </c>
      <c r="C901" s="52" t="s">
        <v>50</v>
      </c>
      <c r="D901" s="53" t="s">
        <v>38</v>
      </c>
      <c r="E901" s="53"/>
      <c r="F901" s="54"/>
      <c r="G901" s="53"/>
      <c r="H901" s="53">
        <v>0</v>
      </c>
      <c r="I901" s="53">
        <v>0</v>
      </c>
      <c r="J901" s="53">
        <v>0</v>
      </c>
      <c r="K901" s="55"/>
      <c r="L901" s="55">
        <f t="shared" si="49"/>
        <v>0</v>
      </c>
      <c r="M901" s="55">
        <v>0</v>
      </c>
      <c r="N901" s="101">
        <f t="shared" si="48"/>
        <v>0</v>
      </c>
      <c r="O901" s="57" t="s">
        <v>162</v>
      </c>
    </row>
    <row r="902" spans="1:15" hidden="1" x14ac:dyDescent="0.25">
      <c r="A902" s="224"/>
      <c r="B902" s="96">
        <v>45079</v>
      </c>
      <c r="C902" s="52" t="s">
        <v>53</v>
      </c>
      <c r="D902" s="53" t="s">
        <v>38</v>
      </c>
      <c r="E902" s="53"/>
      <c r="F902" s="54"/>
      <c r="G902" s="53"/>
      <c r="H902" s="53">
        <v>0</v>
      </c>
      <c r="I902" s="53">
        <v>0</v>
      </c>
      <c r="J902" s="53">
        <v>0</v>
      </c>
      <c r="K902" s="55"/>
      <c r="L902" s="55">
        <f t="shared" si="49"/>
        <v>0</v>
      </c>
      <c r="M902" s="55">
        <v>0</v>
      </c>
      <c r="N902" s="101">
        <f t="shared" si="48"/>
        <v>0</v>
      </c>
      <c r="O902" s="57" t="s">
        <v>162</v>
      </c>
    </row>
    <row r="903" spans="1:15" hidden="1" x14ac:dyDescent="0.25">
      <c r="A903" s="224"/>
      <c r="B903" s="97">
        <v>45080</v>
      </c>
      <c r="C903" s="58" t="s">
        <v>57</v>
      </c>
      <c r="D903" s="60" t="s">
        <v>38</v>
      </c>
      <c r="E903" s="60"/>
      <c r="F903" s="61"/>
      <c r="G903" s="60"/>
      <c r="H903" s="60">
        <v>0</v>
      </c>
      <c r="I903" s="60">
        <v>0</v>
      </c>
      <c r="J903" s="60">
        <v>0</v>
      </c>
      <c r="K903" s="62"/>
      <c r="L903" s="62">
        <f t="shared" si="49"/>
        <v>0</v>
      </c>
      <c r="M903" s="62">
        <v>0</v>
      </c>
      <c r="N903" s="102">
        <f t="shared" si="48"/>
        <v>0</v>
      </c>
      <c r="O903" s="64" t="s">
        <v>162</v>
      </c>
    </row>
    <row r="904" spans="1:15" ht="15.75" hidden="1" thickBot="1" x14ac:dyDescent="0.3">
      <c r="A904" s="225"/>
      <c r="B904" s="98">
        <v>45081</v>
      </c>
      <c r="C904" s="66" t="s">
        <v>59</v>
      </c>
      <c r="D904" s="67" t="s">
        <v>38</v>
      </c>
      <c r="E904" s="67"/>
      <c r="F904" s="68"/>
      <c r="G904" s="67"/>
      <c r="H904" s="67">
        <v>0</v>
      </c>
      <c r="I904" s="67">
        <v>0</v>
      </c>
      <c r="J904" s="67">
        <v>0</v>
      </c>
      <c r="K904" s="69"/>
      <c r="L904" s="69">
        <f t="shared" si="49"/>
        <v>0</v>
      </c>
      <c r="M904" s="69">
        <v>0</v>
      </c>
      <c r="N904" s="103">
        <f t="shared" si="48"/>
        <v>0</v>
      </c>
      <c r="O904" s="71" t="s">
        <v>162</v>
      </c>
    </row>
    <row r="905" spans="1:15" hidden="1" x14ac:dyDescent="0.25">
      <c r="A905" s="223">
        <f>_xlfn.ISOWEEKNUM(B905)</f>
        <v>23</v>
      </c>
      <c r="B905" s="96">
        <v>45082</v>
      </c>
      <c r="C905" s="72" t="s">
        <v>37</v>
      </c>
      <c r="D905" s="41" t="s">
        <v>38</v>
      </c>
      <c r="E905" s="41"/>
      <c r="F905" s="43"/>
      <c r="G905" s="41"/>
      <c r="H905" s="41">
        <v>0</v>
      </c>
      <c r="I905" s="41">
        <v>0</v>
      </c>
      <c r="J905" s="41">
        <v>0</v>
      </c>
      <c r="K905" s="73"/>
      <c r="L905" s="73">
        <f t="shared" si="49"/>
        <v>0</v>
      </c>
      <c r="M905" s="73">
        <v>0</v>
      </c>
      <c r="N905" s="105">
        <f t="shared" si="48"/>
        <v>0</v>
      </c>
      <c r="O905" s="46" t="s">
        <v>162</v>
      </c>
    </row>
    <row r="906" spans="1:15" hidden="1" x14ac:dyDescent="0.25">
      <c r="A906" s="224"/>
      <c r="B906" s="96">
        <v>45083</v>
      </c>
      <c r="C906" s="52" t="s">
        <v>42</v>
      </c>
      <c r="D906" s="53" t="s">
        <v>38</v>
      </c>
      <c r="E906" s="53"/>
      <c r="F906" s="54"/>
      <c r="G906" s="53"/>
      <c r="H906" s="53">
        <v>0</v>
      </c>
      <c r="I906" s="53">
        <v>0</v>
      </c>
      <c r="J906" s="53">
        <v>0</v>
      </c>
      <c r="K906" s="55"/>
      <c r="L906" s="55">
        <f t="shared" si="49"/>
        <v>0</v>
      </c>
      <c r="M906" s="55">
        <v>0</v>
      </c>
      <c r="N906" s="101">
        <f t="shared" si="48"/>
        <v>0</v>
      </c>
      <c r="O906" s="57" t="s">
        <v>162</v>
      </c>
    </row>
    <row r="907" spans="1:15" hidden="1" x14ac:dyDescent="0.25">
      <c r="A907" s="224"/>
      <c r="B907" s="96">
        <v>45084</v>
      </c>
      <c r="C907" s="52" t="s">
        <v>46</v>
      </c>
      <c r="D907" s="53" t="s">
        <v>38</v>
      </c>
      <c r="E907" s="53"/>
      <c r="F907" s="54"/>
      <c r="G907" s="53"/>
      <c r="H907" s="53">
        <v>0</v>
      </c>
      <c r="I907" s="53">
        <v>0</v>
      </c>
      <c r="J907" s="53">
        <v>0</v>
      </c>
      <c r="K907" s="55"/>
      <c r="L907" s="55">
        <f t="shared" si="49"/>
        <v>0</v>
      </c>
      <c r="M907" s="55">
        <v>0</v>
      </c>
      <c r="N907" s="101">
        <f t="shared" si="48"/>
        <v>0</v>
      </c>
      <c r="O907" s="57" t="s">
        <v>162</v>
      </c>
    </row>
    <row r="908" spans="1:15" hidden="1" x14ac:dyDescent="0.25">
      <c r="A908" s="224"/>
      <c r="B908" s="96">
        <v>45085</v>
      </c>
      <c r="C908" s="52" t="s">
        <v>50</v>
      </c>
      <c r="D908" s="53" t="s">
        <v>38</v>
      </c>
      <c r="E908" s="53"/>
      <c r="F908" s="54"/>
      <c r="G908" s="53"/>
      <c r="H908" s="53">
        <v>0</v>
      </c>
      <c r="I908" s="53">
        <v>0</v>
      </c>
      <c r="J908" s="53">
        <v>0</v>
      </c>
      <c r="K908" s="55"/>
      <c r="L908" s="55">
        <f t="shared" si="49"/>
        <v>0</v>
      </c>
      <c r="M908" s="55">
        <v>0</v>
      </c>
      <c r="N908" s="101">
        <f t="shared" si="48"/>
        <v>0</v>
      </c>
      <c r="O908" s="57" t="s">
        <v>162</v>
      </c>
    </row>
    <row r="909" spans="1:15" hidden="1" x14ac:dyDescent="0.25">
      <c r="A909" s="224"/>
      <c r="B909" s="96">
        <v>45086</v>
      </c>
      <c r="C909" s="52" t="s">
        <v>53</v>
      </c>
      <c r="D909" s="53" t="s">
        <v>38</v>
      </c>
      <c r="E909" s="53"/>
      <c r="F909" s="54"/>
      <c r="G909" s="53"/>
      <c r="H909" s="53">
        <v>0</v>
      </c>
      <c r="I909" s="53">
        <v>0</v>
      </c>
      <c r="J909" s="53">
        <v>0</v>
      </c>
      <c r="K909" s="55"/>
      <c r="L909" s="55">
        <f t="shared" si="49"/>
        <v>0</v>
      </c>
      <c r="M909" s="55">
        <v>0</v>
      </c>
      <c r="N909" s="101">
        <f t="shared" si="48"/>
        <v>0</v>
      </c>
      <c r="O909" s="57" t="s">
        <v>162</v>
      </c>
    </row>
    <row r="910" spans="1:15" hidden="1" x14ac:dyDescent="0.25">
      <c r="A910" s="224"/>
      <c r="B910" s="97">
        <v>45087</v>
      </c>
      <c r="C910" s="58" t="s">
        <v>57</v>
      </c>
      <c r="D910" s="60" t="s">
        <v>38</v>
      </c>
      <c r="E910" s="60"/>
      <c r="F910" s="61"/>
      <c r="G910" s="60"/>
      <c r="H910" s="60">
        <v>0</v>
      </c>
      <c r="I910" s="60">
        <v>0</v>
      </c>
      <c r="J910" s="60">
        <v>0</v>
      </c>
      <c r="K910" s="62"/>
      <c r="L910" s="62">
        <f t="shared" si="49"/>
        <v>0</v>
      </c>
      <c r="M910" s="62">
        <v>0</v>
      </c>
      <c r="N910" s="102">
        <f t="shared" si="48"/>
        <v>0</v>
      </c>
      <c r="O910" s="64" t="s">
        <v>162</v>
      </c>
    </row>
    <row r="911" spans="1:15" ht="15.75" hidden="1" thickBot="1" x14ac:dyDescent="0.3">
      <c r="A911" s="225"/>
      <c r="B911" s="98">
        <v>45088</v>
      </c>
      <c r="C911" s="66" t="s">
        <v>59</v>
      </c>
      <c r="D911" s="67" t="s">
        <v>38</v>
      </c>
      <c r="E911" s="67"/>
      <c r="F911" s="68"/>
      <c r="G911" s="67"/>
      <c r="H911" s="67">
        <v>0</v>
      </c>
      <c r="I911" s="67">
        <v>0</v>
      </c>
      <c r="J911" s="67">
        <v>0</v>
      </c>
      <c r="K911" s="69"/>
      <c r="L911" s="69">
        <f t="shared" si="49"/>
        <v>0</v>
      </c>
      <c r="M911" s="69">
        <v>0</v>
      </c>
      <c r="N911" s="103">
        <f t="shared" ref="N911:N974" si="50">L911*(1-M911)</f>
        <v>0</v>
      </c>
      <c r="O911" s="71" t="s">
        <v>162</v>
      </c>
    </row>
    <row r="912" spans="1:15" hidden="1" x14ac:dyDescent="0.25">
      <c r="A912" s="223">
        <f>_xlfn.ISOWEEKNUM(B912)</f>
        <v>24</v>
      </c>
      <c r="B912" s="96">
        <v>45089</v>
      </c>
      <c r="C912" s="72" t="s">
        <v>37</v>
      </c>
      <c r="D912" s="41" t="s">
        <v>38</v>
      </c>
      <c r="E912" s="41"/>
      <c r="F912" s="43"/>
      <c r="G912" s="41"/>
      <c r="H912" s="41">
        <v>0</v>
      </c>
      <c r="I912" s="41">
        <v>0</v>
      </c>
      <c r="J912" s="41">
        <v>0</v>
      </c>
      <c r="K912" s="73"/>
      <c r="L912" s="73">
        <f t="shared" si="49"/>
        <v>0</v>
      </c>
      <c r="M912" s="73">
        <v>0</v>
      </c>
      <c r="N912" s="105">
        <f t="shared" si="50"/>
        <v>0</v>
      </c>
      <c r="O912" s="57" t="s">
        <v>162</v>
      </c>
    </row>
    <row r="913" spans="1:15" hidden="1" x14ac:dyDescent="0.25">
      <c r="A913" s="224"/>
      <c r="B913" s="96">
        <v>45090</v>
      </c>
      <c r="C913" s="52" t="s">
        <v>42</v>
      </c>
      <c r="D913" s="53" t="s">
        <v>38</v>
      </c>
      <c r="E913" s="53"/>
      <c r="F913" s="54"/>
      <c r="G913" s="53"/>
      <c r="H913" s="53">
        <v>0</v>
      </c>
      <c r="I913" s="53">
        <v>0</v>
      </c>
      <c r="J913" s="53">
        <v>0</v>
      </c>
      <c r="K913" s="55"/>
      <c r="L913" s="55">
        <f t="shared" si="49"/>
        <v>0</v>
      </c>
      <c r="M913" s="55">
        <v>0</v>
      </c>
      <c r="N913" s="101">
        <f t="shared" si="50"/>
        <v>0</v>
      </c>
      <c r="O913" s="57" t="s">
        <v>162</v>
      </c>
    </row>
    <row r="914" spans="1:15" hidden="1" x14ac:dyDescent="0.25">
      <c r="A914" s="224"/>
      <c r="B914" s="96">
        <v>45091</v>
      </c>
      <c r="C914" s="52" t="s">
        <v>46</v>
      </c>
      <c r="D914" s="53" t="s">
        <v>38</v>
      </c>
      <c r="E914" s="53"/>
      <c r="F914" s="54"/>
      <c r="G914" s="53"/>
      <c r="H914" s="53">
        <v>0</v>
      </c>
      <c r="I914" s="53">
        <v>0</v>
      </c>
      <c r="J914" s="53">
        <v>0</v>
      </c>
      <c r="K914" s="55"/>
      <c r="L914" s="55">
        <f t="shared" si="49"/>
        <v>0</v>
      </c>
      <c r="M914" s="55">
        <v>0</v>
      </c>
      <c r="N914" s="101">
        <f t="shared" si="50"/>
        <v>0</v>
      </c>
      <c r="O914" s="57" t="s">
        <v>162</v>
      </c>
    </row>
    <row r="915" spans="1:15" hidden="1" x14ac:dyDescent="0.25">
      <c r="A915" s="224"/>
      <c r="B915" s="96">
        <v>45092</v>
      </c>
      <c r="C915" s="52" t="s">
        <v>50</v>
      </c>
      <c r="D915" s="53" t="s">
        <v>38</v>
      </c>
      <c r="E915" s="53"/>
      <c r="F915" s="54"/>
      <c r="G915" s="53"/>
      <c r="H915" s="53">
        <v>0</v>
      </c>
      <c r="I915" s="53">
        <v>0</v>
      </c>
      <c r="J915" s="53">
        <v>0</v>
      </c>
      <c r="K915" s="55"/>
      <c r="L915" s="55">
        <f t="shared" si="49"/>
        <v>0</v>
      </c>
      <c r="M915" s="55">
        <v>0</v>
      </c>
      <c r="N915" s="101">
        <f t="shared" si="50"/>
        <v>0</v>
      </c>
      <c r="O915" s="57" t="s">
        <v>162</v>
      </c>
    </row>
    <row r="916" spans="1:15" hidden="1" x14ac:dyDescent="0.25">
      <c r="A916" s="224"/>
      <c r="B916" s="96">
        <v>45093</v>
      </c>
      <c r="C916" s="52" t="s">
        <v>53</v>
      </c>
      <c r="D916" s="53" t="s">
        <v>38</v>
      </c>
      <c r="E916" s="53"/>
      <c r="F916" s="54"/>
      <c r="G916" s="53"/>
      <c r="H916" s="53">
        <v>0</v>
      </c>
      <c r="I916" s="53">
        <v>0</v>
      </c>
      <c r="J916" s="53">
        <v>0</v>
      </c>
      <c r="K916" s="55"/>
      <c r="L916" s="55">
        <f t="shared" si="49"/>
        <v>0</v>
      </c>
      <c r="M916" s="55">
        <v>0</v>
      </c>
      <c r="N916" s="101">
        <f t="shared" si="50"/>
        <v>0</v>
      </c>
      <c r="O916" s="57" t="s">
        <v>162</v>
      </c>
    </row>
    <row r="917" spans="1:15" hidden="1" x14ac:dyDescent="0.25">
      <c r="A917" s="224"/>
      <c r="B917" s="97">
        <v>45094</v>
      </c>
      <c r="C917" s="58" t="s">
        <v>57</v>
      </c>
      <c r="D917" s="60" t="s">
        <v>38</v>
      </c>
      <c r="E917" s="60"/>
      <c r="F917" s="61"/>
      <c r="G917" s="60"/>
      <c r="H917" s="60">
        <v>0</v>
      </c>
      <c r="I917" s="60">
        <v>0</v>
      </c>
      <c r="J917" s="60">
        <v>0</v>
      </c>
      <c r="K917" s="62"/>
      <c r="L917" s="62">
        <f t="shared" si="49"/>
        <v>0</v>
      </c>
      <c r="M917" s="62">
        <v>0</v>
      </c>
      <c r="N917" s="102">
        <f t="shared" si="50"/>
        <v>0</v>
      </c>
      <c r="O917" s="64" t="s">
        <v>162</v>
      </c>
    </row>
    <row r="918" spans="1:15" ht="15.75" hidden="1" thickBot="1" x14ac:dyDescent="0.3">
      <c r="A918" s="225"/>
      <c r="B918" s="98">
        <v>45095</v>
      </c>
      <c r="C918" s="66" t="s">
        <v>59</v>
      </c>
      <c r="D918" s="67" t="s">
        <v>38</v>
      </c>
      <c r="E918" s="67"/>
      <c r="F918" s="68"/>
      <c r="G918" s="67"/>
      <c r="H918" s="67">
        <v>0</v>
      </c>
      <c r="I918" s="67">
        <v>0</v>
      </c>
      <c r="J918" s="67">
        <v>0</v>
      </c>
      <c r="K918" s="69"/>
      <c r="L918" s="69">
        <f t="shared" si="49"/>
        <v>0</v>
      </c>
      <c r="M918" s="69">
        <v>0</v>
      </c>
      <c r="N918" s="103">
        <f t="shared" si="50"/>
        <v>0</v>
      </c>
      <c r="O918" s="71" t="s">
        <v>162</v>
      </c>
    </row>
    <row r="919" spans="1:15" hidden="1" x14ac:dyDescent="0.25">
      <c r="A919" s="223">
        <f>_xlfn.ISOWEEKNUM(B919)</f>
        <v>25</v>
      </c>
      <c r="B919" s="96">
        <v>45096</v>
      </c>
      <c r="C919" s="72" t="s">
        <v>37</v>
      </c>
      <c r="D919" s="41" t="s">
        <v>38</v>
      </c>
      <c r="E919" s="41"/>
      <c r="F919" s="43"/>
      <c r="G919" s="41"/>
      <c r="H919" s="41">
        <v>0</v>
      </c>
      <c r="I919" s="41">
        <v>0</v>
      </c>
      <c r="J919" s="41">
        <v>0</v>
      </c>
      <c r="K919" s="73"/>
      <c r="L919" s="73">
        <f t="shared" si="49"/>
        <v>0</v>
      </c>
      <c r="M919" s="73">
        <v>0</v>
      </c>
      <c r="N919" s="105">
        <f t="shared" si="50"/>
        <v>0</v>
      </c>
      <c r="O919" s="46" t="s">
        <v>162</v>
      </c>
    </row>
    <row r="920" spans="1:15" hidden="1" x14ac:dyDescent="0.25">
      <c r="A920" s="224"/>
      <c r="B920" s="96">
        <v>45097</v>
      </c>
      <c r="C920" s="52" t="s">
        <v>42</v>
      </c>
      <c r="D920" s="53" t="s">
        <v>38</v>
      </c>
      <c r="E920" s="53"/>
      <c r="F920" s="54"/>
      <c r="G920" s="53"/>
      <c r="H920" s="53">
        <v>0</v>
      </c>
      <c r="I920" s="53">
        <v>0</v>
      </c>
      <c r="J920" s="53">
        <v>0</v>
      </c>
      <c r="K920" s="55"/>
      <c r="L920" s="55">
        <f t="shared" si="49"/>
        <v>0</v>
      </c>
      <c r="M920" s="55">
        <v>0</v>
      </c>
      <c r="N920" s="101">
        <f t="shared" si="50"/>
        <v>0</v>
      </c>
      <c r="O920" s="57" t="s">
        <v>162</v>
      </c>
    </row>
    <row r="921" spans="1:15" hidden="1" x14ac:dyDescent="0.25">
      <c r="A921" s="224"/>
      <c r="B921" s="96">
        <v>45098</v>
      </c>
      <c r="C921" s="52" t="s">
        <v>46</v>
      </c>
      <c r="D921" s="53" t="s">
        <v>38</v>
      </c>
      <c r="E921" s="53"/>
      <c r="F921" s="54"/>
      <c r="G921" s="53"/>
      <c r="H921" s="53">
        <v>0</v>
      </c>
      <c r="I921" s="53">
        <v>0</v>
      </c>
      <c r="J921" s="53">
        <v>0</v>
      </c>
      <c r="K921" s="55"/>
      <c r="L921" s="55">
        <f t="shared" si="49"/>
        <v>0</v>
      </c>
      <c r="M921" s="55">
        <v>0</v>
      </c>
      <c r="N921" s="101">
        <f t="shared" si="50"/>
        <v>0</v>
      </c>
      <c r="O921" s="57" t="s">
        <v>162</v>
      </c>
    </row>
    <row r="922" spans="1:15" hidden="1" x14ac:dyDescent="0.25">
      <c r="A922" s="224"/>
      <c r="B922" s="96">
        <v>45099</v>
      </c>
      <c r="C922" s="52" t="s">
        <v>50</v>
      </c>
      <c r="D922" s="53" t="s">
        <v>38</v>
      </c>
      <c r="E922" s="53"/>
      <c r="F922" s="54"/>
      <c r="G922" s="53"/>
      <c r="H922" s="53">
        <v>0</v>
      </c>
      <c r="I922" s="53">
        <v>0</v>
      </c>
      <c r="J922" s="53">
        <v>0</v>
      </c>
      <c r="K922" s="55"/>
      <c r="L922" s="55">
        <f t="shared" si="49"/>
        <v>0</v>
      </c>
      <c r="M922" s="55">
        <v>0</v>
      </c>
      <c r="N922" s="101">
        <f t="shared" si="50"/>
        <v>0</v>
      </c>
      <c r="O922" s="57" t="s">
        <v>162</v>
      </c>
    </row>
    <row r="923" spans="1:15" hidden="1" x14ac:dyDescent="0.25">
      <c r="A923" s="224"/>
      <c r="B923" s="96">
        <v>45100</v>
      </c>
      <c r="C923" s="52" t="s">
        <v>53</v>
      </c>
      <c r="D923" s="53" t="s">
        <v>38</v>
      </c>
      <c r="E923" s="53"/>
      <c r="F923" s="54"/>
      <c r="G923" s="53"/>
      <c r="H923" s="53">
        <v>0</v>
      </c>
      <c r="I923" s="53">
        <v>0</v>
      </c>
      <c r="J923" s="53">
        <v>0</v>
      </c>
      <c r="K923" s="55"/>
      <c r="L923" s="55">
        <f t="shared" si="49"/>
        <v>0</v>
      </c>
      <c r="M923" s="55">
        <v>0</v>
      </c>
      <c r="N923" s="101">
        <f t="shared" si="50"/>
        <v>0</v>
      </c>
      <c r="O923" s="57" t="s">
        <v>162</v>
      </c>
    </row>
    <row r="924" spans="1:15" hidden="1" x14ac:dyDescent="0.25">
      <c r="A924" s="224"/>
      <c r="B924" s="97">
        <v>45101</v>
      </c>
      <c r="C924" s="58" t="s">
        <v>57</v>
      </c>
      <c r="D924" s="60" t="s">
        <v>38</v>
      </c>
      <c r="E924" s="60"/>
      <c r="F924" s="61"/>
      <c r="G924" s="60"/>
      <c r="H924" s="60">
        <v>0</v>
      </c>
      <c r="I924" s="60">
        <v>0</v>
      </c>
      <c r="J924" s="60">
        <v>0</v>
      </c>
      <c r="K924" s="62"/>
      <c r="L924" s="62">
        <f t="shared" si="49"/>
        <v>0</v>
      </c>
      <c r="M924" s="62">
        <v>0</v>
      </c>
      <c r="N924" s="102">
        <f t="shared" si="50"/>
        <v>0</v>
      </c>
      <c r="O924" s="64" t="s">
        <v>162</v>
      </c>
    </row>
    <row r="925" spans="1:15" ht="15.75" hidden="1" thickBot="1" x14ac:dyDescent="0.3">
      <c r="A925" s="225"/>
      <c r="B925" s="98">
        <v>45102</v>
      </c>
      <c r="C925" s="66" t="s">
        <v>59</v>
      </c>
      <c r="D925" s="67" t="s">
        <v>38</v>
      </c>
      <c r="E925" s="67"/>
      <c r="F925" s="68"/>
      <c r="G925" s="67"/>
      <c r="H925" s="67">
        <v>0</v>
      </c>
      <c r="I925" s="67">
        <v>0</v>
      </c>
      <c r="J925" s="67">
        <v>0</v>
      </c>
      <c r="K925" s="69"/>
      <c r="L925" s="69">
        <f t="shared" si="49"/>
        <v>0</v>
      </c>
      <c r="M925" s="69">
        <v>0</v>
      </c>
      <c r="N925" s="103">
        <f t="shared" si="50"/>
        <v>0</v>
      </c>
      <c r="O925" s="71" t="s">
        <v>162</v>
      </c>
    </row>
    <row r="926" spans="1:15" hidden="1" x14ac:dyDescent="0.25">
      <c r="A926" s="223">
        <f>_xlfn.ISOWEEKNUM(B926)</f>
        <v>26</v>
      </c>
      <c r="B926" s="96">
        <v>45103</v>
      </c>
      <c r="C926" s="72" t="s">
        <v>37</v>
      </c>
      <c r="D926" s="41" t="s">
        <v>38</v>
      </c>
      <c r="E926" s="41"/>
      <c r="F926" s="43"/>
      <c r="G926" s="41"/>
      <c r="H926" s="41">
        <v>0</v>
      </c>
      <c r="I926" s="41">
        <v>0</v>
      </c>
      <c r="J926" s="41">
        <v>0</v>
      </c>
      <c r="K926" s="73"/>
      <c r="L926" s="73">
        <f t="shared" si="49"/>
        <v>0</v>
      </c>
      <c r="M926" s="73">
        <v>0</v>
      </c>
      <c r="N926" s="105">
        <f t="shared" si="50"/>
        <v>0</v>
      </c>
      <c r="O926" s="46" t="s">
        <v>162</v>
      </c>
    </row>
    <row r="927" spans="1:15" hidden="1" x14ac:dyDescent="0.25">
      <c r="A927" s="224"/>
      <c r="B927" s="96">
        <v>45104</v>
      </c>
      <c r="C927" s="52" t="s">
        <v>42</v>
      </c>
      <c r="D927" s="53" t="s">
        <v>38</v>
      </c>
      <c r="E927" s="53"/>
      <c r="F927" s="54"/>
      <c r="G927" s="53"/>
      <c r="H927" s="53">
        <v>0</v>
      </c>
      <c r="I927" s="53">
        <v>0</v>
      </c>
      <c r="J927" s="53">
        <v>0</v>
      </c>
      <c r="K927" s="55"/>
      <c r="L927" s="55">
        <f t="shared" si="49"/>
        <v>0</v>
      </c>
      <c r="M927" s="55">
        <v>0</v>
      </c>
      <c r="N927" s="101">
        <f t="shared" si="50"/>
        <v>0</v>
      </c>
      <c r="O927" s="57" t="s">
        <v>162</v>
      </c>
    </row>
    <row r="928" spans="1:15" hidden="1" x14ac:dyDescent="0.25">
      <c r="A928" s="224"/>
      <c r="B928" s="96">
        <v>45105</v>
      </c>
      <c r="C928" s="52" t="s">
        <v>46</v>
      </c>
      <c r="D928" s="53" t="s">
        <v>38</v>
      </c>
      <c r="E928" s="53"/>
      <c r="F928" s="54"/>
      <c r="G928" s="53"/>
      <c r="H928" s="53">
        <v>0</v>
      </c>
      <c r="I928" s="53">
        <v>0</v>
      </c>
      <c r="J928" s="53">
        <v>0</v>
      </c>
      <c r="K928" s="55"/>
      <c r="L928" s="55">
        <f t="shared" si="49"/>
        <v>0</v>
      </c>
      <c r="M928" s="55">
        <v>0</v>
      </c>
      <c r="N928" s="101">
        <f t="shared" si="50"/>
        <v>0</v>
      </c>
      <c r="O928" s="57" t="s">
        <v>162</v>
      </c>
    </row>
    <row r="929" spans="1:15" hidden="1" x14ac:dyDescent="0.25">
      <c r="A929" s="224"/>
      <c r="B929" s="96">
        <v>45106</v>
      </c>
      <c r="C929" s="52" t="s">
        <v>50</v>
      </c>
      <c r="D929" s="53" t="s">
        <v>38</v>
      </c>
      <c r="E929" s="53"/>
      <c r="F929" s="54"/>
      <c r="G929" s="53"/>
      <c r="H929" s="53">
        <v>0</v>
      </c>
      <c r="I929" s="53">
        <v>0</v>
      </c>
      <c r="J929" s="53">
        <v>0</v>
      </c>
      <c r="K929" s="55"/>
      <c r="L929" s="55">
        <f t="shared" si="49"/>
        <v>0</v>
      </c>
      <c r="M929" s="55">
        <v>0</v>
      </c>
      <c r="N929" s="101">
        <f t="shared" si="50"/>
        <v>0</v>
      </c>
      <c r="O929" s="57" t="s">
        <v>162</v>
      </c>
    </row>
    <row r="930" spans="1:15" hidden="1" x14ac:dyDescent="0.25">
      <c r="A930" s="224"/>
      <c r="B930" s="96">
        <v>45107</v>
      </c>
      <c r="C930" s="52" t="s">
        <v>53</v>
      </c>
      <c r="D930" s="53" t="s">
        <v>38</v>
      </c>
      <c r="E930" s="53"/>
      <c r="F930" s="54"/>
      <c r="G930" s="53"/>
      <c r="H930" s="53">
        <v>0</v>
      </c>
      <c r="I930" s="53">
        <v>0</v>
      </c>
      <c r="J930" s="53">
        <v>0</v>
      </c>
      <c r="K930" s="55"/>
      <c r="L930" s="55">
        <f t="shared" si="49"/>
        <v>0</v>
      </c>
      <c r="M930" s="55">
        <v>0</v>
      </c>
      <c r="N930" s="101">
        <f t="shared" si="50"/>
        <v>0</v>
      </c>
      <c r="O930" s="57" t="s">
        <v>162</v>
      </c>
    </row>
    <row r="931" spans="1:15" hidden="1" x14ac:dyDescent="0.25">
      <c r="A931" s="224"/>
      <c r="B931" s="97">
        <v>45108</v>
      </c>
      <c r="C931" s="58" t="s">
        <v>57</v>
      </c>
      <c r="D931" s="60" t="s">
        <v>38</v>
      </c>
      <c r="E931" s="60"/>
      <c r="F931" s="61"/>
      <c r="G931" s="60"/>
      <c r="H931" s="60">
        <v>0</v>
      </c>
      <c r="I931" s="60">
        <v>0</v>
      </c>
      <c r="J931" s="60">
        <v>0</v>
      </c>
      <c r="K931" s="62"/>
      <c r="L931" s="62">
        <f t="shared" si="49"/>
        <v>0</v>
      </c>
      <c r="M931" s="62">
        <v>0</v>
      </c>
      <c r="N931" s="102">
        <f t="shared" si="50"/>
        <v>0</v>
      </c>
      <c r="O931" s="64" t="s">
        <v>162</v>
      </c>
    </row>
    <row r="932" spans="1:15" ht="15.75" hidden="1" thickBot="1" x14ac:dyDescent="0.3">
      <c r="A932" s="225"/>
      <c r="B932" s="98">
        <v>45109</v>
      </c>
      <c r="C932" s="66" t="s">
        <v>59</v>
      </c>
      <c r="D932" s="67" t="s">
        <v>38</v>
      </c>
      <c r="E932" s="67"/>
      <c r="F932" s="68"/>
      <c r="G932" s="67"/>
      <c r="H932" s="67">
        <v>0</v>
      </c>
      <c r="I932" s="67">
        <v>0</v>
      </c>
      <c r="J932" s="67">
        <v>0</v>
      </c>
      <c r="K932" s="69"/>
      <c r="L932" s="69">
        <f t="shared" si="49"/>
        <v>0</v>
      </c>
      <c r="M932" s="69">
        <v>0</v>
      </c>
      <c r="N932" s="103">
        <f t="shared" si="50"/>
        <v>0</v>
      </c>
      <c r="O932" s="71" t="s">
        <v>162</v>
      </c>
    </row>
    <row r="933" spans="1:15" hidden="1" x14ac:dyDescent="0.25">
      <c r="A933" s="223">
        <f>_xlfn.ISOWEEKNUM(B933)</f>
        <v>27</v>
      </c>
      <c r="B933" s="96">
        <v>45110</v>
      </c>
      <c r="C933" s="72" t="s">
        <v>37</v>
      </c>
      <c r="D933" s="41" t="s">
        <v>38</v>
      </c>
      <c r="E933" s="41"/>
      <c r="F933" s="43"/>
      <c r="G933" s="41"/>
      <c r="H933" s="41">
        <v>0</v>
      </c>
      <c r="I933" s="41">
        <v>0</v>
      </c>
      <c r="J933" s="41">
        <v>0</v>
      </c>
      <c r="K933" s="73"/>
      <c r="L933" s="73">
        <f t="shared" si="49"/>
        <v>0</v>
      </c>
      <c r="M933" s="73">
        <v>0</v>
      </c>
      <c r="N933" s="105">
        <f t="shared" si="50"/>
        <v>0</v>
      </c>
      <c r="O933" s="46" t="s">
        <v>162</v>
      </c>
    </row>
    <row r="934" spans="1:15" hidden="1" x14ac:dyDescent="0.25">
      <c r="A934" s="224"/>
      <c r="B934" s="96">
        <v>45111</v>
      </c>
      <c r="C934" s="52" t="s">
        <v>42</v>
      </c>
      <c r="D934" s="53" t="s">
        <v>38</v>
      </c>
      <c r="E934" s="53"/>
      <c r="F934" s="54"/>
      <c r="G934" s="53"/>
      <c r="H934" s="53">
        <v>0</v>
      </c>
      <c r="I934" s="53">
        <v>0</v>
      </c>
      <c r="J934" s="53">
        <v>0</v>
      </c>
      <c r="K934" s="55"/>
      <c r="L934" s="55">
        <f t="shared" si="49"/>
        <v>0</v>
      </c>
      <c r="M934" s="55">
        <v>0</v>
      </c>
      <c r="N934" s="101">
        <f t="shared" si="50"/>
        <v>0</v>
      </c>
      <c r="O934" s="57" t="s">
        <v>162</v>
      </c>
    </row>
    <row r="935" spans="1:15" hidden="1" x14ac:dyDescent="0.25">
      <c r="A935" s="224"/>
      <c r="B935" s="96">
        <v>45112</v>
      </c>
      <c r="C935" s="52" t="s">
        <v>46</v>
      </c>
      <c r="D935" s="53" t="s">
        <v>38</v>
      </c>
      <c r="E935" s="53"/>
      <c r="F935" s="54"/>
      <c r="G935" s="53"/>
      <c r="H935" s="53">
        <v>0</v>
      </c>
      <c r="I935" s="53">
        <v>0</v>
      </c>
      <c r="J935" s="53">
        <v>0</v>
      </c>
      <c r="K935" s="55"/>
      <c r="L935" s="55">
        <f t="shared" si="49"/>
        <v>0</v>
      </c>
      <c r="M935" s="55">
        <v>0</v>
      </c>
      <c r="N935" s="101">
        <f t="shared" si="50"/>
        <v>0</v>
      </c>
      <c r="O935" s="57" t="s">
        <v>162</v>
      </c>
    </row>
    <row r="936" spans="1:15" hidden="1" x14ac:dyDescent="0.25">
      <c r="A936" s="224"/>
      <c r="B936" s="96">
        <v>45113</v>
      </c>
      <c r="C936" s="52" t="s">
        <v>50</v>
      </c>
      <c r="D936" s="53" t="s">
        <v>38</v>
      </c>
      <c r="E936" s="53"/>
      <c r="F936" s="54"/>
      <c r="G936" s="53"/>
      <c r="H936" s="53">
        <v>0</v>
      </c>
      <c r="I936" s="53">
        <v>0</v>
      </c>
      <c r="J936" s="53">
        <v>0</v>
      </c>
      <c r="K936" s="55"/>
      <c r="L936" s="55">
        <f t="shared" si="49"/>
        <v>0</v>
      </c>
      <c r="M936" s="55">
        <v>0</v>
      </c>
      <c r="N936" s="101">
        <f t="shared" si="50"/>
        <v>0</v>
      </c>
      <c r="O936" s="57" t="s">
        <v>162</v>
      </c>
    </row>
    <row r="937" spans="1:15" hidden="1" x14ac:dyDescent="0.25">
      <c r="A937" s="224"/>
      <c r="B937" s="96">
        <v>45114</v>
      </c>
      <c r="C937" s="52" t="s">
        <v>53</v>
      </c>
      <c r="D937" s="53" t="s">
        <v>38</v>
      </c>
      <c r="E937" s="53"/>
      <c r="F937" s="54"/>
      <c r="G937" s="53"/>
      <c r="H937" s="53">
        <v>0</v>
      </c>
      <c r="I937" s="53">
        <v>0</v>
      </c>
      <c r="J937" s="53">
        <v>0</v>
      </c>
      <c r="K937" s="55"/>
      <c r="L937" s="55">
        <f t="shared" ref="L937:L1000" si="51">IF(J937&lt;&gt;0,J937,I937)*K937</f>
        <v>0</v>
      </c>
      <c r="M937" s="55">
        <v>0</v>
      </c>
      <c r="N937" s="101">
        <f t="shared" si="50"/>
        <v>0</v>
      </c>
      <c r="O937" s="57" t="s">
        <v>162</v>
      </c>
    </row>
    <row r="938" spans="1:15" hidden="1" x14ac:dyDescent="0.25">
      <c r="A938" s="224"/>
      <c r="B938" s="97">
        <v>45115</v>
      </c>
      <c r="C938" s="58" t="s">
        <v>57</v>
      </c>
      <c r="D938" s="60" t="s">
        <v>38</v>
      </c>
      <c r="E938" s="60"/>
      <c r="F938" s="61"/>
      <c r="G938" s="60"/>
      <c r="H938" s="60">
        <v>0</v>
      </c>
      <c r="I938" s="60">
        <v>0</v>
      </c>
      <c r="J938" s="60">
        <v>0</v>
      </c>
      <c r="K938" s="62"/>
      <c r="L938" s="62">
        <f t="shared" si="51"/>
        <v>0</v>
      </c>
      <c r="M938" s="62">
        <v>0</v>
      </c>
      <c r="N938" s="102">
        <f t="shared" si="50"/>
        <v>0</v>
      </c>
      <c r="O938" s="64" t="s">
        <v>162</v>
      </c>
    </row>
    <row r="939" spans="1:15" ht="15.75" hidden="1" thickBot="1" x14ac:dyDescent="0.3">
      <c r="A939" s="225"/>
      <c r="B939" s="98">
        <v>45116</v>
      </c>
      <c r="C939" s="66" t="s">
        <v>59</v>
      </c>
      <c r="D939" s="67" t="s">
        <v>38</v>
      </c>
      <c r="E939" s="67"/>
      <c r="F939" s="68"/>
      <c r="G939" s="67"/>
      <c r="H939" s="67">
        <v>0</v>
      </c>
      <c r="I939" s="67">
        <v>0</v>
      </c>
      <c r="J939" s="67">
        <v>0</v>
      </c>
      <c r="K939" s="69"/>
      <c r="L939" s="69">
        <f t="shared" si="51"/>
        <v>0</v>
      </c>
      <c r="M939" s="69">
        <v>0</v>
      </c>
      <c r="N939" s="103">
        <f t="shared" si="50"/>
        <v>0</v>
      </c>
      <c r="O939" s="71" t="s">
        <v>162</v>
      </c>
    </row>
    <row r="940" spans="1:15" hidden="1" x14ac:dyDescent="0.25">
      <c r="A940" s="223">
        <f>_xlfn.ISOWEEKNUM(B940)</f>
        <v>28</v>
      </c>
      <c r="B940" s="96">
        <v>45117</v>
      </c>
      <c r="C940" s="72" t="s">
        <v>37</v>
      </c>
      <c r="D940" s="41" t="s">
        <v>38</v>
      </c>
      <c r="E940" s="41"/>
      <c r="F940" s="43"/>
      <c r="G940" s="41"/>
      <c r="H940" s="41">
        <v>0</v>
      </c>
      <c r="I940" s="41">
        <v>0</v>
      </c>
      <c r="J940" s="41">
        <v>0</v>
      </c>
      <c r="K940" s="73"/>
      <c r="L940" s="73">
        <f t="shared" si="51"/>
        <v>0</v>
      </c>
      <c r="M940" s="73">
        <v>0</v>
      </c>
      <c r="N940" s="105">
        <f t="shared" si="50"/>
        <v>0</v>
      </c>
      <c r="O940" s="46" t="s">
        <v>162</v>
      </c>
    </row>
    <row r="941" spans="1:15" hidden="1" x14ac:dyDescent="0.25">
      <c r="A941" s="224"/>
      <c r="B941" s="96">
        <v>45118</v>
      </c>
      <c r="C941" s="52" t="s">
        <v>42</v>
      </c>
      <c r="D941" s="53" t="s">
        <v>38</v>
      </c>
      <c r="E941" s="53"/>
      <c r="F941" s="54"/>
      <c r="G941" s="53"/>
      <c r="H941" s="53">
        <v>0</v>
      </c>
      <c r="I941" s="53">
        <v>0</v>
      </c>
      <c r="J941" s="53">
        <v>0</v>
      </c>
      <c r="K941" s="55"/>
      <c r="L941" s="55">
        <f t="shared" si="51"/>
        <v>0</v>
      </c>
      <c r="M941" s="55">
        <v>0</v>
      </c>
      <c r="N941" s="101">
        <f t="shared" si="50"/>
        <v>0</v>
      </c>
      <c r="O941" s="57" t="s">
        <v>162</v>
      </c>
    </row>
    <row r="942" spans="1:15" hidden="1" x14ac:dyDescent="0.25">
      <c r="A942" s="224"/>
      <c r="B942" s="96">
        <v>45119</v>
      </c>
      <c r="C942" s="52" t="s">
        <v>46</v>
      </c>
      <c r="D942" s="53" t="s">
        <v>38</v>
      </c>
      <c r="E942" s="53"/>
      <c r="F942" s="54"/>
      <c r="G942" s="53"/>
      <c r="H942" s="53">
        <v>0</v>
      </c>
      <c r="I942" s="53">
        <v>0</v>
      </c>
      <c r="J942" s="53">
        <v>0</v>
      </c>
      <c r="K942" s="55"/>
      <c r="L942" s="55">
        <f t="shared" si="51"/>
        <v>0</v>
      </c>
      <c r="M942" s="55">
        <v>0</v>
      </c>
      <c r="N942" s="101">
        <f t="shared" si="50"/>
        <v>0</v>
      </c>
      <c r="O942" s="57" t="s">
        <v>162</v>
      </c>
    </row>
    <row r="943" spans="1:15" hidden="1" x14ac:dyDescent="0.25">
      <c r="A943" s="224"/>
      <c r="B943" s="96">
        <v>45120</v>
      </c>
      <c r="C943" s="52" t="s">
        <v>50</v>
      </c>
      <c r="D943" s="53" t="s">
        <v>38</v>
      </c>
      <c r="E943" s="53"/>
      <c r="F943" s="54"/>
      <c r="G943" s="53"/>
      <c r="H943" s="53">
        <v>0</v>
      </c>
      <c r="I943" s="53">
        <v>0</v>
      </c>
      <c r="J943" s="53">
        <v>0</v>
      </c>
      <c r="K943" s="55"/>
      <c r="L943" s="55">
        <f t="shared" si="51"/>
        <v>0</v>
      </c>
      <c r="M943" s="55">
        <v>0</v>
      </c>
      <c r="N943" s="101">
        <f t="shared" si="50"/>
        <v>0</v>
      </c>
      <c r="O943" s="57" t="s">
        <v>162</v>
      </c>
    </row>
    <row r="944" spans="1:15" hidden="1" x14ac:dyDescent="0.25">
      <c r="A944" s="224"/>
      <c r="B944" s="96">
        <v>45121</v>
      </c>
      <c r="C944" s="52" t="s">
        <v>53</v>
      </c>
      <c r="D944" s="53" t="s">
        <v>38</v>
      </c>
      <c r="E944" s="53"/>
      <c r="F944" s="54"/>
      <c r="G944" s="53"/>
      <c r="H944" s="53">
        <v>0</v>
      </c>
      <c r="I944" s="53">
        <v>0</v>
      </c>
      <c r="J944" s="53">
        <v>0</v>
      </c>
      <c r="K944" s="55"/>
      <c r="L944" s="55">
        <f t="shared" si="51"/>
        <v>0</v>
      </c>
      <c r="M944" s="55">
        <v>0</v>
      </c>
      <c r="N944" s="101">
        <f t="shared" si="50"/>
        <v>0</v>
      </c>
      <c r="O944" s="57" t="s">
        <v>162</v>
      </c>
    </row>
    <row r="945" spans="1:15" hidden="1" x14ac:dyDescent="0.25">
      <c r="A945" s="224"/>
      <c r="B945" s="97">
        <v>45122</v>
      </c>
      <c r="C945" s="58" t="s">
        <v>57</v>
      </c>
      <c r="D945" s="60" t="s">
        <v>38</v>
      </c>
      <c r="E945" s="60"/>
      <c r="F945" s="61"/>
      <c r="G945" s="60"/>
      <c r="H945" s="60">
        <v>0</v>
      </c>
      <c r="I945" s="60">
        <v>0</v>
      </c>
      <c r="J945" s="60">
        <v>0</v>
      </c>
      <c r="K945" s="62"/>
      <c r="L945" s="62">
        <f t="shared" si="51"/>
        <v>0</v>
      </c>
      <c r="M945" s="62">
        <v>0</v>
      </c>
      <c r="N945" s="102">
        <f t="shared" si="50"/>
        <v>0</v>
      </c>
      <c r="O945" s="64" t="s">
        <v>162</v>
      </c>
    </row>
    <row r="946" spans="1:15" ht="15.75" hidden="1" thickBot="1" x14ac:dyDescent="0.3">
      <c r="A946" s="225"/>
      <c r="B946" s="98">
        <v>45123</v>
      </c>
      <c r="C946" s="66" t="s">
        <v>59</v>
      </c>
      <c r="D946" s="67" t="s">
        <v>38</v>
      </c>
      <c r="E946" s="67"/>
      <c r="F946" s="68"/>
      <c r="G946" s="67"/>
      <c r="H946" s="67">
        <v>0</v>
      </c>
      <c r="I946" s="67">
        <v>0</v>
      </c>
      <c r="J946" s="67">
        <v>0</v>
      </c>
      <c r="K946" s="69"/>
      <c r="L946" s="69">
        <f t="shared" si="51"/>
        <v>0</v>
      </c>
      <c r="M946" s="69">
        <v>0</v>
      </c>
      <c r="N946" s="103">
        <f t="shared" si="50"/>
        <v>0</v>
      </c>
      <c r="O946" s="71" t="s">
        <v>162</v>
      </c>
    </row>
    <row r="947" spans="1:15" hidden="1" x14ac:dyDescent="0.25">
      <c r="A947" s="223">
        <f>_xlfn.ISOWEEKNUM(B947)</f>
        <v>29</v>
      </c>
      <c r="B947" s="96">
        <v>45124</v>
      </c>
      <c r="C947" s="72" t="s">
        <v>37</v>
      </c>
      <c r="D947" s="41" t="s">
        <v>38</v>
      </c>
      <c r="E947" s="41"/>
      <c r="F947" s="43"/>
      <c r="G947" s="41"/>
      <c r="H947" s="41">
        <v>0</v>
      </c>
      <c r="I947" s="41">
        <v>0</v>
      </c>
      <c r="J947" s="41">
        <v>0</v>
      </c>
      <c r="K947" s="73"/>
      <c r="L947" s="73">
        <f t="shared" si="51"/>
        <v>0</v>
      </c>
      <c r="M947" s="73">
        <v>0</v>
      </c>
      <c r="N947" s="105">
        <f t="shared" si="50"/>
        <v>0</v>
      </c>
      <c r="O947" s="46" t="s">
        <v>162</v>
      </c>
    </row>
    <row r="948" spans="1:15" hidden="1" x14ac:dyDescent="0.25">
      <c r="A948" s="224"/>
      <c r="B948" s="96">
        <v>45125</v>
      </c>
      <c r="C948" s="52" t="s">
        <v>42</v>
      </c>
      <c r="D948" s="53" t="s">
        <v>38</v>
      </c>
      <c r="E948" s="53"/>
      <c r="F948" s="54"/>
      <c r="G948" s="53"/>
      <c r="H948" s="53">
        <v>0</v>
      </c>
      <c r="I948" s="53">
        <v>0</v>
      </c>
      <c r="J948" s="53">
        <v>0</v>
      </c>
      <c r="K948" s="55"/>
      <c r="L948" s="55">
        <f t="shared" si="51"/>
        <v>0</v>
      </c>
      <c r="M948" s="55">
        <v>0</v>
      </c>
      <c r="N948" s="101">
        <f t="shared" si="50"/>
        <v>0</v>
      </c>
      <c r="O948" s="57" t="s">
        <v>162</v>
      </c>
    </row>
    <row r="949" spans="1:15" hidden="1" x14ac:dyDescent="0.25">
      <c r="A949" s="224"/>
      <c r="B949" s="96">
        <v>45126</v>
      </c>
      <c r="C949" s="52" t="s">
        <v>46</v>
      </c>
      <c r="D949" s="53" t="s">
        <v>38</v>
      </c>
      <c r="E949" s="53"/>
      <c r="F949" s="54"/>
      <c r="G949" s="53"/>
      <c r="H949" s="53">
        <v>0</v>
      </c>
      <c r="I949" s="53">
        <v>0</v>
      </c>
      <c r="J949" s="53">
        <v>0</v>
      </c>
      <c r="K949" s="55"/>
      <c r="L949" s="55">
        <f t="shared" si="51"/>
        <v>0</v>
      </c>
      <c r="M949" s="55">
        <v>0</v>
      </c>
      <c r="N949" s="101">
        <f t="shared" si="50"/>
        <v>0</v>
      </c>
      <c r="O949" s="57" t="s">
        <v>162</v>
      </c>
    </row>
    <row r="950" spans="1:15" hidden="1" x14ac:dyDescent="0.25">
      <c r="A950" s="224"/>
      <c r="B950" s="96">
        <v>45127</v>
      </c>
      <c r="C950" s="52" t="s">
        <v>50</v>
      </c>
      <c r="D950" s="53" t="s">
        <v>38</v>
      </c>
      <c r="E950" s="53"/>
      <c r="F950" s="54"/>
      <c r="G950" s="53"/>
      <c r="H950" s="53">
        <v>0</v>
      </c>
      <c r="I950" s="53">
        <v>0</v>
      </c>
      <c r="J950" s="53">
        <v>0</v>
      </c>
      <c r="K950" s="55"/>
      <c r="L950" s="55">
        <f t="shared" si="51"/>
        <v>0</v>
      </c>
      <c r="M950" s="55">
        <v>0</v>
      </c>
      <c r="N950" s="101">
        <f t="shared" si="50"/>
        <v>0</v>
      </c>
      <c r="O950" s="57" t="s">
        <v>162</v>
      </c>
    </row>
    <row r="951" spans="1:15" hidden="1" x14ac:dyDescent="0.25">
      <c r="A951" s="224"/>
      <c r="B951" s="96">
        <v>45128</v>
      </c>
      <c r="C951" s="52" t="s">
        <v>53</v>
      </c>
      <c r="D951" s="53" t="s">
        <v>38</v>
      </c>
      <c r="E951" s="53"/>
      <c r="F951" s="54"/>
      <c r="G951" s="53"/>
      <c r="H951" s="53">
        <v>0</v>
      </c>
      <c r="I951" s="53">
        <v>0</v>
      </c>
      <c r="J951" s="53">
        <v>0</v>
      </c>
      <c r="K951" s="55"/>
      <c r="L951" s="55">
        <f t="shared" si="51"/>
        <v>0</v>
      </c>
      <c r="M951" s="55">
        <v>0</v>
      </c>
      <c r="N951" s="101">
        <f t="shared" si="50"/>
        <v>0</v>
      </c>
      <c r="O951" s="57" t="s">
        <v>162</v>
      </c>
    </row>
    <row r="952" spans="1:15" hidden="1" x14ac:dyDescent="0.25">
      <c r="A952" s="224"/>
      <c r="B952" s="97">
        <v>45129</v>
      </c>
      <c r="C952" s="58" t="s">
        <v>57</v>
      </c>
      <c r="D952" s="60" t="s">
        <v>38</v>
      </c>
      <c r="E952" s="60"/>
      <c r="F952" s="61"/>
      <c r="G952" s="60"/>
      <c r="H952" s="60">
        <v>0</v>
      </c>
      <c r="I952" s="60">
        <v>0</v>
      </c>
      <c r="J952" s="60">
        <v>0</v>
      </c>
      <c r="K952" s="62"/>
      <c r="L952" s="62">
        <f t="shared" si="51"/>
        <v>0</v>
      </c>
      <c r="M952" s="62">
        <v>0</v>
      </c>
      <c r="N952" s="102">
        <f t="shared" si="50"/>
        <v>0</v>
      </c>
      <c r="O952" s="64" t="s">
        <v>162</v>
      </c>
    </row>
    <row r="953" spans="1:15" ht="15.75" hidden="1" thickBot="1" x14ac:dyDescent="0.3">
      <c r="A953" s="225"/>
      <c r="B953" s="98">
        <v>45130</v>
      </c>
      <c r="C953" s="66" t="s">
        <v>59</v>
      </c>
      <c r="D953" s="67" t="s">
        <v>38</v>
      </c>
      <c r="E953" s="67"/>
      <c r="F953" s="68"/>
      <c r="G953" s="67"/>
      <c r="H953" s="67">
        <v>0</v>
      </c>
      <c r="I953" s="67">
        <v>0</v>
      </c>
      <c r="J953" s="67">
        <v>0</v>
      </c>
      <c r="K953" s="69"/>
      <c r="L953" s="69">
        <f t="shared" si="51"/>
        <v>0</v>
      </c>
      <c r="M953" s="69">
        <v>0</v>
      </c>
      <c r="N953" s="103">
        <f t="shared" si="50"/>
        <v>0</v>
      </c>
      <c r="O953" s="71" t="s">
        <v>162</v>
      </c>
    </row>
    <row r="954" spans="1:15" hidden="1" x14ac:dyDescent="0.25">
      <c r="A954" s="223">
        <f>_xlfn.ISOWEEKNUM(B954)</f>
        <v>30</v>
      </c>
      <c r="B954" s="96">
        <v>45131</v>
      </c>
      <c r="C954" s="72" t="s">
        <v>37</v>
      </c>
      <c r="D954" s="41" t="s">
        <v>38</v>
      </c>
      <c r="E954" s="41"/>
      <c r="F954" s="43"/>
      <c r="G954" s="41"/>
      <c r="H954" s="41">
        <v>0</v>
      </c>
      <c r="I954" s="41">
        <v>0</v>
      </c>
      <c r="J954" s="41">
        <v>0</v>
      </c>
      <c r="K954" s="73"/>
      <c r="L954" s="73">
        <f t="shared" si="51"/>
        <v>0</v>
      </c>
      <c r="M954" s="73">
        <v>0</v>
      </c>
      <c r="N954" s="105">
        <f t="shared" si="50"/>
        <v>0</v>
      </c>
      <c r="O954" s="46" t="s">
        <v>162</v>
      </c>
    </row>
    <row r="955" spans="1:15" hidden="1" x14ac:dyDescent="0.25">
      <c r="A955" s="224"/>
      <c r="B955" s="96">
        <v>45132</v>
      </c>
      <c r="C955" s="52" t="s">
        <v>42</v>
      </c>
      <c r="D955" s="53" t="s">
        <v>38</v>
      </c>
      <c r="E955" s="53"/>
      <c r="F955" s="54"/>
      <c r="G955" s="53"/>
      <c r="H955" s="53">
        <v>0</v>
      </c>
      <c r="I955" s="53">
        <v>0</v>
      </c>
      <c r="J955" s="53">
        <v>0</v>
      </c>
      <c r="K955" s="55"/>
      <c r="L955" s="55">
        <f t="shared" si="51"/>
        <v>0</v>
      </c>
      <c r="M955" s="55">
        <v>0</v>
      </c>
      <c r="N955" s="101">
        <f t="shared" si="50"/>
        <v>0</v>
      </c>
      <c r="O955" s="57" t="s">
        <v>162</v>
      </c>
    </row>
    <row r="956" spans="1:15" hidden="1" x14ac:dyDescent="0.25">
      <c r="A956" s="224"/>
      <c r="B956" s="96">
        <v>45133</v>
      </c>
      <c r="C956" s="52" t="s">
        <v>46</v>
      </c>
      <c r="D956" s="53" t="s">
        <v>38</v>
      </c>
      <c r="E956" s="53"/>
      <c r="F956" s="54"/>
      <c r="G956" s="53"/>
      <c r="H956" s="53">
        <v>0</v>
      </c>
      <c r="I956" s="53">
        <v>0</v>
      </c>
      <c r="J956" s="53">
        <v>0</v>
      </c>
      <c r="K956" s="55"/>
      <c r="L956" s="55">
        <f t="shared" si="51"/>
        <v>0</v>
      </c>
      <c r="M956" s="55">
        <v>0</v>
      </c>
      <c r="N956" s="101">
        <f t="shared" si="50"/>
        <v>0</v>
      </c>
      <c r="O956" s="57" t="s">
        <v>162</v>
      </c>
    </row>
    <row r="957" spans="1:15" hidden="1" x14ac:dyDescent="0.25">
      <c r="A957" s="224"/>
      <c r="B957" s="96">
        <v>45134</v>
      </c>
      <c r="C957" s="52" t="s">
        <v>50</v>
      </c>
      <c r="D957" s="53" t="s">
        <v>38</v>
      </c>
      <c r="E957" s="53"/>
      <c r="F957" s="54"/>
      <c r="G957" s="53"/>
      <c r="H957" s="53">
        <v>0</v>
      </c>
      <c r="I957" s="53">
        <v>0</v>
      </c>
      <c r="J957" s="53">
        <v>0</v>
      </c>
      <c r="K957" s="55"/>
      <c r="L957" s="55">
        <f t="shared" si="51"/>
        <v>0</v>
      </c>
      <c r="M957" s="55">
        <v>0</v>
      </c>
      <c r="N957" s="101">
        <f t="shared" si="50"/>
        <v>0</v>
      </c>
      <c r="O957" s="57" t="s">
        <v>162</v>
      </c>
    </row>
    <row r="958" spans="1:15" hidden="1" x14ac:dyDescent="0.25">
      <c r="A958" s="224"/>
      <c r="B958" s="96">
        <v>45135</v>
      </c>
      <c r="C958" s="52" t="s">
        <v>53</v>
      </c>
      <c r="D958" s="53" t="s">
        <v>38</v>
      </c>
      <c r="E958" s="53"/>
      <c r="F958" s="54"/>
      <c r="G958" s="53"/>
      <c r="H958" s="53">
        <v>0</v>
      </c>
      <c r="I958" s="53">
        <v>0</v>
      </c>
      <c r="J958" s="53">
        <v>0</v>
      </c>
      <c r="K958" s="55"/>
      <c r="L958" s="55">
        <f t="shared" si="51"/>
        <v>0</v>
      </c>
      <c r="M958" s="55">
        <v>0</v>
      </c>
      <c r="N958" s="101">
        <f t="shared" si="50"/>
        <v>0</v>
      </c>
      <c r="O958" s="57" t="s">
        <v>162</v>
      </c>
    </row>
    <row r="959" spans="1:15" hidden="1" x14ac:dyDescent="0.25">
      <c r="A959" s="224"/>
      <c r="B959" s="97">
        <v>45136</v>
      </c>
      <c r="C959" s="58" t="s">
        <v>57</v>
      </c>
      <c r="D959" s="60" t="s">
        <v>38</v>
      </c>
      <c r="E959" s="60"/>
      <c r="F959" s="61"/>
      <c r="G959" s="60"/>
      <c r="H959" s="60">
        <v>0</v>
      </c>
      <c r="I959" s="60">
        <v>0</v>
      </c>
      <c r="J959" s="60">
        <v>0</v>
      </c>
      <c r="K959" s="62"/>
      <c r="L959" s="62">
        <f t="shared" si="51"/>
        <v>0</v>
      </c>
      <c r="M959" s="62">
        <v>0</v>
      </c>
      <c r="N959" s="102">
        <f t="shared" si="50"/>
        <v>0</v>
      </c>
      <c r="O959" s="64" t="s">
        <v>162</v>
      </c>
    </row>
    <row r="960" spans="1:15" ht="15.75" hidden="1" thickBot="1" x14ac:dyDescent="0.3">
      <c r="A960" s="225"/>
      <c r="B960" s="98">
        <v>45137</v>
      </c>
      <c r="C960" s="66" t="s">
        <v>59</v>
      </c>
      <c r="D960" s="67" t="s">
        <v>38</v>
      </c>
      <c r="E960" s="67"/>
      <c r="F960" s="68"/>
      <c r="G960" s="67"/>
      <c r="H960" s="67">
        <v>0</v>
      </c>
      <c r="I960" s="67">
        <v>0</v>
      </c>
      <c r="J960" s="67">
        <v>0</v>
      </c>
      <c r="K960" s="69"/>
      <c r="L960" s="69">
        <f t="shared" si="51"/>
        <v>0</v>
      </c>
      <c r="M960" s="69">
        <v>0</v>
      </c>
      <c r="N960" s="103">
        <f t="shared" si="50"/>
        <v>0</v>
      </c>
      <c r="O960" s="71" t="s">
        <v>162</v>
      </c>
    </row>
    <row r="961" spans="1:15" hidden="1" x14ac:dyDescent="0.25">
      <c r="A961" s="223">
        <f>_xlfn.ISOWEEKNUM(B961)</f>
        <v>31</v>
      </c>
      <c r="B961" s="96">
        <v>45138</v>
      </c>
      <c r="C961" s="72" t="s">
        <v>37</v>
      </c>
      <c r="D961" s="41" t="s">
        <v>38</v>
      </c>
      <c r="E961" s="41"/>
      <c r="F961" s="43"/>
      <c r="G961" s="41"/>
      <c r="H961" s="41">
        <v>0</v>
      </c>
      <c r="I961" s="41">
        <v>0</v>
      </c>
      <c r="J961" s="41">
        <v>0</v>
      </c>
      <c r="K961" s="73"/>
      <c r="L961" s="73">
        <f t="shared" si="51"/>
        <v>0</v>
      </c>
      <c r="M961" s="73">
        <v>0</v>
      </c>
      <c r="N961" s="105">
        <f t="shared" si="50"/>
        <v>0</v>
      </c>
      <c r="O961" s="46" t="s">
        <v>162</v>
      </c>
    </row>
    <row r="962" spans="1:15" hidden="1" x14ac:dyDescent="0.25">
      <c r="A962" s="224"/>
      <c r="B962" s="96">
        <v>45139</v>
      </c>
      <c r="C962" s="52" t="s">
        <v>42</v>
      </c>
      <c r="D962" s="53" t="s">
        <v>38</v>
      </c>
      <c r="E962" s="53"/>
      <c r="F962" s="54"/>
      <c r="G962" s="53"/>
      <c r="H962" s="53">
        <v>0</v>
      </c>
      <c r="I962" s="53">
        <v>0</v>
      </c>
      <c r="J962" s="53">
        <v>0</v>
      </c>
      <c r="K962" s="55"/>
      <c r="L962" s="55">
        <f t="shared" si="51"/>
        <v>0</v>
      </c>
      <c r="M962" s="55">
        <v>0</v>
      </c>
      <c r="N962" s="101">
        <f t="shared" si="50"/>
        <v>0</v>
      </c>
      <c r="O962" s="57" t="s">
        <v>162</v>
      </c>
    </row>
    <row r="963" spans="1:15" hidden="1" x14ac:dyDescent="0.25">
      <c r="A963" s="224"/>
      <c r="B963" s="96">
        <v>45140</v>
      </c>
      <c r="C963" s="52" t="s">
        <v>46</v>
      </c>
      <c r="D963" s="53" t="s">
        <v>38</v>
      </c>
      <c r="E963" s="53"/>
      <c r="F963" s="54"/>
      <c r="G963" s="53"/>
      <c r="H963" s="53">
        <v>0</v>
      </c>
      <c r="I963" s="53">
        <v>0</v>
      </c>
      <c r="J963" s="53">
        <v>0</v>
      </c>
      <c r="K963" s="55"/>
      <c r="L963" s="55">
        <f t="shared" si="51"/>
        <v>0</v>
      </c>
      <c r="M963" s="55">
        <v>0</v>
      </c>
      <c r="N963" s="101">
        <f t="shared" si="50"/>
        <v>0</v>
      </c>
      <c r="O963" s="57" t="s">
        <v>162</v>
      </c>
    </row>
    <row r="964" spans="1:15" hidden="1" x14ac:dyDescent="0.25">
      <c r="A964" s="224"/>
      <c r="B964" s="96">
        <v>45141</v>
      </c>
      <c r="C964" s="52" t="s">
        <v>50</v>
      </c>
      <c r="D964" s="53" t="s">
        <v>38</v>
      </c>
      <c r="E964" s="53"/>
      <c r="F964" s="54"/>
      <c r="G964" s="53"/>
      <c r="H964" s="53">
        <v>0</v>
      </c>
      <c r="I964" s="53">
        <v>0</v>
      </c>
      <c r="J964" s="53">
        <v>0</v>
      </c>
      <c r="K964" s="55"/>
      <c r="L964" s="55">
        <f t="shared" si="51"/>
        <v>0</v>
      </c>
      <c r="M964" s="55">
        <v>0</v>
      </c>
      <c r="N964" s="101">
        <f t="shared" si="50"/>
        <v>0</v>
      </c>
      <c r="O964" s="57" t="s">
        <v>162</v>
      </c>
    </row>
    <row r="965" spans="1:15" hidden="1" x14ac:dyDescent="0.25">
      <c r="A965" s="224"/>
      <c r="B965" s="96">
        <v>45142</v>
      </c>
      <c r="C965" s="52" t="s">
        <v>53</v>
      </c>
      <c r="D965" s="53" t="s">
        <v>38</v>
      </c>
      <c r="E965" s="53"/>
      <c r="F965" s="54"/>
      <c r="G965" s="53"/>
      <c r="H965" s="53">
        <v>0</v>
      </c>
      <c r="I965" s="53">
        <v>0</v>
      </c>
      <c r="J965" s="53">
        <v>0</v>
      </c>
      <c r="K965" s="55"/>
      <c r="L965" s="55">
        <f t="shared" si="51"/>
        <v>0</v>
      </c>
      <c r="M965" s="55">
        <v>0</v>
      </c>
      <c r="N965" s="101">
        <f t="shared" si="50"/>
        <v>0</v>
      </c>
      <c r="O965" s="57" t="s">
        <v>162</v>
      </c>
    </row>
    <row r="966" spans="1:15" hidden="1" x14ac:dyDescent="0.25">
      <c r="A966" s="224"/>
      <c r="B966" s="97">
        <v>45143</v>
      </c>
      <c r="C966" s="58" t="s">
        <v>57</v>
      </c>
      <c r="D966" s="60" t="s">
        <v>38</v>
      </c>
      <c r="E966" s="60"/>
      <c r="F966" s="61"/>
      <c r="G966" s="60"/>
      <c r="H966" s="60">
        <v>0</v>
      </c>
      <c r="I966" s="60">
        <v>0</v>
      </c>
      <c r="J966" s="60">
        <v>0</v>
      </c>
      <c r="K966" s="62"/>
      <c r="L966" s="62">
        <f t="shared" si="51"/>
        <v>0</v>
      </c>
      <c r="M966" s="62">
        <v>0</v>
      </c>
      <c r="N966" s="102">
        <f t="shared" si="50"/>
        <v>0</v>
      </c>
      <c r="O966" s="64" t="s">
        <v>162</v>
      </c>
    </row>
    <row r="967" spans="1:15" ht="15.75" hidden="1" thickBot="1" x14ac:dyDescent="0.3">
      <c r="A967" s="225"/>
      <c r="B967" s="98">
        <v>45144</v>
      </c>
      <c r="C967" s="66" t="s">
        <v>59</v>
      </c>
      <c r="D967" s="67" t="s">
        <v>38</v>
      </c>
      <c r="E967" s="67"/>
      <c r="F967" s="68"/>
      <c r="G967" s="67"/>
      <c r="H967" s="67">
        <v>0</v>
      </c>
      <c r="I967" s="67">
        <v>0</v>
      </c>
      <c r="J967" s="67">
        <v>0</v>
      </c>
      <c r="K967" s="69"/>
      <c r="L967" s="69">
        <f t="shared" si="51"/>
        <v>0</v>
      </c>
      <c r="M967" s="69">
        <v>0</v>
      </c>
      <c r="N967" s="103">
        <f t="shared" si="50"/>
        <v>0</v>
      </c>
      <c r="O967" s="71" t="s">
        <v>162</v>
      </c>
    </row>
    <row r="968" spans="1:15" hidden="1" x14ac:dyDescent="0.25">
      <c r="A968" s="223">
        <f>_xlfn.ISOWEEKNUM(B968)</f>
        <v>32</v>
      </c>
      <c r="B968" s="96">
        <v>45145</v>
      </c>
      <c r="C968" s="72" t="s">
        <v>37</v>
      </c>
      <c r="D968" s="41" t="s">
        <v>38</v>
      </c>
      <c r="E968" s="41"/>
      <c r="F968" s="43"/>
      <c r="G968" s="41"/>
      <c r="H968" s="41">
        <v>0</v>
      </c>
      <c r="I968" s="41">
        <v>0</v>
      </c>
      <c r="J968" s="41">
        <v>0</v>
      </c>
      <c r="K968" s="73"/>
      <c r="L968" s="73">
        <f t="shared" si="51"/>
        <v>0</v>
      </c>
      <c r="M968" s="73">
        <v>0</v>
      </c>
      <c r="N968" s="105">
        <f t="shared" si="50"/>
        <v>0</v>
      </c>
      <c r="O968" s="46" t="s">
        <v>162</v>
      </c>
    </row>
    <row r="969" spans="1:15" hidden="1" x14ac:dyDescent="0.25">
      <c r="A969" s="224"/>
      <c r="B969" s="96">
        <v>45146</v>
      </c>
      <c r="C969" s="52" t="s">
        <v>42</v>
      </c>
      <c r="D969" s="53" t="s">
        <v>38</v>
      </c>
      <c r="E969" s="53"/>
      <c r="F969" s="54"/>
      <c r="G969" s="53"/>
      <c r="H969" s="53">
        <v>0</v>
      </c>
      <c r="I969" s="53">
        <v>0</v>
      </c>
      <c r="J969" s="53">
        <v>0</v>
      </c>
      <c r="K969" s="55"/>
      <c r="L969" s="55">
        <f t="shared" si="51"/>
        <v>0</v>
      </c>
      <c r="M969" s="55">
        <v>0</v>
      </c>
      <c r="N969" s="101">
        <f t="shared" si="50"/>
        <v>0</v>
      </c>
      <c r="O969" s="57" t="s">
        <v>162</v>
      </c>
    </row>
    <row r="970" spans="1:15" hidden="1" x14ac:dyDescent="0.25">
      <c r="A970" s="224"/>
      <c r="B970" s="96">
        <v>45147</v>
      </c>
      <c r="C970" s="52" t="s">
        <v>46</v>
      </c>
      <c r="D970" s="53" t="s">
        <v>38</v>
      </c>
      <c r="E970" s="53"/>
      <c r="F970" s="54"/>
      <c r="G970" s="53"/>
      <c r="H970" s="53">
        <v>0</v>
      </c>
      <c r="I970" s="53">
        <v>0</v>
      </c>
      <c r="J970" s="53">
        <v>0</v>
      </c>
      <c r="K970" s="55"/>
      <c r="L970" s="55">
        <f t="shared" si="51"/>
        <v>0</v>
      </c>
      <c r="M970" s="55">
        <v>0</v>
      </c>
      <c r="N970" s="101">
        <f t="shared" si="50"/>
        <v>0</v>
      </c>
      <c r="O970" s="57" t="s">
        <v>162</v>
      </c>
    </row>
    <row r="971" spans="1:15" hidden="1" x14ac:dyDescent="0.25">
      <c r="A971" s="224"/>
      <c r="B971" s="96">
        <v>45148</v>
      </c>
      <c r="C971" s="52" t="s">
        <v>50</v>
      </c>
      <c r="D971" s="53" t="s">
        <v>38</v>
      </c>
      <c r="E971" s="53"/>
      <c r="F971" s="54"/>
      <c r="G971" s="53"/>
      <c r="H971" s="53">
        <v>0</v>
      </c>
      <c r="I971" s="53">
        <v>0</v>
      </c>
      <c r="J971" s="53">
        <v>0</v>
      </c>
      <c r="K971" s="55"/>
      <c r="L971" s="55">
        <f t="shared" si="51"/>
        <v>0</v>
      </c>
      <c r="M971" s="55">
        <v>0</v>
      </c>
      <c r="N971" s="101">
        <f t="shared" si="50"/>
        <v>0</v>
      </c>
      <c r="O971" s="57" t="s">
        <v>162</v>
      </c>
    </row>
    <row r="972" spans="1:15" hidden="1" x14ac:dyDescent="0.25">
      <c r="A972" s="224"/>
      <c r="B972" s="96">
        <v>45149</v>
      </c>
      <c r="C972" s="52" t="s">
        <v>53</v>
      </c>
      <c r="D972" s="53" t="s">
        <v>38</v>
      </c>
      <c r="E972" s="53"/>
      <c r="F972" s="54"/>
      <c r="G972" s="53"/>
      <c r="H972" s="53">
        <v>0</v>
      </c>
      <c r="I972" s="53">
        <v>0</v>
      </c>
      <c r="J972" s="53">
        <v>0</v>
      </c>
      <c r="K972" s="55"/>
      <c r="L972" s="55">
        <f t="shared" si="51"/>
        <v>0</v>
      </c>
      <c r="M972" s="55">
        <v>0</v>
      </c>
      <c r="N972" s="101">
        <f t="shared" si="50"/>
        <v>0</v>
      </c>
      <c r="O972" s="57" t="s">
        <v>162</v>
      </c>
    </row>
    <row r="973" spans="1:15" hidden="1" x14ac:dyDescent="0.25">
      <c r="A973" s="224"/>
      <c r="B973" s="97">
        <v>45150</v>
      </c>
      <c r="C973" s="58" t="s">
        <v>57</v>
      </c>
      <c r="D973" s="60" t="s">
        <v>38</v>
      </c>
      <c r="E973" s="60"/>
      <c r="F973" s="61"/>
      <c r="G973" s="60"/>
      <c r="H973" s="60">
        <v>0</v>
      </c>
      <c r="I973" s="60">
        <v>0</v>
      </c>
      <c r="J973" s="60">
        <v>0</v>
      </c>
      <c r="K973" s="62"/>
      <c r="L973" s="62">
        <f t="shared" si="51"/>
        <v>0</v>
      </c>
      <c r="M973" s="62">
        <v>0</v>
      </c>
      <c r="N973" s="102">
        <f t="shared" si="50"/>
        <v>0</v>
      </c>
      <c r="O973" s="64" t="s">
        <v>162</v>
      </c>
    </row>
    <row r="974" spans="1:15" ht="15.75" hidden="1" thickBot="1" x14ac:dyDescent="0.3">
      <c r="A974" s="225"/>
      <c r="B974" s="98">
        <v>45151</v>
      </c>
      <c r="C974" s="66" t="s">
        <v>59</v>
      </c>
      <c r="D974" s="67" t="s">
        <v>38</v>
      </c>
      <c r="E974" s="67"/>
      <c r="F974" s="68"/>
      <c r="G974" s="67"/>
      <c r="H974" s="67">
        <v>0</v>
      </c>
      <c r="I974" s="67">
        <v>0</v>
      </c>
      <c r="J974" s="67">
        <v>0</v>
      </c>
      <c r="K974" s="69"/>
      <c r="L974" s="69">
        <f t="shared" si="51"/>
        <v>0</v>
      </c>
      <c r="M974" s="69">
        <v>0</v>
      </c>
      <c r="N974" s="103">
        <f t="shared" si="50"/>
        <v>0</v>
      </c>
      <c r="O974" s="71" t="s">
        <v>162</v>
      </c>
    </row>
    <row r="975" spans="1:15" hidden="1" x14ac:dyDescent="0.25">
      <c r="A975" s="223">
        <f>_xlfn.ISOWEEKNUM(B975)</f>
        <v>33</v>
      </c>
      <c r="B975" s="96">
        <v>45152</v>
      </c>
      <c r="C975" s="72" t="s">
        <v>37</v>
      </c>
      <c r="D975" s="41" t="s">
        <v>38</v>
      </c>
      <c r="E975" s="41"/>
      <c r="F975" s="43"/>
      <c r="G975" s="41"/>
      <c r="H975" s="41">
        <v>0</v>
      </c>
      <c r="I975" s="41">
        <v>0</v>
      </c>
      <c r="J975" s="41">
        <v>0</v>
      </c>
      <c r="K975" s="73"/>
      <c r="L975" s="73">
        <f t="shared" si="51"/>
        <v>0</v>
      </c>
      <c r="M975" s="73">
        <v>0</v>
      </c>
      <c r="N975" s="105">
        <f t="shared" ref="N975:N1038" si="52">L975*(1-M975)</f>
        <v>0</v>
      </c>
      <c r="O975" s="46" t="s">
        <v>162</v>
      </c>
    </row>
    <row r="976" spans="1:15" hidden="1" x14ac:dyDescent="0.25">
      <c r="A976" s="224"/>
      <c r="B976" s="96">
        <v>45153</v>
      </c>
      <c r="C976" s="52" t="s">
        <v>42</v>
      </c>
      <c r="D976" s="53" t="s">
        <v>38</v>
      </c>
      <c r="E976" s="53"/>
      <c r="F976" s="54"/>
      <c r="G976" s="53"/>
      <c r="H976" s="53">
        <v>0</v>
      </c>
      <c r="I976" s="53">
        <v>0</v>
      </c>
      <c r="J976" s="53">
        <v>0</v>
      </c>
      <c r="K976" s="55"/>
      <c r="L976" s="55">
        <f t="shared" si="51"/>
        <v>0</v>
      </c>
      <c r="M976" s="55">
        <v>0</v>
      </c>
      <c r="N976" s="101">
        <f t="shared" si="52"/>
        <v>0</v>
      </c>
      <c r="O976" s="57" t="s">
        <v>162</v>
      </c>
    </row>
    <row r="977" spans="1:15" hidden="1" x14ac:dyDescent="0.25">
      <c r="A977" s="224"/>
      <c r="B977" s="96">
        <v>45154</v>
      </c>
      <c r="C977" s="52" t="s">
        <v>46</v>
      </c>
      <c r="D977" s="53" t="s">
        <v>38</v>
      </c>
      <c r="E977" s="53"/>
      <c r="F977" s="54"/>
      <c r="G977" s="53"/>
      <c r="H977" s="53">
        <v>0</v>
      </c>
      <c r="I977" s="53">
        <v>0</v>
      </c>
      <c r="J977" s="53">
        <v>0</v>
      </c>
      <c r="K977" s="55"/>
      <c r="L977" s="55">
        <f t="shared" si="51"/>
        <v>0</v>
      </c>
      <c r="M977" s="55">
        <v>0</v>
      </c>
      <c r="N977" s="101">
        <f t="shared" si="52"/>
        <v>0</v>
      </c>
      <c r="O977" s="57" t="s">
        <v>162</v>
      </c>
    </row>
    <row r="978" spans="1:15" hidden="1" x14ac:dyDescent="0.25">
      <c r="A978" s="224"/>
      <c r="B978" s="96">
        <v>45155</v>
      </c>
      <c r="C978" s="52" t="s">
        <v>50</v>
      </c>
      <c r="D978" s="53" t="s">
        <v>38</v>
      </c>
      <c r="E978" s="53"/>
      <c r="F978" s="54"/>
      <c r="G978" s="53"/>
      <c r="H978" s="53">
        <v>0</v>
      </c>
      <c r="I978" s="53">
        <v>0</v>
      </c>
      <c r="J978" s="53">
        <v>0</v>
      </c>
      <c r="K978" s="55"/>
      <c r="L978" s="55">
        <f t="shared" si="51"/>
        <v>0</v>
      </c>
      <c r="M978" s="55">
        <v>0</v>
      </c>
      <c r="N978" s="101">
        <f t="shared" si="52"/>
        <v>0</v>
      </c>
      <c r="O978" s="57" t="s">
        <v>162</v>
      </c>
    </row>
    <row r="979" spans="1:15" hidden="1" x14ac:dyDescent="0.25">
      <c r="A979" s="224"/>
      <c r="B979" s="96">
        <v>45156</v>
      </c>
      <c r="C979" s="52" t="s">
        <v>53</v>
      </c>
      <c r="D979" s="53" t="s">
        <v>38</v>
      </c>
      <c r="E979" s="53"/>
      <c r="F979" s="54"/>
      <c r="G979" s="53"/>
      <c r="H979" s="53">
        <v>0</v>
      </c>
      <c r="I979" s="53">
        <v>0</v>
      </c>
      <c r="J979" s="53">
        <v>0</v>
      </c>
      <c r="K979" s="55"/>
      <c r="L979" s="55">
        <f t="shared" si="51"/>
        <v>0</v>
      </c>
      <c r="M979" s="55">
        <v>0</v>
      </c>
      <c r="N979" s="101">
        <f t="shared" si="52"/>
        <v>0</v>
      </c>
      <c r="O979" s="57" t="s">
        <v>162</v>
      </c>
    </row>
    <row r="980" spans="1:15" hidden="1" x14ac:dyDescent="0.25">
      <c r="A980" s="224"/>
      <c r="B980" s="97">
        <v>45157</v>
      </c>
      <c r="C980" s="58" t="s">
        <v>57</v>
      </c>
      <c r="D980" s="60" t="s">
        <v>38</v>
      </c>
      <c r="E980" s="60"/>
      <c r="F980" s="61"/>
      <c r="G980" s="60"/>
      <c r="H980" s="60">
        <v>0</v>
      </c>
      <c r="I980" s="60">
        <v>0</v>
      </c>
      <c r="J980" s="60">
        <v>0</v>
      </c>
      <c r="K980" s="62"/>
      <c r="L980" s="62">
        <f t="shared" si="51"/>
        <v>0</v>
      </c>
      <c r="M980" s="62">
        <v>0</v>
      </c>
      <c r="N980" s="102">
        <f t="shared" si="52"/>
        <v>0</v>
      </c>
      <c r="O980" s="64" t="s">
        <v>162</v>
      </c>
    </row>
    <row r="981" spans="1:15" ht="15.75" hidden="1" thickBot="1" x14ac:dyDescent="0.3">
      <c r="A981" s="225"/>
      <c r="B981" s="98">
        <v>45158</v>
      </c>
      <c r="C981" s="66" t="s">
        <v>59</v>
      </c>
      <c r="D981" s="67" t="s">
        <v>38</v>
      </c>
      <c r="E981" s="67"/>
      <c r="F981" s="68"/>
      <c r="G981" s="67"/>
      <c r="H981" s="67">
        <v>0</v>
      </c>
      <c r="I981" s="67">
        <v>0</v>
      </c>
      <c r="J981" s="67">
        <v>0</v>
      </c>
      <c r="K981" s="69"/>
      <c r="L981" s="69">
        <f t="shared" si="51"/>
        <v>0</v>
      </c>
      <c r="M981" s="69">
        <v>0</v>
      </c>
      <c r="N981" s="103">
        <f t="shared" si="52"/>
        <v>0</v>
      </c>
      <c r="O981" s="71" t="s">
        <v>162</v>
      </c>
    </row>
    <row r="982" spans="1:15" hidden="1" x14ac:dyDescent="0.25">
      <c r="A982" s="223">
        <f>_xlfn.ISOWEEKNUM(B982)</f>
        <v>34</v>
      </c>
      <c r="B982" s="96">
        <v>45159</v>
      </c>
      <c r="C982" s="72" t="s">
        <v>37</v>
      </c>
      <c r="D982" s="41" t="s">
        <v>38</v>
      </c>
      <c r="E982" s="41"/>
      <c r="F982" s="43"/>
      <c r="G982" s="41"/>
      <c r="H982" s="41">
        <v>0</v>
      </c>
      <c r="I982" s="41">
        <v>0</v>
      </c>
      <c r="J982" s="41">
        <v>0</v>
      </c>
      <c r="K982" s="73"/>
      <c r="L982" s="73">
        <f t="shared" si="51"/>
        <v>0</v>
      </c>
      <c r="M982" s="73">
        <v>0</v>
      </c>
      <c r="N982" s="105">
        <f t="shared" si="52"/>
        <v>0</v>
      </c>
      <c r="O982" s="46" t="s">
        <v>162</v>
      </c>
    </row>
    <row r="983" spans="1:15" hidden="1" x14ac:dyDescent="0.25">
      <c r="A983" s="224"/>
      <c r="B983" s="96">
        <v>45160</v>
      </c>
      <c r="C983" s="52" t="s">
        <v>42</v>
      </c>
      <c r="D983" s="53" t="s">
        <v>38</v>
      </c>
      <c r="E983" s="53"/>
      <c r="F983" s="54"/>
      <c r="G983" s="53"/>
      <c r="H983" s="53">
        <v>0</v>
      </c>
      <c r="I983" s="53">
        <v>0</v>
      </c>
      <c r="J983" s="53">
        <v>0</v>
      </c>
      <c r="K983" s="55"/>
      <c r="L983" s="55">
        <f t="shared" si="51"/>
        <v>0</v>
      </c>
      <c r="M983" s="55">
        <v>0</v>
      </c>
      <c r="N983" s="101">
        <f t="shared" si="52"/>
        <v>0</v>
      </c>
      <c r="O983" s="57" t="s">
        <v>162</v>
      </c>
    </row>
    <row r="984" spans="1:15" hidden="1" x14ac:dyDescent="0.25">
      <c r="A984" s="224"/>
      <c r="B984" s="96">
        <v>45161</v>
      </c>
      <c r="C984" s="52" t="s">
        <v>46</v>
      </c>
      <c r="D984" s="53" t="s">
        <v>38</v>
      </c>
      <c r="E984" s="53"/>
      <c r="F984" s="54"/>
      <c r="G984" s="53"/>
      <c r="H984" s="53">
        <v>0</v>
      </c>
      <c r="I984" s="53">
        <v>0</v>
      </c>
      <c r="J984" s="53">
        <v>0</v>
      </c>
      <c r="K984" s="55"/>
      <c r="L984" s="55">
        <f t="shared" si="51"/>
        <v>0</v>
      </c>
      <c r="M984" s="55">
        <v>0</v>
      </c>
      <c r="N984" s="101">
        <f t="shared" si="52"/>
        <v>0</v>
      </c>
      <c r="O984" s="57" t="s">
        <v>162</v>
      </c>
    </row>
    <row r="985" spans="1:15" hidden="1" x14ac:dyDescent="0.25">
      <c r="A985" s="224"/>
      <c r="B985" s="96">
        <v>45162</v>
      </c>
      <c r="C985" s="52" t="s">
        <v>50</v>
      </c>
      <c r="D985" s="53" t="s">
        <v>38</v>
      </c>
      <c r="E985" s="53"/>
      <c r="F985" s="54"/>
      <c r="G985" s="53"/>
      <c r="H985" s="53">
        <v>0</v>
      </c>
      <c r="I985" s="53">
        <v>0</v>
      </c>
      <c r="J985" s="53">
        <v>0</v>
      </c>
      <c r="K985" s="55"/>
      <c r="L985" s="55">
        <f t="shared" si="51"/>
        <v>0</v>
      </c>
      <c r="M985" s="55">
        <v>0</v>
      </c>
      <c r="N985" s="101">
        <f t="shared" si="52"/>
        <v>0</v>
      </c>
      <c r="O985" s="57" t="s">
        <v>162</v>
      </c>
    </row>
    <row r="986" spans="1:15" hidden="1" x14ac:dyDescent="0.25">
      <c r="A986" s="224"/>
      <c r="B986" s="96">
        <v>45163</v>
      </c>
      <c r="C986" s="52" t="s">
        <v>53</v>
      </c>
      <c r="D986" s="53" t="s">
        <v>38</v>
      </c>
      <c r="E986" s="53"/>
      <c r="F986" s="54"/>
      <c r="G986" s="53"/>
      <c r="H986" s="53">
        <v>0</v>
      </c>
      <c r="I986" s="53">
        <v>0</v>
      </c>
      <c r="J986" s="53">
        <v>0</v>
      </c>
      <c r="K986" s="55"/>
      <c r="L986" s="55">
        <f t="shared" si="51"/>
        <v>0</v>
      </c>
      <c r="M986" s="55">
        <v>0</v>
      </c>
      <c r="N986" s="101">
        <f t="shared" si="52"/>
        <v>0</v>
      </c>
      <c r="O986" s="57" t="s">
        <v>162</v>
      </c>
    </row>
    <row r="987" spans="1:15" hidden="1" x14ac:dyDescent="0.25">
      <c r="A987" s="224"/>
      <c r="B987" s="97">
        <v>45164</v>
      </c>
      <c r="C987" s="58" t="s">
        <v>57</v>
      </c>
      <c r="D987" s="60" t="s">
        <v>38</v>
      </c>
      <c r="E987" s="60"/>
      <c r="F987" s="61"/>
      <c r="G987" s="60"/>
      <c r="H987" s="60">
        <v>0</v>
      </c>
      <c r="I987" s="60">
        <v>0</v>
      </c>
      <c r="J987" s="60">
        <v>0</v>
      </c>
      <c r="K987" s="62"/>
      <c r="L987" s="62">
        <f t="shared" si="51"/>
        <v>0</v>
      </c>
      <c r="M987" s="62">
        <v>0</v>
      </c>
      <c r="N987" s="102">
        <f t="shared" si="52"/>
        <v>0</v>
      </c>
      <c r="O987" s="64" t="s">
        <v>162</v>
      </c>
    </row>
    <row r="988" spans="1:15" ht="15.75" hidden="1" thickBot="1" x14ac:dyDescent="0.3">
      <c r="A988" s="225"/>
      <c r="B988" s="98">
        <v>45165</v>
      </c>
      <c r="C988" s="66" t="s">
        <v>59</v>
      </c>
      <c r="D988" s="67" t="s">
        <v>38</v>
      </c>
      <c r="E988" s="67"/>
      <c r="F988" s="68"/>
      <c r="G988" s="67"/>
      <c r="H988" s="67">
        <v>0</v>
      </c>
      <c r="I988" s="67">
        <v>0</v>
      </c>
      <c r="J988" s="67">
        <v>0</v>
      </c>
      <c r="K988" s="69"/>
      <c r="L988" s="69">
        <f t="shared" si="51"/>
        <v>0</v>
      </c>
      <c r="M988" s="69">
        <v>0</v>
      </c>
      <c r="N988" s="103">
        <f t="shared" si="52"/>
        <v>0</v>
      </c>
      <c r="O988" s="71" t="s">
        <v>162</v>
      </c>
    </row>
    <row r="989" spans="1:15" hidden="1" x14ac:dyDescent="0.25">
      <c r="A989" s="223">
        <f>_xlfn.ISOWEEKNUM(B989)</f>
        <v>35</v>
      </c>
      <c r="B989" s="96">
        <v>45166</v>
      </c>
      <c r="C989" s="72" t="s">
        <v>37</v>
      </c>
      <c r="D989" s="41" t="s">
        <v>38</v>
      </c>
      <c r="E989" s="41"/>
      <c r="F989" s="43"/>
      <c r="G989" s="41"/>
      <c r="H989" s="41">
        <v>0</v>
      </c>
      <c r="I989" s="41">
        <v>0</v>
      </c>
      <c r="J989" s="41">
        <v>0</v>
      </c>
      <c r="K989" s="73"/>
      <c r="L989" s="73">
        <f t="shared" si="51"/>
        <v>0</v>
      </c>
      <c r="M989" s="73">
        <v>0</v>
      </c>
      <c r="N989" s="105">
        <f t="shared" si="52"/>
        <v>0</v>
      </c>
      <c r="O989" s="46" t="s">
        <v>162</v>
      </c>
    </row>
    <row r="990" spans="1:15" hidden="1" x14ac:dyDescent="0.25">
      <c r="A990" s="224"/>
      <c r="B990" s="96">
        <v>45167</v>
      </c>
      <c r="C990" s="52" t="s">
        <v>42</v>
      </c>
      <c r="D990" s="53" t="s">
        <v>38</v>
      </c>
      <c r="E990" s="53"/>
      <c r="F990" s="54"/>
      <c r="G990" s="53"/>
      <c r="H990" s="53">
        <v>0</v>
      </c>
      <c r="I990" s="53">
        <v>0</v>
      </c>
      <c r="J990" s="53">
        <v>0</v>
      </c>
      <c r="K990" s="55"/>
      <c r="L990" s="55">
        <f t="shared" si="51"/>
        <v>0</v>
      </c>
      <c r="M990" s="55">
        <v>0</v>
      </c>
      <c r="N990" s="101">
        <f t="shared" si="52"/>
        <v>0</v>
      </c>
      <c r="O990" s="57" t="s">
        <v>162</v>
      </c>
    </row>
    <row r="991" spans="1:15" hidden="1" x14ac:dyDescent="0.25">
      <c r="A991" s="224"/>
      <c r="B991" s="96">
        <v>45168</v>
      </c>
      <c r="C991" s="52" t="s">
        <v>46</v>
      </c>
      <c r="D991" s="53" t="s">
        <v>38</v>
      </c>
      <c r="E991" s="53"/>
      <c r="F991" s="54"/>
      <c r="G991" s="53"/>
      <c r="H991" s="53">
        <v>0</v>
      </c>
      <c r="I991" s="53">
        <v>0</v>
      </c>
      <c r="J991" s="53">
        <v>0</v>
      </c>
      <c r="K991" s="55"/>
      <c r="L991" s="55">
        <f t="shared" si="51"/>
        <v>0</v>
      </c>
      <c r="M991" s="55">
        <v>0</v>
      </c>
      <c r="N991" s="101">
        <f t="shared" si="52"/>
        <v>0</v>
      </c>
      <c r="O991" s="57" t="s">
        <v>162</v>
      </c>
    </row>
    <row r="992" spans="1:15" hidden="1" x14ac:dyDescent="0.25">
      <c r="A992" s="224"/>
      <c r="B992" s="96">
        <v>45169</v>
      </c>
      <c r="C992" s="52" t="s">
        <v>50</v>
      </c>
      <c r="D992" s="53" t="s">
        <v>38</v>
      </c>
      <c r="E992" s="53"/>
      <c r="F992" s="54"/>
      <c r="G992" s="53"/>
      <c r="H992" s="53">
        <v>0</v>
      </c>
      <c r="I992" s="53">
        <v>0</v>
      </c>
      <c r="J992" s="53">
        <v>0</v>
      </c>
      <c r="K992" s="55"/>
      <c r="L992" s="55">
        <f t="shared" si="51"/>
        <v>0</v>
      </c>
      <c r="M992" s="55">
        <v>0</v>
      </c>
      <c r="N992" s="101">
        <f t="shared" si="52"/>
        <v>0</v>
      </c>
      <c r="O992" s="57" t="s">
        <v>162</v>
      </c>
    </row>
    <row r="993" spans="1:15" hidden="1" x14ac:dyDescent="0.25">
      <c r="A993" s="224"/>
      <c r="B993" s="96">
        <v>45170</v>
      </c>
      <c r="C993" s="52" t="s">
        <v>53</v>
      </c>
      <c r="D993" s="53" t="s">
        <v>38</v>
      </c>
      <c r="E993" s="53"/>
      <c r="F993" s="54"/>
      <c r="G993" s="53"/>
      <c r="H993" s="53">
        <v>0</v>
      </c>
      <c r="I993" s="53">
        <v>0</v>
      </c>
      <c r="J993" s="53">
        <v>0</v>
      </c>
      <c r="K993" s="55"/>
      <c r="L993" s="55">
        <f t="shared" si="51"/>
        <v>0</v>
      </c>
      <c r="M993" s="55">
        <v>0</v>
      </c>
      <c r="N993" s="101">
        <f t="shared" si="52"/>
        <v>0</v>
      </c>
      <c r="O993" s="57" t="s">
        <v>162</v>
      </c>
    </row>
    <row r="994" spans="1:15" hidden="1" x14ac:dyDescent="0.25">
      <c r="A994" s="224"/>
      <c r="B994" s="97">
        <v>45171</v>
      </c>
      <c r="C994" s="58" t="s">
        <v>57</v>
      </c>
      <c r="D994" s="60" t="s">
        <v>38</v>
      </c>
      <c r="E994" s="60"/>
      <c r="F994" s="61"/>
      <c r="G994" s="60"/>
      <c r="H994" s="60">
        <v>0</v>
      </c>
      <c r="I994" s="60">
        <v>0</v>
      </c>
      <c r="J994" s="60">
        <v>0</v>
      </c>
      <c r="K994" s="62"/>
      <c r="L994" s="62">
        <f t="shared" si="51"/>
        <v>0</v>
      </c>
      <c r="M994" s="62">
        <v>0</v>
      </c>
      <c r="N994" s="102">
        <f t="shared" si="52"/>
        <v>0</v>
      </c>
      <c r="O994" s="64" t="s">
        <v>162</v>
      </c>
    </row>
    <row r="995" spans="1:15" ht="15.75" hidden="1" thickBot="1" x14ac:dyDescent="0.3">
      <c r="A995" s="225"/>
      <c r="B995" s="98">
        <v>45172</v>
      </c>
      <c r="C995" s="66" t="s">
        <v>59</v>
      </c>
      <c r="D995" s="67" t="s">
        <v>38</v>
      </c>
      <c r="E995" s="67"/>
      <c r="F995" s="68"/>
      <c r="G995" s="67"/>
      <c r="H995" s="67">
        <v>0</v>
      </c>
      <c r="I995" s="67">
        <v>0</v>
      </c>
      <c r="J995" s="67">
        <v>0</v>
      </c>
      <c r="K995" s="69"/>
      <c r="L995" s="69">
        <f t="shared" si="51"/>
        <v>0</v>
      </c>
      <c r="M995" s="69">
        <v>0</v>
      </c>
      <c r="N995" s="103">
        <f t="shared" si="52"/>
        <v>0</v>
      </c>
      <c r="O995" s="71" t="s">
        <v>162</v>
      </c>
    </row>
    <row r="996" spans="1:15" hidden="1" x14ac:dyDescent="0.25">
      <c r="A996" s="223">
        <f>_xlfn.ISOWEEKNUM(B996)</f>
        <v>36</v>
      </c>
      <c r="B996" s="96">
        <v>45173</v>
      </c>
      <c r="C996" s="72" t="s">
        <v>37</v>
      </c>
      <c r="D996" s="41" t="s">
        <v>38</v>
      </c>
      <c r="E996" s="41"/>
      <c r="F996" s="43"/>
      <c r="G996" s="41"/>
      <c r="H996" s="41">
        <v>0</v>
      </c>
      <c r="I996" s="41">
        <v>0</v>
      </c>
      <c r="J996" s="41">
        <v>0</v>
      </c>
      <c r="K996" s="73"/>
      <c r="L996" s="73">
        <f t="shared" si="51"/>
        <v>0</v>
      </c>
      <c r="M996" s="73">
        <v>0</v>
      </c>
      <c r="N996" s="105">
        <f t="shared" si="52"/>
        <v>0</v>
      </c>
      <c r="O996" s="46" t="s">
        <v>162</v>
      </c>
    </row>
    <row r="997" spans="1:15" hidden="1" x14ac:dyDescent="0.25">
      <c r="A997" s="224"/>
      <c r="B997" s="96">
        <v>45174</v>
      </c>
      <c r="C997" s="52" t="s">
        <v>42</v>
      </c>
      <c r="D997" s="53" t="s">
        <v>38</v>
      </c>
      <c r="E997" s="53"/>
      <c r="F997" s="54"/>
      <c r="G997" s="53"/>
      <c r="H997" s="53">
        <v>0</v>
      </c>
      <c r="I997" s="53">
        <v>0</v>
      </c>
      <c r="J997" s="53">
        <v>0</v>
      </c>
      <c r="K997" s="55"/>
      <c r="L997" s="55">
        <f t="shared" si="51"/>
        <v>0</v>
      </c>
      <c r="M997" s="55">
        <v>0</v>
      </c>
      <c r="N997" s="101">
        <f t="shared" si="52"/>
        <v>0</v>
      </c>
      <c r="O997" s="57" t="s">
        <v>162</v>
      </c>
    </row>
    <row r="998" spans="1:15" hidden="1" x14ac:dyDescent="0.25">
      <c r="A998" s="224"/>
      <c r="B998" s="96">
        <v>45175</v>
      </c>
      <c r="C998" s="52" t="s">
        <v>46</v>
      </c>
      <c r="D998" s="53" t="s">
        <v>38</v>
      </c>
      <c r="E998" s="53"/>
      <c r="F998" s="54"/>
      <c r="G998" s="53"/>
      <c r="H998" s="53">
        <v>0</v>
      </c>
      <c r="I998" s="53">
        <v>0</v>
      </c>
      <c r="J998" s="53">
        <v>0</v>
      </c>
      <c r="K998" s="55"/>
      <c r="L998" s="55">
        <f t="shared" si="51"/>
        <v>0</v>
      </c>
      <c r="M998" s="55">
        <v>0</v>
      </c>
      <c r="N998" s="101">
        <f t="shared" si="52"/>
        <v>0</v>
      </c>
      <c r="O998" s="57" t="s">
        <v>162</v>
      </c>
    </row>
    <row r="999" spans="1:15" hidden="1" x14ac:dyDescent="0.25">
      <c r="A999" s="224"/>
      <c r="B999" s="96">
        <v>45176</v>
      </c>
      <c r="C999" s="52" t="s">
        <v>50</v>
      </c>
      <c r="D999" s="53" t="s">
        <v>38</v>
      </c>
      <c r="E999" s="53"/>
      <c r="F999" s="54"/>
      <c r="G999" s="53"/>
      <c r="H999" s="53">
        <v>0</v>
      </c>
      <c r="I999" s="53">
        <v>0</v>
      </c>
      <c r="J999" s="53">
        <v>0</v>
      </c>
      <c r="K999" s="55"/>
      <c r="L999" s="55">
        <f t="shared" si="51"/>
        <v>0</v>
      </c>
      <c r="M999" s="55">
        <v>0</v>
      </c>
      <c r="N999" s="101">
        <f t="shared" si="52"/>
        <v>0</v>
      </c>
      <c r="O999" s="57" t="s">
        <v>162</v>
      </c>
    </row>
    <row r="1000" spans="1:15" hidden="1" x14ac:dyDescent="0.25">
      <c r="A1000" s="224"/>
      <c r="B1000" s="96">
        <v>45177</v>
      </c>
      <c r="C1000" s="52" t="s">
        <v>53</v>
      </c>
      <c r="D1000" s="53" t="s">
        <v>38</v>
      </c>
      <c r="E1000" s="53"/>
      <c r="F1000" s="54"/>
      <c r="G1000" s="53"/>
      <c r="H1000" s="53">
        <v>0</v>
      </c>
      <c r="I1000" s="53">
        <v>0</v>
      </c>
      <c r="J1000" s="53">
        <v>0</v>
      </c>
      <c r="K1000" s="55"/>
      <c r="L1000" s="55">
        <f t="shared" si="51"/>
        <v>0</v>
      </c>
      <c r="M1000" s="55">
        <v>0</v>
      </c>
      <c r="N1000" s="101">
        <f t="shared" si="52"/>
        <v>0</v>
      </c>
      <c r="O1000" s="57" t="s">
        <v>162</v>
      </c>
    </row>
    <row r="1001" spans="1:15" hidden="1" x14ac:dyDescent="0.25">
      <c r="A1001" s="224"/>
      <c r="B1001" s="97">
        <v>45178</v>
      </c>
      <c r="C1001" s="58" t="s">
        <v>57</v>
      </c>
      <c r="D1001" s="60" t="s">
        <v>38</v>
      </c>
      <c r="E1001" s="60"/>
      <c r="F1001" s="61"/>
      <c r="G1001" s="60"/>
      <c r="H1001" s="60">
        <v>0</v>
      </c>
      <c r="I1001" s="60">
        <v>0</v>
      </c>
      <c r="J1001" s="60">
        <v>0</v>
      </c>
      <c r="K1001" s="62"/>
      <c r="L1001" s="62">
        <f t="shared" ref="L1001:L1064" si="53">IF(J1001&lt;&gt;0,J1001,I1001)*K1001</f>
        <v>0</v>
      </c>
      <c r="M1001" s="62">
        <v>0</v>
      </c>
      <c r="N1001" s="102">
        <f t="shared" si="52"/>
        <v>0</v>
      </c>
      <c r="O1001" s="64" t="s">
        <v>162</v>
      </c>
    </row>
    <row r="1002" spans="1:15" ht="15.75" hidden="1" thickBot="1" x14ac:dyDescent="0.3">
      <c r="A1002" s="225"/>
      <c r="B1002" s="98">
        <v>45179</v>
      </c>
      <c r="C1002" s="66" t="s">
        <v>59</v>
      </c>
      <c r="D1002" s="67" t="s">
        <v>38</v>
      </c>
      <c r="E1002" s="67"/>
      <c r="F1002" s="68"/>
      <c r="G1002" s="67"/>
      <c r="H1002" s="67">
        <v>0</v>
      </c>
      <c r="I1002" s="67">
        <v>0</v>
      </c>
      <c r="J1002" s="67">
        <v>0</v>
      </c>
      <c r="K1002" s="69"/>
      <c r="L1002" s="69">
        <f t="shared" si="53"/>
        <v>0</v>
      </c>
      <c r="M1002" s="69">
        <v>0</v>
      </c>
      <c r="N1002" s="103">
        <f t="shared" si="52"/>
        <v>0</v>
      </c>
      <c r="O1002" s="71" t="s">
        <v>162</v>
      </c>
    </row>
    <row r="1003" spans="1:15" hidden="1" x14ac:dyDescent="0.25">
      <c r="A1003" s="223">
        <f>_xlfn.ISOWEEKNUM(B1003)</f>
        <v>37</v>
      </c>
      <c r="B1003" s="96">
        <v>45180</v>
      </c>
      <c r="C1003" s="72" t="s">
        <v>37</v>
      </c>
      <c r="D1003" s="41" t="s">
        <v>38</v>
      </c>
      <c r="E1003" s="41"/>
      <c r="F1003" s="43"/>
      <c r="G1003" s="41"/>
      <c r="H1003" s="41">
        <v>0</v>
      </c>
      <c r="I1003" s="41">
        <v>0</v>
      </c>
      <c r="J1003" s="41">
        <v>0</v>
      </c>
      <c r="K1003" s="73"/>
      <c r="L1003" s="73">
        <f t="shared" si="53"/>
        <v>0</v>
      </c>
      <c r="M1003" s="73">
        <v>0</v>
      </c>
      <c r="N1003" s="105">
        <f t="shared" si="52"/>
        <v>0</v>
      </c>
      <c r="O1003" s="46" t="s">
        <v>162</v>
      </c>
    </row>
    <row r="1004" spans="1:15" hidden="1" x14ac:dyDescent="0.25">
      <c r="A1004" s="224"/>
      <c r="B1004" s="96">
        <v>45181</v>
      </c>
      <c r="C1004" s="52" t="s">
        <v>42</v>
      </c>
      <c r="D1004" s="53" t="s">
        <v>38</v>
      </c>
      <c r="E1004" s="53"/>
      <c r="F1004" s="54"/>
      <c r="G1004" s="53"/>
      <c r="H1004" s="53">
        <v>0</v>
      </c>
      <c r="I1004" s="53">
        <v>0</v>
      </c>
      <c r="J1004" s="53">
        <v>0</v>
      </c>
      <c r="K1004" s="55"/>
      <c r="L1004" s="55">
        <f t="shared" si="53"/>
        <v>0</v>
      </c>
      <c r="M1004" s="55">
        <v>0</v>
      </c>
      <c r="N1004" s="101">
        <f t="shared" si="52"/>
        <v>0</v>
      </c>
      <c r="O1004" s="57" t="s">
        <v>162</v>
      </c>
    </row>
    <row r="1005" spans="1:15" hidden="1" x14ac:dyDescent="0.25">
      <c r="A1005" s="224"/>
      <c r="B1005" s="96">
        <v>45182</v>
      </c>
      <c r="C1005" s="52" t="s">
        <v>46</v>
      </c>
      <c r="D1005" s="53" t="s">
        <v>38</v>
      </c>
      <c r="E1005" s="53"/>
      <c r="F1005" s="54"/>
      <c r="G1005" s="53"/>
      <c r="H1005" s="53">
        <v>0</v>
      </c>
      <c r="I1005" s="53">
        <v>0</v>
      </c>
      <c r="J1005" s="53">
        <v>0</v>
      </c>
      <c r="K1005" s="55"/>
      <c r="L1005" s="55">
        <f t="shared" si="53"/>
        <v>0</v>
      </c>
      <c r="M1005" s="55">
        <v>0</v>
      </c>
      <c r="N1005" s="101">
        <f t="shared" si="52"/>
        <v>0</v>
      </c>
      <c r="O1005" s="57" t="s">
        <v>162</v>
      </c>
    </row>
    <row r="1006" spans="1:15" hidden="1" x14ac:dyDescent="0.25">
      <c r="A1006" s="224"/>
      <c r="B1006" s="96">
        <v>45183</v>
      </c>
      <c r="C1006" s="52" t="s">
        <v>50</v>
      </c>
      <c r="D1006" s="53" t="s">
        <v>38</v>
      </c>
      <c r="E1006" s="53"/>
      <c r="F1006" s="54"/>
      <c r="G1006" s="53"/>
      <c r="H1006" s="53">
        <v>0</v>
      </c>
      <c r="I1006" s="53">
        <v>0</v>
      </c>
      <c r="J1006" s="53">
        <v>0</v>
      </c>
      <c r="K1006" s="55"/>
      <c r="L1006" s="55">
        <f t="shared" si="53"/>
        <v>0</v>
      </c>
      <c r="M1006" s="55">
        <v>0</v>
      </c>
      <c r="N1006" s="101">
        <f t="shared" si="52"/>
        <v>0</v>
      </c>
      <c r="O1006" s="57" t="s">
        <v>162</v>
      </c>
    </row>
    <row r="1007" spans="1:15" hidden="1" x14ac:dyDescent="0.25">
      <c r="A1007" s="224"/>
      <c r="B1007" s="96">
        <v>45184</v>
      </c>
      <c r="C1007" s="52" t="s">
        <v>53</v>
      </c>
      <c r="D1007" s="53" t="s">
        <v>38</v>
      </c>
      <c r="E1007" s="53"/>
      <c r="F1007" s="54"/>
      <c r="G1007" s="53"/>
      <c r="H1007" s="53">
        <v>0</v>
      </c>
      <c r="I1007" s="53">
        <v>0</v>
      </c>
      <c r="J1007" s="53">
        <v>0</v>
      </c>
      <c r="K1007" s="55"/>
      <c r="L1007" s="55">
        <f t="shared" si="53"/>
        <v>0</v>
      </c>
      <c r="M1007" s="55">
        <v>0</v>
      </c>
      <c r="N1007" s="101">
        <f t="shared" si="52"/>
        <v>0</v>
      </c>
      <c r="O1007" s="57" t="s">
        <v>162</v>
      </c>
    </row>
    <row r="1008" spans="1:15" hidden="1" x14ac:dyDescent="0.25">
      <c r="A1008" s="224"/>
      <c r="B1008" s="97">
        <v>45185</v>
      </c>
      <c r="C1008" s="58" t="s">
        <v>57</v>
      </c>
      <c r="D1008" s="60" t="s">
        <v>38</v>
      </c>
      <c r="E1008" s="60"/>
      <c r="F1008" s="61"/>
      <c r="G1008" s="60"/>
      <c r="H1008" s="60">
        <v>0</v>
      </c>
      <c r="I1008" s="60">
        <v>0</v>
      </c>
      <c r="J1008" s="60">
        <v>0</v>
      </c>
      <c r="K1008" s="62"/>
      <c r="L1008" s="62">
        <f t="shared" si="53"/>
        <v>0</v>
      </c>
      <c r="M1008" s="62">
        <v>0</v>
      </c>
      <c r="N1008" s="102">
        <f t="shared" si="52"/>
        <v>0</v>
      </c>
      <c r="O1008" s="64" t="s">
        <v>162</v>
      </c>
    </row>
    <row r="1009" spans="1:15" ht="15.75" hidden="1" thickBot="1" x14ac:dyDescent="0.3">
      <c r="A1009" s="225"/>
      <c r="B1009" s="98">
        <v>45186</v>
      </c>
      <c r="C1009" s="66" t="s">
        <v>59</v>
      </c>
      <c r="D1009" s="67" t="s">
        <v>38</v>
      </c>
      <c r="E1009" s="67"/>
      <c r="F1009" s="68"/>
      <c r="G1009" s="67"/>
      <c r="H1009" s="67">
        <v>0</v>
      </c>
      <c r="I1009" s="67">
        <v>0</v>
      </c>
      <c r="J1009" s="67">
        <v>0</v>
      </c>
      <c r="K1009" s="69"/>
      <c r="L1009" s="69">
        <f t="shared" si="53"/>
        <v>0</v>
      </c>
      <c r="M1009" s="69">
        <v>0</v>
      </c>
      <c r="N1009" s="103">
        <f t="shared" si="52"/>
        <v>0</v>
      </c>
      <c r="O1009" s="71" t="s">
        <v>162</v>
      </c>
    </row>
    <row r="1010" spans="1:15" hidden="1" x14ac:dyDescent="0.25">
      <c r="A1010" s="223">
        <f>_xlfn.ISOWEEKNUM(B1010)</f>
        <v>38</v>
      </c>
      <c r="B1010" s="96">
        <v>45187</v>
      </c>
      <c r="C1010" s="72" t="s">
        <v>37</v>
      </c>
      <c r="D1010" s="41" t="s">
        <v>38</v>
      </c>
      <c r="E1010" s="41"/>
      <c r="F1010" s="43"/>
      <c r="G1010" s="41"/>
      <c r="H1010" s="41">
        <v>0</v>
      </c>
      <c r="I1010" s="41">
        <v>0</v>
      </c>
      <c r="J1010" s="41">
        <v>0</v>
      </c>
      <c r="K1010" s="73"/>
      <c r="L1010" s="73">
        <f t="shared" si="53"/>
        <v>0</v>
      </c>
      <c r="M1010" s="73">
        <v>0</v>
      </c>
      <c r="N1010" s="105">
        <f t="shared" si="52"/>
        <v>0</v>
      </c>
      <c r="O1010" s="46" t="s">
        <v>162</v>
      </c>
    </row>
    <row r="1011" spans="1:15" hidden="1" x14ac:dyDescent="0.25">
      <c r="A1011" s="224"/>
      <c r="B1011" s="96">
        <v>45188</v>
      </c>
      <c r="C1011" s="52" t="s">
        <v>42</v>
      </c>
      <c r="D1011" s="53" t="s">
        <v>38</v>
      </c>
      <c r="E1011" s="53"/>
      <c r="F1011" s="54"/>
      <c r="G1011" s="53"/>
      <c r="H1011" s="53">
        <v>0</v>
      </c>
      <c r="I1011" s="53">
        <v>0</v>
      </c>
      <c r="J1011" s="53">
        <v>0</v>
      </c>
      <c r="K1011" s="55"/>
      <c r="L1011" s="55">
        <f t="shared" si="53"/>
        <v>0</v>
      </c>
      <c r="M1011" s="55">
        <v>0</v>
      </c>
      <c r="N1011" s="101">
        <f t="shared" si="52"/>
        <v>0</v>
      </c>
      <c r="O1011" s="57" t="s">
        <v>162</v>
      </c>
    </row>
    <row r="1012" spans="1:15" hidden="1" x14ac:dyDescent="0.25">
      <c r="A1012" s="224"/>
      <c r="B1012" s="96">
        <v>45189</v>
      </c>
      <c r="C1012" s="52" t="s">
        <v>46</v>
      </c>
      <c r="D1012" s="53" t="s">
        <v>38</v>
      </c>
      <c r="E1012" s="53"/>
      <c r="F1012" s="54"/>
      <c r="G1012" s="53"/>
      <c r="H1012" s="53">
        <v>0</v>
      </c>
      <c r="I1012" s="53">
        <v>0</v>
      </c>
      <c r="J1012" s="53">
        <v>0</v>
      </c>
      <c r="K1012" s="55"/>
      <c r="L1012" s="55">
        <f t="shared" si="53"/>
        <v>0</v>
      </c>
      <c r="M1012" s="55">
        <v>0</v>
      </c>
      <c r="N1012" s="101">
        <f t="shared" si="52"/>
        <v>0</v>
      </c>
      <c r="O1012" s="57" t="s">
        <v>162</v>
      </c>
    </row>
    <row r="1013" spans="1:15" hidden="1" x14ac:dyDescent="0.25">
      <c r="A1013" s="224"/>
      <c r="B1013" s="96">
        <v>45190</v>
      </c>
      <c r="C1013" s="52" t="s">
        <v>50</v>
      </c>
      <c r="D1013" s="53" t="s">
        <v>38</v>
      </c>
      <c r="E1013" s="53"/>
      <c r="F1013" s="54"/>
      <c r="G1013" s="53"/>
      <c r="H1013" s="53">
        <v>0</v>
      </c>
      <c r="I1013" s="53">
        <v>0</v>
      </c>
      <c r="J1013" s="53">
        <v>0</v>
      </c>
      <c r="K1013" s="55"/>
      <c r="L1013" s="55">
        <f t="shared" si="53"/>
        <v>0</v>
      </c>
      <c r="M1013" s="55">
        <v>0</v>
      </c>
      <c r="N1013" s="101">
        <f t="shared" si="52"/>
        <v>0</v>
      </c>
      <c r="O1013" s="57" t="s">
        <v>162</v>
      </c>
    </row>
    <row r="1014" spans="1:15" hidden="1" x14ac:dyDescent="0.25">
      <c r="A1014" s="224"/>
      <c r="B1014" s="96">
        <v>45191</v>
      </c>
      <c r="C1014" s="52" t="s">
        <v>53</v>
      </c>
      <c r="D1014" s="53" t="s">
        <v>38</v>
      </c>
      <c r="E1014" s="53"/>
      <c r="F1014" s="54"/>
      <c r="G1014" s="53"/>
      <c r="H1014" s="53">
        <v>0</v>
      </c>
      <c r="I1014" s="53">
        <v>0</v>
      </c>
      <c r="J1014" s="53">
        <v>0</v>
      </c>
      <c r="K1014" s="55"/>
      <c r="L1014" s="55">
        <f t="shared" si="53"/>
        <v>0</v>
      </c>
      <c r="M1014" s="55">
        <v>0</v>
      </c>
      <c r="N1014" s="101">
        <f t="shared" si="52"/>
        <v>0</v>
      </c>
      <c r="O1014" s="57" t="s">
        <v>162</v>
      </c>
    </row>
    <row r="1015" spans="1:15" hidden="1" x14ac:dyDescent="0.25">
      <c r="A1015" s="224"/>
      <c r="B1015" s="97">
        <v>45192</v>
      </c>
      <c r="C1015" s="58" t="s">
        <v>57</v>
      </c>
      <c r="D1015" s="60" t="s">
        <v>38</v>
      </c>
      <c r="E1015" s="60"/>
      <c r="F1015" s="61"/>
      <c r="G1015" s="60"/>
      <c r="H1015" s="60">
        <v>0</v>
      </c>
      <c r="I1015" s="60">
        <v>0</v>
      </c>
      <c r="J1015" s="60">
        <v>0</v>
      </c>
      <c r="K1015" s="62"/>
      <c r="L1015" s="62">
        <f t="shared" si="53"/>
        <v>0</v>
      </c>
      <c r="M1015" s="62">
        <v>0</v>
      </c>
      <c r="N1015" s="102">
        <f t="shared" si="52"/>
        <v>0</v>
      </c>
      <c r="O1015" s="64" t="s">
        <v>162</v>
      </c>
    </row>
    <row r="1016" spans="1:15" ht="15.75" hidden="1" thickBot="1" x14ac:dyDescent="0.3">
      <c r="A1016" s="225"/>
      <c r="B1016" s="98">
        <v>45193</v>
      </c>
      <c r="C1016" s="66" t="s">
        <v>59</v>
      </c>
      <c r="D1016" s="67" t="s">
        <v>38</v>
      </c>
      <c r="E1016" s="67"/>
      <c r="F1016" s="68"/>
      <c r="G1016" s="67"/>
      <c r="H1016" s="67">
        <v>0</v>
      </c>
      <c r="I1016" s="67">
        <v>0</v>
      </c>
      <c r="J1016" s="67">
        <v>0</v>
      </c>
      <c r="K1016" s="69"/>
      <c r="L1016" s="69">
        <f t="shared" si="53"/>
        <v>0</v>
      </c>
      <c r="M1016" s="69">
        <v>0</v>
      </c>
      <c r="N1016" s="103">
        <f t="shared" si="52"/>
        <v>0</v>
      </c>
      <c r="O1016" s="71" t="s">
        <v>162</v>
      </c>
    </row>
    <row r="1017" spans="1:15" hidden="1" x14ac:dyDescent="0.25">
      <c r="A1017" s="223">
        <f>_xlfn.ISOWEEKNUM(B1017)</f>
        <v>39</v>
      </c>
      <c r="B1017" s="96">
        <v>45194</v>
      </c>
      <c r="C1017" s="72" t="s">
        <v>37</v>
      </c>
      <c r="D1017" s="41" t="s">
        <v>38</v>
      </c>
      <c r="E1017" s="41"/>
      <c r="F1017" s="43"/>
      <c r="G1017" s="41"/>
      <c r="H1017" s="41">
        <v>0</v>
      </c>
      <c r="I1017" s="41">
        <v>0</v>
      </c>
      <c r="J1017" s="41">
        <v>0</v>
      </c>
      <c r="K1017" s="73"/>
      <c r="L1017" s="73">
        <f t="shared" si="53"/>
        <v>0</v>
      </c>
      <c r="M1017" s="73">
        <v>0</v>
      </c>
      <c r="N1017" s="105">
        <f t="shared" si="52"/>
        <v>0</v>
      </c>
      <c r="O1017" s="46" t="s">
        <v>162</v>
      </c>
    </row>
    <row r="1018" spans="1:15" hidden="1" x14ac:dyDescent="0.25">
      <c r="A1018" s="224"/>
      <c r="B1018" s="96">
        <v>45195</v>
      </c>
      <c r="C1018" s="52" t="s">
        <v>42</v>
      </c>
      <c r="D1018" s="53" t="s">
        <v>38</v>
      </c>
      <c r="E1018" s="53"/>
      <c r="F1018" s="54"/>
      <c r="G1018" s="53"/>
      <c r="H1018" s="53">
        <v>0</v>
      </c>
      <c r="I1018" s="53">
        <v>0</v>
      </c>
      <c r="J1018" s="53">
        <v>0</v>
      </c>
      <c r="K1018" s="55"/>
      <c r="L1018" s="55">
        <f t="shared" si="53"/>
        <v>0</v>
      </c>
      <c r="M1018" s="55">
        <v>0</v>
      </c>
      <c r="N1018" s="101">
        <f t="shared" si="52"/>
        <v>0</v>
      </c>
      <c r="O1018" s="57" t="s">
        <v>162</v>
      </c>
    </row>
    <row r="1019" spans="1:15" hidden="1" x14ac:dyDescent="0.25">
      <c r="A1019" s="224"/>
      <c r="B1019" s="96">
        <v>45196</v>
      </c>
      <c r="C1019" s="52" t="s">
        <v>46</v>
      </c>
      <c r="D1019" s="53" t="s">
        <v>38</v>
      </c>
      <c r="E1019" s="53"/>
      <c r="F1019" s="54"/>
      <c r="G1019" s="53"/>
      <c r="H1019" s="53">
        <v>0</v>
      </c>
      <c r="I1019" s="53">
        <v>0</v>
      </c>
      <c r="J1019" s="53">
        <v>0</v>
      </c>
      <c r="K1019" s="55"/>
      <c r="L1019" s="55">
        <f t="shared" si="53"/>
        <v>0</v>
      </c>
      <c r="M1019" s="55">
        <v>0</v>
      </c>
      <c r="N1019" s="101">
        <f t="shared" si="52"/>
        <v>0</v>
      </c>
      <c r="O1019" s="57" t="s">
        <v>162</v>
      </c>
    </row>
    <row r="1020" spans="1:15" hidden="1" x14ac:dyDescent="0.25">
      <c r="A1020" s="224"/>
      <c r="B1020" s="96">
        <v>45197</v>
      </c>
      <c r="C1020" s="52" t="s">
        <v>50</v>
      </c>
      <c r="D1020" s="53" t="s">
        <v>38</v>
      </c>
      <c r="E1020" s="53"/>
      <c r="F1020" s="54"/>
      <c r="G1020" s="53"/>
      <c r="H1020" s="53">
        <v>0</v>
      </c>
      <c r="I1020" s="53">
        <v>0</v>
      </c>
      <c r="J1020" s="53">
        <v>0</v>
      </c>
      <c r="K1020" s="55"/>
      <c r="L1020" s="55">
        <f t="shared" si="53"/>
        <v>0</v>
      </c>
      <c r="M1020" s="55">
        <v>0</v>
      </c>
      <c r="N1020" s="101">
        <f t="shared" si="52"/>
        <v>0</v>
      </c>
      <c r="O1020" s="57" t="s">
        <v>162</v>
      </c>
    </row>
    <row r="1021" spans="1:15" hidden="1" x14ac:dyDescent="0.25">
      <c r="A1021" s="224"/>
      <c r="B1021" s="96">
        <v>45198</v>
      </c>
      <c r="C1021" s="52" t="s">
        <v>53</v>
      </c>
      <c r="D1021" s="53" t="s">
        <v>38</v>
      </c>
      <c r="E1021" s="53"/>
      <c r="F1021" s="54"/>
      <c r="G1021" s="53"/>
      <c r="H1021" s="53">
        <v>0</v>
      </c>
      <c r="I1021" s="53">
        <v>0</v>
      </c>
      <c r="J1021" s="53">
        <v>0</v>
      </c>
      <c r="K1021" s="55"/>
      <c r="L1021" s="55">
        <f t="shared" si="53"/>
        <v>0</v>
      </c>
      <c r="M1021" s="55">
        <v>0</v>
      </c>
      <c r="N1021" s="101">
        <f t="shared" si="52"/>
        <v>0</v>
      </c>
      <c r="O1021" s="57" t="s">
        <v>162</v>
      </c>
    </row>
    <row r="1022" spans="1:15" hidden="1" x14ac:dyDescent="0.25">
      <c r="A1022" s="224"/>
      <c r="B1022" s="97">
        <v>45199</v>
      </c>
      <c r="C1022" s="58" t="s">
        <v>57</v>
      </c>
      <c r="D1022" s="60" t="s">
        <v>38</v>
      </c>
      <c r="E1022" s="60"/>
      <c r="F1022" s="61"/>
      <c r="G1022" s="60"/>
      <c r="H1022" s="60">
        <v>0</v>
      </c>
      <c r="I1022" s="60">
        <v>0</v>
      </c>
      <c r="J1022" s="60">
        <v>0</v>
      </c>
      <c r="K1022" s="62"/>
      <c r="L1022" s="62">
        <f t="shared" si="53"/>
        <v>0</v>
      </c>
      <c r="M1022" s="62">
        <v>0</v>
      </c>
      <c r="N1022" s="102">
        <f t="shared" si="52"/>
        <v>0</v>
      </c>
      <c r="O1022" s="64" t="s">
        <v>162</v>
      </c>
    </row>
    <row r="1023" spans="1:15" ht="15.75" hidden="1" thickBot="1" x14ac:dyDescent="0.3">
      <c r="A1023" s="225"/>
      <c r="B1023" s="98">
        <v>45200</v>
      </c>
      <c r="C1023" s="66" t="s">
        <v>59</v>
      </c>
      <c r="D1023" s="67" t="s">
        <v>38</v>
      </c>
      <c r="E1023" s="67"/>
      <c r="F1023" s="68"/>
      <c r="G1023" s="67"/>
      <c r="H1023" s="67">
        <v>0</v>
      </c>
      <c r="I1023" s="67">
        <v>0</v>
      </c>
      <c r="J1023" s="67">
        <v>0</v>
      </c>
      <c r="K1023" s="69"/>
      <c r="L1023" s="69">
        <f t="shared" si="53"/>
        <v>0</v>
      </c>
      <c r="M1023" s="69">
        <v>0</v>
      </c>
      <c r="N1023" s="103">
        <f t="shared" si="52"/>
        <v>0</v>
      </c>
      <c r="O1023" s="71" t="s">
        <v>162</v>
      </c>
    </row>
    <row r="1024" spans="1:15" hidden="1" x14ac:dyDescent="0.25">
      <c r="A1024" s="223">
        <f>_xlfn.ISOWEEKNUM(B1024)</f>
        <v>40</v>
      </c>
      <c r="B1024" s="96">
        <v>45201</v>
      </c>
      <c r="C1024" s="72" t="s">
        <v>37</v>
      </c>
      <c r="D1024" s="41" t="s">
        <v>38</v>
      </c>
      <c r="E1024" s="41"/>
      <c r="F1024" s="43"/>
      <c r="G1024" s="41"/>
      <c r="H1024" s="41">
        <v>0</v>
      </c>
      <c r="I1024" s="41">
        <v>0</v>
      </c>
      <c r="J1024" s="41">
        <v>0</v>
      </c>
      <c r="K1024" s="73"/>
      <c r="L1024" s="73">
        <f t="shared" si="53"/>
        <v>0</v>
      </c>
      <c r="M1024" s="73">
        <v>0</v>
      </c>
      <c r="N1024" s="105">
        <f t="shared" si="52"/>
        <v>0</v>
      </c>
      <c r="O1024" s="46" t="s">
        <v>162</v>
      </c>
    </row>
    <row r="1025" spans="1:15" hidden="1" x14ac:dyDescent="0.25">
      <c r="A1025" s="224"/>
      <c r="B1025" s="96">
        <v>45202</v>
      </c>
      <c r="C1025" s="52" t="s">
        <v>42</v>
      </c>
      <c r="D1025" s="53" t="s">
        <v>38</v>
      </c>
      <c r="E1025" s="53"/>
      <c r="F1025" s="54"/>
      <c r="G1025" s="53"/>
      <c r="H1025" s="53">
        <v>0</v>
      </c>
      <c r="I1025" s="53">
        <v>0</v>
      </c>
      <c r="J1025" s="53">
        <v>0</v>
      </c>
      <c r="K1025" s="55"/>
      <c r="L1025" s="55">
        <f t="shared" si="53"/>
        <v>0</v>
      </c>
      <c r="M1025" s="55">
        <v>0</v>
      </c>
      <c r="N1025" s="101">
        <f t="shared" si="52"/>
        <v>0</v>
      </c>
      <c r="O1025" s="57" t="s">
        <v>162</v>
      </c>
    </row>
    <row r="1026" spans="1:15" hidden="1" x14ac:dyDescent="0.25">
      <c r="A1026" s="224"/>
      <c r="B1026" s="96">
        <v>45203</v>
      </c>
      <c r="C1026" s="52" t="s">
        <v>46</v>
      </c>
      <c r="D1026" s="53" t="s">
        <v>38</v>
      </c>
      <c r="E1026" s="53"/>
      <c r="F1026" s="54"/>
      <c r="G1026" s="53"/>
      <c r="H1026" s="53">
        <v>0</v>
      </c>
      <c r="I1026" s="53">
        <v>0</v>
      </c>
      <c r="J1026" s="53">
        <v>0</v>
      </c>
      <c r="K1026" s="55"/>
      <c r="L1026" s="55">
        <f t="shared" si="53"/>
        <v>0</v>
      </c>
      <c r="M1026" s="55">
        <v>0</v>
      </c>
      <c r="N1026" s="101">
        <f t="shared" si="52"/>
        <v>0</v>
      </c>
      <c r="O1026" s="57" t="s">
        <v>162</v>
      </c>
    </row>
    <row r="1027" spans="1:15" hidden="1" x14ac:dyDescent="0.25">
      <c r="A1027" s="224"/>
      <c r="B1027" s="96">
        <v>45204</v>
      </c>
      <c r="C1027" s="52" t="s">
        <v>50</v>
      </c>
      <c r="D1027" s="53" t="s">
        <v>38</v>
      </c>
      <c r="E1027" s="53"/>
      <c r="F1027" s="54"/>
      <c r="G1027" s="53"/>
      <c r="H1027" s="53">
        <v>0</v>
      </c>
      <c r="I1027" s="53">
        <v>0</v>
      </c>
      <c r="J1027" s="53">
        <v>0</v>
      </c>
      <c r="K1027" s="55"/>
      <c r="L1027" s="55">
        <f t="shared" si="53"/>
        <v>0</v>
      </c>
      <c r="M1027" s="55">
        <v>0</v>
      </c>
      <c r="N1027" s="101">
        <f t="shared" si="52"/>
        <v>0</v>
      </c>
      <c r="O1027" s="57" t="s">
        <v>162</v>
      </c>
    </row>
    <row r="1028" spans="1:15" hidden="1" x14ac:dyDescent="0.25">
      <c r="A1028" s="224"/>
      <c r="B1028" s="96">
        <v>45205</v>
      </c>
      <c r="C1028" s="52" t="s">
        <v>53</v>
      </c>
      <c r="D1028" s="53" t="s">
        <v>38</v>
      </c>
      <c r="E1028" s="53"/>
      <c r="F1028" s="54"/>
      <c r="G1028" s="53"/>
      <c r="H1028" s="53">
        <v>0</v>
      </c>
      <c r="I1028" s="53">
        <v>0</v>
      </c>
      <c r="J1028" s="53">
        <v>0</v>
      </c>
      <c r="K1028" s="55"/>
      <c r="L1028" s="55">
        <f t="shared" si="53"/>
        <v>0</v>
      </c>
      <c r="M1028" s="55">
        <v>0</v>
      </c>
      <c r="N1028" s="101">
        <f t="shared" si="52"/>
        <v>0</v>
      </c>
      <c r="O1028" s="57" t="s">
        <v>162</v>
      </c>
    </row>
    <row r="1029" spans="1:15" hidden="1" x14ac:dyDescent="0.25">
      <c r="A1029" s="224"/>
      <c r="B1029" s="97">
        <v>45206</v>
      </c>
      <c r="C1029" s="58" t="s">
        <v>57</v>
      </c>
      <c r="D1029" s="60" t="s">
        <v>38</v>
      </c>
      <c r="E1029" s="60"/>
      <c r="F1029" s="61"/>
      <c r="G1029" s="60"/>
      <c r="H1029" s="60">
        <v>0</v>
      </c>
      <c r="I1029" s="60">
        <v>0</v>
      </c>
      <c r="J1029" s="60">
        <v>0</v>
      </c>
      <c r="K1029" s="62"/>
      <c r="L1029" s="62">
        <f t="shared" si="53"/>
        <v>0</v>
      </c>
      <c r="M1029" s="62">
        <v>0</v>
      </c>
      <c r="N1029" s="102">
        <f t="shared" si="52"/>
        <v>0</v>
      </c>
      <c r="O1029" s="64" t="s">
        <v>162</v>
      </c>
    </row>
    <row r="1030" spans="1:15" ht="15.75" hidden="1" thickBot="1" x14ac:dyDescent="0.3">
      <c r="A1030" s="225"/>
      <c r="B1030" s="98">
        <v>45207</v>
      </c>
      <c r="C1030" s="66" t="s">
        <v>59</v>
      </c>
      <c r="D1030" s="67" t="s">
        <v>38</v>
      </c>
      <c r="E1030" s="67"/>
      <c r="F1030" s="68"/>
      <c r="G1030" s="67"/>
      <c r="H1030" s="67">
        <v>0</v>
      </c>
      <c r="I1030" s="67">
        <v>0</v>
      </c>
      <c r="J1030" s="67">
        <v>0</v>
      </c>
      <c r="K1030" s="69"/>
      <c r="L1030" s="69">
        <f t="shared" si="53"/>
        <v>0</v>
      </c>
      <c r="M1030" s="69">
        <v>0</v>
      </c>
      <c r="N1030" s="103">
        <f t="shared" si="52"/>
        <v>0</v>
      </c>
      <c r="O1030" s="71" t="s">
        <v>162</v>
      </c>
    </row>
    <row r="1031" spans="1:15" hidden="1" x14ac:dyDescent="0.25">
      <c r="A1031" s="223">
        <f>_xlfn.ISOWEEKNUM(B1031)</f>
        <v>41</v>
      </c>
      <c r="B1031" s="96">
        <v>45208</v>
      </c>
      <c r="C1031" s="72" t="s">
        <v>37</v>
      </c>
      <c r="D1031" s="41" t="s">
        <v>38</v>
      </c>
      <c r="E1031" s="41"/>
      <c r="F1031" s="43"/>
      <c r="G1031" s="41"/>
      <c r="H1031" s="41">
        <v>0</v>
      </c>
      <c r="I1031" s="41">
        <v>0</v>
      </c>
      <c r="J1031" s="41">
        <v>0</v>
      </c>
      <c r="K1031" s="73"/>
      <c r="L1031" s="73">
        <f t="shared" si="53"/>
        <v>0</v>
      </c>
      <c r="M1031" s="73">
        <v>0</v>
      </c>
      <c r="N1031" s="105">
        <f t="shared" si="52"/>
        <v>0</v>
      </c>
      <c r="O1031" s="46" t="s">
        <v>162</v>
      </c>
    </row>
    <row r="1032" spans="1:15" hidden="1" x14ac:dyDescent="0.25">
      <c r="A1032" s="224"/>
      <c r="B1032" s="96">
        <v>45209</v>
      </c>
      <c r="C1032" s="52" t="s">
        <v>42</v>
      </c>
      <c r="D1032" s="53" t="s">
        <v>38</v>
      </c>
      <c r="E1032" s="53"/>
      <c r="F1032" s="54"/>
      <c r="G1032" s="53"/>
      <c r="H1032" s="53">
        <v>0</v>
      </c>
      <c r="I1032" s="53">
        <v>0</v>
      </c>
      <c r="J1032" s="53">
        <v>0</v>
      </c>
      <c r="K1032" s="55"/>
      <c r="L1032" s="55">
        <f t="shared" si="53"/>
        <v>0</v>
      </c>
      <c r="M1032" s="55">
        <v>0</v>
      </c>
      <c r="N1032" s="101">
        <f t="shared" si="52"/>
        <v>0</v>
      </c>
      <c r="O1032" s="57" t="s">
        <v>162</v>
      </c>
    </row>
    <row r="1033" spans="1:15" hidden="1" x14ac:dyDescent="0.25">
      <c r="A1033" s="224"/>
      <c r="B1033" s="96">
        <v>45210</v>
      </c>
      <c r="C1033" s="52" t="s">
        <v>46</v>
      </c>
      <c r="D1033" s="53" t="s">
        <v>38</v>
      </c>
      <c r="E1033" s="53"/>
      <c r="F1033" s="54"/>
      <c r="G1033" s="53"/>
      <c r="H1033" s="53">
        <v>0</v>
      </c>
      <c r="I1033" s="53">
        <v>0</v>
      </c>
      <c r="J1033" s="53">
        <v>0</v>
      </c>
      <c r="K1033" s="55"/>
      <c r="L1033" s="55">
        <f t="shared" si="53"/>
        <v>0</v>
      </c>
      <c r="M1033" s="55">
        <v>0</v>
      </c>
      <c r="N1033" s="101">
        <f t="shared" si="52"/>
        <v>0</v>
      </c>
      <c r="O1033" s="57" t="s">
        <v>162</v>
      </c>
    </row>
    <row r="1034" spans="1:15" hidden="1" x14ac:dyDescent="0.25">
      <c r="A1034" s="224"/>
      <c r="B1034" s="96">
        <v>45211</v>
      </c>
      <c r="C1034" s="52" t="s">
        <v>50</v>
      </c>
      <c r="D1034" s="53" t="s">
        <v>38</v>
      </c>
      <c r="E1034" s="53"/>
      <c r="F1034" s="54"/>
      <c r="G1034" s="53"/>
      <c r="H1034" s="53">
        <v>0</v>
      </c>
      <c r="I1034" s="53">
        <v>0</v>
      </c>
      <c r="J1034" s="53">
        <v>0</v>
      </c>
      <c r="K1034" s="55"/>
      <c r="L1034" s="55">
        <f t="shared" si="53"/>
        <v>0</v>
      </c>
      <c r="M1034" s="55">
        <v>0</v>
      </c>
      <c r="N1034" s="101">
        <f t="shared" si="52"/>
        <v>0</v>
      </c>
      <c r="O1034" s="57" t="s">
        <v>162</v>
      </c>
    </row>
    <row r="1035" spans="1:15" hidden="1" x14ac:dyDescent="0.25">
      <c r="A1035" s="224"/>
      <c r="B1035" s="96">
        <v>45212</v>
      </c>
      <c r="C1035" s="52" t="s">
        <v>53</v>
      </c>
      <c r="D1035" s="53" t="s">
        <v>38</v>
      </c>
      <c r="E1035" s="53"/>
      <c r="F1035" s="54"/>
      <c r="G1035" s="53"/>
      <c r="H1035" s="53">
        <v>0</v>
      </c>
      <c r="I1035" s="53">
        <v>0</v>
      </c>
      <c r="J1035" s="53">
        <v>0</v>
      </c>
      <c r="K1035" s="55"/>
      <c r="L1035" s="55">
        <f t="shared" si="53"/>
        <v>0</v>
      </c>
      <c r="M1035" s="55">
        <v>0</v>
      </c>
      <c r="N1035" s="101">
        <f t="shared" si="52"/>
        <v>0</v>
      </c>
      <c r="O1035" s="57" t="s">
        <v>162</v>
      </c>
    </row>
    <row r="1036" spans="1:15" hidden="1" x14ac:dyDescent="0.25">
      <c r="A1036" s="224"/>
      <c r="B1036" s="97">
        <v>45213</v>
      </c>
      <c r="C1036" s="58" t="s">
        <v>57</v>
      </c>
      <c r="D1036" s="60" t="s">
        <v>38</v>
      </c>
      <c r="E1036" s="60"/>
      <c r="F1036" s="61"/>
      <c r="G1036" s="60"/>
      <c r="H1036" s="60">
        <v>0</v>
      </c>
      <c r="I1036" s="60">
        <v>0</v>
      </c>
      <c r="J1036" s="60">
        <v>0</v>
      </c>
      <c r="K1036" s="62"/>
      <c r="L1036" s="62">
        <f t="shared" si="53"/>
        <v>0</v>
      </c>
      <c r="M1036" s="62">
        <v>0</v>
      </c>
      <c r="N1036" s="102">
        <f t="shared" si="52"/>
        <v>0</v>
      </c>
      <c r="O1036" s="64" t="s">
        <v>162</v>
      </c>
    </row>
    <row r="1037" spans="1:15" ht="15.75" hidden="1" thickBot="1" x14ac:dyDescent="0.3">
      <c r="A1037" s="225"/>
      <c r="B1037" s="98">
        <v>45214</v>
      </c>
      <c r="C1037" s="66" t="s">
        <v>59</v>
      </c>
      <c r="D1037" s="67" t="s">
        <v>38</v>
      </c>
      <c r="E1037" s="67"/>
      <c r="F1037" s="68"/>
      <c r="G1037" s="67"/>
      <c r="H1037" s="67">
        <v>0</v>
      </c>
      <c r="I1037" s="67">
        <v>0</v>
      </c>
      <c r="J1037" s="67">
        <v>0</v>
      </c>
      <c r="K1037" s="69"/>
      <c r="L1037" s="69">
        <f t="shared" si="53"/>
        <v>0</v>
      </c>
      <c r="M1037" s="69">
        <v>0</v>
      </c>
      <c r="N1037" s="103">
        <f t="shared" si="52"/>
        <v>0</v>
      </c>
      <c r="O1037" s="71" t="s">
        <v>162</v>
      </c>
    </row>
    <row r="1038" spans="1:15" hidden="1" x14ac:dyDescent="0.25">
      <c r="A1038" s="223">
        <f>_xlfn.ISOWEEKNUM(B1038)</f>
        <v>42</v>
      </c>
      <c r="B1038" s="96">
        <v>45215</v>
      </c>
      <c r="C1038" s="72" t="s">
        <v>37</v>
      </c>
      <c r="D1038" s="41" t="s">
        <v>38</v>
      </c>
      <c r="E1038" s="41"/>
      <c r="F1038" s="43"/>
      <c r="G1038" s="41"/>
      <c r="H1038" s="41">
        <v>0</v>
      </c>
      <c r="I1038" s="41">
        <v>0</v>
      </c>
      <c r="J1038" s="41">
        <v>0</v>
      </c>
      <c r="K1038" s="73"/>
      <c r="L1038" s="73">
        <f t="shared" si="53"/>
        <v>0</v>
      </c>
      <c r="M1038" s="73">
        <v>0</v>
      </c>
      <c r="N1038" s="105">
        <f t="shared" si="52"/>
        <v>0</v>
      </c>
      <c r="O1038" s="46" t="s">
        <v>162</v>
      </c>
    </row>
    <row r="1039" spans="1:15" hidden="1" x14ac:dyDescent="0.25">
      <c r="A1039" s="224"/>
      <c r="B1039" s="96">
        <v>45216</v>
      </c>
      <c r="C1039" s="52" t="s">
        <v>42</v>
      </c>
      <c r="D1039" s="53" t="s">
        <v>38</v>
      </c>
      <c r="E1039" s="53"/>
      <c r="F1039" s="54"/>
      <c r="G1039" s="53"/>
      <c r="H1039" s="53">
        <v>0</v>
      </c>
      <c r="I1039" s="53">
        <v>0</v>
      </c>
      <c r="J1039" s="53">
        <v>0</v>
      </c>
      <c r="K1039" s="55"/>
      <c r="L1039" s="55">
        <f t="shared" si="53"/>
        <v>0</v>
      </c>
      <c r="M1039" s="55">
        <v>0</v>
      </c>
      <c r="N1039" s="101">
        <f t="shared" ref="N1039:N1102" si="54">L1039*(1-M1039)</f>
        <v>0</v>
      </c>
      <c r="O1039" s="57" t="s">
        <v>162</v>
      </c>
    </row>
    <row r="1040" spans="1:15" hidden="1" x14ac:dyDescent="0.25">
      <c r="A1040" s="224"/>
      <c r="B1040" s="96">
        <v>45217</v>
      </c>
      <c r="C1040" s="52" t="s">
        <v>46</v>
      </c>
      <c r="D1040" s="53" t="s">
        <v>38</v>
      </c>
      <c r="E1040" s="53"/>
      <c r="F1040" s="54"/>
      <c r="G1040" s="53"/>
      <c r="H1040" s="53">
        <v>0</v>
      </c>
      <c r="I1040" s="53">
        <v>0</v>
      </c>
      <c r="J1040" s="53">
        <v>0</v>
      </c>
      <c r="K1040" s="55"/>
      <c r="L1040" s="55">
        <f t="shared" si="53"/>
        <v>0</v>
      </c>
      <c r="M1040" s="55">
        <v>0</v>
      </c>
      <c r="N1040" s="101">
        <f t="shared" si="54"/>
        <v>0</v>
      </c>
      <c r="O1040" s="57" t="s">
        <v>162</v>
      </c>
    </row>
    <row r="1041" spans="1:15" hidden="1" x14ac:dyDescent="0.25">
      <c r="A1041" s="224"/>
      <c r="B1041" s="96">
        <v>45218</v>
      </c>
      <c r="C1041" s="52" t="s">
        <v>50</v>
      </c>
      <c r="D1041" s="53" t="s">
        <v>38</v>
      </c>
      <c r="E1041" s="53"/>
      <c r="F1041" s="54"/>
      <c r="G1041" s="53"/>
      <c r="H1041" s="53">
        <v>0</v>
      </c>
      <c r="I1041" s="53">
        <v>0</v>
      </c>
      <c r="J1041" s="53">
        <v>0</v>
      </c>
      <c r="K1041" s="55"/>
      <c r="L1041" s="55">
        <f t="shared" si="53"/>
        <v>0</v>
      </c>
      <c r="M1041" s="55">
        <v>0</v>
      </c>
      <c r="N1041" s="101">
        <f t="shared" si="54"/>
        <v>0</v>
      </c>
      <c r="O1041" s="57" t="s">
        <v>162</v>
      </c>
    </row>
    <row r="1042" spans="1:15" hidden="1" x14ac:dyDescent="0.25">
      <c r="A1042" s="224"/>
      <c r="B1042" s="96">
        <v>45219</v>
      </c>
      <c r="C1042" s="52" t="s">
        <v>53</v>
      </c>
      <c r="D1042" s="53" t="s">
        <v>38</v>
      </c>
      <c r="E1042" s="53"/>
      <c r="F1042" s="54"/>
      <c r="G1042" s="53"/>
      <c r="H1042" s="53">
        <v>0</v>
      </c>
      <c r="I1042" s="53">
        <v>0</v>
      </c>
      <c r="J1042" s="53">
        <v>0</v>
      </c>
      <c r="K1042" s="55"/>
      <c r="L1042" s="55">
        <f t="shared" si="53"/>
        <v>0</v>
      </c>
      <c r="M1042" s="55">
        <v>0</v>
      </c>
      <c r="N1042" s="101">
        <f t="shared" si="54"/>
        <v>0</v>
      </c>
      <c r="O1042" s="57" t="s">
        <v>162</v>
      </c>
    </row>
    <row r="1043" spans="1:15" hidden="1" x14ac:dyDescent="0.25">
      <c r="A1043" s="224"/>
      <c r="B1043" s="97">
        <v>45220</v>
      </c>
      <c r="C1043" s="58" t="s">
        <v>57</v>
      </c>
      <c r="D1043" s="60" t="s">
        <v>38</v>
      </c>
      <c r="E1043" s="60"/>
      <c r="F1043" s="61"/>
      <c r="G1043" s="60"/>
      <c r="H1043" s="60">
        <v>0</v>
      </c>
      <c r="I1043" s="60">
        <v>0</v>
      </c>
      <c r="J1043" s="60">
        <v>0</v>
      </c>
      <c r="K1043" s="62"/>
      <c r="L1043" s="62">
        <f t="shared" si="53"/>
        <v>0</v>
      </c>
      <c r="M1043" s="62">
        <v>0</v>
      </c>
      <c r="N1043" s="102">
        <f t="shared" si="54"/>
        <v>0</v>
      </c>
      <c r="O1043" s="64" t="s">
        <v>162</v>
      </c>
    </row>
    <row r="1044" spans="1:15" ht="15.75" hidden="1" thickBot="1" x14ac:dyDescent="0.3">
      <c r="A1044" s="225"/>
      <c r="B1044" s="98">
        <v>45221</v>
      </c>
      <c r="C1044" s="66" t="s">
        <v>59</v>
      </c>
      <c r="D1044" s="67" t="s">
        <v>38</v>
      </c>
      <c r="E1044" s="67"/>
      <c r="F1044" s="68"/>
      <c r="G1044" s="67"/>
      <c r="H1044" s="67">
        <v>0</v>
      </c>
      <c r="I1044" s="67">
        <v>0</v>
      </c>
      <c r="J1044" s="67">
        <v>0</v>
      </c>
      <c r="K1044" s="69"/>
      <c r="L1044" s="69">
        <f t="shared" si="53"/>
        <v>0</v>
      </c>
      <c r="M1044" s="69">
        <v>0</v>
      </c>
      <c r="N1044" s="103">
        <f t="shared" si="54"/>
        <v>0</v>
      </c>
      <c r="O1044" s="71" t="s">
        <v>162</v>
      </c>
    </row>
    <row r="1045" spans="1:15" hidden="1" x14ac:dyDescent="0.25">
      <c r="A1045" s="223">
        <f>_xlfn.ISOWEEKNUM(B1045)</f>
        <v>43</v>
      </c>
      <c r="B1045" s="96">
        <v>45222</v>
      </c>
      <c r="C1045" s="72" t="s">
        <v>37</v>
      </c>
      <c r="D1045" s="41" t="s">
        <v>38</v>
      </c>
      <c r="E1045" s="41"/>
      <c r="F1045" s="43"/>
      <c r="G1045" s="41"/>
      <c r="H1045" s="41">
        <v>0</v>
      </c>
      <c r="I1045" s="41">
        <v>0</v>
      </c>
      <c r="J1045" s="41">
        <v>0</v>
      </c>
      <c r="K1045" s="73"/>
      <c r="L1045" s="73">
        <f t="shared" si="53"/>
        <v>0</v>
      </c>
      <c r="M1045" s="73">
        <v>0</v>
      </c>
      <c r="N1045" s="105">
        <f t="shared" si="54"/>
        <v>0</v>
      </c>
      <c r="O1045" s="46" t="s">
        <v>162</v>
      </c>
    </row>
    <row r="1046" spans="1:15" hidden="1" x14ac:dyDescent="0.25">
      <c r="A1046" s="224"/>
      <c r="B1046" s="96">
        <v>45223</v>
      </c>
      <c r="C1046" s="52" t="s">
        <v>42</v>
      </c>
      <c r="D1046" s="53" t="s">
        <v>38</v>
      </c>
      <c r="E1046" s="53"/>
      <c r="F1046" s="54"/>
      <c r="G1046" s="53"/>
      <c r="H1046" s="53">
        <v>0</v>
      </c>
      <c r="I1046" s="53">
        <v>0</v>
      </c>
      <c r="J1046" s="53">
        <v>0</v>
      </c>
      <c r="K1046" s="55"/>
      <c r="L1046" s="55">
        <f t="shared" si="53"/>
        <v>0</v>
      </c>
      <c r="M1046" s="55">
        <v>0</v>
      </c>
      <c r="N1046" s="101">
        <f t="shared" si="54"/>
        <v>0</v>
      </c>
      <c r="O1046" s="57" t="s">
        <v>162</v>
      </c>
    </row>
    <row r="1047" spans="1:15" hidden="1" x14ac:dyDescent="0.25">
      <c r="A1047" s="224"/>
      <c r="B1047" s="96">
        <v>45224</v>
      </c>
      <c r="C1047" s="52" t="s">
        <v>46</v>
      </c>
      <c r="D1047" s="53" t="s">
        <v>38</v>
      </c>
      <c r="E1047" s="53"/>
      <c r="F1047" s="54"/>
      <c r="G1047" s="53"/>
      <c r="H1047" s="53">
        <v>0</v>
      </c>
      <c r="I1047" s="53">
        <v>0</v>
      </c>
      <c r="J1047" s="53">
        <v>0</v>
      </c>
      <c r="K1047" s="55"/>
      <c r="L1047" s="55">
        <f t="shared" si="53"/>
        <v>0</v>
      </c>
      <c r="M1047" s="55">
        <v>0</v>
      </c>
      <c r="N1047" s="101">
        <f t="shared" si="54"/>
        <v>0</v>
      </c>
      <c r="O1047" s="57" t="s">
        <v>162</v>
      </c>
    </row>
    <row r="1048" spans="1:15" hidden="1" x14ac:dyDescent="0.25">
      <c r="A1048" s="224"/>
      <c r="B1048" s="96">
        <v>45225</v>
      </c>
      <c r="C1048" s="52" t="s">
        <v>50</v>
      </c>
      <c r="D1048" s="53" t="s">
        <v>38</v>
      </c>
      <c r="E1048" s="53"/>
      <c r="F1048" s="54"/>
      <c r="G1048" s="53"/>
      <c r="H1048" s="53">
        <v>0</v>
      </c>
      <c r="I1048" s="53">
        <v>0</v>
      </c>
      <c r="J1048" s="53">
        <v>0</v>
      </c>
      <c r="K1048" s="55"/>
      <c r="L1048" s="55">
        <f t="shared" si="53"/>
        <v>0</v>
      </c>
      <c r="M1048" s="55">
        <v>0</v>
      </c>
      <c r="N1048" s="101">
        <f t="shared" si="54"/>
        <v>0</v>
      </c>
      <c r="O1048" s="57" t="s">
        <v>162</v>
      </c>
    </row>
    <row r="1049" spans="1:15" hidden="1" x14ac:dyDescent="0.25">
      <c r="A1049" s="224"/>
      <c r="B1049" s="96">
        <v>45226</v>
      </c>
      <c r="C1049" s="52" t="s">
        <v>53</v>
      </c>
      <c r="D1049" s="53" t="s">
        <v>38</v>
      </c>
      <c r="E1049" s="53"/>
      <c r="F1049" s="54"/>
      <c r="G1049" s="53"/>
      <c r="H1049" s="53">
        <v>0</v>
      </c>
      <c r="I1049" s="53">
        <v>0</v>
      </c>
      <c r="J1049" s="53">
        <v>0</v>
      </c>
      <c r="K1049" s="55"/>
      <c r="L1049" s="55">
        <f t="shared" si="53"/>
        <v>0</v>
      </c>
      <c r="M1049" s="55">
        <v>0</v>
      </c>
      <c r="N1049" s="101">
        <f t="shared" si="54"/>
        <v>0</v>
      </c>
      <c r="O1049" s="57" t="s">
        <v>162</v>
      </c>
    </row>
    <row r="1050" spans="1:15" hidden="1" x14ac:dyDescent="0.25">
      <c r="A1050" s="224"/>
      <c r="B1050" s="97">
        <v>45227</v>
      </c>
      <c r="C1050" s="58" t="s">
        <v>57</v>
      </c>
      <c r="D1050" s="60" t="s">
        <v>38</v>
      </c>
      <c r="E1050" s="60"/>
      <c r="F1050" s="61"/>
      <c r="G1050" s="60"/>
      <c r="H1050" s="60">
        <v>0</v>
      </c>
      <c r="I1050" s="60">
        <v>0</v>
      </c>
      <c r="J1050" s="60">
        <v>0</v>
      </c>
      <c r="K1050" s="62"/>
      <c r="L1050" s="62">
        <f t="shared" si="53"/>
        <v>0</v>
      </c>
      <c r="M1050" s="62">
        <v>0</v>
      </c>
      <c r="N1050" s="102">
        <f t="shared" si="54"/>
        <v>0</v>
      </c>
      <c r="O1050" s="64" t="s">
        <v>162</v>
      </c>
    </row>
    <row r="1051" spans="1:15" ht="15.75" hidden="1" thickBot="1" x14ac:dyDescent="0.3">
      <c r="A1051" s="225"/>
      <c r="B1051" s="98">
        <v>45228</v>
      </c>
      <c r="C1051" s="66" t="s">
        <v>59</v>
      </c>
      <c r="D1051" s="67" t="s">
        <v>38</v>
      </c>
      <c r="E1051" s="67"/>
      <c r="F1051" s="68"/>
      <c r="G1051" s="67"/>
      <c r="H1051" s="67">
        <v>0</v>
      </c>
      <c r="I1051" s="67">
        <v>0</v>
      </c>
      <c r="J1051" s="67">
        <v>0</v>
      </c>
      <c r="K1051" s="69"/>
      <c r="L1051" s="69">
        <f t="shared" si="53"/>
        <v>0</v>
      </c>
      <c r="M1051" s="69">
        <v>0</v>
      </c>
      <c r="N1051" s="103">
        <f t="shared" si="54"/>
        <v>0</v>
      </c>
      <c r="O1051" s="71" t="s">
        <v>162</v>
      </c>
    </row>
    <row r="1052" spans="1:15" hidden="1" x14ac:dyDescent="0.25">
      <c r="A1052" s="223">
        <f>_xlfn.ISOWEEKNUM(B1052)</f>
        <v>44</v>
      </c>
      <c r="B1052" s="96">
        <v>45229</v>
      </c>
      <c r="C1052" s="72" t="s">
        <v>37</v>
      </c>
      <c r="D1052" s="41" t="s">
        <v>38</v>
      </c>
      <c r="E1052" s="41"/>
      <c r="F1052" s="43"/>
      <c r="G1052" s="41"/>
      <c r="H1052" s="41">
        <v>0</v>
      </c>
      <c r="I1052" s="41">
        <v>0</v>
      </c>
      <c r="J1052" s="41">
        <v>0</v>
      </c>
      <c r="K1052" s="73"/>
      <c r="L1052" s="73">
        <f t="shared" si="53"/>
        <v>0</v>
      </c>
      <c r="M1052" s="73">
        <v>0</v>
      </c>
      <c r="N1052" s="105">
        <f t="shared" si="54"/>
        <v>0</v>
      </c>
      <c r="O1052" s="46" t="s">
        <v>162</v>
      </c>
    </row>
    <row r="1053" spans="1:15" hidden="1" x14ac:dyDescent="0.25">
      <c r="A1053" s="224"/>
      <c r="B1053" s="96">
        <v>45230</v>
      </c>
      <c r="C1053" s="52" t="s">
        <v>42</v>
      </c>
      <c r="D1053" s="53" t="s">
        <v>38</v>
      </c>
      <c r="E1053" s="53"/>
      <c r="F1053" s="54"/>
      <c r="G1053" s="53"/>
      <c r="H1053" s="53">
        <v>0</v>
      </c>
      <c r="I1053" s="53">
        <v>0</v>
      </c>
      <c r="J1053" s="53">
        <v>0</v>
      </c>
      <c r="K1053" s="55"/>
      <c r="L1053" s="55">
        <f t="shared" si="53"/>
        <v>0</v>
      </c>
      <c r="M1053" s="55">
        <v>0</v>
      </c>
      <c r="N1053" s="101">
        <f t="shared" si="54"/>
        <v>0</v>
      </c>
      <c r="O1053" s="57" t="s">
        <v>162</v>
      </c>
    </row>
    <row r="1054" spans="1:15" hidden="1" x14ac:dyDescent="0.25">
      <c r="A1054" s="224"/>
      <c r="B1054" s="96">
        <v>45231</v>
      </c>
      <c r="C1054" s="52" t="s">
        <v>46</v>
      </c>
      <c r="D1054" s="53" t="s">
        <v>38</v>
      </c>
      <c r="E1054" s="53"/>
      <c r="F1054" s="54"/>
      <c r="G1054" s="53"/>
      <c r="H1054" s="53">
        <v>0</v>
      </c>
      <c r="I1054" s="53">
        <v>0</v>
      </c>
      <c r="J1054" s="53">
        <v>0</v>
      </c>
      <c r="K1054" s="55"/>
      <c r="L1054" s="55">
        <f t="shared" si="53"/>
        <v>0</v>
      </c>
      <c r="M1054" s="55">
        <v>0</v>
      </c>
      <c r="N1054" s="101">
        <f t="shared" si="54"/>
        <v>0</v>
      </c>
      <c r="O1054" s="57" t="s">
        <v>162</v>
      </c>
    </row>
    <row r="1055" spans="1:15" hidden="1" x14ac:dyDescent="0.25">
      <c r="A1055" s="224"/>
      <c r="B1055" s="96">
        <v>45232</v>
      </c>
      <c r="C1055" s="52" t="s">
        <v>50</v>
      </c>
      <c r="D1055" s="53" t="s">
        <v>38</v>
      </c>
      <c r="E1055" s="53"/>
      <c r="F1055" s="54"/>
      <c r="G1055" s="53"/>
      <c r="H1055" s="53">
        <v>0</v>
      </c>
      <c r="I1055" s="53">
        <v>0</v>
      </c>
      <c r="J1055" s="53">
        <v>0</v>
      </c>
      <c r="K1055" s="55"/>
      <c r="L1055" s="55">
        <f t="shared" si="53"/>
        <v>0</v>
      </c>
      <c r="M1055" s="55">
        <v>0</v>
      </c>
      <c r="N1055" s="101">
        <f t="shared" si="54"/>
        <v>0</v>
      </c>
      <c r="O1055" s="57" t="s">
        <v>162</v>
      </c>
    </row>
    <row r="1056" spans="1:15" hidden="1" x14ac:dyDescent="0.25">
      <c r="A1056" s="224"/>
      <c r="B1056" s="96">
        <v>45233</v>
      </c>
      <c r="C1056" s="52" t="s">
        <v>53</v>
      </c>
      <c r="D1056" s="53" t="s">
        <v>38</v>
      </c>
      <c r="E1056" s="53"/>
      <c r="F1056" s="54"/>
      <c r="G1056" s="53"/>
      <c r="H1056" s="53">
        <v>0</v>
      </c>
      <c r="I1056" s="53">
        <v>0</v>
      </c>
      <c r="J1056" s="53">
        <v>0</v>
      </c>
      <c r="K1056" s="55"/>
      <c r="L1056" s="55">
        <f t="shared" si="53"/>
        <v>0</v>
      </c>
      <c r="M1056" s="55">
        <v>0</v>
      </c>
      <c r="N1056" s="101">
        <f t="shared" si="54"/>
        <v>0</v>
      </c>
      <c r="O1056" s="57" t="s">
        <v>162</v>
      </c>
    </row>
    <row r="1057" spans="1:15" hidden="1" x14ac:dyDescent="0.25">
      <c r="A1057" s="224"/>
      <c r="B1057" s="97">
        <v>45234</v>
      </c>
      <c r="C1057" s="58" t="s">
        <v>57</v>
      </c>
      <c r="D1057" s="60" t="s">
        <v>38</v>
      </c>
      <c r="E1057" s="60"/>
      <c r="F1057" s="61"/>
      <c r="G1057" s="60"/>
      <c r="H1057" s="60">
        <v>0</v>
      </c>
      <c r="I1057" s="60">
        <v>0</v>
      </c>
      <c r="J1057" s="60">
        <v>0</v>
      </c>
      <c r="K1057" s="62"/>
      <c r="L1057" s="62">
        <f t="shared" si="53"/>
        <v>0</v>
      </c>
      <c r="M1057" s="62">
        <v>0</v>
      </c>
      <c r="N1057" s="102">
        <f t="shared" si="54"/>
        <v>0</v>
      </c>
      <c r="O1057" s="64" t="s">
        <v>162</v>
      </c>
    </row>
    <row r="1058" spans="1:15" ht="15.75" hidden="1" thickBot="1" x14ac:dyDescent="0.3">
      <c r="A1058" s="225"/>
      <c r="B1058" s="98">
        <v>45235</v>
      </c>
      <c r="C1058" s="66" t="s">
        <v>59</v>
      </c>
      <c r="D1058" s="67" t="s">
        <v>38</v>
      </c>
      <c r="E1058" s="67"/>
      <c r="F1058" s="68"/>
      <c r="G1058" s="67"/>
      <c r="H1058" s="67">
        <v>0</v>
      </c>
      <c r="I1058" s="67">
        <v>0</v>
      </c>
      <c r="J1058" s="67">
        <v>0</v>
      </c>
      <c r="K1058" s="69"/>
      <c r="L1058" s="69">
        <f t="shared" si="53"/>
        <v>0</v>
      </c>
      <c r="M1058" s="69">
        <v>0</v>
      </c>
      <c r="N1058" s="103">
        <f t="shared" si="54"/>
        <v>0</v>
      </c>
      <c r="O1058" s="71" t="s">
        <v>162</v>
      </c>
    </row>
    <row r="1059" spans="1:15" hidden="1" x14ac:dyDescent="0.25">
      <c r="A1059" s="223">
        <f>_xlfn.ISOWEEKNUM(B1059)</f>
        <v>45</v>
      </c>
      <c r="B1059" s="96">
        <v>45236</v>
      </c>
      <c r="C1059" s="72" t="s">
        <v>37</v>
      </c>
      <c r="D1059" s="41" t="s">
        <v>38</v>
      </c>
      <c r="E1059" s="41"/>
      <c r="F1059" s="43"/>
      <c r="G1059" s="41"/>
      <c r="H1059" s="41">
        <v>0</v>
      </c>
      <c r="I1059" s="41">
        <v>0</v>
      </c>
      <c r="J1059" s="41">
        <v>0</v>
      </c>
      <c r="K1059" s="73"/>
      <c r="L1059" s="73">
        <f t="shared" si="53"/>
        <v>0</v>
      </c>
      <c r="M1059" s="73">
        <v>0</v>
      </c>
      <c r="N1059" s="105">
        <f t="shared" si="54"/>
        <v>0</v>
      </c>
      <c r="O1059" s="46" t="s">
        <v>162</v>
      </c>
    </row>
    <row r="1060" spans="1:15" hidden="1" x14ac:dyDescent="0.25">
      <c r="A1060" s="224"/>
      <c r="B1060" s="96">
        <v>45237</v>
      </c>
      <c r="C1060" s="52" t="s">
        <v>42</v>
      </c>
      <c r="D1060" s="53" t="s">
        <v>38</v>
      </c>
      <c r="E1060" s="53"/>
      <c r="F1060" s="54"/>
      <c r="G1060" s="53"/>
      <c r="H1060" s="53">
        <v>0</v>
      </c>
      <c r="I1060" s="53">
        <v>0</v>
      </c>
      <c r="J1060" s="53">
        <v>0</v>
      </c>
      <c r="K1060" s="55"/>
      <c r="L1060" s="55">
        <f t="shared" si="53"/>
        <v>0</v>
      </c>
      <c r="M1060" s="55">
        <v>0</v>
      </c>
      <c r="N1060" s="101">
        <f t="shared" si="54"/>
        <v>0</v>
      </c>
      <c r="O1060" s="57" t="s">
        <v>162</v>
      </c>
    </row>
    <row r="1061" spans="1:15" hidden="1" x14ac:dyDescent="0.25">
      <c r="A1061" s="224"/>
      <c r="B1061" s="96">
        <v>45238</v>
      </c>
      <c r="C1061" s="52" t="s">
        <v>46</v>
      </c>
      <c r="D1061" s="53" t="s">
        <v>38</v>
      </c>
      <c r="E1061" s="53"/>
      <c r="F1061" s="54"/>
      <c r="G1061" s="53"/>
      <c r="H1061" s="53">
        <v>0</v>
      </c>
      <c r="I1061" s="53">
        <v>0</v>
      </c>
      <c r="J1061" s="53">
        <v>0</v>
      </c>
      <c r="K1061" s="55"/>
      <c r="L1061" s="55">
        <f t="shared" si="53"/>
        <v>0</v>
      </c>
      <c r="M1061" s="55">
        <v>0</v>
      </c>
      <c r="N1061" s="101">
        <f t="shared" si="54"/>
        <v>0</v>
      </c>
      <c r="O1061" s="57" t="s">
        <v>162</v>
      </c>
    </row>
    <row r="1062" spans="1:15" hidden="1" x14ac:dyDescent="0.25">
      <c r="A1062" s="224"/>
      <c r="B1062" s="96">
        <v>45239</v>
      </c>
      <c r="C1062" s="52" t="s">
        <v>50</v>
      </c>
      <c r="D1062" s="53" t="s">
        <v>38</v>
      </c>
      <c r="E1062" s="53"/>
      <c r="F1062" s="54"/>
      <c r="G1062" s="53"/>
      <c r="H1062" s="53">
        <v>0</v>
      </c>
      <c r="I1062" s="53">
        <v>0</v>
      </c>
      <c r="J1062" s="53">
        <v>0</v>
      </c>
      <c r="K1062" s="55"/>
      <c r="L1062" s="55">
        <f t="shared" si="53"/>
        <v>0</v>
      </c>
      <c r="M1062" s="55">
        <v>0</v>
      </c>
      <c r="N1062" s="101">
        <f t="shared" si="54"/>
        <v>0</v>
      </c>
      <c r="O1062" s="57" t="s">
        <v>162</v>
      </c>
    </row>
    <row r="1063" spans="1:15" hidden="1" x14ac:dyDescent="0.25">
      <c r="A1063" s="224"/>
      <c r="B1063" s="96">
        <v>45240</v>
      </c>
      <c r="C1063" s="52" t="s">
        <v>53</v>
      </c>
      <c r="D1063" s="53" t="s">
        <v>38</v>
      </c>
      <c r="E1063" s="53"/>
      <c r="F1063" s="54"/>
      <c r="G1063" s="53"/>
      <c r="H1063" s="53">
        <v>0</v>
      </c>
      <c r="I1063" s="53">
        <v>0</v>
      </c>
      <c r="J1063" s="53">
        <v>0</v>
      </c>
      <c r="K1063" s="55"/>
      <c r="L1063" s="55">
        <f t="shared" si="53"/>
        <v>0</v>
      </c>
      <c r="M1063" s="55">
        <v>0</v>
      </c>
      <c r="N1063" s="101">
        <f t="shared" si="54"/>
        <v>0</v>
      </c>
      <c r="O1063" s="57" t="s">
        <v>162</v>
      </c>
    </row>
    <row r="1064" spans="1:15" hidden="1" x14ac:dyDescent="0.25">
      <c r="A1064" s="224"/>
      <c r="B1064" s="97">
        <v>45241</v>
      </c>
      <c r="C1064" s="58" t="s">
        <v>57</v>
      </c>
      <c r="D1064" s="60" t="s">
        <v>38</v>
      </c>
      <c r="E1064" s="60"/>
      <c r="F1064" s="61"/>
      <c r="G1064" s="60"/>
      <c r="H1064" s="60">
        <v>0</v>
      </c>
      <c r="I1064" s="60">
        <v>0</v>
      </c>
      <c r="J1064" s="60">
        <v>0</v>
      </c>
      <c r="K1064" s="62"/>
      <c r="L1064" s="62">
        <f t="shared" si="53"/>
        <v>0</v>
      </c>
      <c r="M1064" s="62">
        <v>0</v>
      </c>
      <c r="N1064" s="102">
        <f t="shared" si="54"/>
        <v>0</v>
      </c>
      <c r="O1064" s="64" t="s">
        <v>162</v>
      </c>
    </row>
    <row r="1065" spans="1:15" ht="15.75" hidden="1" thickBot="1" x14ac:dyDescent="0.3">
      <c r="A1065" s="225"/>
      <c r="B1065" s="98">
        <v>45242</v>
      </c>
      <c r="C1065" s="66" t="s">
        <v>59</v>
      </c>
      <c r="D1065" s="67" t="s">
        <v>38</v>
      </c>
      <c r="E1065" s="67"/>
      <c r="F1065" s="68"/>
      <c r="G1065" s="67"/>
      <c r="H1065" s="67">
        <v>0</v>
      </c>
      <c r="I1065" s="67">
        <v>0</v>
      </c>
      <c r="J1065" s="67">
        <v>0</v>
      </c>
      <c r="K1065" s="69"/>
      <c r="L1065" s="69">
        <f t="shared" ref="L1065:L1128" si="55">IF(J1065&lt;&gt;0,J1065,I1065)*K1065</f>
        <v>0</v>
      </c>
      <c r="M1065" s="69">
        <v>0</v>
      </c>
      <c r="N1065" s="103">
        <f t="shared" si="54"/>
        <v>0</v>
      </c>
      <c r="O1065" s="71" t="s">
        <v>162</v>
      </c>
    </row>
    <row r="1066" spans="1:15" hidden="1" x14ac:dyDescent="0.25">
      <c r="A1066" s="223">
        <f>_xlfn.ISOWEEKNUM(B1066)</f>
        <v>46</v>
      </c>
      <c r="B1066" s="96">
        <v>45243</v>
      </c>
      <c r="C1066" s="72" t="s">
        <v>37</v>
      </c>
      <c r="D1066" s="41" t="s">
        <v>38</v>
      </c>
      <c r="E1066" s="41"/>
      <c r="F1066" s="43"/>
      <c r="G1066" s="41"/>
      <c r="H1066" s="41">
        <v>0</v>
      </c>
      <c r="I1066" s="41">
        <v>0</v>
      </c>
      <c r="J1066" s="41">
        <v>0</v>
      </c>
      <c r="K1066" s="73"/>
      <c r="L1066" s="73">
        <f t="shared" si="55"/>
        <v>0</v>
      </c>
      <c r="M1066" s="73">
        <v>0</v>
      </c>
      <c r="N1066" s="105">
        <f t="shared" si="54"/>
        <v>0</v>
      </c>
      <c r="O1066" s="46" t="s">
        <v>162</v>
      </c>
    </row>
    <row r="1067" spans="1:15" hidden="1" x14ac:dyDescent="0.25">
      <c r="A1067" s="224"/>
      <c r="B1067" s="96">
        <v>45244</v>
      </c>
      <c r="C1067" s="52" t="s">
        <v>42</v>
      </c>
      <c r="D1067" s="53" t="s">
        <v>38</v>
      </c>
      <c r="E1067" s="53"/>
      <c r="F1067" s="54"/>
      <c r="G1067" s="53"/>
      <c r="H1067" s="53">
        <v>0</v>
      </c>
      <c r="I1067" s="53">
        <v>0</v>
      </c>
      <c r="J1067" s="53">
        <v>0</v>
      </c>
      <c r="K1067" s="55"/>
      <c r="L1067" s="55">
        <f t="shared" si="55"/>
        <v>0</v>
      </c>
      <c r="M1067" s="55">
        <v>0</v>
      </c>
      <c r="N1067" s="101">
        <f t="shared" si="54"/>
        <v>0</v>
      </c>
      <c r="O1067" s="57" t="s">
        <v>162</v>
      </c>
    </row>
    <row r="1068" spans="1:15" hidden="1" x14ac:dyDescent="0.25">
      <c r="A1068" s="224"/>
      <c r="B1068" s="96">
        <v>45245</v>
      </c>
      <c r="C1068" s="52" t="s">
        <v>46</v>
      </c>
      <c r="D1068" s="53" t="s">
        <v>38</v>
      </c>
      <c r="E1068" s="53"/>
      <c r="F1068" s="54"/>
      <c r="G1068" s="53"/>
      <c r="H1068" s="53">
        <v>0</v>
      </c>
      <c r="I1068" s="53">
        <v>0</v>
      </c>
      <c r="J1068" s="53">
        <v>0</v>
      </c>
      <c r="K1068" s="55"/>
      <c r="L1068" s="55">
        <f t="shared" si="55"/>
        <v>0</v>
      </c>
      <c r="M1068" s="55">
        <v>0</v>
      </c>
      <c r="N1068" s="101">
        <f t="shared" si="54"/>
        <v>0</v>
      </c>
      <c r="O1068" s="57" t="s">
        <v>162</v>
      </c>
    </row>
    <row r="1069" spans="1:15" hidden="1" x14ac:dyDescent="0.25">
      <c r="A1069" s="224"/>
      <c r="B1069" s="96">
        <v>45246</v>
      </c>
      <c r="C1069" s="52" t="s">
        <v>50</v>
      </c>
      <c r="D1069" s="53" t="s">
        <v>38</v>
      </c>
      <c r="E1069" s="53"/>
      <c r="F1069" s="54"/>
      <c r="G1069" s="53"/>
      <c r="H1069" s="53">
        <v>0</v>
      </c>
      <c r="I1069" s="53">
        <v>0</v>
      </c>
      <c r="J1069" s="53">
        <v>0</v>
      </c>
      <c r="K1069" s="55"/>
      <c r="L1069" s="55">
        <f t="shared" si="55"/>
        <v>0</v>
      </c>
      <c r="M1069" s="55">
        <v>0</v>
      </c>
      <c r="N1069" s="101">
        <f t="shared" si="54"/>
        <v>0</v>
      </c>
      <c r="O1069" s="57" t="s">
        <v>162</v>
      </c>
    </row>
    <row r="1070" spans="1:15" hidden="1" x14ac:dyDescent="0.25">
      <c r="A1070" s="224"/>
      <c r="B1070" s="96">
        <v>45247</v>
      </c>
      <c r="C1070" s="52" t="s">
        <v>53</v>
      </c>
      <c r="D1070" s="53" t="s">
        <v>38</v>
      </c>
      <c r="E1070" s="53"/>
      <c r="F1070" s="54"/>
      <c r="G1070" s="53"/>
      <c r="H1070" s="53">
        <v>0</v>
      </c>
      <c r="I1070" s="53">
        <v>0</v>
      </c>
      <c r="J1070" s="53">
        <v>0</v>
      </c>
      <c r="K1070" s="55"/>
      <c r="L1070" s="55">
        <f t="shared" si="55"/>
        <v>0</v>
      </c>
      <c r="M1070" s="55">
        <v>0</v>
      </c>
      <c r="N1070" s="101">
        <f t="shared" si="54"/>
        <v>0</v>
      </c>
      <c r="O1070" s="57" t="s">
        <v>162</v>
      </c>
    </row>
    <row r="1071" spans="1:15" hidden="1" x14ac:dyDescent="0.25">
      <c r="A1071" s="224"/>
      <c r="B1071" s="97">
        <v>45248</v>
      </c>
      <c r="C1071" s="58" t="s">
        <v>57</v>
      </c>
      <c r="D1071" s="60" t="s">
        <v>38</v>
      </c>
      <c r="E1071" s="60"/>
      <c r="F1071" s="61"/>
      <c r="G1071" s="60"/>
      <c r="H1071" s="60">
        <v>0</v>
      </c>
      <c r="I1071" s="60">
        <v>0</v>
      </c>
      <c r="J1071" s="60">
        <v>0</v>
      </c>
      <c r="K1071" s="62"/>
      <c r="L1071" s="62">
        <f t="shared" si="55"/>
        <v>0</v>
      </c>
      <c r="M1071" s="62">
        <v>0</v>
      </c>
      <c r="N1071" s="102">
        <f t="shared" si="54"/>
        <v>0</v>
      </c>
      <c r="O1071" s="64" t="s">
        <v>162</v>
      </c>
    </row>
    <row r="1072" spans="1:15" ht="15.75" hidden="1" thickBot="1" x14ac:dyDescent="0.3">
      <c r="A1072" s="225"/>
      <c r="B1072" s="98">
        <v>45249</v>
      </c>
      <c r="C1072" s="66" t="s">
        <v>59</v>
      </c>
      <c r="D1072" s="67" t="s">
        <v>38</v>
      </c>
      <c r="E1072" s="67"/>
      <c r="F1072" s="68"/>
      <c r="G1072" s="67"/>
      <c r="H1072" s="67">
        <v>0</v>
      </c>
      <c r="I1072" s="67">
        <v>0</v>
      </c>
      <c r="J1072" s="67">
        <v>0</v>
      </c>
      <c r="K1072" s="69"/>
      <c r="L1072" s="69">
        <f t="shared" si="55"/>
        <v>0</v>
      </c>
      <c r="M1072" s="69">
        <v>0</v>
      </c>
      <c r="N1072" s="103">
        <f t="shared" si="54"/>
        <v>0</v>
      </c>
      <c r="O1072" s="71" t="s">
        <v>162</v>
      </c>
    </row>
    <row r="1073" spans="1:15" hidden="1" x14ac:dyDescent="0.25">
      <c r="A1073" s="223">
        <f>_xlfn.ISOWEEKNUM(B1073)</f>
        <v>47</v>
      </c>
      <c r="B1073" s="96">
        <v>45250</v>
      </c>
      <c r="C1073" s="72" t="s">
        <v>37</v>
      </c>
      <c r="D1073" s="41" t="s">
        <v>38</v>
      </c>
      <c r="E1073" s="41"/>
      <c r="F1073" s="43"/>
      <c r="G1073" s="41"/>
      <c r="H1073" s="41">
        <v>0</v>
      </c>
      <c r="I1073" s="41">
        <v>0</v>
      </c>
      <c r="J1073" s="41">
        <v>0</v>
      </c>
      <c r="K1073" s="73"/>
      <c r="L1073" s="73">
        <f t="shared" si="55"/>
        <v>0</v>
      </c>
      <c r="M1073" s="73">
        <v>0</v>
      </c>
      <c r="N1073" s="105">
        <f t="shared" si="54"/>
        <v>0</v>
      </c>
      <c r="O1073" s="46" t="s">
        <v>162</v>
      </c>
    </row>
    <row r="1074" spans="1:15" hidden="1" x14ac:dyDescent="0.25">
      <c r="A1074" s="224"/>
      <c r="B1074" s="96">
        <v>45251</v>
      </c>
      <c r="C1074" s="52" t="s">
        <v>42</v>
      </c>
      <c r="D1074" s="53" t="s">
        <v>38</v>
      </c>
      <c r="E1074" s="53"/>
      <c r="F1074" s="54"/>
      <c r="G1074" s="53"/>
      <c r="H1074" s="53">
        <v>0</v>
      </c>
      <c r="I1074" s="53">
        <v>0</v>
      </c>
      <c r="J1074" s="53">
        <v>0</v>
      </c>
      <c r="K1074" s="55"/>
      <c r="L1074" s="55">
        <f t="shared" si="55"/>
        <v>0</v>
      </c>
      <c r="M1074" s="55">
        <v>0</v>
      </c>
      <c r="N1074" s="101">
        <f t="shared" si="54"/>
        <v>0</v>
      </c>
      <c r="O1074" s="57" t="s">
        <v>162</v>
      </c>
    </row>
    <row r="1075" spans="1:15" hidden="1" x14ac:dyDescent="0.25">
      <c r="A1075" s="224"/>
      <c r="B1075" s="96">
        <v>45252</v>
      </c>
      <c r="C1075" s="52" t="s">
        <v>46</v>
      </c>
      <c r="D1075" s="53" t="s">
        <v>38</v>
      </c>
      <c r="E1075" s="53"/>
      <c r="F1075" s="54"/>
      <c r="G1075" s="53"/>
      <c r="H1075" s="53">
        <v>0</v>
      </c>
      <c r="I1075" s="53">
        <v>0</v>
      </c>
      <c r="J1075" s="53">
        <v>0</v>
      </c>
      <c r="K1075" s="55"/>
      <c r="L1075" s="55">
        <f t="shared" si="55"/>
        <v>0</v>
      </c>
      <c r="M1075" s="55">
        <v>0</v>
      </c>
      <c r="N1075" s="101">
        <f t="shared" si="54"/>
        <v>0</v>
      </c>
      <c r="O1075" s="57" t="s">
        <v>162</v>
      </c>
    </row>
    <row r="1076" spans="1:15" hidden="1" x14ac:dyDescent="0.25">
      <c r="A1076" s="224"/>
      <c r="B1076" s="96">
        <v>45253</v>
      </c>
      <c r="C1076" s="52" t="s">
        <v>50</v>
      </c>
      <c r="D1076" s="53" t="s">
        <v>38</v>
      </c>
      <c r="E1076" s="53"/>
      <c r="F1076" s="54"/>
      <c r="G1076" s="53"/>
      <c r="H1076" s="53">
        <v>0</v>
      </c>
      <c r="I1076" s="53">
        <v>0</v>
      </c>
      <c r="J1076" s="53">
        <v>0</v>
      </c>
      <c r="K1076" s="55"/>
      <c r="L1076" s="55">
        <f t="shared" si="55"/>
        <v>0</v>
      </c>
      <c r="M1076" s="55">
        <v>0</v>
      </c>
      <c r="N1076" s="101">
        <f t="shared" si="54"/>
        <v>0</v>
      </c>
      <c r="O1076" s="57" t="s">
        <v>162</v>
      </c>
    </row>
    <row r="1077" spans="1:15" hidden="1" x14ac:dyDescent="0.25">
      <c r="A1077" s="224"/>
      <c r="B1077" s="96">
        <v>45254</v>
      </c>
      <c r="C1077" s="52" t="s">
        <v>53</v>
      </c>
      <c r="D1077" s="53" t="s">
        <v>38</v>
      </c>
      <c r="E1077" s="53"/>
      <c r="F1077" s="54"/>
      <c r="G1077" s="53"/>
      <c r="H1077" s="53">
        <v>0</v>
      </c>
      <c r="I1077" s="53">
        <v>0</v>
      </c>
      <c r="J1077" s="53">
        <v>0</v>
      </c>
      <c r="K1077" s="55"/>
      <c r="L1077" s="55">
        <f t="shared" si="55"/>
        <v>0</v>
      </c>
      <c r="M1077" s="55">
        <v>0</v>
      </c>
      <c r="N1077" s="101">
        <f t="shared" si="54"/>
        <v>0</v>
      </c>
      <c r="O1077" s="57" t="s">
        <v>162</v>
      </c>
    </row>
    <row r="1078" spans="1:15" hidden="1" x14ac:dyDescent="0.25">
      <c r="A1078" s="224"/>
      <c r="B1078" s="97">
        <v>45255</v>
      </c>
      <c r="C1078" s="58" t="s">
        <v>57</v>
      </c>
      <c r="D1078" s="60" t="s">
        <v>38</v>
      </c>
      <c r="E1078" s="60"/>
      <c r="F1078" s="61"/>
      <c r="G1078" s="60"/>
      <c r="H1078" s="60">
        <v>0</v>
      </c>
      <c r="I1078" s="60">
        <v>0</v>
      </c>
      <c r="J1078" s="60">
        <v>0</v>
      </c>
      <c r="K1078" s="62"/>
      <c r="L1078" s="62">
        <f t="shared" si="55"/>
        <v>0</v>
      </c>
      <c r="M1078" s="62">
        <v>0</v>
      </c>
      <c r="N1078" s="102">
        <f t="shared" si="54"/>
        <v>0</v>
      </c>
      <c r="O1078" s="64" t="s">
        <v>162</v>
      </c>
    </row>
    <row r="1079" spans="1:15" ht="15.75" hidden="1" thickBot="1" x14ac:dyDescent="0.3">
      <c r="A1079" s="225"/>
      <c r="B1079" s="98">
        <v>45256</v>
      </c>
      <c r="C1079" s="66" t="s">
        <v>59</v>
      </c>
      <c r="D1079" s="67" t="s">
        <v>38</v>
      </c>
      <c r="E1079" s="67"/>
      <c r="F1079" s="68"/>
      <c r="G1079" s="67"/>
      <c r="H1079" s="67">
        <v>0</v>
      </c>
      <c r="I1079" s="67">
        <v>0</v>
      </c>
      <c r="J1079" s="67">
        <v>0</v>
      </c>
      <c r="K1079" s="69"/>
      <c r="L1079" s="69">
        <f t="shared" si="55"/>
        <v>0</v>
      </c>
      <c r="M1079" s="69">
        <v>0</v>
      </c>
      <c r="N1079" s="103">
        <f t="shared" si="54"/>
        <v>0</v>
      </c>
      <c r="O1079" s="71" t="s">
        <v>162</v>
      </c>
    </row>
    <row r="1080" spans="1:15" hidden="1" x14ac:dyDescent="0.25">
      <c r="A1080" s="223">
        <f>_xlfn.ISOWEEKNUM(B1080)</f>
        <v>48</v>
      </c>
      <c r="B1080" s="96">
        <v>45257</v>
      </c>
      <c r="C1080" s="72" t="s">
        <v>37</v>
      </c>
      <c r="D1080" s="41" t="s">
        <v>38</v>
      </c>
      <c r="E1080" s="41"/>
      <c r="F1080" s="43"/>
      <c r="G1080" s="41"/>
      <c r="H1080" s="41">
        <v>0</v>
      </c>
      <c r="I1080" s="41">
        <v>0</v>
      </c>
      <c r="J1080" s="41">
        <v>0</v>
      </c>
      <c r="K1080" s="73"/>
      <c r="L1080" s="73">
        <f t="shared" si="55"/>
        <v>0</v>
      </c>
      <c r="M1080" s="73">
        <v>0</v>
      </c>
      <c r="N1080" s="105">
        <f t="shared" si="54"/>
        <v>0</v>
      </c>
      <c r="O1080" s="46" t="s">
        <v>162</v>
      </c>
    </row>
    <row r="1081" spans="1:15" hidden="1" x14ac:dyDescent="0.25">
      <c r="A1081" s="224"/>
      <c r="B1081" s="96">
        <v>45258</v>
      </c>
      <c r="C1081" s="52" t="s">
        <v>42</v>
      </c>
      <c r="D1081" s="53" t="s">
        <v>38</v>
      </c>
      <c r="E1081" s="53"/>
      <c r="F1081" s="54"/>
      <c r="G1081" s="53"/>
      <c r="H1081" s="53">
        <v>0</v>
      </c>
      <c r="I1081" s="53">
        <v>0</v>
      </c>
      <c r="J1081" s="53">
        <v>0</v>
      </c>
      <c r="K1081" s="55"/>
      <c r="L1081" s="55">
        <f t="shared" si="55"/>
        <v>0</v>
      </c>
      <c r="M1081" s="55">
        <v>0</v>
      </c>
      <c r="N1081" s="101">
        <f t="shared" si="54"/>
        <v>0</v>
      </c>
      <c r="O1081" s="57" t="s">
        <v>162</v>
      </c>
    </row>
    <row r="1082" spans="1:15" hidden="1" x14ac:dyDescent="0.25">
      <c r="A1082" s="224"/>
      <c r="B1082" s="96">
        <v>45259</v>
      </c>
      <c r="C1082" s="52" t="s">
        <v>46</v>
      </c>
      <c r="D1082" s="53" t="s">
        <v>38</v>
      </c>
      <c r="E1082" s="53"/>
      <c r="F1082" s="54"/>
      <c r="G1082" s="53"/>
      <c r="H1082" s="53">
        <v>0</v>
      </c>
      <c r="I1082" s="53">
        <v>0</v>
      </c>
      <c r="J1082" s="53">
        <v>0</v>
      </c>
      <c r="K1082" s="55"/>
      <c r="L1082" s="55">
        <f t="shared" si="55"/>
        <v>0</v>
      </c>
      <c r="M1082" s="55">
        <v>0</v>
      </c>
      <c r="N1082" s="101">
        <f t="shared" si="54"/>
        <v>0</v>
      </c>
      <c r="O1082" s="57" t="s">
        <v>162</v>
      </c>
    </row>
    <row r="1083" spans="1:15" hidden="1" x14ac:dyDescent="0.25">
      <c r="A1083" s="224"/>
      <c r="B1083" s="96">
        <v>45260</v>
      </c>
      <c r="C1083" s="52" t="s">
        <v>50</v>
      </c>
      <c r="D1083" s="53" t="s">
        <v>38</v>
      </c>
      <c r="E1083" s="53"/>
      <c r="F1083" s="54"/>
      <c r="G1083" s="53"/>
      <c r="H1083" s="53">
        <v>0</v>
      </c>
      <c r="I1083" s="53">
        <v>0</v>
      </c>
      <c r="J1083" s="53">
        <v>0</v>
      </c>
      <c r="K1083" s="55"/>
      <c r="L1083" s="55">
        <f t="shared" si="55"/>
        <v>0</v>
      </c>
      <c r="M1083" s="55">
        <v>0</v>
      </c>
      <c r="N1083" s="101">
        <f t="shared" si="54"/>
        <v>0</v>
      </c>
      <c r="O1083" s="57" t="s">
        <v>162</v>
      </c>
    </row>
    <row r="1084" spans="1:15" hidden="1" x14ac:dyDescent="0.25">
      <c r="A1084" s="224"/>
      <c r="B1084" s="96">
        <v>45261</v>
      </c>
      <c r="C1084" s="52" t="s">
        <v>53</v>
      </c>
      <c r="D1084" s="53" t="s">
        <v>38</v>
      </c>
      <c r="E1084" s="53"/>
      <c r="F1084" s="54"/>
      <c r="G1084" s="53"/>
      <c r="H1084" s="53">
        <v>0</v>
      </c>
      <c r="I1084" s="53">
        <v>0</v>
      </c>
      <c r="J1084" s="53">
        <v>0</v>
      </c>
      <c r="K1084" s="55"/>
      <c r="L1084" s="55">
        <f t="shared" si="55"/>
        <v>0</v>
      </c>
      <c r="M1084" s="55">
        <v>0</v>
      </c>
      <c r="N1084" s="101">
        <f t="shared" si="54"/>
        <v>0</v>
      </c>
      <c r="O1084" s="57" t="s">
        <v>162</v>
      </c>
    </row>
    <row r="1085" spans="1:15" hidden="1" x14ac:dyDescent="0.25">
      <c r="A1085" s="224"/>
      <c r="B1085" s="97">
        <v>45262</v>
      </c>
      <c r="C1085" s="58" t="s">
        <v>57</v>
      </c>
      <c r="D1085" s="60" t="s">
        <v>38</v>
      </c>
      <c r="E1085" s="60"/>
      <c r="F1085" s="61"/>
      <c r="G1085" s="60"/>
      <c r="H1085" s="60">
        <v>0</v>
      </c>
      <c r="I1085" s="60">
        <v>0</v>
      </c>
      <c r="J1085" s="60">
        <v>0</v>
      </c>
      <c r="K1085" s="62"/>
      <c r="L1085" s="62">
        <f t="shared" si="55"/>
        <v>0</v>
      </c>
      <c r="M1085" s="62">
        <v>0</v>
      </c>
      <c r="N1085" s="102">
        <f t="shared" si="54"/>
        <v>0</v>
      </c>
      <c r="O1085" s="64" t="s">
        <v>162</v>
      </c>
    </row>
    <row r="1086" spans="1:15" ht="15.75" hidden="1" thickBot="1" x14ac:dyDescent="0.3">
      <c r="A1086" s="225"/>
      <c r="B1086" s="98">
        <v>45263</v>
      </c>
      <c r="C1086" s="66" t="s">
        <v>59</v>
      </c>
      <c r="D1086" s="67" t="s">
        <v>38</v>
      </c>
      <c r="E1086" s="67"/>
      <c r="F1086" s="68"/>
      <c r="G1086" s="67"/>
      <c r="H1086" s="67">
        <v>0</v>
      </c>
      <c r="I1086" s="67">
        <v>0</v>
      </c>
      <c r="J1086" s="67">
        <v>0</v>
      </c>
      <c r="K1086" s="69"/>
      <c r="L1086" s="69">
        <f t="shared" si="55"/>
        <v>0</v>
      </c>
      <c r="M1086" s="69">
        <v>0</v>
      </c>
      <c r="N1086" s="103">
        <f t="shared" si="54"/>
        <v>0</v>
      </c>
      <c r="O1086" s="71" t="s">
        <v>162</v>
      </c>
    </row>
    <row r="1087" spans="1:15" hidden="1" x14ac:dyDescent="0.25">
      <c r="A1087" s="223">
        <f>_xlfn.ISOWEEKNUM(B1087)</f>
        <v>49</v>
      </c>
      <c r="B1087" s="96">
        <v>45264</v>
      </c>
      <c r="C1087" s="72" t="s">
        <v>37</v>
      </c>
      <c r="D1087" s="41" t="s">
        <v>38</v>
      </c>
      <c r="E1087" s="41"/>
      <c r="F1087" s="43"/>
      <c r="G1087" s="41"/>
      <c r="H1087" s="41">
        <v>0</v>
      </c>
      <c r="I1087" s="41">
        <v>0</v>
      </c>
      <c r="J1087" s="41">
        <v>0</v>
      </c>
      <c r="K1087" s="73"/>
      <c r="L1087" s="73">
        <f t="shared" si="55"/>
        <v>0</v>
      </c>
      <c r="M1087" s="73">
        <v>0</v>
      </c>
      <c r="N1087" s="105">
        <f t="shared" si="54"/>
        <v>0</v>
      </c>
      <c r="O1087" s="46" t="s">
        <v>162</v>
      </c>
    </row>
    <row r="1088" spans="1:15" hidden="1" x14ac:dyDescent="0.25">
      <c r="A1088" s="224"/>
      <c r="B1088" s="96">
        <v>45265</v>
      </c>
      <c r="C1088" s="52" t="s">
        <v>42</v>
      </c>
      <c r="D1088" s="53" t="s">
        <v>38</v>
      </c>
      <c r="E1088" s="53"/>
      <c r="F1088" s="54"/>
      <c r="G1088" s="53"/>
      <c r="H1088" s="53">
        <v>0</v>
      </c>
      <c r="I1088" s="53">
        <v>0</v>
      </c>
      <c r="J1088" s="53">
        <v>0</v>
      </c>
      <c r="K1088" s="55"/>
      <c r="L1088" s="55">
        <f t="shared" si="55"/>
        <v>0</v>
      </c>
      <c r="M1088" s="55">
        <v>0</v>
      </c>
      <c r="N1088" s="101">
        <f t="shared" si="54"/>
        <v>0</v>
      </c>
      <c r="O1088" s="57" t="s">
        <v>162</v>
      </c>
    </row>
    <row r="1089" spans="1:15" hidden="1" x14ac:dyDescent="0.25">
      <c r="A1089" s="224"/>
      <c r="B1089" s="96">
        <v>45266</v>
      </c>
      <c r="C1089" s="52" t="s">
        <v>46</v>
      </c>
      <c r="D1089" s="53" t="s">
        <v>38</v>
      </c>
      <c r="E1089" s="53"/>
      <c r="F1089" s="54"/>
      <c r="G1089" s="53"/>
      <c r="H1089" s="53">
        <v>0</v>
      </c>
      <c r="I1089" s="53">
        <v>0</v>
      </c>
      <c r="J1089" s="53">
        <v>0</v>
      </c>
      <c r="K1089" s="55"/>
      <c r="L1089" s="55">
        <f t="shared" si="55"/>
        <v>0</v>
      </c>
      <c r="M1089" s="55">
        <v>0</v>
      </c>
      <c r="N1089" s="101">
        <f t="shared" si="54"/>
        <v>0</v>
      </c>
      <c r="O1089" s="57" t="s">
        <v>162</v>
      </c>
    </row>
    <row r="1090" spans="1:15" hidden="1" x14ac:dyDescent="0.25">
      <c r="A1090" s="224"/>
      <c r="B1090" s="96">
        <v>45267</v>
      </c>
      <c r="C1090" s="52" t="s">
        <v>50</v>
      </c>
      <c r="D1090" s="53" t="s">
        <v>38</v>
      </c>
      <c r="E1090" s="53"/>
      <c r="F1090" s="54"/>
      <c r="G1090" s="53"/>
      <c r="H1090" s="53">
        <v>0</v>
      </c>
      <c r="I1090" s="53">
        <v>0</v>
      </c>
      <c r="J1090" s="53">
        <v>0</v>
      </c>
      <c r="K1090" s="55"/>
      <c r="L1090" s="55">
        <f t="shared" si="55"/>
        <v>0</v>
      </c>
      <c r="M1090" s="55">
        <v>0</v>
      </c>
      <c r="N1090" s="101">
        <f t="shared" si="54"/>
        <v>0</v>
      </c>
      <c r="O1090" s="57" t="s">
        <v>162</v>
      </c>
    </row>
    <row r="1091" spans="1:15" hidden="1" x14ac:dyDescent="0.25">
      <c r="A1091" s="224"/>
      <c r="B1091" s="96">
        <v>45268</v>
      </c>
      <c r="C1091" s="52" t="s">
        <v>53</v>
      </c>
      <c r="D1091" s="53" t="s">
        <v>38</v>
      </c>
      <c r="E1091" s="53"/>
      <c r="F1091" s="54"/>
      <c r="G1091" s="53"/>
      <c r="H1091" s="53">
        <v>0</v>
      </c>
      <c r="I1091" s="53">
        <v>0</v>
      </c>
      <c r="J1091" s="53">
        <v>0</v>
      </c>
      <c r="K1091" s="55"/>
      <c r="L1091" s="55">
        <f t="shared" si="55"/>
        <v>0</v>
      </c>
      <c r="M1091" s="55">
        <v>0</v>
      </c>
      <c r="N1091" s="101">
        <f t="shared" si="54"/>
        <v>0</v>
      </c>
      <c r="O1091" s="57" t="s">
        <v>162</v>
      </c>
    </row>
    <row r="1092" spans="1:15" hidden="1" x14ac:dyDescent="0.25">
      <c r="A1092" s="224"/>
      <c r="B1092" s="97">
        <v>45269</v>
      </c>
      <c r="C1092" s="58" t="s">
        <v>57</v>
      </c>
      <c r="D1092" s="60" t="s">
        <v>38</v>
      </c>
      <c r="E1092" s="60"/>
      <c r="F1092" s="61"/>
      <c r="G1092" s="60"/>
      <c r="H1092" s="60">
        <v>0</v>
      </c>
      <c r="I1092" s="60">
        <v>0</v>
      </c>
      <c r="J1092" s="60">
        <v>0</v>
      </c>
      <c r="K1092" s="62"/>
      <c r="L1092" s="62">
        <f t="shared" si="55"/>
        <v>0</v>
      </c>
      <c r="M1092" s="62">
        <v>0</v>
      </c>
      <c r="N1092" s="102">
        <f t="shared" si="54"/>
        <v>0</v>
      </c>
      <c r="O1092" s="64" t="s">
        <v>162</v>
      </c>
    </row>
    <row r="1093" spans="1:15" ht="15.75" hidden="1" thickBot="1" x14ac:dyDescent="0.3">
      <c r="A1093" s="225"/>
      <c r="B1093" s="98">
        <v>45270</v>
      </c>
      <c r="C1093" s="66" t="s">
        <v>59</v>
      </c>
      <c r="D1093" s="67" t="s">
        <v>38</v>
      </c>
      <c r="E1093" s="67"/>
      <c r="F1093" s="68"/>
      <c r="G1093" s="67"/>
      <c r="H1093" s="67">
        <v>0</v>
      </c>
      <c r="I1093" s="67">
        <v>0</v>
      </c>
      <c r="J1093" s="67">
        <v>0</v>
      </c>
      <c r="K1093" s="69"/>
      <c r="L1093" s="69">
        <f t="shared" si="55"/>
        <v>0</v>
      </c>
      <c r="M1093" s="69">
        <v>0</v>
      </c>
      <c r="N1093" s="103">
        <f t="shared" si="54"/>
        <v>0</v>
      </c>
      <c r="O1093" s="71" t="s">
        <v>162</v>
      </c>
    </row>
    <row r="1094" spans="1:15" hidden="1" x14ac:dyDescent="0.25">
      <c r="A1094" s="223">
        <f>_xlfn.ISOWEEKNUM(B1094)</f>
        <v>50</v>
      </c>
      <c r="B1094" s="96">
        <v>45271</v>
      </c>
      <c r="C1094" s="72" t="s">
        <v>37</v>
      </c>
      <c r="D1094" s="41" t="s">
        <v>38</v>
      </c>
      <c r="E1094" s="41"/>
      <c r="F1094" s="43"/>
      <c r="G1094" s="41"/>
      <c r="H1094" s="41">
        <v>0</v>
      </c>
      <c r="I1094" s="41">
        <v>0</v>
      </c>
      <c r="J1094" s="41">
        <v>0</v>
      </c>
      <c r="K1094" s="73"/>
      <c r="L1094" s="73">
        <f t="shared" si="55"/>
        <v>0</v>
      </c>
      <c r="M1094" s="73">
        <v>0</v>
      </c>
      <c r="N1094" s="105">
        <f t="shared" si="54"/>
        <v>0</v>
      </c>
      <c r="O1094" s="46" t="s">
        <v>162</v>
      </c>
    </row>
    <row r="1095" spans="1:15" hidden="1" x14ac:dyDescent="0.25">
      <c r="A1095" s="224"/>
      <c r="B1095" s="96">
        <v>45272</v>
      </c>
      <c r="C1095" s="52" t="s">
        <v>42</v>
      </c>
      <c r="D1095" s="53" t="s">
        <v>38</v>
      </c>
      <c r="E1095" s="53"/>
      <c r="F1095" s="54"/>
      <c r="G1095" s="53"/>
      <c r="H1095" s="53">
        <v>0</v>
      </c>
      <c r="I1095" s="53">
        <v>0</v>
      </c>
      <c r="J1095" s="53">
        <v>0</v>
      </c>
      <c r="K1095" s="55"/>
      <c r="L1095" s="55">
        <f t="shared" si="55"/>
        <v>0</v>
      </c>
      <c r="M1095" s="55">
        <v>0</v>
      </c>
      <c r="N1095" s="101">
        <f t="shared" si="54"/>
        <v>0</v>
      </c>
      <c r="O1095" s="57" t="s">
        <v>162</v>
      </c>
    </row>
    <row r="1096" spans="1:15" hidden="1" x14ac:dyDescent="0.25">
      <c r="A1096" s="224"/>
      <c r="B1096" s="96">
        <v>45273</v>
      </c>
      <c r="C1096" s="52" t="s">
        <v>46</v>
      </c>
      <c r="D1096" s="53" t="s">
        <v>38</v>
      </c>
      <c r="E1096" s="53"/>
      <c r="F1096" s="54"/>
      <c r="G1096" s="53"/>
      <c r="H1096" s="53">
        <v>0</v>
      </c>
      <c r="I1096" s="53">
        <v>0</v>
      </c>
      <c r="J1096" s="53">
        <v>0</v>
      </c>
      <c r="K1096" s="55"/>
      <c r="L1096" s="55">
        <f t="shared" si="55"/>
        <v>0</v>
      </c>
      <c r="M1096" s="55">
        <v>0</v>
      </c>
      <c r="N1096" s="101">
        <f t="shared" si="54"/>
        <v>0</v>
      </c>
      <c r="O1096" s="57" t="s">
        <v>162</v>
      </c>
    </row>
    <row r="1097" spans="1:15" hidden="1" x14ac:dyDescent="0.25">
      <c r="A1097" s="224"/>
      <c r="B1097" s="96">
        <v>45274</v>
      </c>
      <c r="C1097" s="52" t="s">
        <v>50</v>
      </c>
      <c r="D1097" s="53" t="s">
        <v>38</v>
      </c>
      <c r="E1097" s="53"/>
      <c r="F1097" s="54"/>
      <c r="G1097" s="53"/>
      <c r="H1097" s="53">
        <v>0</v>
      </c>
      <c r="I1097" s="53">
        <v>0</v>
      </c>
      <c r="J1097" s="53">
        <v>0</v>
      </c>
      <c r="K1097" s="55"/>
      <c r="L1097" s="55">
        <f t="shared" si="55"/>
        <v>0</v>
      </c>
      <c r="M1097" s="55">
        <v>0</v>
      </c>
      <c r="N1097" s="101">
        <f t="shared" si="54"/>
        <v>0</v>
      </c>
      <c r="O1097" s="57" t="s">
        <v>162</v>
      </c>
    </row>
    <row r="1098" spans="1:15" hidden="1" x14ac:dyDescent="0.25">
      <c r="A1098" s="224"/>
      <c r="B1098" s="96">
        <v>45275</v>
      </c>
      <c r="C1098" s="52" t="s">
        <v>53</v>
      </c>
      <c r="D1098" s="53" t="s">
        <v>38</v>
      </c>
      <c r="E1098" s="53"/>
      <c r="F1098" s="54"/>
      <c r="G1098" s="53"/>
      <c r="H1098" s="53">
        <v>0</v>
      </c>
      <c r="I1098" s="53">
        <v>0</v>
      </c>
      <c r="J1098" s="53">
        <v>0</v>
      </c>
      <c r="K1098" s="55"/>
      <c r="L1098" s="55">
        <f t="shared" si="55"/>
        <v>0</v>
      </c>
      <c r="M1098" s="55">
        <v>0</v>
      </c>
      <c r="N1098" s="101">
        <f t="shared" si="54"/>
        <v>0</v>
      </c>
      <c r="O1098" s="57" t="s">
        <v>162</v>
      </c>
    </row>
    <row r="1099" spans="1:15" hidden="1" x14ac:dyDescent="0.25">
      <c r="A1099" s="224"/>
      <c r="B1099" s="97">
        <v>45276</v>
      </c>
      <c r="C1099" s="58" t="s">
        <v>57</v>
      </c>
      <c r="D1099" s="60" t="s">
        <v>38</v>
      </c>
      <c r="E1099" s="60"/>
      <c r="F1099" s="61"/>
      <c r="G1099" s="60"/>
      <c r="H1099" s="60">
        <v>0</v>
      </c>
      <c r="I1099" s="60">
        <v>0</v>
      </c>
      <c r="J1099" s="60">
        <v>0</v>
      </c>
      <c r="K1099" s="62"/>
      <c r="L1099" s="62">
        <f t="shared" si="55"/>
        <v>0</v>
      </c>
      <c r="M1099" s="62">
        <v>0</v>
      </c>
      <c r="N1099" s="102">
        <f t="shared" si="54"/>
        <v>0</v>
      </c>
      <c r="O1099" s="64" t="s">
        <v>162</v>
      </c>
    </row>
    <row r="1100" spans="1:15" ht="15.75" hidden="1" thickBot="1" x14ac:dyDescent="0.3">
      <c r="A1100" s="225"/>
      <c r="B1100" s="98">
        <v>45277</v>
      </c>
      <c r="C1100" s="66" t="s">
        <v>59</v>
      </c>
      <c r="D1100" s="67" t="s">
        <v>38</v>
      </c>
      <c r="E1100" s="67"/>
      <c r="F1100" s="68"/>
      <c r="G1100" s="67"/>
      <c r="H1100" s="67">
        <v>0</v>
      </c>
      <c r="I1100" s="67">
        <v>0</v>
      </c>
      <c r="J1100" s="67">
        <v>0</v>
      </c>
      <c r="K1100" s="69"/>
      <c r="L1100" s="69">
        <f t="shared" si="55"/>
        <v>0</v>
      </c>
      <c r="M1100" s="69">
        <v>0</v>
      </c>
      <c r="N1100" s="103">
        <f t="shared" si="54"/>
        <v>0</v>
      </c>
      <c r="O1100" s="71" t="s">
        <v>162</v>
      </c>
    </row>
    <row r="1101" spans="1:15" hidden="1" x14ac:dyDescent="0.25">
      <c r="A1101" s="223">
        <f>_xlfn.ISOWEEKNUM(B1101)</f>
        <v>51</v>
      </c>
      <c r="B1101" s="96">
        <v>45278</v>
      </c>
      <c r="C1101" s="72" t="s">
        <v>37</v>
      </c>
      <c r="D1101" s="41" t="s">
        <v>38</v>
      </c>
      <c r="E1101" s="41"/>
      <c r="F1101" s="43"/>
      <c r="G1101" s="41"/>
      <c r="H1101" s="41">
        <v>0</v>
      </c>
      <c r="I1101" s="41">
        <v>0</v>
      </c>
      <c r="J1101" s="41">
        <v>0</v>
      </c>
      <c r="K1101" s="73"/>
      <c r="L1101" s="73">
        <f t="shared" si="55"/>
        <v>0</v>
      </c>
      <c r="M1101" s="73">
        <v>0</v>
      </c>
      <c r="N1101" s="105">
        <f t="shared" si="54"/>
        <v>0</v>
      </c>
      <c r="O1101" s="46" t="s">
        <v>162</v>
      </c>
    </row>
    <row r="1102" spans="1:15" hidden="1" x14ac:dyDescent="0.25">
      <c r="A1102" s="224"/>
      <c r="B1102" s="96">
        <v>45279</v>
      </c>
      <c r="C1102" s="52" t="s">
        <v>42</v>
      </c>
      <c r="D1102" s="53" t="s">
        <v>38</v>
      </c>
      <c r="E1102" s="53"/>
      <c r="F1102" s="54"/>
      <c r="G1102" s="53"/>
      <c r="H1102" s="53">
        <v>0</v>
      </c>
      <c r="I1102" s="53">
        <v>0</v>
      </c>
      <c r="J1102" s="53">
        <v>0</v>
      </c>
      <c r="K1102" s="55"/>
      <c r="L1102" s="55">
        <f t="shared" si="55"/>
        <v>0</v>
      </c>
      <c r="M1102" s="55">
        <v>0</v>
      </c>
      <c r="N1102" s="101">
        <f t="shared" si="54"/>
        <v>0</v>
      </c>
      <c r="O1102" s="57" t="s">
        <v>162</v>
      </c>
    </row>
    <row r="1103" spans="1:15" hidden="1" x14ac:dyDescent="0.25">
      <c r="A1103" s="224"/>
      <c r="B1103" s="96">
        <v>45280</v>
      </c>
      <c r="C1103" s="52" t="s">
        <v>46</v>
      </c>
      <c r="D1103" s="53" t="s">
        <v>38</v>
      </c>
      <c r="E1103" s="53"/>
      <c r="F1103" s="54"/>
      <c r="G1103" s="53"/>
      <c r="H1103" s="53">
        <v>0</v>
      </c>
      <c r="I1103" s="53">
        <v>0</v>
      </c>
      <c r="J1103" s="53">
        <v>0</v>
      </c>
      <c r="K1103" s="55"/>
      <c r="L1103" s="55">
        <f t="shared" si="55"/>
        <v>0</v>
      </c>
      <c r="M1103" s="55">
        <v>0</v>
      </c>
      <c r="N1103" s="101">
        <f t="shared" ref="N1103:N1166" si="56">L1103*(1-M1103)</f>
        <v>0</v>
      </c>
      <c r="O1103" s="57" t="s">
        <v>162</v>
      </c>
    </row>
    <row r="1104" spans="1:15" hidden="1" x14ac:dyDescent="0.25">
      <c r="A1104" s="224"/>
      <c r="B1104" s="96">
        <v>45281</v>
      </c>
      <c r="C1104" s="52" t="s">
        <v>50</v>
      </c>
      <c r="D1104" s="53" t="s">
        <v>38</v>
      </c>
      <c r="E1104" s="53"/>
      <c r="F1104" s="54"/>
      <c r="G1104" s="53"/>
      <c r="H1104" s="53">
        <v>0</v>
      </c>
      <c r="I1104" s="53">
        <v>0</v>
      </c>
      <c r="J1104" s="53">
        <v>0</v>
      </c>
      <c r="K1104" s="55"/>
      <c r="L1104" s="55">
        <f t="shared" si="55"/>
        <v>0</v>
      </c>
      <c r="M1104" s="55">
        <v>0</v>
      </c>
      <c r="N1104" s="101">
        <f t="shared" si="56"/>
        <v>0</v>
      </c>
      <c r="O1104" s="57" t="s">
        <v>162</v>
      </c>
    </row>
    <row r="1105" spans="1:15" hidden="1" x14ac:dyDescent="0.25">
      <c r="A1105" s="224"/>
      <c r="B1105" s="96">
        <v>45282</v>
      </c>
      <c r="C1105" s="52" t="s">
        <v>53</v>
      </c>
      <c r="D1105" s="53" t="s">
        <v>38</v>
      </c>
      <c r="E1105" s="53"/>
      <c r="F1105" s="54"/>
      <c r="G1105" s="53"/>
      <c r="H1105" s="53">
        <v>0</v>
      </c>
      <c r="I1105" s="53">
        <v>0</v>
      </c>
      <c r="J1105" s="53">
        <v>0</v>
      </c>
      <c r="K1105" s="55"/>
      <c r="L1105" s="55">
        <f t="shared" si="55"/>
        <v>0</v>
      </c>
      <c r="M1105" s="55">
        <v>0</v>
      </c>
      <c r="N1105" s="101">
        <f t="shared" si="56"/>
        <v>0</v>
      </c>
      <c r="O1105" s="57" t="s">
        <v>162</v>
      </c>
    </row>
    <row r="1106" spans="1:15" hidden="1" x14ac:dyDescent="0.25">
      <c r="A1106" s="224"/>
      <c r="B1106" s="97">
        <v>45283</v>
      </c>
      <c r="C1106" s="58" t="s">
        <v>57</v>
      </c>
      <c r="D1106" s="60" t="s">
        <v>38</v>
      </c>
      <c r="E1106" s="60"/>
      <c r="F1106" s="61"/>
      <c r="G1106" s="60"/>
      <c r="H1106" s="60">
        <v>0</v>
      </c>
      <c r="I1106" s="60">
        <v>0</v>
      </c>
      <c r="J1106" s="60">
        <v>0</v>
      </c>
      <c r="K1106" s="62"/>
      <c r="L1106" s="62">
        <f t="shared" si="55"/>
        <v>0</v>
      </c>
      <c r="M1106" s="62">
        <v>0</v>
      </c>
      <c r="N1106" s="102">
        <f t="shared" si="56"/>
        <v>0</v>
      </c>
      <c r="O1106" s="64" t="s">
        <v>162</v>
      </c>
    </row>
    <row r="1107" spans="1:15" ht="15.75" hidden="1" thickBot="1" x14ac:dyDescent="0.3">
      <c r="A1107" s="225"/>
      <c r="B1107" s="98">
        <v>45284</v>
      </c>
      <c r="C1107" s="66" t="s">
        <v>59</v>
      </c>
      <c r="D1107" s="67" t="s">
        <v>38</v>
      </c>
      <c r="E1107" s="67"/>
      <c r="F1107" s="68"/>
      <c r="G1107" s="67"/>
      <c r="H1107" s="67">
        <v>0</v>
      </c>
      <c r="I1107" s="67">
        <v>0</v>
      </c>
      <c r="J1107" s="67">
        <v>0</v>
      </c>
      <c r="K1107" s="69"/>
      <c r="L1107" s="69">
        <f t="shared" si="55"/>
        <v>0</v>
      </c>
      <c r="M1107" s="69">
        <v>0</v>
      </c>
      <c r="N1107" s="103">
        <f t="shared" si="56"/>
        <v>0</v>
      </c>
      <c r="O1107" s="71" t="s">
        <v>162</v>
      </c>
    </row>
    <row r="1108" spans="1:15" hidden="1" x14ac:dyDescent="0.25">
      <c r="A1108" s="223">
        <f>_xlfn.ISOWEEKNUM(B1108)</f>
        <v>52</v>
      </c>
      <c r="B1108" s="96">
        <v>45285</v>
      </c>
      <c r="C1108" s="72" t="s">
        <v>37</v>
      </c>
      <c r="D1108" s="41" t="s">
        <v>38</v>
      </c>
      <c r="E1108" s="41"/>
      <c r="F1108" s="43"/>
      <c r="G1108" s="41"/>
      <c r="H1108" s="41">
        <v>0</v>
      </c>
      <c r="I1108" s="41">
        <v>0</v>
      </c>
      <c r="J1108" s="41">
        <v>0</v>
      </c>
      <c r="K1108" s="73"/>
      <c r="L1108" s="73">
        <f t="shared" si="55"/>
        <v>0</v>
      </c>
      <c r="M1108" s="73">
        <v>0</v>
      </c>
      <c r="N1108" s="105">
        <f t="shared" si="56"/>
        <v>0</v>
      </c>
      <c r="O1108" s="46" t="s">
        <v>162</v>
      </c>
    </row>
    <row r="1109" spans="1:15" hidden="1" x14ac:dyDescent="0.25">
      <c r="A1109" s="224"/>
      <c r="B1109" s="96">
        <v>45286</v>
      </c>
      <c r="C1109" s="52" t="s">
        <v>42</v>
      </c>
      <c r="D1109" s="53" t="s">
        <v>38</v>
      </c>
      <c r="E1109" s="53"/>
      <c r="F1109" s="54"/>
      <c r="G1109" s="53"/>
      <c r="H1109" s="53">
        <v>0</v>
      </c>
      <c r="I1109" s="53">
        <v>0</v>
      </c>
      <c r="J1109" s="53">
        <v>0</v>
      </c>
      <c r="K1109" s="55"/>
      <c r="L1109" s="55">
        <f t="shared" si="55"/>
        <v>0</v>
      </c>
      <c r="M1109" s="55">
        <v>0</v>
      </c>
      <c r="N1109" s="101">
        <f t="shared" si="56"/>
        <v>0</v>
      </c>
      <c r="O1109" s="57" t="s">
        <v>162</v>
      </c>
    </row>
    <row r="1110" spans="1:15" hidden="1" x14ac:dyDescent="0.25">
      <c r="A1110" s="224"/>
      <c r="B1110" s="96">
        <v>45287</v>
      </c>
      <c r="C1110" s="52" t="s">
        <v>46</v>
      </c>
      <c r="D1110" s="53" t="s">
        <v>38</v>
      </c>
      <c r="E1110" s="53"/>
      <c r="F1110" s="54"/>
      <c r="G1110" s="53"/>
      <c r="H1110" s="53">
        <v>0</v>
      </c>
      <c r="I1110" s="53">
        <v>0</v>
      </c>
      <c r="J1110" s="53">
        <v>0</v>
      </c>
      <c r="K1110" s="55"/>
      <c r="L1110" s="55">
        <f t="shared" si="55"/>
        <v>0</v>
      </c>
      <c r="M1110" s="55">
        <v>0</v>
      </c>
      <c r="N1110" s="101">
        <f t="shared" si="56"/>
        <v>0</v>
      </c>
      <c r="O1110" s="57" t="s">
        <v>162</v>
      </c>
    </row>
    <row r="1111" spans="1:15" hidden="1" x14ac:dyDescent="0.25">
      <c r="A1111" s="224"/>
      <c r="B1111" s="96">
        <v>45288</v>
      </c>
      <c r="C1111" s="52" t="s">
        <v>50</v>
      </c>
      <c r="D1111" s="53" t="s">
        <v>38</v>
      </c>
      <c r="E1111" s="53"/>
      <c r="F1111" s="54"/>
      <c r="G1111" s="53"/>
      <c r="H1111" s="53">
        <v>0</v>
      </c>
      <c r="I1111" s="53">
        <v>0</v>
      </c>
      <c r="J1111" s="53">
        <v>0</v>
      </c>
      <c r="K1111" s="55"/>
      <c r="L1111" s="55">
        <f t="shared" si="55"/>
        <v>0</v>
      </c>
      <c r="M1111" s="55">
        <v>0</v>
      </c>
      <c r="N1111" s="101">
        <f t="shared" si="56"/>
        <v>0</v>
      </c>
      <c r="O1111" s="57" t="s">
        <v>162</v>
      </c>
    </row>
    <row r="1112" spans="1:15" hidden="1" x14ac:dyDescent="0.25">
      <c r="A1112" s="224"/>
      <c r="B1112" s="96">
        <v>45289</v>
      </c>
      <c r="C1112" s="52" t="s">
        <v>53</v>
      </c>
      <c r="D1112" s="53" t="s">
        <v>38</v>
      </c>
      <c r="E1112" s="53"/>
      <c r="F1112" s="54"/>
      <c r="G1112" s="53"/>
      <c r="H1112" s="53">
        <v>0</v>
      </c>
      <c r="I1112" s="53">
        <v>0</v>
      </c>
      <c r="J1112" s="53">
        <v>0</v>
      </c>
      <c r="K1112" s="55"/>
      <c r="L1112" s="55">
        <f t="shared" si="55"/>
        <v>0</v>
      </c>
      <c r="M1112" s="55">
        <v>0</v>
      </c>
      <c r="N1112" s="101">
        <f t="shared" si="56"/>
        <v>0</v>
      </c>
      <c r="O1112" s="57" t="s">
        <v>162</v>
      </c>
    </row>
    <row r="1113" spans="1:15" hidden="1" x14ac:dyDescent="0.25">
      <c r="A1113" s="224"/>
      <c r="B1113" s="97">
        <v>45290</v>
      </c>
      <c r="C1113" s="58" t="s">
        <v>57</v>
      </c>
      <c r="D1113" s="60" t="s">
        <v>38</v>
      </c>
      <c r="E1113" s="60"/>
      <c r="F1113" s="61"/>
      <c r="G1113" s="60"/>
      <c r="H1113" s="60">
        <v>0</v>
      </c>
      <c r="I1113" s="60">
        <v>0</v>
      </c>
      <c r="J1113" s="60">
        <v>0</v>
      </c>
      <c r="K1113" s="62"/>
      <c r="L1113" s="62">
        <f t="shared" si="55"/>
        <v>0</v>
      </c>
      <c r="M1113" s="62">
        <v>0</v>
      </c>
      <c r="N1113" s="102">
        <f t="shared" si="56"/>
        <v>0</v>
      </c>
      <c r="O1113" s="64" t="s">
        <v>162</v>
      </c>
    </row>
    <row r="1114" spans="1:15" ht="15.75" hidden="1" thickBot="1" x14ac:dyDescent="0.3">
      <c r="A1114" s="225"/>
      <c r="B1114" s="98">
        <v>45291</v>
      </c>
      <c r="C1114" s="66" t="s">
        <v>59</v>
      </c>
      <c r="D1114" s="67" t="s">
        <v>38</v>
      </c>
      <c r="E1114" s="67"/>
      <c r="F1114" s="68"/>
      <c r="G1114" s="67"/>
      <c r="H1114" s="67">
        <v>0</v>
      </c>
      <c r="I1114" s="67">
        <v>0</v>
      </c>
      <c r="J1114" s="67">
        <v>0</v>
      </c>
      <c r="K1114" s="69"/>
      <c r="L1114" s="69">
        <f t="shared" si="55"/>
        <v>0</v>
      </c>
      <c r="M1114" s="69">
        <v>0</v>
      </c>
      <c r="N1114" s="103">
        <f t="shared" si="56"/>
        <v>0</v>
      </c>
      <c r="O1114" s="71" t="s">
        <v>162</v>
      </c>
    </row>
    <row r="1115" spans="1:15" hidden="1" x14ac:dyDescent="0.25">
      <c r="A1115" s="223">
        <f>_xlfn.ISOWEEKNUM(B1115)</f>
        <v>1</v>
      </c>
      <c r="B1115" s="96">
        <v>45292</v>
      </c>
      <c r="C1115" s="72" t="s">
        <v>37</v>
      </c>
      <c r="D1115" s="41" t="s">
        <v>38</v>
      </c>
      <c r="E1115" s="41"/>
      <c r="F1115" s="43"/>
      <c r="G1115" s="41"/>
      <c r="H1115" s="41">
        <v>0</v>
      </c>
      <c r="I1115" s="41">
        <v>0</v>
      </c>
      <c r="J1115" s="41">
        <v>0</v>
      </c>
      <c r="K1115" s="73"/>
      <c r="L1115" s="181">
        <f t="shared" si="55"/>
        <v>0</v>
      </c>
      <c r="M1115" s="73">
        <v>0</v>
      </c>
      <c r="N1115" s="105">
        <f t="shared" si="56"/>
        <v>0</v>
      </c>
      <c r="O1115" s="46" t="s">
        <v>162</v>
      </c>
    </row>
    <row r="1116" spans="1:15" hidden="1" x14ac:dyDescent="0.25">
      <c r="A1116" s="224"/>
      <c r="B1116" s="96">
        <v>45293</v>
      </c>
      <c r="C1116" s="52" t="s">
        <v>42</v>
      </c>
      <c r="D1116" s="53" t="s">
        <v>38</v>
      </c>
      <c r="E1116" s="53"/>
      <c r="F1116" s="54"/>
      <c r="G1116" s="53"/>
      <c r="H1116" s="53">
        <v>0</v>
      </c>
      <c r="I1116" s="53">
        <v>0</v>
      </c>
      <c r="J1116" s="53">
        <v>0</v>
      </c>
      <c r="K1116" s="55"/>
      <c r="L1116" s="182">
        <f t="shared" si="55"/>
        <v>0</v>
      </c>
      <c r="M1116" s="55">
        <v>0</v>
      </c>
      <c r="N1116" s="101">
        <f t="shared" si="56"/>
        <v>0</v>
      </c>
      <c r="O1116" s="57" t="s">
        <v>162</v>
      </c>
    </row>
    <row r="1117" spans="1:15" hidden="1" x14ac:dyDescent="0.25">
      <c r="A1117" s="224"/>
      <c r="B1117" s="96">
        <v>45294</v>
      </c>
      <c r="C1117" s="52" t="s">
        <v>46</v>
      </c>
      <c r="D1117" s="53" t="s">
        <v>38</v>
      </c>
      <c r="E1117" s="53"/>
      <c r="F1117" s="54"/>
      <c r="G1117" s="53"/>
      <c r="H1117" s="53">
        <v>0</v>
      </c>
      <c r="I1117" s="53">
        <v>0</v>
      </c>
      <c r="J1117" s="53">
        <v>0</v>
      </c>
      <c r="K1117" s="55"/>
      <c r="L1117" s="182">
        <f t="shared" si="55"/>
        <v>0</v>
      </c>
      <c r="M1117" s="55">
        <v>0</v>
      </c>
      <c r="N1117" s="101">
        <f t="shared" si="56"/>
        <v>0</v>
      </c>
      <c r="O1117" s="57" t="s">
        <v>162</v>
      </c>
    </row>
    <row r="1118" spans="1:15" hidden="1" x14ac:dyDescent="0.25">
      <c r="A1118" s="224"/>
      <c r="B1118" s="96">
        <v>45295</v>
      </c>
      <c r="C1118" s="52" t="s">
        <v>50</v>
      </c>
      <c r="D1118" s="53" t="s">
        <v>38</v>
      </c>
      <c r="E1118" s="53"/>
      <c r="F1118" s="54"/>
      <c r="G1118" s="53"/>
      <c r="H1118" s="53">
        <v>0</v>
      </c>
      <c r="I1118" s="53">
        <v>0</v>
      </c>
      <c r="J1118" s="53">
        <v>0</v>
      </c>
      <c r="K1118" s="55"/>
      <c r="L1118" s="182">
        <f t="shared" si="55"/>
        <v>0</v>
      </c>
      <c r="M1118" s="55">
        <v>0</v>
      </c>
      <c r="N1118" s="101">
        <f t="shared" si="56"/>
        <v>0</v>
      </c>
      <c r="O1118" s="57" t="s">
        <v>162</v>
      </c>
    </row>
    <row r="1119" spans="1:15" hidden="1" x14ac:dyDescent="0.25">
      <c r="A1119" s="224"/>
      <c r="B1119" s="96">
        <v>45296</v>
      </c>
      <c r="C1119" s="52" t="s">
        <v>53</v>
      </c>
      <c r="D1119" s="53" t="s">
        <v>38</v>
      </c>
      <c r="E1119" s="53"/>
      <c r="F1119" s="54"/>
      <c r="G1119" s="53"/>
      <c r="H1119" s="53">
        <v>0</v>
      </c>
      <c r="I1119" s="53">
        <v>0</v>
      </c>
      <c r="J1119" s="53">
        <v>0</v>
      </c>
      <c r="K1119" s="55"/>
      <c r="L1119" s="182">
        <f t="shared" si="55"/>
        <v>0</v>
      </c>
      <c r="M1119" s="55">
        <v>0</v>
      </c>
      <c r="N1119" s="101">
        <f t="shared" si="56"/>
        <v>0</v>
      </c>
      <c r="O1119" s="57" t="s">
        <v>162</v>
      </c>
    </row>
    <row r="1120" spans="1:15" hidden="1" x14ac:dyDescent="0.25">
      <c r="A1120" s="224"/>
      <c r="B1120" s="97">
        <v>45297</v>
      </c>
      <c r="C1120" s="58" t="s">
        <v>57</v>
      </c>
      <c r="D1120" s="60" t="s">
        <v>38</v>
      </c>
      <c r="E1120" s="60"/>
      <c r="F1120" s="61"/>
      <c r="G1120" s="60"/>
      <c r="H1120" s="60">
        <v>0</v>
      </c>
      <c r="I1120" s="60">
        <v>0</v>
      </c>
      <c r="J1120" s="60">
        <v>0</v>
      </c>
      <c r="K1120" s="62"/>
      <c r="L1120" s="183">
        <f t="shared" si="55"/>
        <v>0</v>
      </c>
      <c r="M1120" s="62">
        <v>0</v>
      </c>
      <c r="N1120" s="102">
        <f t="shared" si="56"/>
        <v>0</v>
      </c>
      <c r="O1120" s="64" t="s">
        <v>162</v>
      </c>
    </row>
    <row r="1121" spans="1:15" ht="15.75" hidden="1" thickBot="1" x14ac:dyDescent="0.3">
      <c r="A1121" s="225"/>
      <c r="B1121" s="98">
        <v>45298</v>
      </c>
      <c r="C1121" s="66" t="s">
        <v>59</v>
      </c>
      <c r="D1121" s="67" t="s">
        <v>38</v>
      </c>
      <c r="E1121" s="67"/>
      <c r="F1121" s="68"/>
      <c r="G1121" s="67"/>
      <c r="H1121" s="67">
        <v>0</v>
      </c>
      <c r="I1121" s="67">
        <v>0</v>
      </c>
      <c r="J1121" s="67">
        <v>0</v>
      </c>
      <c r="K1121" s="69"/>
      <c r="L1121" s="184">
        <f t="shared" si="55"/>
        <v>0</v>
      </c>
      <c r="M1121" s="69">
        <v>0</v>
      </c>
      <c r="N1121" s="103">
        <f t="shared" si="56"/>
        <v>0</v>
      </c>
      <c r="O1121" s="71" t="s">
        <v>162</v>
      </c>
    </row>
    <row r="1122" spans="1:15" hidden="1" x14ac:dyDescent="0.25">
      <c r="A1122" s="223">
        <f>_xlfn.ISOWEEKNUM(B1122)</f>
        <v>2</v>
      </c>
      <c r="B1122" s="96">
        <v>45299</v>
      </c>
      <c r="C1122" s="72" t="s">
        <v>37</v>
      </c>
      <c r="D1122" s="41" t="s">
        <v>38</v>
      </c>
      <c r="E1122" s="41"/>
      <c r="F1122" s="43"/>
      <c r="G1122" s="41"/>
      <c r="H1122" s="41">
        <v>0</v>
      </c>
      <c r="I1122" s="41">
        <v>0</v>
      </c>
      <c r="J1122" s="41">
        <v>0</v>
      </c>
      <c r="K1122" s="73"/>
      <c r="L1122" s="181">
        <f t="shared" si="55"/>
        <v>0</v>
      </c>
      <c r="M1122" s="73">
        <v>0</v>
      </c>
      <c r="N1122" s="105">
        <f t="shared" si="56"/>
        <v>0</v>
      </c>
      <c r="O1122" s="46" t="s">
        <v>162</v>
      </c>
    </row>
    <row r="1123" spans="1:15" hidden="1" x14ac:dyDescent="0.25">
      <c r="A1123" s="224"/>
      <c r="B1123" s="96">
        <v>45300</v>
      </c>
      <c r="C1123" s="52" t="s">
        <v>42</v>
      </c>
      <c r="D1123" s="53" t="s">
        <v>38</v>
      </c>
      <c r="E1123" s="53"/>
      <c r="F1123" s="54"/>
      <c r="G1123" s="53"/>
      <c r="H1123" s="53">
        <v>0</v>
      </c>
      <c r="I1123" s="53">
        <v>0</v>
      </c>
      <c r="J1123" s="53">
        <v>0</v>
      </c>
      <c r="K1123" s="55"/>
      <c r="L1123" s="182">
        <f t="shared" si="55"/>
        <v>0</v>
      </c>
      <c r="M1123" s="55">
        <v>0</v>
      </c>
      <c r="N1123" s="101">
        <f t="shared" si="56"/>
        <v>0</v>
      </c>
      <c r="O1123" s="57" t="s">
        <v>162</v>
      </c>
    </row>
    <row r="1124" spans="1:15" hidden="1" x14ac:dyDescent="0.25">
      <c r="A1124" s="224"/>
      <c r="B1124" s="96">
        <v>45301</v>
      </c>
      <c r="C1124" s="52" t="s">
        <v>46</v>
      </c>
      <c r="D1124" s="53" t="s">
        <v>38</v>
      </c>
      <c r="E1124" s="53"/>
      <c r="F1124" s="54"/>
      <c r="G1124" s="53"/>
      <c r="H1124" s="53">
        <v>0</v>
      </c>
      <c r="I1124" s="53">
        <v>0</v>
      </c>
      <c r="J1124" s="53">
        <v>0</v>
      </c>
      <c r="K1124" s="55"/>
      <c r="L1124" s="182">
        <f t="shared" si="55"/>
        <v>0</v>
      </c>
      <c r="M1124" s="55">
        <v>0</v>
      </c>
      <c r="N1124" s="101">
        <f t="shared" si="56"/>
        <v>0</v>
      </c>
      <c r="O1124" s="57" t="s">
        <v>162</v>
      </c>
    </row>
    <row r="1125" spans="1:15" hidden="1" x14ac:dyDescent="0.25">
      <c r="A1125" s="224"/>
      <c r="B1125" s="96">
        <v>45302</v>
      </c>
      <c r="C1125" s="52" t="s">
        <v>50</v>
      </c>
      <c r="D1125" s="53" t="s">
        <v>38</v>
      </c>
      <c r="E1125" s="53"/>
      <c r="F1125" s="54"/>
      <c r="G1125" s="53"/>
      <c r="H1125" s="53">
        <v>0</v>
      </c>
      <c r="I1125" s="53">
        <v>0</v>
      </c>
      <c r="J1125" s="53">
        <v>0</v>
      </c>
      <c r="K1125" s="55"/>
      <c r="L1125" s="182">
        <f t="shared" si="55"/>
        <v>0</v>
      </c>
      <c r="M1125" s="55">
        <v>0</v>
      </c>
      <c r="N1125" s="101">
        <f t="shared" si="56"/>
        <v>0</v>
      </c>
      <c r="O1125" s="57" t="s">
        <v>162</v>
      </c>
    </row>
    <row r="1126" spans="1:15" hidden="1" x14ac:dyDescent="0.25">
      <c r="A1126" s="224"/>
      <c r="B1126" s="96">
        <v>45303</v>
      </c>
      <c r="C1126" s="52" t="s">
        <v>53</v>
      </c>
      <c r="D1126" s="53" t="s">
        <v>38</v>
      </c>
      <c r="E1126" s="53"/>
      <c r="F1126" s="54"/>
      <c r="G1126" s="53"/>
      <c r="H1126" s="53">
        <v>0</v>
      </c>
      <c r="I1126" s="53">
        <v>0</v>
      </c>
      <c r="J1126" s="53">
        <v>0</v>
      </c>
      <c r="K1126" s="55"/>
      <c r="L1126" s="182">
        <f t="shared" si="55"/>
        <v>0</v>
      </c>
      <c r="M1126" s="55">
        <v>0</v>
      </c>
      <c r="N1126" s="101">
        <f t="shared" si="56"/>
        <v>0</v>
      </c>
      <c r="O1126" s="57" t="s">
        <v>162</v>
      </c>
    </row>
    <row r="1127" spans="1:15" hidden="1" x14ac:dyDescent="0.25">
      <c r="A1127" s="224"/>
      <c r="B1127" s="97">
        <v>45304</v>
      </c>
      <c r="C1127" s="58" t="s">
        <v>57</v>
      </c>
      <c r="D1127" s="60" t="s">
        <v>38</v>
      </c>
      <c r="E1127" s="60"/>
      <c r="F1127" s="61"/>
      <c r="G1127" s="60"/>
      <c r="H1127" s="60">
        <v>0</v>
      </c>
      <c r="I1127" s="60">
        <v>0</v>
      </c>
      <c r="J1127" s="60">
        <v>0</v>
      </c>
      <c r="K1127" s="62"/>
      <c r="L1127" s="183">
        <f t="shared" si="55"/>
        <v>0</v>
      </c>
      <c r="M1127" s="62">
        <v>0</v>
      </c>
      <c r="N1127" s="102">
        <f t="shared" si="56"/>
        <v>0</v>
      </c>
      <c r="O1127" s="64" t="s">
        <v>162</v>
      </c>
    </row>
    <row r="1128" spans="1:15" ht="15.75" hidden="1" thickBot="1" x14ac:dyDescent="0.3">
      <c r="A1128" s="225"/>
      <c r="B1128" s="98">
        <v>45305</v>
      </c>
      <c r="C1128" s="66" t="s">
        <v>59</v>
      </c>
      <c r="D1128" s="67" t="s">
        <v>38</v>
      </c>
      <c r="E1128" s="67"/>
      <c r="F1128" s="68"/>
      <c r="G1128" s="67"/>
      <c r="H1128" s="67">
        <v>0</v>
      </c>
      <c r="I1128" s="67">
        <v>0</v>
      </c>
      <c r="J1128" s="67">
        <v>0</v>
      </c>
      <c r="K1128" s="69"/>
      <c r="L1128" s="184">
        <f t="shared" si="55"/>
        <v>0</v>
      </c>
      <c r="M1128" s="69">
        <v>0</v>
      </c>
      <c r="N1128" s="103">
        <f t="shared" si="56"/>
        <v>0</v>
      </c>
      <c r="O1128" s="71" t="s">
        <v>162</v>
      </c>
    </row>
    <row r="1129" spans="1:15" hidden="1" x14ac:dyDescent="0.25">
      <c r="A1129" s="223">
        <f>_xlfn.ISOWEEKNUM(B1129)</f>
        <v>3</v>
      </c>
      <c r="B1129" s="96">
        <v>45306</v>
      </c>
      <c r="C1129" s="72" t="s">
        <v>37</v>
      </c>
      <c r="D1129" s="41" t="s">
        <v>38</v>
      </c>
      <c r="E1129" s="41"/>
      <c r="F1129" s="43"/>
      <c r="G1129" s="41"/>
      <c r="H1129" s="41">
        <v>0</v>
      </c>
      <c r="I1129" s="41">
        <v>0</v>
      </c>
      <c r="J1129" s="41">
        <v>0</v>
      </c>
      <c r="K1129" s="73"/>
      <c r="L1129" s="181">
        <f t="shared" ref="L1129:L1192" si="57">IF(J1129&lt;&gt;0,J1129,I1129)*K1129</f>
        <v>0</v>
      </c>
      <c r="M1129" s="73">
        <v>0</v>
      </c>
      <c r="N1129" s="105">
        <f t="shared" si="56"/>
        <v>0</v>
      </c>
      <c r="O1129" s="46" t="s">
        <v>162</v>
      </c>
    </row>
    <row r="1130" spans="1:15" hidden="1" x14ac:dyDescent="0.25">
      <c r="A1130" s="224"/>
      <c r="B1130" s="96">
        <v>45307</v>
      </c>
      <c r="C1130" s="52" t="s">
        <v>42</v>
      </c>
      <c r="D1130" s="53" t="s">
        <v>38</v>
      </c>
      <c r="E1130" s="53"/>
      <c r="F1130" s="54"/>
      <c r="G1130" s="53"/>
      <c r="H1130" s="53">
        <v>0</v>
      </c>
      <c r="I1130" s="53">
        <v>0</v>
      </c>
      <c r="J1130" s="53">
        <v>0</v>
      </c>
      <c r="K1130" s="55"/>
      <c r="L1130" s="182">
        <f t="shared" si="57"/>
        <v>0</v>
      </c>
      <c r="M1130" s="55">
        <v>0</v>
      </c>
      <c r="N1130" s="101">
        <f t="shared" si="56"/>
        <v>0</v>
      </c>
      <c r="O1130" s="57" t="s">
        <v>162</v>
      </c>
    </row>
    <row r="1131" spans="1:15" hidden="1" x14ac:dyDescent="0.25">
      <c r="A1131" s="224"/>
      <c r="B1131" s="96">
        <v>45308</v>
      </c>
      <c r="C1131" s="52" t="s">
        <v>46</v>
      </c>
      <c r="D1131" s="53" t="s">
        <v>38</v>
      </c>
      <c r="E1131" s="53"/>
      <c r="F1131" s="54"/>
      <c r="G1131" s="53"/>
      <c r="H1131" s="53">
        <v>0</v>
      </c>
      <c r="I1131" s="53">
        <v>0</v>
      </c>
      <c r="J1131" s="53">
        <v>0</v>
      </c>
      <c r="K1131" s="55"/>
      <c r="L1131" s="182">
        <f t="shared" si="57"/>
        <v>0</v>
      </c>
      <c r="M1131" s="55">
        <v>0</v>
      </c>
      <c r="N1131" s="101">
        <f t="shared" si="56"/>
        <v>0</v>
      </c>
      <c r="O1131" s="57" t="s">
        <v>162</v>
      </c>
    </row>
    <row r="1132" spans="1:15" hidden="1" x14ac:dyDescent="0.25">
      <c r="A1132" s="224"/>
      <c r="B1132" s="96">
        <v>45309</v>
      </c>
      <c r="C1132" s="52" t="s">
        <v>50</v>
      </c>
      <c r="D1132" s="53" t="s">
        <v>38</v>
      </c>
      <c r="E1132" s="53"/>
      <c r="F1132" s="54"/>
      <c r="G1132" s="53"/>
      <c r="H1132" s="53">
        <v>0</v>
      </c>
      <c r="I1132" s="53">
        <v>0</v>
      </c>
      <c r="J1132" s="53">
        <v>0</v>
      </c>
      <c r="K1132" s="55"/>
      <c r="L1132" s="182">
        <f t="shared" si="57"/>
        <v>0</v>
      </c>
      <c r="M1132" s="55">
        <v>0</v>
      </c>
      <c r="N1132" s="101">
        <f t="shared" si="56"/>
        <v>0</v>
      </c>
      <c r="O1132" s="57" t="s">
        <v>162</v>
      </c>
    </row>
    <row r="1133" spans="1:15" hidden="1" x14ac:dyDescent="0.25">
      <c r="A1133" s="224"/>
      <c r="B1133" s="96">
        <v>45310</v>
      </c>
      <c r="C1133" s="52" t="s">
        <v>53</v>
      </c>
      <c r="D1133" s="53" t="s">
        <v>38</v>
      </c>
      <c r="E1133" s="53"/>
      <c r="F1133" s="54"/>
      <c r="G1133" s="53"/>
      <c r="H1133" s="53">
        <v>0</v>
      </c>
      <c r="I1133" s="53">
        <v>0</v>
      </c>
      <c r="J1133" s="53">
        <v>0</v>
      </c>
      <c r="K1133" s="55"/>
      <c r="L1133" s="182">
        <f t="shared" si="57"/>
        <v>0</v>
      </c>
      <c r="M1133" s="55">
        <v>0</v>
      </c>
      <c r="N1133" s="101">
        <f t="shared" si="56"/>
        <v>0</v>
      </c>
      <c r="O1133" s="57" t="s">
        <v>162</v>
      </c>
    </row>
    <row r="1134" spans="1:15" hidden="1" x14ac:dyDescent="0.25">
      <c r="A1134" s="224"/>
      <c r="B1134" s="97">
        <v>45311</v>
      </c>
      <c r="C1134" s="58" t="s">
        <v>57</v>
      </c>
      <c r="D1134" s="60" t="s">
        <v>38</v>
      </c>
      <c r="E1134" s="60"/>
      <c r="F1134" s="61"/>
      <c r="G1134" s="60"/>
      <c r="H1134" s="60">
        <v>0</v>
      </c>
      <c r="I1134" s="60">
        <v>0</v>
      </c>
      <c r="J1134" s="60">
        <v>0</v>
      </c>
      <c r="K1134" s="62"/>
      <c r="L1134" s="183">
        <f t="shared" si="57"/>
        <v>0</v>
      </c>
      <c r="M1134" s="62">
        <v>0</v>
      </c>
      <c r="N1134" s="102">
        <f t="shared" si="56"/>
        <v>0</v>
      </c>
      <c r="O1134" s="64" t="s">
        <v>162</v>
      </c>
    </row>
    <row r="1135" spans="1:15" ht="15.75" hidden="1" thickBot="1" x14ac:dyDescent="0.3">
      <c r="A1135" s="225"/>
      <c r="B1135" s="98">
        <v>45312</v>
      </c>
      <c r="C1135" s="66" t="s">
        <v>59</v>
      </c>
      <c r="D1135" s="67" t="s">
        <v>38</v>
      </c>
      <c r="E1135" s="67"/>
      <c r="F1135" s="68"/>
      <c r="G1135" s="67"/>
      <c r="H1135" s="67">
        <v>0</v>
      </c>
      <c r="I1135" s="67">
        <v>0</v>
      </c>
      <c r="J1135" s="67">
        <v>0</v>
      </c>
      <c r="K1135" s="69"/>
      <c r="L1135" s="184">
        <f t="shared" si="57"/>
        <v>0</v>
      </c>
      <c r="M1135" s="69">
        <v>0</v>
      </c>
      <c r="N1135" s="103">
        <f t="shared" si="56"/>
        <v>0</v>
      </c>
      <c r="O1135" s="71" t="s">
        <v>162</v>
      </c>
    </row>
    <row r="1136" spans="1:15" hidden="1" x14ac:dyDescent="0.25">
      <c r="A1136" s="223">
        <f>_xlfn.ISOWEEKNUM(B1136)</f>
        <v>4</v>
      </c>
      <c r="B1136" s="96">
        <v>45313</v>
      </c>
      <c r="C1136" s="72" t="s">
        <v>37</v>
      </c>
      <c r="D1136" s="41" t="s">
        <v>38</v>
      </c>
      <c r="E1136" s="41"/>
      <c r="F1136" s="43"/>
      <c r="G1136" s="41"/>
      <c r="H1136" s="41">
        <v>0</v>
      </c>
      <c r="I1136" s="41">
        <v>0</v>
      </c>
      <c r="J1136" s="41">
        <v>0</v>
      </c>
      <c r="K1136" s="73"/>
      <c r="L1136" s="181">
        <f t="shared" si="57"/>
        <v>0</v>
      </c>
      <c r="M1136" s="73">
        <v>0</v>
      </c>
      <c r="N1136" s="105">
        <f t="shared" si="56"/>
        <v>0</v>
      </c>
      <c r="O1136" s="46" t="s">
        <v>162</v>
      </c>
    </row>
    <row r="1137" spans="1:16" hidden="1" x14ac:dyDescent="0.25">
      <c r="A1137" s="224"/>
      <c r="B1137" s="96">
        <v>45314</v>
      </c>
      <c r="C1137" s="52" t="s">
        <v>42</v>
      </c>
      <c r="D1137" s="53" t="s">
        <v>38</v>
      </c>
      <c r="E1137" s="53"/>
      <c r="F1137" s="54"/>
      <c r="G1137" s="53"/>
      <c r="H1137" s="53">
        <v>0</v>
      </c>
      <c r="I1137" s="53">
        <v>0</v>
      </c>
      <c r="J1137" s="53">
        <v>0</v>
      </c>
      <c r="K1137" s="55"/>
      <c r="L1137" s="182">
        <f t="shared" si="57"/>
        <v>0</v>
      </c>
      <c r="M1137" s="55">
        <v>0</v>
      </c>
      <c r="N1137" s="101">
        <f t="shared" si="56"/>
        <v>0</v>
      </c>
      <c r="O1137" s="57" t="s">
        <v>162</v>
      </c>
    </row>
    <row r="1138" spans="1:16" hidden="1" x14ac:dyDescent="0.25">
      <c r="A1138" s="224"/>
      <c r="B1138" s="96">
        <v>45315</v>
      </c>
      <c r="C1138" s="52" t="s">
        <v>46</v>
      </c>
      <c r="D1138" s="53" t="s">
        <v>38</v>
      </c>
      <c r="E1138" s="53"/>
      <c r="F1138" s="54"/>
      <c r="G1138" s="53"/>
      <c r="H1138" s="53">
        <v>0</v>
      </c>
      <c r="I1138" s="53">
        <v>0</v>
      </c>
      <c r="J1138" s="53">
        <v>0</v>
      </c>
      <c r="K1138" s="55"/>
      <c r="L1138" s="182">
        <f t="shared" si="57"/>
        <v>0</v>
      </c>
      <c r="M1138" s="55">
        <v>0</v>
      </c>
      <c r="N1138" s="101">
        <f t="shared" si="56"/>
        <v>0</v>
      </c>
      <c r="O1138" s="57" t="s">
        <v>162</v>
      </c>
    </row>
    <row r="1139" spans="1:16" hidden="1" x14ac:dyDescent="0.25">
      <c r="A1139" s="224"/>
      <c r="B1139" s="96">
        <v>45316</v>
      </c>
      <c r="C1139" s="52" t="s">
        <v>50</v>
      </c>
      <c r="D1139" s="53" t="s">
        <v>38</v>
      </c>
      <c r="E1139" s="53"/>
      <c r="F1139" s="54"/>
      <c r="G1139" s="53"/>
      <c r="H1139" s="53">
        <v>0</v>
      </c>
      <c r="I1139" s="53">
        <v>0</v>
      </c>
      <c r="J1139" s="53">
        <v>0</v>
      </c>
      <c r="K1139" s="55"/>
      <c r="L1139" s="182">
        <f t="shared" si="57"/>
        <v>0</v>
      </c>
      <c r="M1139" s="55">
        <v>0</v>
      </c>
      <c r="N1139" s="101">
        <f t="shared" si="56"/>
        <v>0</v>
      </c>
      <c r="O1139" s="57" t="s">
        <v>162</v>
      </c>
    </row>
    <row r="1140" spans="1:16" hidden="1" x14ac:dyDescent="0.25">
      <c r="A1140" s="224"/>
      <c r="B1140" s="96">
        <v>45317</v>
      </c>
      <c r="C1140" s="52" t="s">
        <v>53</v>
      </c>
      <c r="D1140" s="53" t="s">
        <v>38</v>
      </c>
      <c r="E1140" s="53"/>
      <c r="F1140" s="54"/>
      <c r="G1140" s="53"/>
      <c r="H1140" s="53">
        <v>0</v>
      </c>
      <c r="I1140" s="53">
        <v>0</v>
      </c>
      <c r="J1140" s="53">
        <v>0</v>
      </c>
      <c r="K1140" s="55"/>
      <c r="L1140" s="182">
        <f t="shared" si="57"/>
        <v>0</v>
      </c>
      <c r="M1140" s="55">
        <v>0</v>
      </c>
      <c r="N1140" s="101">
        <f t="shared" si="56"/>
        <v>0</v>
      </c>
      <c r="O1140" s="57" t="s">
        <v>162</v>
      </c>
    </row>
    <row r="1141" spans="1:16" hidden="1" x14ac:dyDescent="0.25">
      <c r="A1141" s="224"/>
      <c r="B1141" s="97">
        <v>45318</v>
      </c>
      <c r="C1141" s="58" t="s">
        <v>57</v>
      </c>
      <c r="D1141" s="60" t="s">
        <v>38</v>
      </c>
      <c r="E1141" s="60"/>
      <c r="F1141" s="61"/>
      <c r="G1141" s="60"/>
      <c r="H1141" s="60">
        <v>0</v>
      </c>
      <c r="I1141" s="60">
        <v>0</v>
      </c>
      <c r="J1141" s="60">
        <v>0</v>
      </c>
      <c r="K1141" s="62"/>
      <c r="L1141" s="183">
        <f t="shared" si="57"/>
        <v>0</v>
      </c>
      <c r="M1141" s="62">
        <v>0</v>
      </c>
      <c r="N1141" s="102">
        <f t="shared" si="56"/>
        <v>0</v>
      </c>
      <c r="O1141" s="64" t="s">
        <v>162</v>
      </c>
    </row>
    <row r="1142" spans="1:16" ht="15.75" hidden="1" thickBot="1" x14ac:dyDescent="0.3">
      <c r="A1142" s="225"/>
      <c r="B1142" s="98">
        <v>45319</v>
      </c>
      <c r="C1142" s="66" t="s">
        <v>59</v>
      </c>
      <c r="D1142" s="67" t="s">
        <v>38</v>
      </c>
      <c r="E1142" s="67"/>
      <c r="F1142" s="68"/>
      <c r="G1142" s="67"/>
      <c r="H1142" s="67">
        <v>0</v>
      </c>
      <c r="I1142" s="67">
        <v>0</v>
      </c>
      <c r="J1142" s="67">
        <v>0</v>
      </c>
      <c r="K1142" s="69"/>
      <c r="L1142" s="184">
        <f t="shared" si="57"/>
        <v>0</v>
      </c>
      <c r="M1142" s="69">
        <v>0</v>
      </c>
      <c r="N1142" s="103">
        <f t="shared" si="56"/>
        <v>0</v>
      </c>
      <c r="O1142" s="71" t="s">
        <v>162</v>
      </c>
    </row>
    <row r="1143" spans="1:16" hidden="1" x14ac:dyDescent="0.25">
      <c r="A1143" s="223">
        <f>_xlfn.ISOWEEKNUM(B1143)</f>
        <v>5</v>
      </c>
      <c r="B1143" s="96">
        <v>45320</v>
      </c>
      <c r="C1143" s="72" t="s">
        <v>37</v>
      </c>
      <c r="D1143" s="41" t="s">
        <v>38</v>
      </c>
      <c r="E1143" s="41"/>
      <c r="F1143" s="43"/>
      <c r="G1143" s="41"/>
      <c r="H1143" s="41">
        <v>0</v>
      </c>
      <c r="I1143" s="41">
        <v>0</v>
      </c>
      <c r="J1143" s="41">
        <v>0</v>
      </c>
      <c r="K1143" s="73"/>
      <c r="L1143" s="181">
        <f t="shared" si="57"/>
        <v>0</v>
      </c>
      <c r="M1143" s="73">
        <v>0</v>
      </c>
      <c r="N1143" s="105">
        <f t="shared" si="56"/>
        <v>0</v>
      </c>
      <c r="O1143" s="46" t="s">
        <v>162</v>
      </c>
    </row>
    <row r="1144" spans="1:16" hidden="1" x14ac:dyDescent="0.25">
      <c r="A1144" s="224"/>
      <c r="B1144" s="96">
        <v>45321</v>
      </c>
      <c r="C1144" s="52" t="s">
        <v>42</v>
      </c>
      <c r="D1144" s="53" t="s">
        <v>38</v>
      </c>
      <c r="E1144" s="53"/>
      <c r="F1144" s="54"/>
      <c r="G1144" s="53"/>
      <c r="H1144" s="53">
        <v>0</v>
      </c>
      <c r="I1144" s="53">
        <v>0</v>
      </c>
      <c r="J1144" s="53">
        <v>0</v>
      </c>
      <c r="K1144" s="55"/>
      <c r="L1144" s="182">
        <f t="shared" si="57"/>
        <v>0</v>
      </c>
      <c r="M1144" s="55">
        <v>0</v>
      </c>
      <c r="N1144" s="101">
        <f t="shared" si="56"/>
        <v>0</v>
      </c>
      <c r="O1144" s="57" t="s">
        <v>162</v>
      </c>
    </row>
    <row r="1145" spans="1:16" hidden="1" x14ac:dyDescent="0.25">
      <c r="A1145" s="224"/>
      <c r="B1145" s="96">
        <v>45322</v>
      </c>
      <c r="C1145" s="52" t="s">
        <v>46</v>
      </c>
      <c r="D1145" s="53" t="s">
        <v>38</v>
      </c>
      <c r="E1145" s="53"/>
      <c r="F1145" s="54"/>
      <c r="G1145" s="53"/>
      <c r="H1145" s="53">
        <v>0</v>
      </c>
      <c r="I1145" s="53">
        <v>0</v>
      </c>
      <c r="J1145" s="53">
        <v>0</v>
      </c>
      <c r="K1145" s="55"/>
      <c r="L1145" s="182">
        <f t="shared" si="57"/>
        <v>0</v>
      </c>
      <c r="M1145" s="55">
        <v>0</v>
      </c>
      <c r="N1145" s="101">
        <f t="shared" si="56"/>
        <v>0</v>
      </c>
      <c r="O1145" s="57" t="s">
        <v>162</v>
      </c>
      <c r="P1145" s="145" t="str">
        <f t="shared" ref="P1145:P1208" si="58">E1145&amp;G1145</f>
        <v/>
      </c>
    </row>
    <row r="1146" spans="1:16" hidden="1" x14ac:dyDescent="0.25">
      <c r="A1146" s="224"/>
      <c r="B1146" s="96">
        <v>45323</v>
      </c>
      <c r="C1146" s="52" t="s">
        <v>50</v>
      </c>
      <c r="D1146" s="53" t="s">
        <v>38</v>
      </c>
      <c r="E1146" s="53"/>
      <c r="F1146" s="54"/>
      <c r="G1146" s="53"/>
      <c r="H1146" s="53">
        <v>0</v>
      </c>
      <c r="I1146" s="53">
        <v>0</v>
      </c>
      <c r="J1146" s="53">
        <v>0</v>
      </c>
      <c r="K1146" s="55"/>
      <c r="L1146" s="182">
        <f t="shared" si="57"/>
        <v>0</v>
      </c>
      <c r="M1146" s="55">
        <v>0</v>
      </c>
      <c r="N1146" s="101">
        <f t="shared" si="56"/>
        <v>0</v>
      </c>
      <c r="O1146" s="57" t="s">
        <v>162</v>
      </c>
      <c r="P1146" s="145" t="str">
        <f t="shared" si="58"/>
        <v/>
      </c>
    </row>
    <row r="1147" spans="1:16" hidden="1" x14ac:dyDescent="0.25">
      <c r="A1147" s="224"/>
      <c r="B1147" s="96">
        <v>45324</v>
      </c>
      <c r="C1147" s="52" t="s">
        <v>53</v>
      </c>
      <c r="D1147" s="53" t="s">
        <v>38</v>
      </c>
      <c r="E1147" s="53"/>
      <c r="F1147" s="54"/>
      <c r="G1147" s="53"/>
      <c r="H1147" s="53">
        <v>0</v>
      </c>
      <c r="I1147" s="53">
        <v>0</v>
      </c>
      <c r="J1147" s="53">
        <v>0</v>
      </c>
      <c r="K1147" s="55"/>
      <c r="L1147" s="182">
        <f t="shared" si="57"/>
        <v>0</v>
      </c>
      <c r="M1147" s="55">
        <v>0</v>
      </c>
      <c r="N1147" s="101">
        <f t="shared" si="56"/>
        <v>0</v>
      </c>
      <c r="O1147" s="57" t="s">
        <v>162</v>
      </c>
      <c r="P1147" s="145" t="str">
        <f t="shared" si="58"/>
        <v/>
      </c>
    </row>
    <row r="1148" spans="1:16" hidden="1" x14ac:dyDescent="0.25">
      <c r="A1148" s="224"/>
      <c r="B1148" s="97">
        <v>45325</v>
      </c>
      <c r="C1148" s="58" t="s">
        <v>57</v>
      </c>
      <c r="D1148" s="60" t="s">
        <v>38</v>
      </c>
      <c r="E1148" s="60"/>
      <c r="F1148" s="61"/>
      <c r="G1148" s="60"/>
      <c r="H1148" s="60">
        <v>0</v>
      </c>
      <c r="I1148" s="60">
        <v>0</v>
      </c>
      <c r="J1148" s="60">
        <v>0</v>
      </c>
      <c r="K1148" s="62"/>
      <c r="L1148" s="183">
        <f t="shared" si="57"/>
        <v>0</v>
      </c>
      <c r="M1148" s="62">
        <v>0</v>
      </c>
      <c r="N1148" s="102">
        <f t="shared" si="56"/>
        <v>0</v>
      </c>
      <c r="O1148" s="64" t="s">
        <v>162</v>
      </c>
      <c r="P1148" s="145" t="str">
        <f t="shared" si="58"/>
        <v/>
      </c>
    </row>
    <row r="1149" spans="1:16" ht="15.75" hidden="1" thickBot="1" x14ac:dyDescent="0.3">
      <c r="A1149" s="225"/>
      <c r="B1149" s="98">
        <v>45326</v>
      </c>
      <c r="C1149" s="66" t="s">
        <v>59</v>
      </c>
      <c r="D1149" s="67" t="s">
        <v>38</v>
      </c>
      <c r="E1149" s="67"/>
      <c r="F1149" s="68"/>
      <c r="G1149" s="67"/>
      <c r="H1149" s="67">
        <v>0</v>
      </c>
      <c r="I1149" s="67">
        <v>0</v>
      </c>
      <c r="J1149" s="67">
        <v>0</v>
      </c>
      <c r="K1149" s="69"/>
      <c r="L1149" s="184">
        <f t="shared" si="57"/>
        <v>0</v>
      </c>
      <c r="M1149" s="69">
        <v>0</v>
      </c>
      <c r="N1149" s="103">
        <f t="shared" si="56"/>
        <v>0</v>
      </c>
      <c r="O1149" s="71" t="s">
        <v>162</v>
      </c>
      <c r="P1149" s="145" t="str">
        <f t="shared" si="58"/>
        <v/>
      </c>
    </row>
    <row r="1150" spans="1:16" hidden="1" x14ac:dyDescent="0.25">
      <c r="A1150" s="223">
        <f>_xlfn.ISOWEEKNUM(B1150)</f>
        <v>6</v>
      </c>
      <c r="B1150" s="96">
        <v>45327</v>
      </c>
      <c r="C1150" s="72" t="s">
        <v>37</v>
      </c>
      <c r="D1150" s="41" t="s">
        <v>38</v>
      </c>
      <c r="E1150" s="41"/>
      <c r="F1150" s="43"/>
      <c r="G1150" s="41"/>
      <c r="H1150" s="41">
        <v>0</v>
      </c>
      <c r="I1150" s="41">
        <v>0</v>
      </c>
      <c r="J1150" s="41">
        <v>0</v>
      </c>
      <c r="K1150" s="73"/>
      <c r="L1150" s="181">
        <f t="shared" si="57"/>
        <v>0</v>
      </c>
      <c r="M1150" s="73">
        <v>0</v>
      </c>
      <c r="N1150" s="105">
        <f t="shared" si="56"/>
        <v>0</v>
      </c>
      <c r="O1150" s="46" t="s">
        <v>162</v>
      </c>
      <c r="P1150" s="145" t="str">
        <f t="shared" si="58"/>
        <v/>
      </c>
    </row>
    <row r="1151" spans="1:16" hidden="1" x14ac:dyDescent="0.25">
      <c r="A1151" s="224"/>
      <c r="B1151" s="96">
        <v>45328</v>
      </c>
      <c r="C1151" s="52" t="s">
        <v>42</v>
      </c>
      <c r="D1151" s="53" t="s">
        <v>38</v>
      </c>
      <c r="E1151" s="53"/>
      <c r="F1151" s="54"/>
      <c r="G1151" s="53"/>
      <c r="H1151" s="53">
        <v>0</v>
      </c>
      <c r="I1151" s="53">
        <v>0</v>
      </c>
      <c r="J1151" s="53">
        <v>0</v>
      </c>
      <c r="K1151" s="55"/>
      <c r="L1151" s="182">
        <f t="shared" si="57"/>
        <v>0</v>
      </c>
      <c r="M1151" s="55">
        <v>0</v>
      </c>
      <c r="N1151" s="101">
        <f t="shared" si="56"/>
        <v>0</v>
      </c>
      <c r="O1151" s="57" t="s">
        <v>162</v>
      </c>
      <c r="P1151" s="145" t="str">
        <f t="shared" si="58"/>
        <v/>
      </c>
    </row>
    <row r="1152" spans="1:16" hidden="1" x14ac:dyDescent="0.25">
      <c r="A1152" s="224"/>
      <c r="B1152" s="96">
        <v>45329</v>
      </c>
      <c r="C1152" s="52" t="s">
        <v>46</v>
      </c>
      <c r="D1152" s="53" t="s">
        <v>38</v>
      </c>
      <c r="E1152" s="53"/>
      <c r="F1152" s="54"/>
      <c r="G1152" s="53"/>
      <c r="H1152" s="53">
        <v>0</v>
      </c>
      <c r="I1152" s="53">
        <v>0</v>
      </c>
      <c r="J1152" s="53">
        <v>0</v>
      </c>
      <c r="K1152" s="55"/>
      <c r="L1152" s="182">
        <f t="shared" si="57"/>
        <v>0</v>
      </c>
      <c r="M1152" s="55">
        <v>0</v>
      </c>
      <c r="N1152" s="101">
        <f t="shared" si="56"/>
        <v>0</v>
      </c>
      <c r="O1152" s="57" t="s">
        <v>162</v>
      </c>
      <c r="P1152" s="145" t="str">
        <f t="shared" si="58"/>
        <v/>
      </c>
    </row>
    <row r="1153" spans="1:16" hidden="1" x14ac:dyDescent="0.25">
      <c r="A1153" s="224"/>
      <c r="B1153" s="96">
        <v>45330</v>
      </c>
      <c r="C1153" s="52" t="s">
        <v>50</v>
      </c>
      <c r="D1153" s="53" t="s">
        <v>38</v>
      </c>
      <c r="E1153" s="53"/>
      <c r="F1153" s="54"/>
      <c r="G1153" s="53"/>
      <c r="H1153" s="53">
        <v>0</v>
      </c>
      <c r="I1153" s="53">
        <v>0</v>
      </c>
      <c r="J1153" s="53">
        <v>0</v>
      </c>
      <c r="K1153" s="55"/>
      <c r="L1153" s="182">
        <f t="shared" si="57"/>
        <v>0</v>
      </c>
      <c r="M1153" s="55">
        <v>0</v>
      </c>
      <c r="N1153" s="101">
        <f t="shared" si="56"/>
        <v>0</v>
      </c>
      <c r="O1153" s="57" t="s">
        <v>162</v>
      </c>
      <c r="P1153" s="145" t="str">
        <f t="shared" si="58"/>
        <v/>
      </c>
    </row>
    <row r="1154" spans="1:16" hidden="1" x14ac:dyDescent="0.25">
      <c r="A1154" s="224"/>
      <c r="B1154" s="96">
        <v>45331</v>
      </c>
      <c r="C1154" s="52" t="s">
        <v>53</v>
      </c>
      <c r="D1154" s="53" t="s">
        <v>38</v>
      </c>
      <c r="E1154" s="53"/>
      <c r="F1154" s="54"/>
      <c r="G1154" s="53"/>
      <c r="H1154" s="53">
        <v>0</v>
      </c>
      <c r="I1154" s="53">
        <v>0</v>
      </c>
      <c r="J1154" s="53">
        <v>0</v>
      </c>
      <c r="K1154" s="55"/>
      <c r="L1154" s="182">
        <f t="shared" si="57"/>
        <v>0</v>
      </c>
      <c r="M1154" s="55">
        <v>0</v>
      </c>
      <c r="N1154" s="101">
        <f t="shared" si="56"/>
        <v>0</v>
      </c>
      <c r="O1154" s="57" t="s">
        <v>162</v>
      </c>
      <c r="P1154" s="145" t="str">
        <f t="shared" si="58"/>
        <v/>
      </c>
    </row>
    <row r="1155" spans="1:16" hidden="1" x14ac:dyDescent="0.25">
      <c r="A1155" s="224"/>
      <c r="B1155" s="97">
        <v>45332</v>
      </c>
      <c r="C1155" s="58" t="s">
        <v>57</v>
      </c>
      <c r="D1155" s="60" t="s">
        <v>38</v>
      </c>
      <c r="E1155" s="60"/>
      <c r="F1155" s="61"/>
      <c r="G1155" s="60"/>
      <c r="H1155" s="60">
        <v>0</v>
      </c>
      <c r="I1155" s="60">
        <v>0</v>
      </c>
      <c r="J1155" s="60">
        <v>0</v>
      </c>
      <c r="K1155" s="62"/>
      <c r="L1155" s="183">
        <f t="shared" si="57"/>
        <v>0</v>
      </c>
      <c r="M1155" s="62">
        <v>0</v>
      </c>
      <c r="N1155" s="102">
        <f t="shared" si="56"/>
        <v>0</v>
      </c>
      <c r="O1155" s="64" t="s">
        <v>162</v>
      </c>
      <c r="P1155" s="145" t="str">
        <f t="shared" si="58"/>
        <v/>
      </c>
    </row>
    <row r="1156" spans="1:16" ht="15.75" hidden="1" thickBot="1" x14ac:dyDescent="0.3">
      <c r="A1156" s="225"/>
      <c r="B1156" s="98">
        <v>45333</v>
      </c>
      <c r="C1156" s="66" t="s">
        <v>59</v>
      </c>
      <c r="D1156" s="67" t="s">
        <v>38</v>
      </c>
      <c r="E1156" s="67"/>
      <c r="F1156" s="68"/>
      <c r="G1156" s="67"/>
      <c r="H1156" s="67">
        <v>0</v>
      </c>
      <c r="I1156" s="67">
        <v>0</v>
      </c>
      <c r="J1156" s="67">
        <v>0</v>
      </c>
      <c r="K1156" s="69"/>
      <c r="L1156" s="184">
        <f t="shared" si="57"/>
        <v>0</v>
      </c>
      <c r="M1156" s="69">
        <v>0</v>
      </c>
      <c r="N1156" s="103">
        <f t="shared" si="56"/>
        <v>0</v>
      </c>
      <c r="O1156" s="71" t="s">
        <v>162</v>
      </c>
      <c r="P1156" s="145" t="str">
        <f t="shared" si="58"/>
        <v/>
      </c>
    </row>
    <row r="1157" spans="1:16" hidden="1" x14ac:dyDescent="0.25">
      <c r="A1157" s="223">
        <f>_xlfn.ISOWEEKNUM(B1157)</f>
        <v>7</v>
      </c>
      <c r="B1157" s="96">
        <v>45334</v>
      </c>
      <c r="C1157" s="72" t="s">
        <v>37</v>
      </c>
      <c r="D1157" s="41" t="s">
        <v>38</v>
      </c>
      <c r="E1157" s="41"/>
      <c r="F1157" s="43"/>
      <c r="G1157" s="41"/>
      <c r="H1157" s="41">
        <v>0</v>
      </c>
      <c r="I1157" s="41">
        <v>0</v>
      </c>
      <c r="J1157" s="41">
        <v>0</v>
      </c>
      <c r="K1157" s="73"/>
      <c r="L1157" s="181">
        <f t="shared" si="57"/>
        <v>0</v>
      </c>
      <c r="M1157" s="73">
        <v>0</v>
      </c>
      <c r="N1157" s="105">
        <f t="shared" si="56"/>
        <v>0</v>
      </c>
      <c r="O1157" s="46" t="s">
        <v>162</v>
      </c>
      <c r="P1157" s="145" t="str">
        <f t="shared" si="58"/>
        <v/>
      </c>
    </row>
    <row r="1158" spans="1:16" hidden="1" x14ac:dyDescent="0.25">
      <c r="A1158" s="224"/>
      <c r="B1158" s="96">
        <v>45335</v>
      </c>
      <c r="C1158" s="52" t="s">
        <v>42</v>
      </c>
      <c r="D1158" s="53" t="s">
        <v>38</v>
      </c>
      <c r="E1158" s="53"/>
      <c r="F1158" s="54"/>
      <c r="G1158" s="53"/>
      <c r="H1158" s="53">
        <v>0</v>
      </c>
      <c r="I1158" s="53">
        <v>0</v>
      </c>
      <c r="J1158" s="53">
        <v>0</v>
      </c>
      <c r="K1158" s="55"/>
      <c r="L1158" s="182">
        <f t="shared" si="57"/>
        <v>0</v>
      </c>
      <c r="M1158" s="55">
        <v>0</v>
      </c>
      <c r="N1158" s="101">
        <f t="shared" si="56"/>
        <v>0</v>
      </c>
      <c r="O1158" s="57" t="s">
        <v>162</v>
      </c>
      <c r="P1158" s="145" t="str">
        <f t="shared" si="58"/>
        <v/>
      </c>
    </row>
    <row r="1159" spans="1:16" hidden="1" x14ac:dyDescent="0.25">
      <c r="A1159" s="224"/>
      <c r="B1159" s="96">
        <v>45336</v>
      </c>
      <c r="C1159" s="52" t="s">
        <v>46</v>
      </c>
      <c r="D1159" s="53" t="s">
        <v>38</v>
      </c>
      <c r="E1159" s="53"/>
      <c r="F1159" s="54"/>
      <c r="G1159" s="53"/>
      <c r="H1159" s="53">
        <v>0</v>
      </c>
      <c r="I1159" s="53">
        <v>0</v>
      </c>
      <c r="J1159" s="53">
        <v>0</v>
      </c>
      <c r="K1159" s="55"/>
      <c r="L1159" s="182">
        <f t="shared" si="57"/>
        <v>0</v>
      </c>
      <c r="M1159" s="55">
        <v>0</v>
      </c>
      <c r="N1159" s="101">
        <f t="shared" si="56"/>
        <v>0</v>
      </c>
      <c r="O1159" s="57" t="s">
        <v>162</v>
      </c>
      <c r="P1159" s="145" t="str">
        <f t="shared" si="58"/>
        <v/>
      </c>
    </row>
    <row r="1160" spans="1:16" hidden="1" x14ac:dyDescent="0.25">
      <c r="A1160" s="224"/>
      <c r="B1160" s="96">
        <v>45337</v>
      </c>
      <c r="C1160" s="52" t="s">
        <v>50</v>
      </c>
      <c r="D1160" s="53" t="s">
        <v>38</v>
      </c>
      <c r="E1160" s="53"/>
      <c r="F1160" s="54"/>
      <c r="G1160" s="53"/>
      <c r="H1160" s="53">
        <v>0</v>
      </c>
      <c r="I1160" s="53">
        <v>0</v>
      </c>
      <c r="J1160" s="53">
        <v>0</v>
      </c>
      <c r="K1160" s="55"/>
      <c r="L1160" s="182">
        <f t="shared" si="57"/>
        <v>0</v>
      </c>
      <c r="M1160" s="55">
        <v>0</v>
      </c>
      <c r="N1160" s="101">
        <f t="shared" si="56"/>
        <v>0</v>
      </c>
      <c r="O1160" s="57" t="s">
        <v>162</v>
      </c>
      <c r="P1160" s="145" t="str">
        <f t="shared" si="58"/>
        <v/>
      </c>
    </row>
    <row r="1161" spans="1:16" hidden="1" x14ac:dyDescent="0.25">
      <c r="A1161" s="224"/>
      <c r="B1161" s="96">
        <v>45338</v>
      </c>
      <c r="C1161" s="52" t="s">
        <v>53</v>
      </c>
      <c r="D1161" s="53" t="s">
        <v>38</v>
      </c>
      <c r="E1161" s="53"/>
      <c r="F1161" s="54"/>
      <c r="G1161" s="53"/>
      <c r="H1161" s="53">
        <v>0</v>
      </c>
      <c r="I1161" s="53">
        <v>0</v>
      </c>
      <c r="J1161" s="53">
        <v>0</v>
      </c>
      <c r="K1161" s="55"/>
      <c r="L1161" s="182">
        <f t="shared" si="57"/>
        <v>0</v>
      </c>
      <c r="M1161" s="55">
        <v>0</v>
      </c>
      <c r="N1161" s="101">
        <f t="shared" si="56"/>
        <v>0</v>
      </c>
      <c r="O1161" s="57" t="s">
        <v>162</v>
      </c>
      <c r="P1161" s="145" t="str">
        <f t="shared" si="58"/>
        <v/>
      </c>
    </row>
    <row r="1162" spans="1:16" hidden="1" x14ac:dyDescent="0.25">
      <c r="A1162" s="224"/>
      <c r="B1162" s="97">
        <v>45339</v>
      </c>
      <c r="C1162" s="58" t="s">
        <v>57</v>
      </c>
      <c r="D1162" s="60" t="s">
        <v>38</v>
      </c>
      <c r="E1162" s="60"/>
      <c r="F1162" s="61"/>
      <c r="G1162" s="60"/>
      <c r="H1162" s="60">
        <v>0</v>
      </c>
      <c r="I1162" s="60">
        <v>0</v>
      </c>
      <c r="J1162" s="60">
        <v>0</v>
      </c>
      <c r="K1162" s="62"/>
      <c r="L1162" s="183">
        <f t="shared" si="57"/>
        <v>0</v>
      </c>
      <c r="M1162" s="62">
        <v>0</v>
      </c>
      <c r="N1162" s="102">
        <f t="shared" si="56"/>
        <v>0</v>
      </c>
      <c r="O1162" s="64" t="s">
        <v>162</v>
      </c>
      <c r="P1162" s="145" t="str">
        <f t="shared" si="58"/>
        <v/>
      </c>
    </row>
    <row r="1163" spans="1:16" ht="15.75" hidden="1" thickBot="1" x14ac:dyDescent="0.3">
      <c r="A1163" s="225"/>
      <c r="B1163" s="98">
        <v>45340</v>
      </c>
      <c r="C1163" s="66" t="s">
        <v>59</v>
      </c>
      <c r="D1163" s="67" t="s">
        <v>38</v>
      </c>
      <c r="E1163" s="67"/>
      <c r="F1163" s="68"/>
      <c r="G1163" s="67"/>
      <c r="H1163" s="67">
        <v>0</v>
      </c>
      <c r="I1163" s="67">
        <v>0</v>
      </c>
      <c r="J1163" s="67">
        <v>0</v>
      </c>
      <c r="K1163" s="69"/>
      <c r="L1163" s="184">
        <f t="shared" si="57"/>
        <v>0</v>
      </c>
      <c r="M1163" s="69">
        <v>0</v>
      </c>
      <c r="N1163" s="103">
        <f t="shared" si="56"/>
        <v>0</v>
      </c>
      <c r="O1163" s="71" t="s">
        <v>162</v>
      </c>
      <c r="P1163" s="145" t="str">
        <f t="shared" si="58"/>
        <v/>
      </c>
    </row>
    <row r="1164" spans="1:16" hidden="1" x14ac:dyDescent="0.25">
      <c r="A1164" s="223">
        <f>_xlfn.ISOWEEKNUM(B1164)</f>
        <v>8</v>
      </c>
      <c r="B1164" s="96">
        <v>45341</v>
      </c>
      <c r="C1164" s="72" t="s">
        <v>37</v>
      </c>
      <c r="D1164" s="41" t="s">
        <v>38</v>
      </c>
      <c r="E1164" s="41"/>
      <c r="F1164" s="43"/>
      <c r="G1164" s="41"/>
      <c r="H1164" s="41">
        <v>0</v>
      </c>
      <c r="I1164" s="41">
        <v>0</v>
      </c>
      <c r="J1164" s="41">
        <v>0</v>
      </c>
      <c r="K1164" s="73"/>
      <c r="L1164" s="181">
        <f t="shared" si="57"/>
        <v>0</v>
      </c>
      <c r="M1164" s="73">
        <v>0</v>
      </c>
      <c r="N1164" s="105">
        <f t="shared" si="56"/>
        <v>0</v>
      </c>
      <c r="O1164" s="46" t="s">
        <v>162</v>
      </c>
      <c r="P1164" s="145" t="str">
        <f t="shared" si="58"/>
        <v/>
      </c>
    </row>
    <row r="1165" spans="1:16" hidden="1" x14ac:dyDescent="0.25">
      <c r="A1165" s="224"/>
      <c r="B1165" s="96">
        <v>45342</v>
      </c>
      <c r="C1165" s="52" t="s">
        <v>42</v>
      </c>
      <c r="D1165" s="53" t="s">
        <v>38</v>
      </c>
      <c r="E1165" s="53"/>
      <c r="F1165" s="54"/>
      <c r="G1165" s="53"/>
      <c r="H1165" s="53">
        <v>0</v>
      </c>
      <c r="I1165" s="53">
        <v>0</v>
      </c>
      <c r="J1165" s="53">
        <v>0</v>
      </c>
      <c r="K1165" s="55"/>
      <c r="L1165" s="182">
        <f t="shared" si="57"/>
        <v>0</v>
      </c>
      <c r="M1165" s="55">
        <v>0</v>
      </c>
      <c r="N1165" s="101">
        <f t="shared" si="56"/>
        <v>0</v>
      </c>
      <c r="O1165" s="57" t="s">
        <v>162</v>
      </c>
      <c r="P1165" s="145" t="str">
        <f t="shared" si="58"/>
        <v/>
      </c>
    </row>
    <row r="1166" spans="1:16" hidden="1" x14ac:dyDescent="0.25">
      <c r="A1166" s="224"/>
      <c r="B1166" s="96">
        <v>45343</v>
      </c>
      <c r="C1166" s="52" t="s">
        <v>46</v>
      </c>
      <c r="D1166" s="53" t="s">
        <v>38</v>
      </c>
      <c r="E1166" s="53"/>
      <c r="F1166" s="54"/>
      <c r="G1166" s="53"/>
      <c r="H1166" s="53">
        <v>0</v>
      </c>
      <c r="I1166" s="53">
        <v>0</v>
      </c>
      <c r="J1166" s="53">
        <v>0</v>
      </c>
      <c r="K1166" s="55"/>
      <c r="L1166" s="182">
        <f t="shared" si="57"/>
        <v>0</v>
      </c>
      <c r="M1166" s="55">
        <v>0</v>
      </c>
      <c r="N1166" s="101">
        <f t="shared" si="56"/>
        <v>0</v>
      </c>
      <c r="O1166" s="57" t="s">
        <v>162</v>
      </c>
      <c r="P1166" s="145" t="str">
        <f t="shared" si="58"/>
        <v/>
      </c>
    </row>
    <row r="1167" spans="1:16" hidden="1" x14ac:dyDescent="0.25">
      <c r="A1167" s="224"/>
      <c r="B1167" s="96">
        <v>45344</v>
      </c>
      <c r="C1167" s="52" t="s">
        <v>50</v>
      </c>
      <c r="D1167" s="53" t="s">
        <v>38</v>
      </c>
      <c r="E1167" s="53"/>
      <c r="F1167" s="54"/>
      <c r="G1167" s="53"/>
      <c r="H1167" s="53">
        <v>0</v>
      </c>
      <c r="I1167" s="53">
        <v>0</v>
      </c>
      <c r="J1167" s="53">
        <v>0</v>
      </c>
      <c r="K1167" s="55"/>
      <c r="L1167" s="182">
        <f t="shared" si="57"/>
        <v>0</v>
      </c>
      <c r="M1167" s="55">
        <v>0</v>
      </c>
      <c r="N1167" s="101">
        <f t="shared" ref="N1167:N1230" si="59">L1167*(1-M1167)</f>
        <v>0</v>
      </c>
      <c r="O1167" s="57" t="s">
        <v>162</v>
      </c>
      <c r="P1167" s="145" t="str">
        <f t="shared" si="58"/>
        <v/>
      </c>
    </row>
    <row r="1168" spans="1:16" hidden="1" x14ac:dyDescent="0.25">
      <c r="A1168" s="224"/>
      <c r="B1168" s="96">
        <v>45345</v>
      </c>
      <c r="C1168" s="52" t="s">
        <v>53</v>
      </c>
      <c r="D1168" s="53" t="s">
        <v>38</v>
      </c>
      <c r="E1168" s="53"/>
      <c r="F1168" s="54"/>
      <c r="G1168" s="53"/>
      <c r="H1168" s="53">
        <v>0</v>
      </c>
      <c r="I1168" s="53">
        <v>0</v>
      </c>
      <c r="J1168" s="53">
        <v>0</v>
      </c>
      <c r="K1168" s="55"/>
      <c r="L1168" s="182">
        <f t="shared" si="57"/>
        <v>0</v>
      </c>
      <c r="M1168" s="55">
        <v>0</v>
      </c>
      <c r="N1168" s="101">
        <f t="shared" si="59"/>
        <v>0</v>
      </c>
      <c r="O1168" s="57" t="s">
        <v>162</v>
      </c>
      <c r="P1168" s="145" t="str">
        <f t="shared" si="58"/>
        <v/>
      </c>
    </row>
    <row r="1169" spans="1:16" hidden="1" x14ac:dyDescent="0.25">
      <c r="A1169" s="224"/>
      <c r="B1169" s="97">
        <v>45346</v>
      </c>
      <c r="C1169" s="58" t="s">
        <v>57</v>
      </c>
      <c r="D1169" s="60" t="s">
        <v>38</v>
      </c>
      <c r="E1169" s="60"/>
      <c r="F1169" s="61"/>
      <c r="G1169" s="60"/>
      <c r="H1169" s="60">
        <v>0</v>
      </c>
      <c r="I1169" s="60">
        <v>0</v>
      </c>
      <c r="J1169" s="60">
        <v>0</v>
      </c>
      <c r="K1169" s="62"/>
      <c r="L1169" s="183">
        <f t="shared" si="57"/>
        <v>0</v>
      </c>
      <c r="M1169" s="62">
        <v>0</v>
      </c>
      <c r="N1169" s="102">
        <f t="shared" si="59"/>
        <v>0</v>
      </c>
      <c r="O1169" s="64" t="s">
        <v>162</v>
      </c>
      <c r="P1169" s="145" t="str">
        <f t="shared" si="58"/>
        <v/>
      </c>
    </row>
    <row r="1170" spans="1:16" ht="15.75" hidden="1" thickBot="1" x14ac:dyDescent="0.3">
      <c r="A1170" s="225"/>
      <c r="B1170" s="98">
        <v>45347</v>
      </c>
      <c r="C1170" s="66" t="s">
        <v>59</v>
      </c>
      <c r="D1170" s="67" t="s">
        <v>38</v>
      </c>
      <c r="E1170" s="67"/>
      <c r="F1170" s="68"/>
      <c r="G1170" s="67"/>
      <c r="H1170" s="67">
        <v>0</v>
      </c>
      <c r="I1170" s="67">
        <v>0</v>
      </c>
      <c r="J1170" s="67">
        <v>0</v>
      </c>
      <c r="K1170" s="69"/>
      <c r="L1170" s="184">
        <f t="shared" si="57"/>
        <v>0</v>
      </c>
      <c r="M1170" s="69">
        <v>0</v>
      </c>
      <c r="N1170" s="103">
        <f t="shared" si="59"/>
        <v>0</v>
      </c>
      <c r="O1170" s="71" t="s">
        <v>162</v>
      </c>
      <c r="P1170" s="145" t="str">
        <f t="shared" si="58"/>
        <v/>
      </c>
    </row>
    <row r="1171" spans="1:16" hidden="1" x14ac:dyDescent="0.25">
      <c r="A1171" s="223">
        <f>_xlfn.ISOWEEKNUM(B1171)</f>
        <v>9</v>
      </c>
      <c r="B1171" s="96">
        <v>45348</v>
      </c>
      <c r="C1171" s="72" t="s">
        <v>37</v>
      </c>
      <c r="D1171" s="41" t="s">
        <v>38</v>
      </c>
      <c r="E1171" s="41"/>
      <c r="F1171" s="43"/>
      <c r="G1171" s="41"/>
      <c r="H1171" s="41">
        <v>0</v>
      </c>
      <c r="I1171" s="41">
        <v>0</v>
      </c>
      <c r="J1171" s="41">
        <v>0</v>
      </c>
      <c r="K1171" s="73"/>
      <c r="L1171" s="181">
        <f t="shared" si="57"/>
        <v>0</v>
      </c>
      <c r="M1171" s="73">
        <v>0</v>
      </c>
      <c r="N1171" s="105">
        <f t="shared" si="59"/>
        <v>0</v>
      </c>
      <c r="O1171" s="46" t="s">
        <v>162</v>
      </c>
      <c r="P1171" s="145" t="str">
        <f t="shared" si="58"/>
        <v/>
      </c>
    </row>
    <row r="1172" spans="1:16" hidden="1" x14ac:dyDescent="0.25">
      <c r="A1172" s="224"/>
      <c r="B1172" s="96">
        <v>45349</v>
      </c>
      <c r="C1172" s="52" t="s">
        <v>42</v>
      </c>
      <c r="D1172" s="53" t="s">
        <v>38</v>
      </c>
      <c r="E1172" s="53"/>
      <c r="F1172" s="54"/>
      <c r="G1172" s="53"/>
      <c r="H1172" s="53">
        <v>0</v>
      </c>
      <c r="I1172" s="53">
        <v>0</v>
      </c>
      <c r="J1172" s="53">
        <v>0</v>
      </c>
      <c r="K1172" s="55"/>
      <c r="L1172" s="182">
        <f t="shared" si="57"/>
        <v>0</v>
      </c>
      <c r="M1172" s="55">
        <v>0</v>
      </c>
      <c r="N1172" s="101">
        <f t="shared" si="59"/>
        <v>0</v>
      </c>
      <c r="O1172" s="57" t="s">
        <v>162</v>
      </c>
      <c r="P1172" s="145" t="str">
        <f t="shared" si="58"/>
        <v/>
      </c>
    </row>
    <row r="1173" spans="1:16" hidden="1" x14ac:dyDescent="0.25">
      <c r="A1173" s="224"/>
      <c r="B1173" s="96">
        <v>45350</v>
      </c>
      <c r="C1173" s="52" t="s">
        <v>46</v>
      </c>
      <c r="D1173" s="53" t="s">
        <v>38</v>
      </c>
      <c r="E1173" s="53"/>
      <c r="F1173" s="54"/>
      <c r="G1173" s="53"/>
      <c r="H1173" s="53">
        <v>0</v>
      </c>
      <c r="I1173" s="53">
        <v>0</v>
      </c>
      <c r="J1173" s="53">
        <v>0</v>
      </c>
      <c r="K1173" s="55"/>
      <c r="L1173" s="182">
        <f t="shared" si="57"/>
        <v>0</v>
      </c>
      <c r="M1173" s="55">
        <v>0</v>
      </c>
      <c r="N1173" s="101">
        <f t="shared" si="59"/>
        <v>0</v>
      </c>
      <c r="O1173" s="57" t="s">
        <v>162</v>
      </c>
      <c r="P1173" s="145" t="str">
        <f t="shared" si="58"/>
        <v/>
      </c>
    </row>
    <row r="1174" spans="1:16" hidden="1" x14ac:dyDescent="0.25">
      <c r="A1174" s="224"/>
      <c r="B1174" s="96">
        <v>45351</v>
      </c>
      <c r="C1174" s="52" t="s">
        <v>50</v>
      </c>
      <c r="D1174" s="53" t="s">
        <v>38</v>
      </c>
      <c r="E1174" s="53"/>
      <c r="F1174" s="54"/>
      <c r="G1174" s="53"/>
      <c r="H1174" s="53">
        <v>0</v>
      </c>
      <c r="I1174" s="53">
        <v>0</v>
      </c>
      <c r="J1174" s="53">
        <v>0</v>
      </c>
      <c r="K1174" s="55"/>
      <c r="L1174" s="182">
        <f t="shared" si="57"/>
        <v>0</v>
      </c>
      <c r="M1174" s="55">
        <v>0</v>
      </c>
      <c r="N1174" s="101">
        <f t="shared" si="59"/>
        <v>0</v>
      </c>
      <c r="O1174" s="57" t="s">
        <v>162</v>
      </c>
      <c r="P1174" s="145" t="str">
        <f t="shared" si="58"/>
        <v/>
      </c>
    </row>
    <row r="1175" spans="1:16" hidden="1" x14ac:dyDescent="0.25">
      <c r="A1175" s="224"/>
      <c r="B1175" s="96">
        <v>45352</v>
      </c>
      <c r="C1175" s="52" t="s">
        <v>53</v>
      </c>
      <c r="D1175" s="53" t="s">
        <v>38</v>
      </c>
      <c r="E1175" s="53"/>
      <c r="F1175" s="54"/>
      <c r="G1175" s="53"/>
      <c r="H1175" s="53">
        <v>0</v>
      </c>
      <c r="I1175" s="53">
        <v>0</v>
      </c>
      <c r="J1175" s="53">
        <v>0</v>
      </c>
      <c r="K1175" s="55"/>
      <c r="L1175" s="182">
        <f t="shared" si="57"/>
        <v>0</v>
      </c>
      <c r="M1175" s="55">
        <v>0</v>
      </c>
      <c r="N1175" s="101">
        <f t="shared" si="59"/>
        <v>0</v>
      </c>
      <c r="O1175" s="57" t="s">
        <v>162</v>
      </c>
      <c r="P1175" s="145" t="str">
        <f t="shared" si="58"/>
        <v/>
      </c>
    </row>
    <row r="1176" spans="1:16" hidden="1" x14ac:dyDescent="0.25">
      <c r="A1176" s="224"/>
      <c r="B1176" s="97">
        <v>45353</v>
      </c>
      <c r="C1176" s="58" t="s">
        <v>57</v>
      </c>
      <c r="D1176" s="60" t="s">
        <v>38</v>
      </c>
      <c r="E1176" s="60"/>
      <c r="F1176" s="61"/>
      <c r="G1176" s="60"/>
      <c r="H1176" s="60">
        <v>0</v>
      </c>
      <c r="I1176" s="60">
        <v>0</v>
      </c>
      <c r="J1176" s="60">
        <v>0</v>
      </c>
      <c r="K1176" s="62"/>
      <c r="L1176" s="183">
        <f t="shared" si="57"/>
        <v>0</v>
      </c>
      <c r="M1176" s="62">
        <v>0</v>
      </c>
      <c r="N1176" s="102">
        <f t="shared" si="59"/>
        <v>0</v>
      </c>
      <c r="O1176" s="64" t="s">
        <v>162</v>
      </c>
      <c r="P1176" s="145" t="str">
        <f t="shared" si="58"/>
        <v/>
      </c>
    </row>
    <row r="1177" spans="1:16" ht="15.75" hidden="1" thickBot="1" x14ac:dyDescent="0.3">
      <c r="A1177" s="225"/>
      <c r="B1177" s="98">
        <v>45354</v>
      </c>
      <c r="C1177" s="66" t="s">
        <v>59</v>
      </c>
      <c r="D1177" s="67" t="s">
        <v>38</v>
      </c>
      <c r="E1177" s="67"/>
      <c r="F1177" s="68"/>
      <c r="G1177" s="67"/>
      <c r="H1177" s="67">
        <v>0</v>
      </c>
      <c r="I1177" s="67">
        <v>0</v>
      </c>
      <c r="J1177" s="67">
        <v>0</v>
      </c>
      <c r="K1177" s="69"/>
      <c r="L1177" s="184">
        <f t="shared" si="57"/>
        <v>0</v>
      </c>
      <c r="M1177" s="69">
        <v>0</v>
      </c>
      <c r="N1177" s="103">
        <f t="shared" si="59"/>
        <v>0</v>
      </c>
      <c r="O1177" s="71" t="s">
        <v>162</v>
      </c>
      <c r="P1177" s="145" t="str">
        <f t="shared" si="58"/>
        <v/>
      </c>
    </row>
    <row r="1178" spans="1:16" hidden="1" x14ac:dyDescent="0.25">
      <c r="A1178" s="223">
        <f>_xlfn.ISOWEEKNUM(B1178)</f>
        <v>10</v>
      </c>
      <c r="B1178" s="96">
        <v>45355</v>
      </c>
      <c r="C1178" s="72" t="s">
        <v>37</v>
      </c>
      <c r="D1178" s="41" t="s">
        <v>38</v>
      </c>
      <c r="E1178" s="41"/>
      <c r="F1178" s="43"/>
      <c r="G1178" s="41"/>
      <c r="H1178" s="41">
        <v>0</v>
      </c>
      <c r="I1178" s="41">
        <v>0</v>
      </c>
      <c r="J1178" s="41">
        <v>0</v>
      </c>
      <c r="K1178" s="73"/>
      <c r="L1178" s="181">
        <f t="shared" si="57"/>
        <v>0</v>
      </c>
      <c r="M1178" s="73">
        <v>0</v>
      </c>
      <c r="N1178" s="105">
        <f t="shared" si="59"/>
        <v>0</v>
      </c>
      <c r="O1178" s="46" t="s">
        <v>162</v>
      </c>
      <c r="P1178" s="145" t="str">
        <f t="shared" si="58"/>
        <v/>
      </c>
    </row>
    <row r="1179" spans="1:16" hidden="1" x14ac:dyDescent="0.25">
      <c r="A1179" s="224"/>
      <c r="B1179" s="96">
        <v>45356</v>
      </c>
      <c r="C1179" s="52" t="s">
        <v>42</v>
      </c>
      <c r="D1179" s="53" t="s">
        <v>38</v>
      </c>
      <c r="E1179" s="53"/>
      <c r="F1179" s="54"/>
      <c r="G1179" s="53"/>
      <c r="H1179" s="53">
        <v>0</v>
      </c>
      <c r="I1179" s="53">
        <v>0</v>
      </c>
      <c r="J1179" s="53">
        <v>0</v>
      </c>
      <c r="K1179" s="55"/>
      <c r="L1179" s="182">
        <f t="shared" si="57"/>
        <v>0</v>
      </c>
      <c r="M1179" s="55">
        <v>0</v>
      </c>
      <c r="N1179" s="101">
        <f t="shared" si="59"/>
        <v>0</v>
      </c>
      <c r="O1179" s="57" t="s">
        <v>162</v>
      </c>
      <c r="P1179" s="145" t="str">
        <f t="shared" si="58"/>
        <v/>
      </c>
    </row>
    <row r="1180" spans="1:16" hidden="1" x14ac:dyDescent="0.25">
      <c r="A1180" s="224"/>
      <c r="B1180" s="96">
        <v>45357</v>
      </c>
      <c r="C1180" s="52" t="s">
        <v>46</v>
      </c>
      <c r="D1180" s="53" t="s">
        <v>38</v>
      </c>
      <c r="E1180" s="53"/>
      <c r="F1180" s="54"/>
      <c r="G1180" s="53"/>
      <c r="H1180" s="53">
        <v>0</v>
      </c>
      <c r="I1180" s="53">
        <v>0</v>
      </c>
      <c r="J1180" s="53">
        <v>0</v>
      </c>
      <c r="K1180" s="55"/>
      <c r="L1180" s="182">
        <f t="shared" si="57"/>
        <v>0</v>
      </c>
      <c r="M1180" s="55">
        <v>0</v>
      </c>
      <c r="N1180" s="101">
        <f t="shared" si="59"/>
        <v>0</v>
      </c>
      <c r="O1180" s="57" t="s">
        <v>162</v>
      </c>
      <c r="P1180" s="145" t="str">
        <f t="shared" si="58"/>
        <v/>
      </c>
    </row>
    <row r="1181" spans="1:16" hidden="1" x14ac:dyDescent="0.25">
      <c r="A1181" s="224"/>
      <c r="B1181" s="96">
        <v>45358</v>
      </c>
      <c r="C1181" s="52" t="s">
        <v>50</v>
      </c>
      <c r="D1181" s="53" t="s">
        <v>38</v>
      </c>
      <c r="E1181" s="53"/>
      <c r="F1181" s="54"/>
      <c r="G1181" s="53"/>
      <c r="H1181" s="53">
        <v>0</v>
      </c>
      <c r="I1181" s="53">
        <v>0</v>
      </c>
      <c r="J1181" s="53">
        <v>0</v>
      </c>
      <c r="K1181" s="55"/>
      <c r="L1181" s="182">
        <f t="shared" si="57"/>
        <v>0</v>
      </c>
      <c r="M1181" s="55">
        <v>0</v>
      </c>
      <c r="N1181" s="101">
        <f t="shared" si="59"/>
        <v>0</v>
      </c>
      <c r="O1181" s="57" t="s">
        <v>162</v>
      </c>
      <c r="P1181" s="145" t="str">
        <f t="shared" si="58"/>
        <v/>
      </c>
    </row>
    <row r="1182" spans="1:16" hidden="1" x14ac:dyDescent="0.25">
      <c r="A1182" s="224"/>
      <c r="B1182" s="96">
        <v>45359</v>
      </c>
      <c r="C1182" s="52" t="s">
        <v>53</v>
      </c>
      <c r="D1182" s="53" t="s">
        <v>38</v>
      </c>
      <c r="E1182" s="53"/>
      <c r="F1182" s="54"/>
      <c r="G1182" s="53"/>
      <c r="H1182" s="53">
        <v>0</v>
      </c>
      <c r="I1182" s="53">
        <v>0</v>
      </c>
      <c r="J1182" s="53">
        <v>0</v>
      </c>
      <c r="K1182" s="55"/>
      <c r="L1182" s="182">
        <f t="shared" si="57"/>
        <v>0</v>
      </c>
      <c r="M1182" s="55">
        <v>0</v>
      </c>
      <c r="N1182" s="101">
        <f t="shared" si="59"/>
        <v>0</v>
      </c>
      <c r="O1182" s="57" t="s">
        <v>162</v>
      </c>
      <c r="P1182" s="145" t="str">
        <f t="shared" si="58"/>
        <v/>
      </c>
    </row>
    <row r="1183" spans="1:16" hidden="1" x14ac:dyDescent="0.25">
      <c r="A1183" s="224"/>
      <c r="B1183" s="97">
        <v>45360</v>
      </c>
      <c r="C1183" s="58" t="s">
        <v>57</v>
      </c>
      <c r="D1183" s="60" t="s">
        <v>38</v>
      </c>
      <c r="E1183" s="60"/>
      <c r="F1183" s="61"/>
      <c r="G1183" s="60"/>
      <c r="H1183" s="60">
        <v>0</v>
      </c>
      <c r="I1183" s="60">
        <v>0</v>
      </c>
      <c r="J1183" s="60">
        <v>0</v>
      </c>
      <c r="K1183" s="62"/>
      <c r="L1183" s="183">
        <f t="shared" si="57"/>
        <v>0</v>
      </c>
      <c r="M1183" s="62">
        <v>0</v>
      </c>
      <c r="N1183" s="102">
        <f t="shared" si="59"/>
        <v>0</v>
      </c>
      <c r="O1183" s="64" t="s">
        <v>162</v>
      </c>
      <c r="P1183" s="145" t="str">
        <f t="shared" si="58"/>
        <v/>
      </c>
    </row>
    <row r="1184" spans="1:16" ht="15.75" hidden="1" thickBot="1" x14ac:dyDescent="0.3">
      <c r="A1184" s="225"/>
      <c r="B1184" s="98">
        <v>45361</v>
      </c>
      <c r="C1184" s="66" t="s">
        <v>59</v>
      </c>
      <c r="D1184" s="67" t="s">
        <v>38</v>
      </c>
      <c r="E1184" s="67"/>
      <c r="F1184" s="68"/>
      <c r="G1184" s="67"/>
      <c r="H1184" s="67">
        <v>0</v>
      </c>
      <c r="I1184" s="67">
        <v>0</v>
      </c>
      <c r="J1184" s="67">
        <v>0</v>
      </c>
      <c r="K1184" s="69"/>
      <c r="L1184" s="184">
        <f t="shared" si="57"/>
        <v>0</v>
      </c>
      <c r="M1184" s="69">
        <v>0</v>
      </c>
      <c r="N1184" s="103">
        <f t="shared" si="59"/>
        <v>0</v>
      </c>
      <c r="O1184" s="71" t="s">
        <v>162</v>
      </c>
      <c r="P1184" s="145" t="str">
        <f t="shared" si="58"/>
        <v/>
      </c>
    </row>
    <row r="1185" spans="1:16" hidden="1" x14ac:dyDescent="0.25">
      <c r="A1185" s="223">
        <f>_xlfn.ISOWEEKNUM(B1185)</f>
        <v>11</v>
      </c>
      <c r="B1185" s="96">
        <v>45362</v>
      </c>
      <c r="C1185" s="72" t="s">
        <v>37</v>
      </c>
      <c r="D1185" s="41" t="s">
        <v>38</v>
      </c>
      <c r="E1185" s="41"/>
      <c r="F1185" s="43"/>
      <c r="G1185" s="41"/>
      <c r="H1185" s="41">
        <v>0</v>
      </c>
      <c r="I1185" s="41">
        <v>0</v>
      </c>
      <c r="J1185" s="41">
        <v>0</v>
      </c>
      <c r="K1185" s="73"/>
      <c r="L1185" s="181">
        <f t="shared" si="57"/>
        <v>0</v>
      </c>
      <c r="M1185" s="73">
        <v>0</v>
      </c>
      <c r="N1185" s="105">
        <f t="shared" si="59"/>
        <v>0</v>
      </c>
      <c r="O1185" s="46" t="s">
        <v>162</v>
      </c>
      <c r="P1185" s="145" t="str">
        <f t="shared" si="58"/>
        <v/>
      </c>
    </row>
    <row r="1186" spans="1:16" hidden="1" x14ac:dyDescent="0.25">
      <c r="A1186" s="224"/>
      <c r="B1186" s="96">
        <v>45363</v>
      </c>
      <c r="C1186" s="52" t="s">
        <v>42</v>
      </c>
      <c r="D1186" s="53" t="s">
        <v>38</v>
      </c>
      <c r="E1186" s="53"/>
      <c r="F1186" s="54"/>
      <c r="G1186" s="53"/>
      <c r="H1186" s="53">
        <v>0</v>
      </c>
      <c r="I1186" s="53">
        <v>0</v>
      </c>
      <c r="J1186" s="53">
        <v>0</v>
      </c>
      <c r="K1186" s="55"/>
      <c r="L1186" s="182">
        <f t="shared" si="57"/>
        <v>0</v>
      </c>
      <c r="M1186" s="55">
        <v>0</v>
      </c>
      <c r="N1186" s="101">
        <f t="shared" si="59"/>
        <v>0</v>
      </c>
      <c r="O1186" s="57" t="s">
        <v>162</v>
      </c>
      <c r="P1186" s="145" t="str">
        <f t="shared" si="58"/>
        <v/>
      </c>
    </row>
    <row r="1187" spans="1:16" hidden="1" x14ac:dyDescent="0.25">
      <c r="A1187" s="224"/>
      <c r="B1187" s="96">
        <v>45364</v>
      </c>
      <c r="C1187" s="52" t="s">
        <v>46</v>
      </c>
      <c r="D1187" s="53" t="s">
        <v>38</v>
      </c>
      <c r="E1187" s="53"/>
      <c r="F1187" s="54"/>
      <c r="G1187" s="53"/>
      <c r="H1187" s="53">
        <v>0</v>
      </c>
      <c r="I1187" s="53">
        <v>0</v>
      </c>
      <c r="J1187" s="53">
        <v>0</v>
      </c>
      <c r="K1187" s="55"/>
      <c r="L1187" s="182">
        <f t="shared" si="57"/>
        <v>0</v>
      </c>
      <c r="M1187" s="55">
        <v>0</v>
      </c>
      <c r="N1187" s="101">
        <f t="shared" si="59"/>
        <v>0</v>
      </c>
      <c r="O1187" s="57" t="s">
        <v>162</v>
      </c>
      <c r="P1187" s="145" t="str">
        <f t="shared" si="58"/>
        <v/>
      </c>
    </row>
    <row r="1188" spans="1:16" hidden="1" x14ac:dyDescent="0.25">
      <c r="A1188" s="224"/>
      <c r="B1188" s="96">
        <v>45365</v>
      </c>
      <c r="C1188" s="52" t="s">
        <v>50</v>
      </c>
      <c r="D1188" s="53" t="s">
        <v>38</v>
      </c>
      <c r="E1188" s="53"/>
      <c r="F1188" s="54"/>
      <c r="G1188" s="53"/>
      <c r="H1188" s="53">
        <v>0</v>
      </c>
      <c r="I1188" s="53">
        <v>0</v>
      </c>
      <c r="J1188" s="53">
        <v>0</v>
      </c>
      <c r="K1188" s="55"/>
      <c r="L1188" s="182">
        <f t="shared" si="57"/>
        <v>0</v>
      </c>
      <c r="M1188" s="55">
        <v>0</v>
      </c>
      <c r="N1188" s="101">
        <f t="shared" si="59"/>
        <v>0</v>
      </c>
      <c r="O1188" s="57" t="s">
        <v>162</v>
      </c>
      <c r="P1188" s="145" t="str">
        <f t="shared" si="58"/>
        <v/>
      </c>
    </row>
    <row r="1189" spans="1:16" hidden="1" x14ac:dyDescent="0.25">
      <c r="A1189" s="224"/>
      <c r="B1189" s="96">
        <v>45366</v>
      </c>
      <c r="C1189" s="52" t="s">
        <v>53</v>
      </c>
      <c r="D1189" s="53" t="s">
        <v>38</v>
      </c>
      <c r="E1189" s="53"/>
      <c r="F1189" s="54"/>
      <c r="G1189" s="53"/>
      <c r="H1189" s="53">
        <v>0</v>
      </c>
      <c r="I1189" s="53">
        <v>0</v>
      </c>
      <c r="J1189" s="53">
        <v>0</v>
      </c>
      <c r="K1189" s="55"/>
      <c r="L1189" s="182">
        <f t="shared" si="57"/>
        <v>0</v>
      </c>
      <c r="M1189" s="55">
        <v>0</v>
      </c>
      <c r="N1189" s="101">
        <f t="shared" si="59"/>
        <v>0</v>
      </c>
      <c r="O1189" s="57" t="s">
        <v>162</v>
      </c>
      <c r="P1189" s="145" t="str">
        <f t="shared" si="58"/>
        <v/>
      </c>
    </row>
    <row r="1190" spans="1:16" hidden="1" x14ac:dyDescent="0.25">
      <c r="A1190" s="224"/>
      <c r="B1190" s="97">
        <v>45367</v>
      </c>
      <c r="C1190" s="58" t="s">
        <v>57</v>
      </c>
      <c r="D1190" s="60" t="s">
        <v>38</v>
      </c>
      <c r="E1190" s="60"/>
      <c r="F1190" s="61"/>
      <c r="G1190" s="60"/>
      <c r="H1190" s="60">
        <v>0</v>
      </c>
      <c r="I1190" s="60">
        <v>0</v>
      </c>
      <c r="J1190" s="60">
        <v>0</v>
      </c>
      <c r="K1190" s="62"/>
      <c r="L1190" s="183">
        <f t="shared" si="57"/>
        <v>0</v>
      </c>
      <c r="M1190" s="62">
        <v>0</v>
      </c>
      <c r="N1190" s="102">
        <f t="shared" si="59"/>
        <v>0</v>
      </c>
      <c r="O1190" s="64" t="s">
        <v>162</v>
      </c>
      <c r="P1190" s="145" t="str">
        <f t="shared" si="58"/>
        <v/>
      </c>
    </row>
    <row r="1191" spans="1:16" ht="15.75" hidden="1" thickBot="1" x14ac:dyDescent="0.3">
      <c r="A1191" s="225"/>
      <c r="B1191" s="98">
        <v>45368</v>
      </c>
      <c r="C1191" s="66" t="s">
        <v>59</v>
      </c>
      <c r="D1191" s="67" t="s">
        <v>38</v>
      </c>
      <c r="E1191" s="67"/>
      <c r="F1191" s="68"/>
      <c r="G1191" s="67"/>
      <c r="H1191" s="67">
        <v>0</v>
      </c>
      <c r="I1191" s="67">
        <v>0</v>
      </c>
      <c r="J1191" s="67">
        <v>0</v>
      </c>
      <c r="K1191" s="69"/>
      <c r="L1191" s="184">
        <f t="shared" si="57"/>
        <v>0</v>
      </c>
      <c r="M1191" s="69">
        <v>0</v>
      </c>
      <c r="N1191" s="103">
        <f t="shared" si="59"/>
        <v>0</v>
      </c>
      <c r="O1191" s="71" t="s">
        <v>162</v>
      </c>
      <c r="P1191" s="145" t="str">
        <f t="shared" si="58"/>
        <v/>
      </c>
    </row>
    <row r="1192" spans="1:16" hidden="1" x14ac:dyDescent="0.25">
      <c r="A1192" s="223">
        <f>_xlfn.ISOWEEKNUM(B1192)</f>
        <v>12</v>
      </c>
      <c r="B1192" s="96">
        <v>45369</v>
      </c>
      <c r="C1192" s="72" t="s">
        <v>37</v>
      </c>
      <c r="D1192" s="41" t="s">
        <v>38</v>
      </c>
      <c r="E1192" s="41"/>
      <c r="F1192" s="43"/>
      <c r="G1192" s="41"/>
      <c r="H1192" s="41">
        <v>0</v>
      </c>
      <c r="I1192" s="41">
        <v>0</v>
      </c>
      <c r="J1192" s="41">
        <v>0</v>
      </c>
      <c r="K1192" s="73"/>
      <c r="L1192" s="181">
        <f t="shared" si="57"/>
        <v>0</v>
      </c>
      <c r="M1192" s="73">
        <v>0</v>
      </c>
      <c r="N1192" s="105">
        <f t="shared" si="59"/>
        <v>0</v>
      </c>
      <c r="O1192" s="46" t="s">
        <v>162</v>
      </c>
      <c r="P1192" s="145" t="str">
        <f t="shared" si="58"/>
        <v/>
      </c>
    </row>
    <row r="1193" spans="1:16" hidden="1" x14ac:dyDescent="0.25">
      <c r="A1193" s="224"/>
      <c r="B1193" s="96">
        <v>45370</v>
      </c>
      <c r="C1193" s="52" t="s">
        <v>42</v>
      </c>
      <c r="D1193" s="53" t="s">
        <v>38</v>
      </c>
      <c r="E1193" s="53"/>
      <c r="F1193" s="54"/>
      <c r="G1193" s="53"/>
      <c r="H1193" s="53">
        <v>0</v>
      </c>
      <c r="I1193" s="53">
        <v>0</v>
      </c>
      <c r="J1193" s="53">
        <v>0</v>
      </c>
      <c r="K1193" s="55"/>
      <c r="L1193" s="182">
        <f t="shared" ref="L1193:L1254" si="60">IF(J1193&lt;&gt;0,J1193,I1193)*K1193</f>
        <v>0</v>
      </c>
      <c r="M1193" s="55">
        <v>0</v>
      </c>
      <c r="N1193" s="101">
        <f t="shared" si="59"/>
        <v>0</v>
      </c>
      <c r="O1193" s="57" t="s">
        <v>162</v>
      </c>
      <c r="P1193" s="145" t="str">
        <f t="shared" si="58"/>
        <v/>
      </c>
    </row>
    <row r="1194" spans="1:16" hidden="1" x14ac:dyDescent="0.25">
      <c r="A1194" s="224"/>
      <c r="B1194" s="96">
        <v>45371</v>
      </c>
      <c r="C1194" s="52" t="s">
        <v>46</v>
      </c>
      <c r="D1194" s="53" t="s">
        <v>38</v>
      </c>
      <c r="E1194" s="53"/>
      <c r="F1194" s="54"/>
      <c r="G1194" s="53"/>
      <c r="H1194" s="53">
        <v>0</v>
      </c>
      <c r="I1194" s="53">
        <v>0</v>
      </c>
      <c r="J1194" s="53">
        <v>0</v>
      </c>
      <c r="K1194" s="55"/>
      <c r="L1194" s="182">
        <f t="shared" si="60"/>
        <v>0</v>
      </c>
      <c r="M1194" s="55">
        <v>0</v>
      </c>
      <c r="N1194" s="101">
        <f t="shared" si="59"/>
        <v>0</v>
      </c>
      <c r="O1194" s="57" t="s">
        <v>162</v>
      </c>
      <c r="P1194" s="145" t="str">
        <f t="shared" si="58"/>
        <v/>
      </c>
    </row>
    <row r="1195" spans="1:16" hidden="1" x14ac:dyDescent="0.25">
      <c r="A1195" s="224"/>
      <c r="B1195" s="96">
        <v>45372</v>
      </c>
      <c r="C1195" s="52" t="s">
        <v>50</v>
      </c>
      <c r="D1195" s="53" t="s">
        <v>38</v>
      </c>
      <c r="E1195" s="53"/>
      <c r="F1195" s="54"/>
      <c r="G1195" s="53"/>
      <c r="H1195" s="53">
        <v>0</v>
      </c>
      <c r="I1195" s="53">
        <v>0</v>
      </c>
      <c r="J1195" s="53">
        <v>0</v>
      </c>
      <c r="K1195" s="55"/>
      <c r="L1195" s="182">
        <f t="shared" si="60"/>
        <v>0</v>
      </c>
      <c r="M1195" s="55">
        <v>0</v>
      </c>
      <c r="N1195" s="101">
        <f t="shared" si="59"/>
        <v>0</v>
      </c>
      <c r="O1195" s="57" t="s">
        <v>162</v>
      </c>
      <c r="P1195" s="145" t="str">
        <f t="shared" si="58"/>
        <v/>
      </c>
    </row>
    <row r="1196" spans="1:16" hidden="1" x14ac:dyDescent="0.25">
      <c r="A1196" s="224"/>
      <c r="B1196" s="96">
        <v>45373</v>
      </c>
      <c r="C1196" s="52" t="s">
        <v>53</v>
      </c>
      <c r="D1196" s="53" t="s">
        <v>38</v>
      </c>
      <c r="E1196" s="53"/>
      <c r="F1196" s="54"/>
      <c r="G1196" s="53"/>
      <c r="H1196" s="53">
        <v>0</v>
      </c>
      <c r="I1196" s="53">
        <v>0</v>
      </c>
      <c r="J1196" s="53">
        <v>0</v>
      </c>
      <c r="K1196" s="55"/>
      <c r="L1196" s="182">
        <f t="shared" si="60"/>
        <v>0</v>
      </c>
      <c r="M1196" s="55">
        <v>0</v>
      </c>
      <c r="N1196" s="101">
        <f t="shared" si="59"/>
        <v>0</v>
      </c>
      <c r="O1196" s="57" t="s">
        <v>162</v>
      </c>
      <c r="P1196" s="145" t="str">
        <f t="shared" si="58"/>
        <v/>
      </c>
    </row>
    <row r="1197" spans="1:16" hidden="1" x14ac:dyDescent="0.25">
      <c r="A1197" s="224"/>
      <c r="B1197" s="97">
        <v>45374</v>
      </c>
      <c r="C1197" s="58" t="s">
        <v>57</v>
      </c>
      <c r="D1197" s="60" t="s">
        <v>38</v>
      </c>
      <c r="E1197" s="60"/>
      <c r="F1197" s="61"/>
      <c r="G1197" s="60"/>
      <c r="H1197" s="60">
        <v>0</v>
      </c>
      <c r="I1197" s="60">
        <v>0</v>
      </c>
      <c r="J1197" s="60">
        <v>0</v>
      </c>
      <c r="K1197" s="62"/>
      <c r="L1197" s="183">
        <f t="shared" si="60"/>
        <v>0</v>
      </c>
      <c r="M1197" s="62">
        <v>0</v>
      </c>
      <c r="N1197" s="102">
        <f t="shared" si="59"/>
        <v>0</v>
      </c>
      <c r="O1197" s="64" t="s">
        <v>162</v>
      </c>
      <c r="P1197" s="145" t="str">
        <f t="shared" si="58"/>
        <v/>
      </c>
    </row>
    <row r="1198" spans="1:16" ht="15.75" hidden="1" thickBot="1" x14ac:dyDescent="0.3">
      <c r="A1198" s="225"/>
      <c r="B1198" s="98">
        <v>45375</v>
      </c>
      <c r="C1198" s="66" t="s">
        <v>59</v>
      </c>
      <c r="D1198" s="67" t="s">
        <v>38</v>
      </c>
      <c r="E1198" s="67"/>
      <c r="F1198" s="68"/>
      <c r="G1198" s="67"/>
      <c r="H1198" s="67">
        <v>0</v>
      </c>
      <c r="I1198" s="67">
        <v>0</v>
      </c>
      <c r="J1198" s="67">
        <v>0</v>
      </c>
      <c r="K1198" s="69"/>
      <c r="L1198" s="184">
        <f t="shared" si="60"/>
        <v>0</v>
      </c>
      <c r="M1198" s="69">
        <v>0</v>
      </c>
      <c r="N1198" s="103">
        <f t="shared" si="59"/>
        <v>0</v>
      </c>
      <c r="O1198" s="71" t="s">
        <v>162</v>
      </c>
      <c r="P1198" s="145" t="str">
        <f t="shared" si="58"/>
        <v/>
      </c>
    </row>
    <row r="1199" spans="1:16" hidden="1" x14ac:dyDescent="0.25">
      <c r="A1199" s="223">
        <f>_xlfn.ISOWEEKNUM(B1199)</f>
        <v>13</v>
      </c>
      <c r="B1199" s="96">
        <v>45376</v>
      </c>
      <c r="C1199" s="72" t="s">
        <v>37</v>
      </c>
      <c r="D1199" s="41" t="s">
        <v>38</v>
      </c>
      <c r="E1199" s="41"/>
      <c r="F1199" s="43"/>
      <c r="G1199" s="41"/>
      <c r="H1199" s="41">
        <v>0</v>
      </c>
      <c r="I1199" s="41">
        <v>0</v>
      </c>
      <c r="J1199" s="41">
        <v>0</v>
      </c>
      <c r="K1199" s="73"/>
      <c r="L1199" s="181">
        <f t="shared" si="60"/>
        <v>0</v>
      </c>
      <c r="M1199" s="73">
        <v>0</v>
      </c>
      <c r="N1199" s="105">
        <f t="shared" si="59"/>
        <v>0</v>
      </c>
      <c r="O1199" s="46" t="s">
        <v>162</v>
      </c>
      <c r="P1199" s="145" t="str">
        <f t="shared" si="58"/>
        <v/>
      </c>
    </row>
    <row r="1200" spans="1:16" hidden="1" x14ac:dyDescent="0.25">
      <c r="A1200" s="224"/>
      <c r="B1200" s="96">
        <v>45377</v>
      </c>
      <c r="C1200" s="52" t="s">
        <v>42</v>
      </c>
      <c r="D1200" s="53" t="s">
        <v>38</v>
      </c>
      <c r="E1200" s="53"/>
      <c r="F1200" s="54"/>
      <c r="G1200" s="53"/>
      <c r="H1200" s="53">
        <v>0</v>
      </c>
      <c r="I1200" s="53">
        <v>0</v>
      </c>
      <c r="J1200" s="53">
        <v>0</v>
      </c>
      <c r="K1200" s="55"/>
      <c r="L1200" s="182">
        <f t="shared" si="60"/>
        <v>0</v>
      </c>
      <c r="M1200" s="55">
        <v>0</v>
      </c>
      <c r="N1200" s="101">
        <f t="shared" si="59"/>
        <v>0</v>
      </c>
      <c r="O1200" s="57" t="s">
        <v>162</v>
      </c>
      <c r="P1200" s="145" t="str">
        <f t="shared" si="58"/>
        <v/>
      </c>
    </row>
    <row r="1201" spans="1:16" hidden="1" x14ac:dyDescent="0.25">
      <c r="A1201" s="224"/>
      <c r="B1201" s="96">
        <v>45378</v>
      </c>
      <c r="C1201" s="52" t="s">
        <v>46</v>
      </c>
      <c r="D1201" s="53" t="s">
        <v>38</v>
      </c>
      <c r="E1201" s="53"/>
      <c r="F1201" s="54"/>
      <c r="G1201" s="53"/>
      <c r="H1201" s="53">
        <v>0</v>
      </c>
      <c r="I1201" s="53">
        <v>0</v>
      </c>
      <c r="J1201" s="53">
        <v>0</v>
      </c>
      <c r="K1201" s="55"/>
      <c r="L1201" s="182">
        <f t="shared" si="60"/>
        <v>0</v>
      </c>
      <c r="M1201" s="55">
        <v>0</v>
      </c>
      <c r="N1201" s="101">
        <f t="shared" si="59"/>
        <v>0</v>
      </c>
      <c r="O1201" s="57" t="s">
        <v>162</v>
      </c>
      <c r="P1201" s="145" t="str">
        <f t="shared" si="58"/>
        <v/>
      </c>
    </row>
    <row r="1202" spans="1:16" hidden="1" x14ac:dyDescent="0.25">
      <c r="A1202" s="224"/>
      <c r="B1202" s="96">
        <v>45379</v>
      </c>
      <c r="C1202" s="52" t="s">
        <v>50</v>
      </c>
      <c r="D1202" s="53" t="s">
        <v>38</v>
      </c>
      <c r="E1202" s="53"/>
      <c r="F1202" s="54"/>
      <c r="G1202" s="53"/>
      <c r="H1202" s="53">
        <v>0</v>
      </c>
      <c r="I1202" s="53">
        <v>0</v>
      </c>
      <c r="J1202" s="53">
        <v>0</v>
      </c>
      <c r="K1202" s="55"/>
      <c r="L1202" s="182">
        <f t="shared" si="60"/>
        <v>0</v>
      </c>
      <c r="M1202" s="55">
        <v>0</v>
      </c>
      <c r="N1202" s="101">
        <f t="shared" si="59"/>
        <v>0</v>
      </c>
      <c r="O1202" s="57" t="s">
        <v>162</v>
      </c>
      <c r="P1202" s="145" t="str">
        <f t="shared" si="58"/>
        <v/>
      </c>
    </row>
    <row r="1203" spans="1:16" hidden="1" x14ac:dyDescent="0.25">
      <c r="A1203" s="224"/>
      <c r="B1203" s="96">
        <v>45380</v>
      </c>
      <c r="C1203" s="52" t="s">
        <v>53</v>
      </c>
      <c r="D1203" s="53" t="s">
        <v>38</v>
      </c>
      <c r="E1203" s="53"/>
      <c r="F1203" s="54"/>
      <c r="G1203" s="53"/>
      <c r="H1203" s="53">
        <v>0</v>
      </c>
      <c r="I1203" s="53">
        <v>0</v>
      </c>
      <c r="J1203" s="53">
        <v>0</v>
      </c>
      <c r="K1203" s="55"/>
      <c r="L1203" s="182">
        <f t="shared" si="60"/>
        <v>0</v>
      </c>
      <c r="M1203" s="55">
        <v>0</v>
      </c>
      <c r="N1203" s="101">
        <f t="shared" si="59"/>
        <v>0</v>
      </c>
      <c r="O1203" s="57" t="s">
        <v>162</v>
      </c>
      <c r="P1203" s="145" t="str">
        <f t="shared" si="58"/>
        <v/>
      </c>
    </row>
    <row r="1204" spans="1:16" hidden="1" x14ac:dyDescent="0.25">
      <c r="A1204" s="224"/>
      <c r="B1204" s="97">
        <v>45381</v>
      </c>
      <c r="C1204" s="58" t="s">
        <v>57</v>
      </c>
      <c r="D1204" s="60" t="s">
        <v>38</v>
      </c>
      <c r="E1204" s="60"/>
      <c r="F1204" s="61"/>
      <c r="G1204" s="60"/>
      <c r="H1204" s="60">
        <v>0</v>
      </c>
      <c r="I1204" s="60">
        <v>0</v>
      </c>
      <c r="J1204" s="60">
        <v>0</v>
      </c>
      <c r="K1204" s="62"/>
      <c r="L1204" s="183">
        <f t="shared" si="60"/>
        <v>0</v>
      </c>
      <c r="M1204" s="62">
        <v>0</v>
      </c>
      <c r="N1204" s="102">
        <f t="shared" si="59"/>
        <v>0</v>
      </c>
      <c r="O1204" s="64" t="s">
        <v>162</v>
      </c>
      <c r="P1204" s="145" t="str">
        <f t="shared" si="58"/>
        <v/>
      </c>
    </row>
    <row r="1205" spans="1:16" ht="15.75" hidden="1" thickBot="1" x14ac:dyDescent="0.3">
      <c r="A1205" s="225"/>
      <c r="B1205" s="98">
        <v>45382</v>
      </c>
      <c r="C1205" s="66" t="s">
        <v>59</v>
      </c>
      <c r="D1205" s="67" t="s">
        <v>38</v>
      </c>
      <c r="E1205" s="67"/>
      <c r="F1205" s="68"/>
      <c r="G1205" s="67"/>
      <c r="H1205" s="67">
        <v>0</v>
      </c>
      <c r="I1205" s="67">
        <v>0</v>
      </c>
      <c r="J1205" s="67">
        <v>0</v>
      </c>
      <c r="K1205" s="69"/>
      <c r="L1205" s="184">
        <f t="shared" si="60"/>
        <v>0</v>
      </c>
      <c r="M1205" s="69">
        <v>0</v>
      </c>
      <c r="N1205" s="103">
        <f t="shared" si="59"/>
        <v>0</v>
      </c>
      <c r="O1205" s="71" t="s">
        <v>162</v>
      </c>
      <c r="P1205" s="145" t="str">
        <f t="shared" si="58"/>
        <v/>
      </c>
    </row>
    <row r="1206" spans="1:16" hidden="1" x14ac:dyDescent="0.25">
      <c r="A1206" s="223">
        <f>_xlfn.ISOWEEKNUM(B1206)</f>
        <v>14</v>
      </c>
      <c r="B1206" s="96">
        <v>45383</v>
      </c>
      <c r="C1206" s="72" t="s">
        <v>37</v>
      </c>
      <c r="D1206" s="41" t="s">
        <v>38</v>
      </c>
      <c r="E1206" s="41"/>
      <c r="F1206" s="43"/>
      <c r="G1206" s="41"/>
      <c r="H1206" s="41">
        <v>0</v>
      </c>
      <c r="I1206" s="41">
        <v>0</v>
      </c>
      <c r="J1206" s="41">
        <v>0</v>
      </c>
      <c r="K1206" s="73"/>
      <c r="L1206" s="181">
        <f t="shared" si="60"/>
        <v>0</v>
      </c>
      <c r="M1206" s="73">
        <v>0</v>
      </c>
      <c r="N1206" s="105">
        <f t="shared" si="59"/>
        <v>0</v>
      </c>
      <c r="O1206" s="46" t="s">
        <v>162</v>
      </c>
      <c r="P1206" s="145" t="str">
        <f t="shared" si="58"/>
        <v/>
      </c>
    </row>
    <row r="1207" spans="1:16" hidden="1" x14ac:dyDescent="0.25">
      <c r="A1207" s="224"/>
      <c r="B1207" s="96">
        <v>45384</v>
      </c>
      <c r="C1207" s="52" t="s">
        <v>42</v>
      </c>
      <c r="D1207" s="53" t="s">
        <v>38</v>
      </c>
      <c r="E1207" s="53"/>
      <c r="F1207" s="54"/>
      <c r="G1207" s="53"/>
      <c r="H1207" s="53">
        <v>0</v>
      </c>
      <c r="I1207" s="53">
        <v>0</v>
      </c>
      <c r="J1207" s="53">
        <v>0</v>
      </c>
      <c r="K1207" s="55"/>
      <c r="L1207" s="182">
        <f t="shared" si="60"/>
        <v>0</v>
      </c>
      <c r="M1207" s="55">
        <v>0</v>
      </c>
      <c r="N1207" s="101">
        <f t="shared" si="59"/>
        <v>0</v>
      </c>
      <c r="O1207" s="57" t="s">
        <v>162</v>
      </c>
      <c r="P1207" s="145" t="str">
        <f t="shared" si="58"/>
        <v/>
      </c>
    </row>
    <row r="1208" spans="1:16" hidden="1" x14ac:dyDescent="0.25">
      <c r="A1208" s="224"/>
      <c r="B1208" s="96">
        <v>45385</v>
      </c>
      <c r="C1208" s="52" t="s">
        <v>46</v>
      </c>
      <c r="D1208" s="53" t="s">
        <v>38</v>
      </c>
      <c r="E1208" s="53"/>
      <c r="F1208" s="54"/>
      <c r="G1208" s="53"/>
      <c r="H1208" s="53">
        <v>0</v>
      </c>
      <c r="I1208" s="53">
        <v>0</v>
      </c>
      <c r="J1208" s="53">
        <v>0</v>
      </c>
      <c r="K1208" s="55"/>
      <c r="L1208" s="182">
        <f t="shared" si="60"/>
        <v>0</v>
      </c>
      <c r="M1208" s="55">
        <v>0</v>
      </c>
      <c r="N1208" s="101">
        <f t="shared" si="59"/>
        <v>0</v>
      </c>
      <c r="O1208" s="57" t="s">
        <v>162</v>
      </c>
      <c r="P1208" s="145" t="str">
        <f t="shared" si="58"/>
        <v/>
      </c>
    </row>
    <row r="1209" spans="1:16" hidden="1" x14ac:dyDescent="0.25">
      <c r="A1209" s="224"/>
      <c r="B1209" s="96">
        <v>45386</v>
      </c>
      <c r="C1209" s="52" t="s">
        <v>50</v>
      </c>
      <c r="D1209" s="53" t="s">
        <v>38</v>
      </c>
      <c r="E1209" s="53"/>
      <c r="F1209" s="54"/>
      <c r="G1209" s="53"/>
      <c r="H1209" s="53">
        <v>0</v>
      </c>
      <c r="I1209" s="53">
        <v>0</v>
      </c>
      <c r="J1209" s="53">
        <v>0</v>
      </c>
      <c r="K1209" s="55"/>
      <c r="L1209" s="182">
        <f t="shared" si="60"/>
        <v>0</v>
      </c>
      <c r="M1209" s="55">
        <v>0</v>
      </c>
      <c r="N1209" s="101">
        <f t="shared" si="59"/>
        <v>0</v>
      </c>
      <c r="O1209" s="57" t="s">
        <v>162</v>
      </c>
      <c r="P1209" s="145" t="str">
        <f t="shared" ref="P1209:P1272" si="61">E1209&amp;G1209</f>
        <v/>
      </c>
    </row>
    <row r="1210" spans="1:16" hidden="1" x14ac:dyDescent="0.25">
      <c r="A1210" s="224"/>
      <c r="B1210" s="96">
        <v>45387</v>
      </c>
      <c r="C1210" s="52" t="s">
        <v>53</v>
      </c>
      <c r="D1210" s="53" t="s">
        <v>38</v>
      </c>
      <c r="E1210" s="53"/>
      <c r="F1210" s="54"/>
      <c r="G1210" s="53"/>
      <c r="H1210" s="53">
        <v>0</v>
      </c>
      <c r="I1210" s="53">
        <v>0</v>
      </c>
      <c r="J1210" s="53">
        <v>0</v>
      </c>
      <c r="K1210" s="55"/>
      <c r="L1210" s="182">
        <f t="shared" si="60"/>
        <v>0</v>
      </c>
      <c r="M1210" s="55">
        <v>0</v>
      </c>
      <c r="N1210" s="101">
        <f t="shared" si="59"/>
        <v>0</v>
      </c>
      <c r="O1210" s="57" t="s">
        <v>162</v>
      </c>
      <c r="P1210" s="145" t="str">
        <f t="shared" si="61"/>
        <v/>
      </c>
    </row>
    <row r="1211" spans="1:16" hidden="1" x14ac:dyDescent="0.25">
      <c r="A1211" s="224"/>
      <c r="B1211" s="97">
        <v>45388</v>
      </c>
      <c r="C1211" s="58" t="s">
        <v>57</v>
      </c>
      <c r="D1211" s="60" t="s">
        <v>38</v>
      </c>
      <c r="E1211" s="60"/>
      <c r="F1211" s="61"/>
      <c r="G1211" s="60"/>
      <c r="H1211" s="60">
        <v>0</v>
      </c>
      <c r="I1211" s="60">
        <v>0</v>
      </c>
      <c r="J1211" s="60">
        <v>0</v>
      </c>
      <c r="K1211" s="62"/>
      <c r="L1211" s="183">
        <f t="shared" si="60"/>
        <v>0</v>
      </c>
      <c r="M1211" s="62">
        <v>0</v>
      </c>
      <c r="N1211" s="102">
        <f t="shared" si="59"/>
        <v>0</v>
      </c>
      <c r="O1211" s="64" t="s">
        <v>162</v>
      </c>
      <c r="P1211" s="145" t="str">
        <f t="shared" si="61"/>
        <v/>
      </c>
    </row>
    <row r="1212" spans="1:16" ht="15.75" hidden="1" thickBot="1" x14ac:dyDescent="0.3">
      <c r="A1212" s="225"/>
      <c r="B1212" s="98">
        <v>45389</v>
      </c>
      <c r="C1212" s="66" t="s">
        <v>59</v>
      </c>
      <c r="D1212" s="67" t="s">
        <v>38</v>
      </c>
      <c r="E1212" s="67"/>
      <c r="F1212" s="68"/>
      <c r="G1212" s="67"/>
      <c r="H1212" s="67">
        <v>0</v>
      </c>
      <c r="I1212" s="67">
        <v>0</v>
      </c>
      <c r="J1212" s="67">
        <v>0</v>
      </c>
      <c r="K1212" s="69"/>
      <c r="L1212" s="184">
        <f t="shared" si="60"/>
        <v>0</v>
      </c>
      <c r="M1212" s="69">
        <v>0</v>
      </c>
      <c r="N1212" s="103">
        <f t="shared" si="59"/>
        <v>0</v>
      </c>
      <c r="O1212" s="71" t="s">
        <v>162</v>
      </c>
      <c r="P1212" s="145" t="str">
        <f t="shared" si="61"/>
        <v/>
      </c>
    </row>
    <row r="1213" spans="1:16" hidden="1" x14ac:dyDescent="0.25">
      <c r="A1213" s="223">
        <f>_xlfn.ISOWEEKNUM(B1213)</f>
        <v>15</v>
      </c>
      <c r="B1213" s="96">
        <v>45390</v>
      </c>
      <c r="C1213" s="72" t="s">
        <v>37</v>
      </c>
      <c r="D1213" s="41" t="s">
        <v>38</v>
      </c>
      <c r="E1213" s="41"/>
      <c r="F1213" s="43"/>
      <c r="G1213" s="41"/>
      <c r="H1213" s="41">
        <v>0</v>
      </c>
      <c r="I1213" s="41">
        <v>0</v>
      </c>
      <c r="J1213" s="41">
        <v>0</v>
      </c>
      <c r="K1213" s="73"/>
      <c r="L1213" s="181">
        <f t="shared" si="60"/>
        <v>0</v>
      </c>
      <c r="M1213" s="73">
        <v>0</v>
      </c>
      <c r="N1213" s="105">
        <f t="shared" si="59"/>
        <v>0</v>
      </c>
      <c r="O1213" s="46" t="s">
        <v>162</v>
      </c>
      <c r="P1213" s="145" t="str">
        <f t="shared" si="61"/>
        <v/>
      </c>
    </row>
    <row r="1214" spans="1:16" hidden="1" x14ac:dyDescent="0.25">
      <c r="A1214" s="224"/>
      <c r="B1214" s="96">
        <v>45391</v>
      </c>
      <c r="C1214" s="52" t="s">
        <v>42</v>
      </c>
      <c r="D1214" s="53" t="s">
        <v>38</v>
      </c>
      <c r="E1214" s="53"/>
      <c r="F1214" s="54"/>
      <c r="G1214" s="53"/>
      <c r="H1214" s="53">
        <v>0</v>
      </c>
      <c r="I1214" s="53">
        <v>0</v>
      </c>
      <c r="J1214" s="53">
        <v>0</v>
      </c>
      <c r="K1214" s="55"/>
      <c r="L1214" s="182">
        <f t="shared" si="60"/>
        <v>0</v>
      </c>
      <c r="M1214" s="55">
        <v>0</v>
      </c>
      <c r="N1214" s="101">
        <f t="shared" si="59"/>
        <v>0</v>
      </c>
      <c r="O1214" s="57" t="s">
        <v>162</v>
      </c>
      <c r="P1214" s="145" t="str">
        <f t="shared" si="61"/>
        <v/>
      </c>
    </row>
    <row r="1215" spans="1:16" hidden="1" x14ac:dyDescent="0.25">
      <c r="A1215" s="224"/>
      <c r="B1215" s="96">
        <v>45392</v>
      </c>
      <c r="C1215" s="52" t="s">
        <v>46</v>
      </c>
      <c r="D1215" s="53" t="s">
        <v>38</v>
      </c>
      <c r="E1215" s="53"/>
      <c r="F1215" s="54"/>
      <c r="G1215" s="53"/>
      <c r="H1215" s="53">
        <v>0</v>
      </c>
      <c r="I1215" s="53">
        <v>0</v>
      </c>
      <c r="J1215" s="53">
        <v>0</v>
      </c>
      <c r="K1215" s="55"/>
      <c r="L1215" s="182">
        <f t="shared" si="60"/>
        <v>0</v>
      </c>
      <c r="M1215" s="55">
        <v>0</v>
      </c>
      <c r="N1215" s="101">
        <f t="shared" si="59"/>
        <v>0</v>
      </c>
      <c r="O1215" s="57" t="s">
        <v>162</v>
      </c>
      <c r="P1215" s="145" t="str">
        <f t="shared" si="61"/>
        <v/>
      </c>
    </row>
    <row r="1216" spans="1:16" hidden="1" x14ac:dyDescent="0.25">
      <c r="A1216" s="224"/>
      <c r="B1216" s="96">
        <v>45393</v>
      </c>
      <c r="C1216" s="52" t="s">
        <v>50</v>
      </c>
      <c r="D1216" s="53" t="s">
        <v>38</v>
      </c>
      <c r="E1216" s="53"/>
      <c r="F1216" s="54"/>
      <c r="G1216" s="53"/>
      <c r="H1216" s="53">
        <v>0</v>
      </c>
      <c r="I1216" s="53">
        <v>0</v>
      </c>
      <c r="J1216" s="53">
        <v>0</v>
      </c>
      <c r="K1216" s="55"/>
      <c r="L1216" s="182">
        <f t="shared" si="60"/>
        <v>0</v>
      </c>
      <c r="M1216" s="55">
        <v>0</v>
      </c>
      <c r="N1216" s="101">
        <f t="shared" si="59"/>
        <v>0</v>
      </c>
      <c r="O1216" s="57" t="s">
        <v>162</v>
      </c>
      <c r="P1216" s="145" t="str">
        <f t="shared" si="61"/>
        <v/>
      </c>
    </row>
    <row r="1217" spans="1:16" hidden="1" x14ac:dyDescent="0.25">
      <c r="A1217" s="224"/>
      <c r="B1217" s="96">
        <v>45394</v>
      </c>
      <c r="C1217" s="52" t="s">
        <v>53</v>
      </c>
      <c r="D1217" s="53" t="s">
        <v>38</v>
      </c>
      <c r="E1217" s="53"/>
      <c r="F1217" s="54"/>
      <c r="G1217" s="53"/>
      <c r="H1217" s="53">
        <v>0</v>
      </c>
      <c r="I1217" s="53">
        <v>0</v>
      </c>
      <c r="J1217" s="53">
        <v>0</v>
      </c>
      <c r="K1217" s="55"/>
      <c r="L1217" s="182">
        <f t="shared" si="60"/>
        <v>0</v>
      </c>
      <c r="M1217" s="55">
        <v>0</v>
      </c>
      <c r="N1217" s="101">
        <f t="shared" si="59"/>
        <v>0</v>
      </c>
      <c r="O1217" s="57" t="s">
        <v>162</v>
      </c>
      <c r="P1217" s="145" t="str">
        <f t="shared" si="61"/>
        <v/>
      </c>
    </row>
    <row r="1218" spans="1:16" hidden="1" x14ac:dyDescent="0.25">
      <c r="A1218" s="224"/>
      <c r="B1218" s="97">
        <v>45395</v>
      </c>
      <c r="C1218" s="58" t="s">
        <v>57</v>
      </c>
      <c r="D1218" s="60" t="s">
        <v>38</v>
      </c>
      <c r="E1218" s="60"/>
      <c r="F1218" s="61"/>
      <c r="G1218" s="60"/>
      <c r="H1218" s="60">
        <v>0</v>
      </c>
      <c r="I1218" s="60">
        <v>0</v>
      </c>
      <c r="J1218" s="60">
        <v>0</v>
      </c>
      <c r="K1218" s="62"/>
      <c r="L1218" s="183">
        <f t="shared" si="60"/>
        <v>0</v>
      </c>
      <c r="M1218" s="62">
        <v>0</v>
      </c>
      <c r="N1218" s="102">
        <f t="shared" si="59"/>
        <v>0</v>
      </c>
      <c r="O1218" s="64" t="s">
        <v>162</v>
      </c>
      <c r="P1218" s="145" t="str">
        <f t="shared" si="61"/>
        <v/>
      </c>
    </row>
    <row r="1219" spans="1:16" ht="15.75" hidden="1" thickBot="1" x14ac:dyDescent="0.3">
      <c r="A1219" s="225"/>
      <c r="B1219" s="98">
        <v>45396</v>
      </c>
      <c r="C1219" s="66" t="s">
        <v>59</v>
      </c>
      <c r="D1219" s="67" t="s">
        <v>38</v>
      </c>
      <c r="E1219" s="67"/>
      <c r="F1219" s="68"/>
      <c r="G1219" s="67"/>
      <c r="H1219" s="67">
        <v>0</v>
      </c>
      <c r="I1219" s="67">
        <v>0</v>
      </c>
      <c r="J1219" s="67">
        <v>0</v>
      </c>
      <c r="K1219" s="69"/>
      <c r="L1219" s="184">
        <f t="shared" si="60"/>
        <v>0</v>
      </c>
      <c r="M1219" s="69">
        <v>0</v>
      </c>
      <c r="N1219" s="103">
        <f t="shared" si="59"/>
        <v>0</v>
      </c>
      <c r="O1219" s="71" t="s">
        <v>162</v>
      </c>
      <c r="P1219" s="145" t="str">
        <f t="shared" si="61"/>
        <v/>
      </c>
    </row>
    <row r="1220" spans="1:16" hidden="1" x14ac:dyDescent="0.25">
      <c r="A1220" s="223">
        <f>_xlfn.ISOWEEKNUM(B1220)</f>
        <v>16</v>
      </c>
      <c r="B1220" s="96">
        <v>45397</v>
      </c>
      <c r="C1220" s="72" t="s">
        <v>37</v>
      </c>
      <c r="D1220" s="41" t="s">
        <v>38</v>
      </c>
      <c r="E1220" s="41"/>
      <c r="F1220" s="43"/>
      <c r="G1220" s="41"/>
      <c r="H1220" s="41">
        <v>0</v>
      </c>
      <c r="I1220" s="41">
        <v>0</v>
      </c>
      <c r="J1220" s="41">
        <v>0</v>
      </c>
      <c r="K1220" s="73"/>
      <c r="L1220" s="181">
        <f t="shared" si="60"/>
        <v>0</v>
      </c>
      <c r="M1220" s="73">
        <v>0</v>
      </c>
      <c r="N1220" s="105">
        <f t="shared" si="59"/>
        <v>0</v>
      </c>
      <c r="O1220" s="46" t="s">
        <v>162</v>
      </c>
      <c r="P1220" s="145" t="str">
        <f t="shared" si="61"/>
        <v/>
      </c>
    </row>
    <row r="1221" spans="1:16" hidden="1" x14ac:dyDescent="0.25">
      <c r="A1221" s="224"/>
      <c r="B1221" s="96">
        <v>45398</v>
      </c>
      <c r="C1221" s="52" t="s">
        <v>42</v>
      </c>
      <c r="D1221" s="53" t="s">
        <v>38</v>
      </c>
      <c r="E1221" s="53"/>
      <c r="F1221" s="54"/>
      <c r="G1221" s="53"/>
      <c r="H1221" s="53">
        <v>0</v>
      </c>
      <c r="I1221" s="53">
        <v>0</v>
      </c>
      <c r="J1221" s="53">
        <v>0</v>
      </c>
      <c r="K1221" s="55"/>
      <c r="L1221" s="182">
        <f t="shared" si="60"/>
        <v>0</v>
      </c>
      <c r="M1221" s="55">
        <v>0</v>
      </c>
      <c r="N1221" s="101">
        <f t="shared" si="59"/>
        <v>0</v>
      </c>
      <c r="O1221" s="57" t="s">
        <v>162</v>
      </c>
      <c r="P1221" s="145" t="str">
        <f t="shared" si="61"/>
        <v/>
      </c>
    </row>
    <row r="1222" spans="1:16" hidden="1" x14ac:dyDescent="0.25">
      <c r="A1222" s="224"/>
      <c r="B1222" s="96">
        <v>45399</v>
      </c>
      <c r="C1222" s="52" t="s">
        <v>46</v>
      </c>
      <c r="D1222" s="53" t="s">
        <v>38</v>
      </c>
      <c r="E1222" s="53"/>
      <c r="F1222" s="54"/>
      <c r="G1222" s="53"/>
      <c r="H1222" s="53">
        <v>0</v>
      </c>
      <c r="I1222" s="53">
        <v>0</v>
      </c>
      <c r="J1222" s="53">
        <v>0</v>
      </c>
      <c r="K1222" s="55"/>
      <c r="L1222" s="182">
        <f t="shared" si="60"/>
        <v>0</v>
      </c>
      <c r="M1222" s="55">
        <v>0</v>
      </c>
      <c r="N1222" s="101">
        <f t="shared" si="59"/>
        <v>0</v>
      </c>
      <c r="O1222" s="57" t="s">
        <v>162</v>
      </c>
      <c r="P1222" s="145" t="str">
        <f t="shared" si="61"/>
        <v/>
      </c>
    </row>
    <row r="1223" spans="1:16" hidden="1" x14ac:dyDescent="0.25">
      <c r="A1223" s="224"/>
      <c r="B1223" s="96">
        <v>45400</v>
      </c>
      <c r="C1223" s="52" t="s">
        <v>50</v>
      </c>
      <c r="D1223" s="53" t="s">
        <v>38</v>
      </c>
      <c r="E1223" s="53"/>
      <c r="F1223" s="54"/>
      <c r="G1223" s="53"/>
      <c r="H1223" s="53">
        <v>0</v>
      </c>
      <c r="I1223" s="53">
        <v>0</v>
      </c>
      <c r="J1223" s="53">
        <v>0</v>
      </c>
      <c r="K1223" s="55"/>
      <c r="L1223" s="182">
        <f t="shared" si="60"/>
        <v>0</v>
      </c>
      <c r="M1223" s="55">
        <v>0</v>
      </c>
      <c r="N1223" s="101">
        <f t="shared" si="59"/>
        <v>0</v>
      </c>
      <c r="O1223" s="57" t="s">
        <v>162</v>
      </c>
      <c r="P1223" s="145" t="str">
        <f t="shared" si="61"/>
        <v/>
      </c>
    </row>
    <row r="1224" spans="1:16" hidden="1" x14ac:dyDescent="0.25">
      <c r="A1224" s="224"/>
      <c r="B1224" s="96">
        <v>45401</v>
      </c>
      <c r="C1224" s="52" t="s">
        <v>53</v>
      </c>
      <c r="D1224" s="53" t="s">
        <v>38</v>
      </c>
      <c r="E1224" s="53"/>
      <c r="F1224" s="54"/>
      <c r="G1224" s="53"/>
      <c r="H1224" s="53">
        <v>0</v>
      </c>
      <c r="I1224" s="53">
        <v>0</v>
      </c>
      <c r="J1224" s="53">
        <v>0</v>
      </c>
      <c r="K1224" s="55"/>
      <c r="L1224" s="182">
        <f t="shared" si="60"/>
        <v>0</v>
      </c>
      <c r="M1224" s="55">
        <v>0</v>
      </c>
      <c r="N1224" s="101">
        <f t="shared" si="59"/>
        <v>0</v>
      </c>
      <c r="O1224" s="57" t="s">
        <v>162</v>
      </c>
      <c r="P1224" s="145" t="str">
        <f t="shared" si="61"/>
        <v/>
      </c>
    </row>
    <row r="1225" spans="1:16" hidden="1" x14ac:dyDescent="0.25">
      <c r="A1225" s="224"/>
      <c r="B1225" s="97">
        <v>45402</v>
      </c>
      <c r="C1225" s="58" t="s">
        <v>57</v>
      </c>
      <c r="D1225" s="60" t="s">
        <v>38</v>
      </c>
      <c r="E1225" s="60"/>
      <c r="F1225" s="61"/>
      <c r="G1225" s="60"/>
      <c r="H1225" s="60">
        <v>0</v>
      </c>
      <c r="I1225" s="60">
        <v>0</v>
      </c>
      <c r="J1225" s="60">
        <v>0</v>
      </c>
      <c r="K1225" s="62"/>
      <c r="L1225" s="183">
        <f t="shared" si="60"/>
        <v>0</v>
      </c>
      <c r="M1225" s="62">
        <v>0</v>
      </c>
      <c r="N1225" s="102">
        <f t="shared" si="59"/>
        <v>0</v>
      </c>
      <c r="O1225" s="64" t="s">
        <v>162</v>
      </c>
      <c r="P1225" s="145" t="str">
        <f t="shared" si="61"/>
        <v/>
      </c>
    </row>
    <row r="1226" spans="1:16" ht="15.75" hidden="1" thickBot="1" x14ac:dyDescent="0.3">
      <c r="A1226" s="225"/>
      <c r="B1226" s="98">
        <v>45403</v>
      </c>
      <c r="C1226" s="66" t="s">
        <v>59</v>
      </c>
      <c r="D1226" s="67" t="s">
        <v>38</v>
      </c>
      <c r="E1226" s="67"/>
      <c r="F1226" s="68"/>
      <c r="G1226" s="67"/>
      <c r="H1226" s="67">
        <v>0</v>
      </c>
      <c r="I1226" s="67">
        <v>0</v>
      </c>
      <c r="J1226" s="67">
        <v>0</v>
      </c>
      <c r="K1226" s="69"/>
      <c r="L1226" s="184">
        <f t="shared" si="60"/>
        <v>0</v>
      </c>
      <c r="M1226" s="69">
        <v>0</v>
      </c>
      <c r="N1226" s="103">
        <f t="shared" si="59"/>
        <v>0</v>
      </c>
      <c r="O1226" s="71" t="s">
        <v>162</v>
      </c>
      <c r="P1226" s="145" t="str">
        <f t="shared" si="61"/>
        <v/>
      </c>
    </row>
    <row r="1227" spans="1:16" hidden="1" x14ac:dyDescent="0.25">
      <c r="A1227" s="223">
        <f>_xlfn.ISOWEEKNUM(B1227)</f>
        <v>17</v>
      </c>
      <c r="B1227" s="96">
        <v>45404</v>
      </c>
      <c r="C1227" s="72" t="s">
        <v>37</v>
      </c>
      <c r="D1227" s="41" t="s">
        <v>38</v>
      </c>
      <c r="E1227" s="41"/>
      <c r="F1227" s="43"/>
      <c r="G1227" s="41"/>
      <c r="H1227" s="41">
        <v>0</v>
      </c>
      <c r="I1227" s="41">
        <v>0</v>
      </c>
      <c r="J1227" s="41">
        <v>0</v>
      </c>
      <c r="K1227" s="73"/>
      <c r="L1227" s="181">
        <f t="shared" si="60"/>
        <v>0</v>
      </c>
      <c r="M1227" s="73">
        <v>0</v>
      </c>
      <c r="N1227" s="105">
        <f t="shared" si="59"/>
        <v>0</v>
      </c>
      <c r="O1227" s="46" t="s">
        <v>162</v>
      </c>
      <c r="P1227" s="145" t="str">
        <f t="shared" si="61"/>
        <v/>
      </c>
    </row>
    <row r="1228" spans="1:16" hidden="1" x14ac:dyDescent="0.25">
      <c r="A1228" s="224"/>
      <c r="B1228" s="96">
        <v>45405</v>
      </c>
      <c r="C1228" s="52" t="s">
        <v>42</v>
      </c>
      <c r="D1228" s="53" t="s">
        <v>38</v>
      </c>
      <c r="E1228" s="53"/>
      <c r="F1228" s="54"/>
      <c r="G1228" s="53"/>
      <c r="H1228" s="53">
        <v>0</v>
      </c>
      <c r="I1228" s="53">
        <v>0</v>
      </c>
      <c r="J1228" s="53">
        <v>0</v>
      </c>
      <c r="K1228" s="55"/>
      <c r="L1228" s="182">
        <f t="shared" si="60"/>
        <v>0</v>
      </c>
      <c r="M1228" s="55">
        <v>0</v>
      </c>
      <c r="N1228" s="101">
        <f t="shared" si="59"/>
        <v>0</v>
      </c>
      <c r="O1228" s="57" t="s">
        <v>162</v>
      </c>
      <c r="P1228" s="145" t="str">
        <f t="shared" si="61"/>
        <v/>
      </c>
    </row>
    <row r="1229" spans="1:16" hidden="1" x14ac:dyDescent="0.25">
      <c r="A1229" s="224"/>
      <c r="B1229" s="96">
        <v>45406</v>
      </c>
      <c r="C1229" s="52" t="s">
        <v>46</v>
      </c>
      <c r="D1229" s="53" t="s">
        <v>38</v>
      </c>
      <c r="E1229" s="53"/>
      <c r="F1229" s="54"/>
      <c r="G1229" s="53"/>
      <c r="H1229" s="53">
        <v>0</v>
      </c>
      <c r="I1229" s="53">
        <v>0</v>
      </c>
      <c r="J1229" s="53">
        <v>0</v>
      </c>
      <c r="K1229" s="55"/>
      <c r="L1229" s="182">
        <f t="shared" si="60"/>
        <v>0</v>
      </c>
      <c r="M1229" s="55">
        <v>0</v>
      </c>
      <c r="N1229" s="101">
        <f t="shared" si="59"/>
        <v>0</v>
      </c>
      <c r="O1229" s="57" t="s">
        <v>162</v>
      </c>
      <c r="P1229" s="145" t="str">
        <f t="shared" si="61"/>
        <v/>
      </c>
    </row>
    <row r="1230" spans="1:16" hidden="1" x14ac:dyDescent="0.25">
      <c r="A1230" s="224"/>
      <c r="B1230" s="96">
        <v>45407</v>
      </c>
      <c r="C1230" s="52" t="s">
        <v>50</v>
      </c>
      <c r="D1230" s="53" t="s">
        <v>38</v>
      </c>
      <c r="E1230" s="53"/>
      <c r="F1230" s="54"/>
      <c r="G1230" s="53"/>
      <c r="H1230" s="53">
        <v>0</v>
      </c>
      <c r="I1230" s="53">
        <v>0</v>
      </c>
      <c r="J1230" s="53">
        <v>0</v>
      </c>
      <c r="K1230" s="55"/>
      <c r="L1230" s="182">
        <f t="shared" si="60"/>
        <v>0</v>
      </c>
      <c r="M1230" s="55">
        <v>0</v>
      </c>
      <c r="N1230" s="101">
        <f t="shared" si="59"/>
        <v>0</v>
      </c>
      <c r="O1230" s="57" t="s">
        <v>162</v>
      </c>
      <c r="P1230" s="145" t="str">
        <f t="shared" si="61"/>
        <v/>
      </c>
    </row>
    <row r="1231" spans="1:16" hidden="1" x14ac:dyDescent="0.25">
      <c r="A1231" s="224"/>
      <c r="B1231" s="96">
        <v>45408</v>
      </c>
      <c r="C1231" s="52" t="s">
        <v>53</v>
      </c>
      <c r="D1231" s="53" t="s">
        <v>38</v>
      </c>
      <c r="E1231" s="53"/>
      <c r="F1231" s="54"/>
      <c r="G1231" s="53"/>
      <c r="H1231" s="53">
        <v>0</v>
      </c>
      <c r="I1231" s="53">
        <v>0</v>
      </c>
      <c r="J1231" s="53">
        <v>0</v>
      </c>
      <c r="K1231" s="55"/>
      <c r="L1231" s="182">
        <f t="shared" si="60"/>
        <v>0</v>
      </c>
      <c r="M1231" s="55">
        <v>0</v>
      </c>
      <c r="N1231" s="101">
        <f t="shared" ref="N1231:N1254" si="62">L1231*(1-M1231)</f>
        <v>0</v>
      </c>
      <c r="O1231" s="57" t="s">
        <v>162</v>
      </c>
      <c r="P1231" s="145" t="str">
        <f t="shared" si="61"/>
        <v/>
      </c>
    </row>
    <row r="1232" spans="1:16" hidden="1" x14ac:dyDescent="0.25">
      <c r="A1232" s="224"/>
      <c r="B1232" s="97">
        <v>45409</v>
      </c>
      <c r="C1232" s="58" t="s">
        <v>57</v>
      </c>
      <c r="D1232" s="60" t="s">
        <v>38</v>
      </c>
      <c r="E1232" s="60"/>
      <c r="F1232" s="61"/>
      <c r="G1232" s="60"/>
      <c r="H1232" s="60">
        <v>0</v>
      </c>
      <c r="I1232" s="60">
        <v>0</v>
      </c>
      <c r="J1232" s="60">
        <v>0</v>
      </c>
      <c r="K1232" s="62"/>
      <c r="L1232" s="183">
        <f t="shared" si="60"/>
        <v>0</v>
      </c>
      <c r="M1232" s="62">
        <v>0</v>
      </c>
      <c r="N1232" s="102">
        <f t="shared" si="62"/>
        <v>0</v>
      </c>
      <c r="O1232" s="64" t="s">
        <v>162</v>
      </c>
      <c r="P1232" s="145" t="str">
        <f t="shared" si="61"/>
        <v/>
      </c>
    </row>
    <row r="1233" spans="1:16" ht="15.75" hidden="1" thickBot="1" x14ac:dyDescent="0.3">
      <c r="A1233" s="225"/>
      <c r="B1233" s="98">
        <v>45410</v>
      </c>
      <c r="C1233" s="66" t="s">
        <v>59</v>
      </c>
      <c r="D1233" s="67" t="s">
        <v>38</v>
      </c>
      <c r="E1233" s="67"/>
      <c r="F1233" s="68"/>
      <c r="G1233" s="67"/>
      <c r="H1233" s="67">
        <v>0</v>
      </c>
      <c r="I1233" s="67">
        <v>0</v>
      </c>
      <c r="J1233" s="67">
        <v>0</v>
      </c>
      <c r="K1233" s="69"/>
      <c r="L1233" s="184">
        <f t="shared" si="60"/>
        <v>0</v>
      </c>
      <c r="M1233" s="69">
        <v>0</v>
      </c>
      <c r="N1233" s="103">
        <f t="shared" si="62"/>
        <v>0</v>
      </c>
      <c r="O1233" s="71" t="s">
        <v>162</v>
      </c>
      <c r="P1233" s="145" t="str">
        <f t="shared" si="61"/>
        <v/>
      </c>
    </row>
    <row r="1234" spans="1:16" hidden="1" x14ac:dyDescent="0.25">
      <c r="A1234" s="223">
        <f>_xlfn.ISOWEEKNUM(B1234)</f>
        <v>18</v>
      </c>
      <c r="B1234" s="96">
        <v>45411</v>
      </c>
      <c r="C1234" s="72" t="s">
        <v>37</v>
      </c>
      <c r="D1234" s="41" t="s">
        <v>38</v>
      </c>
      <c r="E1234" s="41"/>
      <c r="F1234" s="43"/>
      <c r="G1234" s="41"/>
      <c r="H1234" s="41">
        <v>0</v>
      </c>
      <c r="I1234" s="41">
        <v>0</v>
      </c>
      <c r="J1234" s="41">
        <v>0</v>
      </c>
      <c r="K1234" s="73"/>
      <c r="L1234" s="181">
        <f t="shared" si="60"/>
        <v>0</v>
      </c>
      <c r="M1234" s="73">
        <v>0</v>
      </c>
      <c r="N1234" s="105">
        <f t="shared" si="62"/>
        <v>0</v>
      </c>
      <c r="O1234" s="46" t="s">
        <v>162</v>
      </c>
      <c r="P1234" s="145" t="str">
        <f t="shared" si="61"/>
        <v/>
      </c>
    </row>
    <row r="1235" spans="1:16" hidden="1" x14ac:dyDescent="0.25">
      <c r="A1235" s="224"/>
      <c r="B1235" s="96">
        <v>45412</v>
      </c>
      <c r="C1235" s="52" t="s">
        <v>42</v>
      </c>
      <c r="D1235" s="53" t="s">
        <v>38</v>
      </c>
      <c r="E1235" s="53"/>
      <c r="F1235" s="54"/>
      <c r="G1235" s="53"/>
      <c r="H1235" s="53">
        <v>0</v>
      </c>
      <c r="I1235" s="53">
        <v>0</v>
      </c>
      <c r="J1235" s="53">
        <v>0</v>
      </c>
      <c r="K1235" s="55"/>
      <c r="L1235" s="182">
        <f t="shared" si="60"/>
        <v>0</v>
      </c>
      <c r="M1235" s="55">
        <v>0</v>
      </c>
      <c r="N1235" s="101">
        <f t="shared" si="62"/>
        <v>0</v>
      </c>
      <c r="O1235" s="57" t="s">
        <v>162</v>
      </c>
      <c r="P1235" s="145" t="str">
        <f t="shared" si="61"/>
        <v/>
      </c>
    </row>
    <row r="1236" spans="1:16" hidden="1" x14ac:dyDescent="0.25">
      <c r="A1236" s="224"/>
      <c r="B1236" s="96">
        <v>45413</v>
      </c>
      <c r="C1236" s="52" t="s">
        <v>46</v>
      </c>
      <c r="D1236" s="53" t="s">
        <v>38</v>
      </c>
      <c r="E1236" s="53"/>
      <c r="F1236" s="54"/>
      <c r="G1236" s="53"/>
      <c r="H1236" s="53">
        <v>0</v>
      </c>
      <c r="I1236" s="53">
        <v>0</v>
      </c>
      <c r="J1236" s="53">
        <v>0</v>
      </c>
      <c r="K1236" s="55"/>
      <c r="L1236" s="182">
        <f t="shared" si="60"/>
        <v>0</v>
      </c>
      <c r="M1236" s="55">
        <v>0</v>
      </c>
      <c r="N1236" s="101">
        <f t="shared" si="62"/>
        <v>0</v>
      </c>
      <c r="O1236" s="57" t="s">
        <v>162</v>
      </c>
      <c r="P1236" s="145" t="str">
        <f t="shared" si="61"/>
        <v/>
      </c>
    </row>
    <row r="1237" spans="1:16" hidden="1" x14ac:dyDescent="0.25">
      <c r="A1237" s="224"/>
      <c r="B1237" s="96">
        <v>45414</v>
      </c>
      <c r="C1237" s="52" t="s">
        <v>50</v>
      </c>
      <c r="D1237" s="53" t="s">
        <v>38</v>
      </c>
      <c r="E1237" s="53"/>
      <c r="F1237" s="54"/>
      <c r="G1237" s="53"/>
      <c r="H1237" s="53">
        <v>0</v>
      </c>
      <c r="I1237" s="53">
        <v>0</v>
      </c>
      <c r="J1237" s="53">
        <v>0</v>
      </c>
      <c r="K1237" s="55"/>
      <c r="L1237" s="182">
        <f t="shared" si="60"/>
        <v>0</v>
      </c>
      <c r="M1237" s="55">
        <v>0</v>
      </c>
      <c r="N1237" s="101">
        <f t="shared" si="62"/>
        <v>0</v>
      </c>
      <c r="O1237" s="57" t="s">
        <v>162</v>
      </c>
      <c r="P1237" s="145" t="str">
        <f t="shared" si="61"/>
        <v/>
      </c>
    </row>
    <row r="1238" spans="1:16" hidden="1" x14ac:dyDescent="0.25">
      <c r="A1238" s="224"/>
      <c r="B1238" s="96">
        <v>45415</v>
      </c>
      <c r="C1238" s="52" t="s">
        <v>53</v>
      </c>
      <c r="D1238" s="53" t="s">
        <v>38</v>
      </c>
      <c r="E1238" s="53"/>
      <c r="F1238" s="54"/>
      <c r="G1238" s="53"/>
      <c r="H1238" s="53">
        <v>0</v>
      </c>
      <c r="I1238" s="53">
        <v>0</v>
      </c>
      <c r="J1238" s="53">
        <v>0</v>
      </c>
      <c r="K1238" s="55"/>
      <c r="L1238" s="182">
        <f t="shared" si="60"/>
        <v>0</v>
      </c>
      <c r="M1238" s="55">
        <v>0</v>
      </c>
      <c r="N1238" s="101">
        <f t="shared" si="62"/>
        <v>0</v>
      </c>
      <c r="O1238" s="57" t="s">
        <v>162</v>
      </c>
      <c r="P1238" s="145" t="str">
        <f t="shared" si="61"/>
        <v/>
      </c>
    </row>
    <row r="1239" spans="1:16" hidden="1" x14ac:dyDescent="0.25">
      <c r="A1239" s="224"/>
      <c r="B1239" s="97">
        <v>45416</v>
      </c>
      <c r="C1239" s="58" t="s">
        <v>57</v>
      </c>
      <c r="D1239" s="60" t="s">
        <v>38</v>
      </c>
      <c r="E1239" s="60"/>
      <c r="F1239" s="61"/>
      <c r="G1239" s="60"/>
      <c r="H1239" s="60">
        <v>0</v>
      </c>
      <c r="I1239" s="60">
        <v>0</v>
      </c>
      <c r="J1239" s="60">
        <v>0</v>
      </c>
      <c r="K1239" s="62"/>
      <c r="L1239" s="183">
        <f t="shared" si="60"/>
        <v>0</v>
      </c>
      <c r="M1239" s="62">
        <v>0</v>
      </c>
      <c r="N1239" s="102">
        <f t="shared" si="62"/>
        <v>0</v>
      </c>
      <c r="O1239" s="64" t="s">
        <v>162</v>
      </c>
      <c r="P1239" s="145" t="str">
        <f t="shared" si="61"/>
        <v/>
      </c>
    </row>
    <row r="1240" spans="1:16" ht="15.75" hidden="1" thickBot="1" x14ac:dyDescent="0.3">
      <c r="A1240" s="225"/>
      <c r="B1240" s="98">
        <v>45417</v>
      </c>
      <c r="C1240" s="66" t="s">
        <v>59</v>
      </c>
      <c r="D1240" s="67" t="s">
        <v>38</v>
      </c>
      <c r="E1240" s="67"/>
      <c r="F1240" s="68"/>
      <c r="G1240" s="67"/>
      <c r="H1240" s="67">
        <v>0</v>
      </c>
      <c r="I1240" s="67">
        <v>0</v>
      </c>
      <c r="J1240" s="67">
        <v>0</v>
      </c>
      <c r="K1240" s="69"/>
      <c r="L1240" s="184">
        <f t="shared" si="60"/>
        <v>0</v>
      </c>
      <c r="M1240" s="69">
        <v>0</v>
      </c>
      <c r="N1240" s="103">
        <f t="shared" si="62"/>
        <v>0</v>
      </c>
      <c r="O1240" s="71" t="s">
        <v>162</v>
      </c>
      <c r="P1240" s="145" t="str">
        <f t="shared" si="61"/>
        <v/>
      </c>
    </row>
    <row r="1241" spans="1:16" hidden="1" x14ac:dyDescent="0.25">
      <c r="A1241" s="223">
        <f>_xlfn.ISOWEEKNUM(B1241)</f>
        <v>19</v>
      </c>
      <c r="B1241" s="96">
        <v>45418</v>
      </c>
      <c r="C1241" s="72" t="s">
        <v>37</v>
      </c>
      <c r="D1241" s="41" t="s">
        <v>38</v>
      </c>
      <c r="E1241" s="41"/>
      <c r="F1241" s="43"/>
      <c r="G1241" s="41"/>
      <c r="H1241" s="41">
        <v>0</v>
      </c>
      <c r="I1241" s="41">
        <v>0</v>
      </c>
      <c r="J1241" s="41">
        <v>0</v>
      </c>
      <c r="K1241" s="73"/>
      <c r="L1241" s="181">
        <f t="shared" si="60"/>
        <v>0</v>
      </c>
      <c r="M1241" s="73">
        <v>0</v>
      </c>
      <c r="N1241" s="105">
        <f t="shared" si="62"/>
        <v>0</v>
      </c>
      <c r="O1241" s="46" t="s">
        <v>162</v>
      </c>
      <c r="P1241" s="145" t="str">
        <f t="shared" si="61"/>
        <v/>
      </c>
    </row>
    <row r="1242" spans="1:16" hidden="1" x14ac:dyDescent="0.25">
      <c r="A1242" s="224"/>
      <c r="B1242" s="96">
        <v>45419</v>
      </c>
      <c r="C1242" s="52" t="s">
        <v>42</v>
      </c>
      <c r="D1242" s="53" t="s">
        <v>38</v>
      </c>
      <c r="E1242" s="53"/>
      <c r="F1242" s="54"/>
      <c r="G1242" s="53"/>
      <c r="H1242" s="53">
        <v>0</v>
      </c>
      <c r="I1242" s="53">
        <v>0</v>
      </c>
      <c r="J1242" s="53">
        <v>0</v>
      </c>
      <c r="K1242" s="55"/>
      <c r="L1242" s="182">
        <f t="shared" si="60"/>
        <v>0</v>
      </c>
      <c r="M1242" s="55">
        <v>0</v>
      </c>
      <c r="N1242" s="101">
        <f t="shared" si="62"/>
        <v>0</v>
      </c>
      <c r="O1242" s="57" t="s">
        <v>162</v>
      </c>
      <c r="P1242" s="145" t="str">
        <f t="shared" si="61"/>
        <v/>
      </c>
    </row>
    <row r="1243" spans="1:16" hidden="1" x14ac:dyDescent="0.25">
      <c r="A1243" s="224"/>
      <c r="B1243" s="96">
        <v>45420</v>
      </c>
      <c r="C1243" s="52" t="s">
        <v>46</v>
      </c>
      <c r="D1243" s="53" t="s">
        <v>38</v>
      </c>
      <c r="E1243" s="53"/>
      <c r="F1243" s="54"/>
      <c r="G1243" s="53"/>
      <c r="H1243" s="53">
        <v>0</v>
      </c>
      <c r="I1243" s="53">
        <v>0</v>
      </c>
      <c r="J1243" s="53">
        <v>0</v>
      </c>
      <c r="K1243" s="55"/>
      <c r="L1243" s="182">
        <f t="shared" si="60"/>
        <v>0</v>
      </c>
      <c r="M1243" s="55">
        <v>0</v>
      </c>
      <c r="N1243" s="101">
        <f t="shared" si="62"/>
        <v>0</v>
      </c>
      <c r="O1243" s="57" t="s">
        <v>162</v>
      </c>
      <c r="P1243" s="145" t="str">
        <f t="shared" si="61"/>
        <v/>
      </c>
    </row>
    <row r="1244" spans="1:16" hidden="1" x14ac:dyDescent="0.25">
      <c r="A1244" s="224"/>
      <c r="B1244" s="96">
        <v>45421</v>
      </c>
      <c r="C1244" s="52" t="s">
        <v>50</v>
      </c>
      <c r="D1244" s="53" t="s">
        <v>38</v>
      </c>
      <c r="E1244" s="53"/>
      <c r="F1244" s="54"/>
      <c r="G1244" s="53"/>
      <c r="H1244" s="53">
        <v>0</v>
      </c>
      <c r="I1244" s="53">
        <v>0</v>
      </c>
      <c r="J1244" s="53">
        <v>0</v>
      </c>
      <c r="K1244" s="55"/>
      <c r="L1244" s="182">
        <f t="shared" si="60"/>
        <v>0</v>
      </c>
      <c r="M1244" s="55">
        <v>0</v>
      </c>
      <c r="N1244" s="101">
        <f t="shared" si="62"/>
        <v>0</v>
      </c>
      <c r="O1244" s="57" t="s">
        <v>162</v>
      </c>
      <c r="P1244" s="145" t="str">
        <f t="shared" si="61"/>
        <v/>
      </c>
    </row>
    <row r="1245" spans="1:16" hidden="1" x14ac:dyDescent="0.25">
      <c r="A1245" s="224"/>
      <c r="B1245" s="96">
        <v>45422</v>
      </c>
      <c r="C1245" s="52" t="s">
        <v>53</v>
      </c>
      <c r="D1245" s="53" t="s">
        <v>38</v>
      </c>
      <c r="E1245" s="53"/>
      <c r="F1245" s="54"/>
      <c r="G1245" s="53"/>
      <c r="H1245" s="53">
        <v>0</v>
      </c>
      <c r="I1245" s="53">
        <v>0</v>
      </c>
      <c r="J1245" s="53">
        <v>0</v>
      </c>
      <c r="K1245" s="55"/>
      <c r="L1245" s="182">
        <f t="shared" si="60"/>
        <v>0</v>
      </c>
      <c r="M1245" s="55">
        <v>0</v>
      </c>
      <c r="N1245" s="101">
        <f t="shared" si="62"/>
        <v>0</v>
      </c>
      <c r="O1245" s="57" t="s">
        <v>162</v>
      </c>
      <c r="P1245" s="145" t="str">
        <f t="shared" si="61"/>
        <v/>
      </c>
    </row>
    <row r="1246" spans="1:16" hidden="1" x14ac:dyDescent="0.25">
      <c r="A1246" s="224"/>
      <c r="B1246" s="97">
        <v>45423</v>
      </c>
      <c r="C1246" s="58" t="s">
        <v>57</v>
      </c>
      <c r="D1246" s="60" t="s">
        <v>38</v>
      </c>
      <c r="E1246" s="60"/>
      <c r="F1246" s="61"/>
      <c r="G1246" s="60"/>
      <c r="H1246" s="60">
        <v>0</v>
      </c>
      <c r="I1246" s="60">
        <v>0</v>
      </c>
      <c r="J1246" s="60">
        <v>0</v>
      </c>
      <c r="K1246" s="62"/>
      <c r="L1246" s="183">
        <f t="shared" si="60"/>
        <v>0</v>
      </c>
      <c r="M1246" s="62">
        <v>0</v>
      </c>
      <c r="N1246" s="102">
        <f t="shared" si="62"/>
        <v>0</v>
      </c>
      <c r="O1246" s="64" t="s">
        <v>162</v>
      </c>
      <c r="P1246" s="145" t="str">
        <f t="shared" si="61"/>
        <v/>
      </c>
    </row>
    <row r="1247" spans="1:16" ht="15.75" hidden="1" thickBot="1" x14ac:dyDescent="0.3">
      <c r="A1247" s="225"/>
      <c r="B1247" s="98">
        <v>45424</v>
      </c>
      <c r="C1247" s="66" t="s">
        <v>59</v>
      </c>
      <c r="D1247" s="67" t="s">
        <v>38</v>
      </c>
      <c r="E1247" s="67"/>
      <c r="F1247" s="68"/>
      <c r="G1247" s="67"/>
      <c r="H1247" s="67">
        <v>0</v>
      </c>
      <c r="I1247" s="67">
        <v>0</v>
      </c>
      <c r="J1247" s="67">
        <v>0</v>
      </c>
      <c r="K1247" s="69"/>
      <c r="L1247" s="184">
        <f t="shared" si="60"/>
        <v>0</v>
      </c>
      <c r="M1247" s="69">
        <v>0</v>
      </c>
      <c r="N1247" s="103">
        <f t="shared" si="62"/>
        <v>0</v>
      </c>
      <c r="O1247" s="71" t="s">
        <v>162</v>
      </c>
      <c r="P1247" s="145" t="str">
        <f t="shared" si="61"/>
        <v/>
      </c>
    </row>
    <row r="1248" spans="1:16" hidden="1" x14ac:dyDescent="0.25">
      <c r="A1248" s="223">
        <f>_xlfn.ISOWEEKNUM(B1248)</f>
        <v>20</v>
      </c>
      <c r="B1248" s="96">
        <v>45425</v>
      </c>
      <c r="C1248" s="72" t="s">
        <v>37</v>
      </c>
      <c r="D1248" s="41" t="s">
        <v>38</v>
      </c>
      <c r="E1248" s="41"/>
      <c r="F1248" s="43"/>
      <c r="G1248" s="41"/>
      <c r="H1248" s="41">
        <v>0</v>
      </c>
      <c r="I1248" s="41">
        <v>0</v>
      </c>
      <c r="J1248" s="41">
        <v>0</v>
      </c>
      <c r="K1248" s="73"/>
      <c r="L1248" s="181">
        <f t="shared" si="60"/>
        <v>0</v>
      </c>
      <c r="M1248" s="73">
        <v>0</v>
      </c>
      <c r="N1248" s="105">
        <f t="shared" si="62"/>
        <v>0</v>
      </c>
      <c r="O1248" s="46" t="s">
        <v>162</v>
      </c>
      <c r="P1248" s="145" t="str">
        <f t="shared" si="61"/>
        <v/>
      </c>
    </row>
    <row r="1249" spans="1:32" hidden="1" x14ac:dyDescent="0.25">
      <c r="A1249" s="224"/>
      <c r="B1249" s="96">
        <v>45426</v>
      </c>
      <c r="C1249" s="52" t="s">
        <v>42</v>
      </c>
      <c r="D1249" s="53" t="s">
        <v>38</v>
      </c>
      <c r="E1249" s="53"/>
      <c r="F1249" s="54"/>
      <c r="G1249" s="53"/>
      <c r="H1249" s="53">
        <v>0</v>
      </c>
      <c r="I1249" s="53">
        <v>0</v>
      </c>
      <c r="J1249" s="53">
        <v>0</v>
      </c>
      <c r="K1249" s="55"/>
      <c r="L1249" s="182">
        <f t="shared" si="60"/>
        <v>0</v>
      </c>
      <c r="M1249" s="55">
        <v>0</v>
      </c>
      <c r="N1249" s="101">
        <f t="shared" si="62"/>
        <v>0</v>
      </c>
      <c r="O1249" s="57" t="s">
        <v>162</v>
      </c>
      <c r="P1249" s="145" t="str">
        <f t="shared" si="61"/>
        <v/>
      </c>
    </row>
    <row r="1250" spans="1:32" hidden="1" x14ac:dyDescent="0.25">
      <c r="A1250" s="224"/>
      <c r="B1250" s="96">
        <v>45427</v>
      </c>
      <c r="C1250" s="52" t="s">
        <v>46</v>
      </c>
      <c r="D1250" s="53" t="s">
        <v>38</v>
      </c>
      <c r="E1250" s="53"/>
      <c r="F1250" s="54"/>
      <c r="G1250" s="53"/>
      <c r="H1250" s="53">
        <v>0</v>
      </c>
      <c r="I1250" s="53">
        <v>0</v>
      </c>
      <c r="J1250" s="53">
        <v>0</v>
      </c>
      <c r="K1250" s="55"/>
      <c r="L1250" s="182">
        <f t="shared" si="60"/>
        <v>0</v>
      </c>
      <c r="M1250" s="55">
        <v>0</v>
      </c>
      <c r="N1250" s="101">
        <f t="shared" si="62"/>
        <v>0</v>
      </c>
      <c r="O1250" s="57" t="s">
        <v>162</v>
      </c>
      <c r="P1250" s="145" t="str">
        <f t="shared" si="61"/>
        <v/>
      </c>
    </row>
    <row r="1251" spans="1:32" hidden="1" x14ac:dyDescent="0.25">
      <c r="A1251" s="224"/>
      <c r="B1251" s="96">
        <v>45428</v>
      </c>
      <c r="C1251" s="52" t="s">
        <v>50</v>
      </c>
      <c r="D1251" s="53" t="s">
        <v>38</v>
      </c>
      <c r="E1251" s="53"/>
      <c r="F1251" s="54"/>
      <c r="G1251" s="53"/>
      <c r="H1251" s="53">
        <v>0</v>
      </c>
      <c r="I1251" s="53">
        <v>0</v>
      </c>
      <c r="J1251" s="53">
        <v>0</v>
      </c>
      <c r="K1251" s="55"/>
      <c r="L1251" s="182">
        <f t="shared" si="60"/>
        <v>0</v>
      </c>
      <c r="M1251" s="55">
        <v>0</v>
      </c>
      <c r="N1251" s="101">
        <f t="shared" si="62"/>
        <v>0</v>
      </c>
      <c r="O1251" s="57" t="s">
        <v>162</v>
      </c>
      <c r="P1251" s="145" t="str">
        <f t="shared" si="61"/>
        <v/>
      </c>
    </row>
    <row r="1252" spans="1:32" hidden="1" x14ac:dyDescent="0.25">
      <c r="A1252" s="224"/>
      <c r="B1252" s="96">
        <v>45429</v>
      </c>
      <c r="C1252" s="52" t="s">
        <v>53</v>
      </c>
      <c r="D1252" s="53" t="s">
        <v>38</v>
      </c>
      <c r="E1252" s="53"/>
      <c r="F1252" s="54"/>
      <c r="G1252" s="53"/>
      <c r="H1252" s="53">
        <v>0</v>
      </c>
      <c r="I1252" s="53">
        <v>0</v>
      </c>
      <c r="J1252" s="53">
        <v>0</v>
      </c>
      <c r="K1252" s="55"/>
      <c r="L1252" s="182">
        <f t="shared" si="60"/>
        <v>0</v>
      </c>
      <c r="M1252" s="55">
        <v>0</v>
      </c>
      <c r="N1252" s="101">
        <f t="shared" si="62"/>
        <v>0</v>
      </c>
      <c r="O1252" s="57" t="s">
        <v>162</v>
      </c>
      <c r="P1252" s="145" t="str">
        <f t="shared" si="61"/>
        <v/>
      </c>
    </row>
    <row r="1253" spans="1:32" hidden="1" x14ac:dyDescent="0.25">
      <c r="A1253" s="224"/>
      <c r="B1253" s="97">
        <v>45430</v>
      </c>
      <c r="C1253" s="58" t="s">
        <v>57</v>
      </c>
      <c r="D1253" s="60" t="s">
        <v>38</v>
      </c>
      <c r="E1253" s="60"/>
      <c r="F1253" s="61"/>
      <c r="G1253" s="60"/>
      <c r="H1253" s="60">
        <v>0</v>
      </c>
      <c r="I1253" s="60">
        <v>0</v>
      </c>
      <c r="J1253" s="60">
        <v>0</v>
      </c>
      <c r="K1253" s="62"/>
      <c r="L1253" s="183">
        <f t="shared" si="60"/>
        <v>0</v>
      </c>
      <c r="M1253" s="62">
        <v>0</v>
      </c>
      <c r="N1253" s="102">
        <f t="shared" si="62"/>
        <v>0</v>
      </c>
      <c r="O1253" s="64" t="s">
        <v>162</v>
      </c>
      <c r="P1253" s="145" t="str">
        <f t="shared" si="61"/>
        <v/>
      </c>
    </row>
    <row r="1254" spans="1:32" ht="15.75" hidden="1" thickBot="1" x14ac:dyDescent="0.3">
      <c r="A1254" s="225"/>
      <c r="B1254" s="98">
        <v>45431</v>
      </c>
      <c r="C1254" s="66" t="s">
        <v>59</v>
      </c>
      <c r="D1254" s="67" t="s">
        <v>38</v>
      </c>
      <c r="E1254" s="67"/>
      <c r="F1254" s="68"/>
      <c r="G1254" s="67"/>
      <c r="H1254" s="67">
        <v>0</v>
      </c>
      <c r="I1254" s="67">
        <v>0</v>
      </c>
      <c r="J1254" s="67">
        <v>0</v>
      </c>
      <c r="K1254" s="69"/>
      <c r="L1254" s="184">
        <f t="shared" si="60"/>
        <v>0</v>
      </c>
      <c r="M1254" s="69">
        <v>0</v>
      </c>
      <c r="N1254" s="103">
        <f t="shared" si="62"/>
        <v>0</v>
      </c>
      <c r="O1254" s="71" t="s">
        <v>162</v>
      </c>
      <c r="P1254" s="145" t="str">
        <f t="shared" si="61"/>
        <v/>
      </c>
    </row>
    <row r="1255" spans="1:32" hidden="1" x14ac:dyDescent="0.25">
      <c r="A1255" s="223">
        <v>21</v>
      </c>
      <c r="B1255" s="145">
        <v>45432</v>
      </c>
      <c r="C1255" s="40" t="s">
        <v>37</v>
      </c>
      <c r="D1255" s="72" t="s">
        <v>38</v>
      </c>
      <c r="E1255" s="41"/>
      <c r="F1255" s="52"/>
      <c r="G1255" s="41"/>
      <c r="H1255" s="110">
        <v>0</v>
      </c>
      <c r="I1255" s="41"/>
      <c r="J1255" s="110">
        <v>0</v>
      </c>
      <c r="K1255" s="73">
        <v>0</v>
      </c>
      <c r="L1255" s="181">
        <v>0</v>
      </c>
      <c r="M1255" s="73">
        <v>0</v>
      </c>
      <c r="N1255" s="74">
        <v>0</v>
      </c>
      <c r="O1255" s="46" t="s">
        <v>162</v>
      </c>
      <c r="P1255" s="145" t="str">
        <f t="shared" si="61"/>
        <v/>
      </c>
      <c r="Q1255" s="51"/>
      <c r="R1255" s="193"/>
      <c r="S1255" s="193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  <c r="AD1255" s="51"/>
      <c r="AE1255" s="51"/>
      <c r="AF1255" s="51"/>
    </row>
    <row r="1256" spans="1:32" hidden="1" x14ac:dyDescent="0.25">
      <c r="A1256" s="224"/>
      <c r="B1256" s="145">
        <v>45433</v>
      </c>
      <c r="C1256" s="52" t="s">
        <v>42</v>
      </c>
      <c r="D1256" s="52" t="s">
        <v>38</v>
      </c>
      <c r="E1256" s="41"/>
      <c r="F1256" s="72"/>
      <c r="G1256" s="41"/>
      <c r="H1256" s="110">
        <v>0</v>
      </c>
      <c r="I1256" s="41"/>
      <c r="J1256" s="110">
        <v>0</v>
      </c>
      <c r="K1256" s="55">
        <v>0</v>
      </c>
      <c r="L1256" s="182">
        <v>0</v>
      </c>
      <c r="M1256" s="55">
        <v>0</v>
      </c>
      <c r="N1256" s="56">
        <v>0</v>
      </c>
      <c r="O1256" s="57" t="s">
        <v>162</v>
      </c>
      <c r="P1256" s="145" t="str">
        <f t="shared" si="61"/>
        <v/>
      </c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  <c r="AE1256" s="51"/>
      <c r="AF1256" s="51"/>
    </row>
    <row r="1257" spans="1:32" hidden="1" x14ac:dyDescent="0.25">
      <c r="A1257" s="224"/>
      <c r="B1257" s="145">
        <v>45434</v>
      </c>
      <c r="C1257" s="52" t="s">
        <v>46</v>
      </c>
      <c r="D1257" s="52" t="s">
        <v>38</v>
      </c>
      <c r="E1257" s="41" t="s">
        <v>39</v>
      </c>
      <c r="F1257" s="72" t="s">
        <v>40</v>
      </c>
      <c r="G1257" s="41">
        <v>3.9</v>
      </c>
      <c r="H1257" s="110">
        <v>900</v>
      </c>
      <c r="I1257" s="41">
        <v>700</v>
      </c>
      <c r="J1257" s="110">
        <v>0</v>
      </c>
      <c r="K1257" s="55">
        <v>0</v>
      </c>
      <c r="L1257" s="182">
        <v>0</v>
      </c>
      <c r="M1257" s="55">
        <v>0.03</v>
      </c>
      <c r="N1257" s="56">
        <v>0</v>
      </c>
      <c r="O1257" s="138" t="s">
        <v>163</v>
      </c>
      <c r="P1257" s="145" t="str">
        <f t="shared" si="61"/>
        <v>PLC3,9</v>
      </c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  <c r="AD1257" s="51"/>
      <c r="AE1257" s="51"/>
      <c r="AF1257" s="51"/>
    </row>
    <row r="1258" spans="1:32" hidden="1" x14ac:dyDescent="0.25">
      <c r="A1258" s="224"/>
      <c r="B1258" s="145">
        <v>45435</v>
      </c>
      <c r="C1258" s="52" t="s">
        <v>50</v>
      </c>
      <c r="D1258" s="52" t="s">
        <v>38</v>
      </c>
      <c r="E1258" s="41" t="s">
        <v>39</v>
      </c>
      <c r="F1258" s="72" t="s">
        <v>40</v>
      </c>
      <c r="G1258" s="41">
        <v>3.9</v>
      </c>
      <c r="H1258" s="110">
        <v>900</v>
      </c>
      <c r="I1258" s="41">
        <v>700</v>
      </c>
      <c r="J1258" s="110">
        <v>0</v>
      </c>
      <c r="K1258" s="55">
        <v>0</v>
      </c>
      <c r="L1258" s="182">
        <v>0</v>
      </c>
      <c r="M1258" s="55">
        <v>0.03</v>
      </c>
      <c r="N1258" s="56">
        <v>0</v>
      </c>
      <c r="O1258" s="147"/>
      <c r="P1258" s="145" t="str">
        <f t="shared" si="61"/>
        <v>PLC3,9</v>
      </c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  <c r="AD1258" s="51"/>
      <c r="AE1258" s="51"/>
      <c r="AF1258" s="51"/>
    </row>
    <row r="1259" spans="1:32" hidden="1" x14ac:dyDescent="0.25">
      <c r="A1259" s="224"/>
      <c r="B1259" s="145">
        <v>45436</v>
      </c>
      <c r="C1259" s="52" t="s">
        <v>53</v>
      </c>
      <c r="D1259" s="52" t="s">
        <v>38</v>
      </c>
      <c r="E1259" s="41" t="s">
        <v>39</v>
      </c>
      <c r="F1259" s="72" t="s">
        <v>40</v>
      </c>
      <c r="G1259" s="41">
        <v>3.9</v>
      </c>
      <c r="H1259" s="110">
        <v>900</v>
      </c>
      <c r="I1259" s="41">
        <v>700</v>
      </c>
      <c r="J1259" s="110">
        <v>0</v>
      </c>
      <c r="K1259" s="55">
        <v>0</v>
      </c>
      <c r="L1259" s="182">
        <v>0</v>
      </c>
      <c r="M1259" s="55">
        <v>0.03</v>
      </c>
      <c r="N1259" s="56">
        <v>0</v>
      </c>
      <c r="O1259" s="147"/>
      <c r="P1259" s="145" t="str">
        <f t="shared" si="61"/>
        <v>PLC3,9</v>
      </c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</row>
    <row r="1260" spans="1:32" hidden="1" x14ac:dyDescent="0.25">
      <c r="A1260" s="224"/>
      <c r="B1260" s="148">
        <v>45437</v>
      </c>
      <c r="C1260" s="58" t="s">
        <v>57</v>
      </c>
      <c r="D1260" s="59" t="s">
        <v>38</v>
      </c>
      <c r="E1260" s="136" t="s">
        <v>39</v>
      </c>
      <c r="F1260" s="149" t="s">
        <v>40</v>
      </c>
      <c r="G1260" s="136">
        <v>3.9</v>
      </c>
      <c r="H1260" s="112">
        <v>900</v>
      </c>
      <c r="I1260" s="136">
        <v>700</v>
      </c>
      <c r="J1260" s="60">
        <v>0</v>
      </c>
      <c r="K1260" s="55">
        <v>0</v>
      </c>
      <c r="L1260" s="182">
        <v>0</v>
      </c>
      <c r="M1260" s="62">
        <v>0.03</v>
      </c>
      <c r="N1260" s="63">
        <v>0</v>
      </c>
      <c r="O1260" s="150"/>
      <c r="P1260" s="145" t="str">
        <f t="shared" si="61"/>
        <v>PLC3,9</v>
      </c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  <c r="AD1260" s="51"/>
      <c r="AE1260" s="51"/>
      <c r="AF1260" s="51"/>
    </row>
    <row r="1261" spans="1:32" ht="15.75" hidden="1" thickBot="1" x14ac:dyDescent="0.3">
      <c r="A1261" s="225"/>
      <c r="B1261" s="113">
        <v>45438</v>
      </c>
      <c r="C1261" s="66" t="s">
        <v>59</v>
      </c>
      <c r="D1261" s="67" t="s">
        <v>38</v>
      </c>
      <c r="E1261" s="137" t="s">
        <v>39</v>
      </c>
      <c r="F1261" s="151" t="s">
        <v>40</v>
      </c>
      <c r="G1261" s="137">
        <v>3.9</v>
      </c>
      <c r="H1261" s="114">
        <v>900</v>
      </c>
      <c r="I1261" s="137">
        <v>700</v>
      </c>
      <c r="J1261" s="67">
        <v>0</v>
      </c>
      <c r="K1261" s="55">
        <v>0</v>
      </c>
      <c r="L1261" s="182">
        <v>0</v>
      </c>
      <c r="M1261" s="69">
        <v>0.03</v>
      </c>
      <c r="N1261" s="70">
        <v>0</v>
      </c>
      <c r="O1261" s="152"/>
      <c r="P1261" s="145" t="str">
        <f t="shared" si="61"/>
        <v>PLC3,9</v>
      </c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  <c r="AE1261" s="51"/>
      <c r="AF1261" s="51"/>
    </row>
    <row r="1262" spans="1:32" hidden="1" x14ac:dyDescent="0.25">
      <c r="A1262" s="223">
        <v>22</v>
      </c>
      <c r="B1262" s="145">
        <v>45439</v>
      </c>
      <c r="C1262" s="40" t="s">
        <v>37</v>
      </c>
      <c r="D1262" s="72" t="s">
        <v>38</v>
      </c>
      <c r="E1262" s="41" t="s">
        <v>39</v>
      </c>
      <c r="F1262" s="52" t="s">
        <v>40</v>
      </c>
      <c r="G1262" s="41">
        <v>3.9</v>
      </c>
      <c r="H1262" s="110">
        <v>900</v>
      </c>
      <c r="I1262" s="41">
        <v>700</v>
      </c>
      <c r="J1262" s="41">
        <v>0</v>
      </c>
      <c r="K1262" s="55">
        <v>0</v>
      </c>
      <c r="L1262" s="182">
        <v>0</v>
      </c>
      <c r="M1262" s="73">
        <v>0.03</v>
      </c>
      <c r="N1262" s="74">
        <v>0</v>
      </c>
      <c r="O1262" s="147"/>
      <c r="P1262" s="145" t="str">
        <f t="shared" si="61"/>
        <v>PLC3,9</v>
      </c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  <c r="AE1262" s="51"/>
      <c r="AF1262" s="51"/>
    </row>
    <row r="1263" spans="1:32" hidden="1" x14ac:dyDescent="0.25">
      <c r="A1263" s="224"/>
      <c r="B1263" s="145">
        <v>45440</v>
      </c>
      <c r="C1263" s="52" t="s">
        <v>42</v>
      </c>
      <c r="D1263" s="52" t="s">
        <v>38</v>
      </c>
      <c r="E1263" s="41" t="s">
        <v>39</v>
      </c>
      <c r="F1263" s="72" t="s">
        <v>40</v>
      </c>
      <c r="G1263" s="41">
        <v>3.9</v>
      </c>
      <c r="H1263" s="110">
        <v>900</v>
      </c>
      <c r="I1263" s="41">
        <v>700</v>
      </c>
      <c r="J1263" s="53">
        <v>0</v>
      </c>
      <c r="K1263" s="55">
        <v>0</v>
      </c>
      <c r="L1263" s="182">
        <v>0</v>
      </c>
      <c r="M1263" s="55">
        <v>0.03</v>
      </c>
      <c r="N1263" s="74">
        <v>0</v>
      </c>
      <c r="O1263" s="147"/>
      <c r="P1263" s="145" t="str">
        <f t="shared" si="61"/>
        <v>PLC3,9</v>
      </c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  <c r="AE1263" s="51"/>
      <c r="AF1263" s="51"/>
    </row>
    <row r="1264" spans="1:32" hidden="1" x14ac:dyDescent="0.25">
      <c r="A1264" s="224"/>
      <c r="B1264" s="145">
        <v>45441</v>
      </c>
      <c r="C1264" s="52" t="s">
        <v>46</v>
      </c>
      <c r="D1264" s="52" t="s">
        <v>38</v>
      </c>
      <c r="E1264" s="41" t="s">
        <v>39</v>
      </c>
      <c r="F1264" s="72" t="s">
        <v>40</v>
      </c>
      <c r="G1264" s="41">
        <v>3.9</v>
      </c>
      <c r="H1264" s="110">
        <v>900</v>
      </c>
      <c r="I1264" s="41">
        <v>700</v>
      </c>
      <c r="J1264" s="53">
        <v>0</v>
      </c>
      <c r="K1264" s="55">
        <v>0</v>
      </c>
      <c r="L1264" s="182">
        <v>0</v>
      </c>
      <c r="M1264" s="55">
        <v>0.03</v>
      </c>
      <c r="N1264" s="74">
        <v>0</v>
      </c>
      <c r="O1264" s="147"/>
      <c r="P1264" s="145" t="str">
        <f t="shared" si="61"/>
        <v>PLC3,9</v>
      </c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  <c r="AE1264" s="51"/>
      <c r="AF1264" s="51"/>
    </row>
    <row r="1265" spans="1:32" hidden="1" x14ac:dyDescent="0.25">
      <c r="A1265" s="224"/>
      <c r="B1265" s="145">
        <v>45442</v>
      </c>
      <c r="C1265" s="52" t="s">
        <v>50</v>
      </c>
      <c r="D1265" s="52" t="s">
        <v>38</v>
      </c>
      <c r="E1265" s="41" t="s">
        <v>39</v>
      </c>
      <c r="F1265" s="72" t="s">
        <v>40</v>
      </c>
      <c r="G1265" s="41">
        <v>3.9</v>
      </c>
      <c r="H1265" s="110">
        <v>900</v>
      </c>
      <c r="I1265" s="41">
        <v>700</v>
      </c>
      <c r="J1265" s="53">
        <v>0</v>
      </c>
      <c r="K1265" s="55">
        <v>0</v>
      </c>
      <c r="L1265" s="182">
        <v>0</v>
      </c>
      <c r="M1265" s="55">
        <v>0.03</v>
      </c>
      <c r="N1265" s="74">
        <v>0</v>
      </c>
      <c r="O1265" s="147"/>
      <c r="P1265" s="145" t="str">
        <f t="shared" si="61"/>
        <v>PLC3,9</v>
      </c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51"/>
      <c r="AF1265" s="51"/>
    </row>
    <row r="1266" spans="1:32" hidden="1" x14ac:dyDescent="0.25">
      <c r="A1266" s="224"/>
      <c r="B1266" s="145">
        <v>45443</v>
      </c>
      <c r="C1266" s="52" t="s">
        <v>53</v>
      </c>
      <c r="D1266" s="52" t="s">
        <v>38</v>
      </c>
      <c r="E1266" s="41" t="s">
        <v>39</v>
      </c>
      <c r="F1266" s="72" t="s">
        <v>40</v>
      </c>
      <c r="G1266" s="41">
        <v>3.9</v>
      </c>
      <c r="H1266" s="110">
        <v>900</v>
      </c>
      <c r="I1266" s="41">
        <v>700</v>
      </c>
      <c r="J1266" s="53">
        <v>0</v>
      </c>
      <c r="K1266" s="55">
        <v>0</v>
      </c>
      <c r="L1266" s="182">
        <v>0</v>
      </c>
      <c r="M1266" s="55">
        <v>0.03</v>
      </c>
      <c r="N1266" s="74">
        <v>0</v>
      </c>
      <c r="O1266" s="147"/>
      <c r="P1266" s="145" t="str">
        <f t="shared" si="61"/>
        <v>PLC3,9</v>
      </c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  <c r="AE1266" s="51"/>
      <c r="AF1266" s="51"/>
    </row>
    <row r="1267" spans="1:32" hidden="1" x14ac:dyDescent="0.25">
      <c r="A1267" s="224"/>
      <c r="B1267" s="148">
        <v>45444</v>
      </c>
      <c r="C1267" s="58" t="s">
        <v>57</v>
      </c>
      <c r="D1267" s="59" t="s">
        <v>38</v>
      </c>
      <c r="E1267" s="136" t="s">
        <v>39</v>
      </c>
      <c r="F1267" s="149" t="s">
        <v>40</v>
      </c>
      <c r="G1267" s="136">
        <v>3.9</v>
      </c>
      <c r="H1267" s="112">
        <v>900</v>
      </c>
      <c r="I1267" s="136">
        <v>700</v>
      </c>
      <c r="J1267" s="60">
        <v>0</v>
      </c>
      <c r="K1267" s="55">
        <v>0</v>
      </c>
      <c r="L1267" s="182">
        <v>0</v>
      </c>
      <c r="M1267" s="62">
        <v>0.03</v>
      </c>
      <c r="N1267" s="63">
        <v>0</v>
      </c>
      <c r="O1267" s="150"/>
      <c r="P1267" s="145" t="str">
        <f t="shared" si="61"/>
        <v>PLC3,9</v>
      </c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  <c r="AF1267" s="51"/>
    </row>
    <row r="1268" spans="1:32" ht="15.75" hidden="1" thickBot="1" x14ac:dyDescent="0.3">
      <c r="A1268" s="225"/>
      <c r="B1268" s="113">
        <v>45445</v>
      </c>
      <c r="C1268" s="66" t="s">
        <v>59</v>
      </c>
      <c r="D1268" s="67" t="s">
        <v>38</v>
      </c>
      <c r="E1268" s="137" t="s">
        <v>39</v>
      </c>
      <c r="F1268" s="151" t="s">
        <v>40</v>
      </c>
      <c r="G1268" s="137">
        <v>3.9</v>
      </c>
      <c r="H1268" s="114">
        <v>900</v>
      </c>
      <c r="I1268" s="137">
        <v>700</v>
      </c>
      <c r="J1268" s="67">
        <v>0</v>
      </c>
      <c r="K1268" s="55">
        <v>0</v>
      </c>
      <c r="L1268" s="182">
        <v>0</v>
      </c>
      <c r="M1268" s="69">
        <v>0.03</v>
      </c>
      <c r="N1268" s="70">
        <v>0</v>
      </c>
      <c r="O1268" s="152"/>
      <c r="P1268" s="145" t="str">
        <f t="shared" si="61"/>
        <v>PLC3,9</v>
      </c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  <c r="AF1268" s="51"/>
    </row>
    <row r="1269" spans="1:32" hidden="1" x14ac:dyDescent="0.25">
      <c r="A1269" s="223">
        <v>23</v>
      </c>
      <c r="B1269" s="145">
        <v>45446</v>
      </c>
      <c r="C1269" s="40" t="s">
        <v>37</v>
      </c>
      <c r="D1269" s="72" t="s">
        <v>38</v>
      </c>
      <c r="E1269" s="41" t="s">
        <v>39</v>
      </c>
      <c r="F1269" s="52" t="s">
        <v>40</v>
      </c>
      <c r="G1269" s="41">
        <v>3.9</v>
      </c>
      <c r="H1269" s="41">
        <v>900</v>
      </c>
      <c r="I1269" s="41">
        <v>700</v>
      </c>
      <c r="J1269" s="41">
        <v>0</v>
      </c>
      <c r="K1269" s="55">
        <v>0</v>
      </c>
      <c r="L1269" s="182">
        <v>0</v>
      </c>
      <c r="M1269" s="73">
        <v>0.03</v>
      </c>
      <c r="N1269" s="74">
        <v>0</v>
      </c>
      <c r="O1269" s="147"/>
      <c r="P1269" s="145" t="str">
        <f t="shared" si="61"/>
        <v>PLC3,9</v>
      </c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  <c r="AF1269" s="51"/>
    </row>
    <row r="1270" spans="1:32" hidden="1" x14ac:dyDescent="0.25">
      <c r="A1270" s="224"/>
      <c r="B1270" s="145">
        <v>45447</v>
      </c>
      <c r="C1270" s="52" t="s">
        <v>42</v>
      </c>
      <c r="D1270" s="52" t="s">
        <v>38</v>
      </c>
      <c r="E1270" s="41" t="s">
        <v>39</v>
      </c>
      <c r="F1270" s="72" t="s">
        <v>40</v>
      </c>
      <c r="G1270" s="41">
        <v>3.9</v>
      </c>
      <c r="H1270" s="53">
        <v>900</v>
      </c>
      <c r="I1270" s="41">
        <v>700</v>
      </c>
      <c r="J1270" s="53">
        <v>0</v>
      </c>
      <c r="K1270" s="55">
        <v>0</v>
      </c>
      <c r="L1270" s="182">
        <v>0</v>
      </c>
      <c r="M1270" s="55">
        <v>0.03</v>
      </c>
      <c r="N1270" s="56">
        <v>0</v>
      </c>
      <c r="O1270" s="147"/>
      <c r="P1270" s="145" t="str">
        <f t="shared" si="61"/>
        <v>PLC3,9</v>
      </c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  <c r="AF1270" s="51"/>
    </row>
    <row r="1271" spans="1:32" hidden="1" x14ac:dyDescent="0.25">
      <c r="A1271" s="224"/>
      <c r="B1271" s="145">
        <v>45448</v>
      </c>
      <c r="C1271" s="52" t="s">
        <v>46</v>
      </c>
      <c r="D1271" s="52" t="s">
        <v>38</v>
      </c>
      <c r="E1271" s="41" t="s">
        <v>39</v>
      </c>
      <c r="F1271" s="72" t="s">
        <v>40</v>
      </c>
      <c r="G1271" s="41">
        <v>3.9</v>
      </c>
      <c r="H1271" s="53">
        <v>900</v>
      </c>
      <c r="I1271" s="41">
        <v>700</v>
      </c>
      <c r="J1271" s="53">
        <v>0</v>
      </c>
      <c r="K1271" s="55">
        <v>0</v>
      </c>
      <c r="L1271" s="182">
        <v>0</v>
      </c>
      <c r="M1271" s="55">
        <v>0.03</v>
      </c>
      <c r="N1271" s="56">
        <v>0</v>
      </c>
      <c r="O1271" s="147"/>
      <c r="P1271" s="145" t="str">
        <f t="shared" si="61"/>
        <v>PLC3,9</v>
      </c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  <c r="AE1271" s="51"/>
      <c r="AF1271" s="51"/>
    </row>
    <row r="1272" spans="1:32" hidden="1" x14ac:dyDescent="0.25">
      <c r="A1272" s="224"/>
      <c r="B1272" s="145">
        <v>45449</v>
      </c>
      <c r="C1272" s="52" t="s">
        <v>50</v>
      </c>
      <c r="D1272" s="52" t="s">
        <v>38</v>
      </c>
      <c r="E1272" s="41" t="s">
        <v>39</v>
      </c>
      <c r="F1272" s="72" t="s">
        <v>40</v>
      </c>
      <c r="G1272" s="41">
        <v>3.9</v>
      </c>
      <c r="H1272" s="53">
        <v>900</v>
      </c>
      <c r="I1272" s="41">
        <v>700</v>
      </c>
      <c r="J1272" s="53">
        <v>0</v>
      </c>
      <c r="K1272" s="55">
        <v>0</v>
      </c>
      <c r="L1272" s="182">
        <v>0</v>
      </c>
      <c r="M1272" s="55">
        <v>0.03</v>
      </c>
      <c r="N1272" s="56">
        <v>0</v>
      </c>
      <c r="O1272" s="147"/>
      <c r="P1272" s="145" t="str">
        <f t="shared" si="61"/>
        <v>PLC3,9</v>
      </c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  <c r="AE1272" s="51"/>
      <c r="AF1272" s="51"/>
    </row>
    <row r="1273" spans="1:32" hidden="1" x14ac:dyDescent="0.25">
      <c r="A1273" s="224"/>
      <c r="B1273" s="145">
        <v>45450</v>
      </c>
      <c r="C1273" s="52" t="s">
        <v>53</v>
      </c>
      <c r="D1273" s="52" t="s">
        <v>38</v>
      </c>
      <c r="E1273" s="41" t="s">
        <v>39</v>
      </c>
      <c r="F1273" s="72" t="s">
        <v>40</v>
      </c>
      <c r="G1273" s="41">
        <v>3.9</v>
      </c>
      <c r="H1273" s="53">
        <v>900</v>
      </c>
      <c r="I1273" s="41">
        <v>700</v>
      </c>
      <c r="J1273" s="53">
        <v>0</v>
      </c>
      <c r="K1273" s="55">
        <v>0</v>
      </c>
      <c r="L1273" s="182">
        <v>0</v>
      </c>
      <c r="M1273" s="55">
        <v>0.03</v>
      </c>
      <c r="N1273" s="56">
        <v>0</v>
      </c>
      <c r="O1273" s="147"/>
      <c r="P1273" s="145" t="str">
        <f t="shared" ref="P1273:P1336" si="63">E1273&amp;G1273</f>
        <v>PLC3,9</v>
      </c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  <c r="AE1273" s="51"/>
      <c r="AF1273" s="51"/>
    </row>
    <row r="1274" spans="1:32" hidden="1" x14ac:dyDescent="0.25">
      <c r="A1274" s="224"/>
      <c r="B1274" s="148">
        <v>45451</v>
      </c>
      <c r="C1274" s="58" t="s">
        <v>57</v>
      </c>
      <c r="D1274" s="59" t="s">
        <v>38</v>
      </c>
      <c r="E1274" s="136" t="s">
        <v>39</v>
      </c>
      <c r="F1274" s="149" t="s">
        <v>40</v>
      </c>
      <c r="G1274" s="136">
        <v>3.9</v>
      </c>
      <c r="H1274" s="60">
        <v>900</v>
      </c>
      <c r="I1274" s="136">
        <v>700</v>
      </c>
      <c r="J1274" s="60">
        <v>0</v>
      </c>
      <c r="K1274" s="62">
        <v>0</v>
      </c>
      <c r="L1274" s="183">
        <v>0</v>
      </c>
      <c r="M1274" s="62">
        <v>0.03</v>
      </c>
      <c r="N1274" s="63">
        <v>0</v>
      </c>
      <c r="O1274" s="150"/>
      <c r="P1274" s="145" t="str">
        <f t="shared" si="63"/>
        <v>PLC3,9</v>
      </c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  <c r="AE1274" s="51"/>
      <c r="AF1274" s="51"/>
    </row>
    <row r="1275" spans="1:32" ht="15.75" hidden="1" thickBot="1" x14ac:dyDescent="0.3">
      <c r="A1275" s="225"/>
      <c r="B1275" s="113">
        <v>45452</v>
      </c>
      <c r="C1275" s="66" t="s">
        <v>59</v>
      </c>
      <c r="D1275" s="67" t="s">
        <v>38</v>
      </c>
      <c r="E1275" s="137" t="s">
        <v>39</v>
      </c>
      <c r="F1275" s="151" t="s">
        <v>40</v>
      </c>
      <c r="G1275" s="137">
        <v>3.9</v>
      </c>
      <c r="H1275" s="67">
        <v>900</v>
      </c>
      <c r="I1275" s="137">
        <v>700</v>
      </c>
      <c r="J1275" s="67">
        <v>0</v>
      </c>
      <c r="K1275" s="69">
        <v>0</v>
      </c>
      <c r="L1275" s="184">
        <v>0</v>
      </c>
      <c r="M1275" s="69">
        <v>0.03</v>
      </c>
      <c r="N1275" s="70">
        <v>0</v>
      </c>
      <c r="O1275" s="152"/>
      <c r="P1275" s="145" t="str">
        <f t="shared" si="63"/>
        <v>PLC3,9</v>
      </c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  <c r="AE1275" s="51"/>
      <c r="AF1275" s="51"/>
    </row>
    <row r="1276" spans="1:32" hidden="1" x14ac:dyDescent="0.25">
      <c r="A1276" s="223">
        <v>24</v>
      </c>
      <c r="B1276" s="145">
        <v>45453</v>
      </c>
      <c r="C1276" s="40" t="s">
        <v>37</v>
      </c>
      <c r="D1276" s="72" t="s">
        <v>38</v>
      </c>
      <c r="E1276" s="41" t="s">
        <v>39</v>
      </c>
      <c r="F1276" s="52" t="s">
        <v>40</v>
      </c>
      <c r="G1276" s="41">
        <v>3.9</v>
      </c>
      <c r="H1276" s="41">
        <v>900</v>
      </c>
      <c r="I1276" s="41">
        <v>700</v>
      </c>
      <c r="J1276" s="41">
        <v>0</v>
      </c>
      <c r="K1276" s="73">
        <v>0</v>
      </c>
      <c r="L1276" s="181">
        <v>0</v>
      </c>
      <c r="M1276" s="73">
        <v>0.03</v>
      </c>
      <c r="N1276" s="74">
        <v>0</v>
      </c>
      <c r="O1276" s="147"/>
      <c r="P1276" s="145" t="str">
        <f t="shared" si="63"/>
        <v>PLC3,9</v>
      </c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  <c r="AF1276" s="51"/>
    </row>
    <row r="1277" spans="1:32" hidden="1" x14ac:dyDescent="0.25">
      <c r="A1277" s="224"/>
      <c r="B1277" s="145">
        <v>45454</v>
      </c>
      <c r="C1277" s="52" t="s">
        <v>42</v>
      </c>
      <c r="D1277" s="52" t="s">
        <v>38</v>
      </c>
      <c r="E1277" s="41" t="s">
        <v>39</v>
      </c>
      <c r="F1277" s="72" t="s">
        <v>40</v>
      </c>
      <c r="G1277" s="41">
        <v>3.9</v>
      </c>
      <c r="H1277" s="53">
        <v>900</v>
      </c>
      <c r="I1277" s="41">
        <v>700</v>
      </c>
      <c r="J1277" s="53">
        <v>0</v>
      </c>
      <c r="K1277" s="55">
        <v>0</v>
      </c>
      <c r="L1277" s="182">
        <v>0</v>
      </c>
      <c r="M1277" s="55">
        <v>0.03</v>
      </c>
      <c r="N1277" s="56">
        <v>0</v>
      </c>
      <c r="O1277" s="147"/>
      <c r="P1277" s="145" t="str">
        <f t="shared" si="63"/>
        <v>PLC3,9</v>
      </c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  <c r="AE1277" s="51"/>
      <c r="AF1277" s="51"/>
    </row>
    <row r="1278" spans="1:32" hidden="1" x14ac:dyDescent="0.25">
      <c r="A1278" s="224"/>
      <c r="B1278" s="145">
        <v>45455</v>
      </c>
      <c r="C1278" s="52" t="s">
        <v>46</v>
      </c>
      <c r="D1278" s="52" t="s">
        <v>38</v>
      </c>
      <c r="E1278" s="41" t="s">
        <v>39</v>
      </c>
      <c r="F1278" s="72" t="s">
        <v>40</v>
      </c>
      <c r="G1278" s="41">
        <v>3.9</v>
      </c>
      <c r="H1278" s="53">
        <v>900</v>
      </c>
      <c r="I1278" s="41">
        <v>700</v>
      </c>
      <c r="J1278" s="53">
        <v>0</v>
      </c>
      <c r="K1278" s="55">
        <v>0</v>
      </c>
      <c r="L1278" s="182">
        <v>0</v>
      </c>
      <c r="M1278" s="55">
        <v>0.03</v>
      </c>
      <c r="N1278" s="56">
        <v>0</v>
      </c>
      <c r="O1278" s="147"/>
      <c r="P1278" s="145" t="str">
        <f t="shared" si="63"/>
        <v>PLC3,9</v>
      </c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</row>
    <row r="1279" spans="1:32" hidden="1" x14ac:dyDescent="0.25">
      <c r="A1279" s="224"/>
      <c r="B1279" s="145">
        <v>45456</v>
      </c>
      <c r="C1279" s="52" t="s">
        <v>50</v>
      </c>
      <c r="D1279" s="52" t="s">
        <v>38</v>
      </c>
      <c r="E1279" s="41" t="s">
        <v>39</v>
      </c>
      <c r="F1279" s="72" t="s">
        <v>40</v>
      </c>
      <c r="G1279" s="41">
        <v>3.9</v>
      </c>
      <c r="H1279" s="53">
        <v>900</v>
      </c>
      <c r="I1279" s="41">
        <v>700</v>
      </c>
      <c r="J1279" s="53">
        <v>0</v>
      </c>
      <c r="K1279" s="55">
        <v>0</v>
      </c>
      <c r="L1279" s="182">
        <v>0</v>
      </c>
      <c r="M1279" s="55">
        <v>0.03</v>
      </c>
      <c r="N1279" s="56">
        <v>0</v>
      </c>
      <c r="O1279" s="147"/>
      <c r="P1279" s="145" t="str">
        <f t="shared" si="63"/>
        <v>PLC3,9</v>
      </c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</row>
    <row r="1280" spans="1:32" hidden="1" x14ac:dyDescent="0.25">
      <c r="A1280" s="224"/>
      <c r="B1280" s="145">
        <v>45457</v>
      </c>
      <c r="C1280" s="52" t="s">
        <v>53</v>
      </c>
      <c r="D1280" s="52" t="s">
        <v>38</v>
      </c>
      <c r="E1280" s="41" t="s">
        <v>39</v>
      </c>
      <c r="F1280" s="72" t="s">
        <v>40</v>
      </c>
      <c r="G1280" s="41">
        <v>3.9</v>
      </c>
      <c r="H1280" s="53">
        <v>900</v>
      </c>
      <c r="I1280" s="41">
        <v>700</v>
      </c>
      <c r="J1280" s="53">
        <v>0</v>
      </c>
      <c r="K1280" s="55">
        <v>0</v>
      </c>
      <c r="L1280" s="182">
        <v>0</v>
      </c>
      <c r="M1280" s="55">
        <v>0.03</v>
      </c>
      <c r="N1280" s="56">
        <v>0</v>
      </c>
      <c r="O1280" s="147"/>
      <c r="P1280" s="145" t="str">
        <f t="shared" si="63"/>
        <v>PLC3,9</v>
      </c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  <c r="AE1280" s="51"/>
      <c r="AF1280" s="51"/>
    </row>
    <row r="1281" spans="1:32" hidden="1" x14ac:dyDescent="0.25">
      <c r="A1281" s="224"/>
      <c r="B1281" s="148">
        <v>45458</v>
      </c>
      <c r="C1281" s="58" t="s">
        <v>57</v>
      </c>
      <c r="D1281" s="59" t="s">
        <v>38</v>
      </c>
      <c r="E1281" s="136" t="s">
        <v>39</v>
      </c>
      <c r="F1281" s="149" t="s">
        <v>40</v>
      </c>
      <c r="G1281" s="136">
        <v>3.9</v>
      </c>
      <c r="H1281" s="60">
        <v>900</v>
      </c>
      <c r="I1281" s="136">
        <v>700</v>
      </c>
      <c r="J1281" s="60">
        <v>0</v>
      </c>
      <c r="K1281" s="62">
        <v>0</v>
      </c>
      <c r="L1281" s="183">
        <v>0</v>
      </c>
      <c r="M1281" s="62">
        <v>0.03</v>
      </c>
      <c r="N1281" s="63">
        <v>0</v>
      </c>
      <c r="O1281" s="150"/>
      <c r="P1281" s="145" t="str">
        <f t="shared" si="63"/>
        <v>PLC3,9</v>
      </c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  <c r="AE1281" s="51"/>
      <c r="AF1281" s="51"/>
    </row>
    <row r="1282" spans="1:32" ht="15.75" hidden="1" thickBot="1" x14ac:dyDescent="0.3">
      <c r="A1282" s="225"/>
      <c r="B1282" s="113">
        <v>45459</v>
      </c>
      <c r="C1282" s="66" t="s">
        <v>59</v>
      </c>
      <c r="D1282" s="67" t="s">
        <v>38</v>
      </c>
      <c r="E1282" s="137" t="s">
        <v>39</v>
      </c>
      <c r="F1282" s="151" t="s">
        <v>40</v>
      </c>
      <c r="G1282" s="137">
        <v>3.9</v>
      </c>
      <c r="H1282" s="67">
        <v>900</v>
      </c>
      <c r="I1282" s="137">
        <v>700</v>
      </c>
      <c r="J1282" s="67">
        <v>0</v>
      </c>
      <c r="K1282" s="69">
        <v>0</v>
      </c>
      <c r="L1282" s="184">
        <v>0</v>
      </c>
      <c r="M1282" s="69">
        <v>0.03</v>
      </c>
      <c r="N1282" s="70">
        <v>0</v>
      </c>
      <c r="O1282" s="152"/>
      <c r="P1282" s="145" t="str">
        <f t="shared" si="63"/>
        <v>PLC3,9</v>
      </c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  <c r="AF1282" s="51"/>
    </row>
    <row r="1283" spans="1:32" hidden="1" x14ac:dyDescent="0.25">
      <c r="A1283" s="223">
        <v>25</v>
      </c>
      <c r="B1283" s="145">
        <v>45460</v>
      </c>
      <c r="C1283" s="40" t="s">
        <v>37</v>
      </c>
      <c r="D1283" s="72" t="s">
        <v>38</v>
      </c>
      <c r="E1283" s="41" t="s">
        <v>39</v>
      </c>
      <c r="F1283" s="52" t="s">
        <v>40</v>
      </c>
      <c r="G1283" s="41">
        <v>3.9</v>
      </c>
      <c r="H1283" s="41">
        <v>900</v>
      </c>
      <c r="I1283" s="41">
        <v>700</v>
      </c>
      <c r="J1283" s="41">
        <v>0</v>
      </c>
      <c r="K1283" s="73">
        <v>0</v>
      </c>
      <c r="L1283" s="181">
        <v>0</v>
      </c>
      <c r="M1283" s="73">
        <v>0.03</v>
      </c>
      <c r="N1283" s="74">
        <v>0</v>
      </c>
      <c r="O1283" s="147"/>
      <c r="P1283" s="145" t="str">
        <f t="shared" si="63"/>
        <v>PLC3,9</v>
      </c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  <c r="AE1283" s="51"/>
      <c r="AF1283" s="51"/>
    </row>
    <row r="1284" spans="1:32" hidden="1" x14ac:dyDescent="0.25">
      <c r="A1284" s="224"/>
      <c r="B1284" s="145">
        <v>45461</v>
      </c>
      <c r="C1284" s="52" t="s">
        <v>42</v>
      </c>
      <c r="D1284" s="52" t="s">
        <v>38</v>
      </c>
      <c r="E1284" s="41" t="s">
        <v>39</v>
      </c>
      <c r="F1284" s="72" t="s">
        <v>40</v>
      </c>
      <c r="G1284" s="41">
        <v>3.9</v>
      </c>
      <c r="H1284" s="53">
        <v>900</v>
      </c>
      <c r="I1284" s="41">
        <v>700</v>
      </c>
      <c r="J1284" s="53">
        <v>0</v>
      </c>
      <c r="K1284" s="55">
        <v>0</v>
      </c>
      <c r="L1284" s="182">
        <v>0</v>
      </c>
      <c r="M1284" s="55">
        <v>0.03</v>
      </c>
      <c r="N1284" s="56">
        <v>0</v>
      </c>
      <c r="O1284" s="147"/>
      <c r="P1284" s="145" t="str">
        <f t="shared" si="63"/>
        <v>PLC3,9</v>
      </c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  <c r="AF1284" s="51"/>
    </row>
    <row r="1285" spans="1:32" hidden="1" x14ac:dyDescent="0.25">
      <c r="A1285" s="224"/>
      <c r="B1285" s="145">
        <v>45462</v>
      </c>
      <c r="C1285" s="52" t="s">
        <v>46</v>
      </c>
      <c r="D1285" s="52" t="s">
        <v>38</v>
      </c>
      <c r="E1285" s="41" t="s">
        <v>39</v>
      </c>
      <c r="F1285" s="72" t="s">
        <v>40</v>
      </c>
      <c r="G1285" s="41">
        <v>3.9</v>
      </c>
      <c r="H1285" s="53">
        <v>900</v>
      </c>
      <c r="I1285" s="41">
        <v>700</v>
      </c>
      <c r="J1285" s="53">
        <v>0</v>
      </c>
      <c r="K1285" s="55">
        <v>0</v>
      </c>
      <c r="L1285" s="182">
        <v>0</v>
      </c>
      <c r="M1285" s="55">
        <v>0.03</v>
      </c>
      <c r="N1285" s="56">
        <v>0</v>
      </c>
      <c r="O1285" s="147"/>
      <c r="P1285" s="145" t="str">
        <f t="shared" si="63"/>
        <v>PLC3,9</v>
      </c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</row>
    <row r="1286" spans="1:32" hidden="1" x14ac:dyDescent="0.25">
      <c r="A1286" s="224"/>
      <c r="B1286" s="145">
        <v>45463</v>
      </c>
      <c r="C1286" s="52" t="s">
        <v>50</v>
      </c>
      <c r="D1286" s="52" t="s">
        <v>38</v>
      </c>
      <c r="E1286" s="41" t="s">
        <v>39</v>
      </c>
      <c r="F1286" s="72" t="s">
        <v>40</v>
      </c>
      <c r="G1286" s="41">
        <v>3.9</v>
      </c>
      <c r="H1286" s="53">
        <v>900</v>
      </c>
      <c r="I1286" s="41">
        <v>700</v>
      </c>
      <c r="J1286" s="53">
        <v>0</v>
      </c>
      <c r="K1286" s="55">
        <v>0</v>
      </c>
      <c r="L1286" s="182">
        <v>0</v>
      </c>
      <c r="M1286" s="55">
        <v>0.03</v>
      </c>
      <c r="N1286" s="56">
        <v>0</v>
      </c>
      <c r="O1286" s="147"/>
      <c r="P1286" s="145" t="str">
        <f t="shared" si="63"/>
        <v>PLC3,9</v>
      </c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</row>
    <row r="1287" spans="1:32" hidden="1" x14ac:dyDescent="0.25">
      <c r="A1287" s="224"/>
      <c r="B1287" s="145">
        <v>45464</v>
      </c>
      <c r="C1287" s="52" t="s">
        <v>53</v>
      </c>
      <c r="D1287" s="52" t="s">
        <v>38</v>
      </c>
      <c r="E1287" s="41" t="s">
        <v>39</v>
      </c>
      <c r="F1287" s="72" t="s">
        <v>40</v>
      </c>
      <c r="G1287" s="41">
        <v>3.9</v>
      </c>
      <c r="H1287" s="53">
        <v>900</v>
      </c>
      <c r="I1287" s="41">
        <v>700</v>
      </c>
      <c r="J1287" s="53">
        <v>0</v>
      </c>
      <c r="K1287" s="55">
        <v>0</v>
      </c>
      <c r="L1287" s="182">
        <v>0</v>
      </c>
      <c r="M1287" s="55">
        <v>0.03</v>
      </c>
      <c r="N1287" s="56">
        <v>0</v>
      </c>
      <c r="O1287" s="147"/>
      <c r="P1287" s="145" t="str">
        <f t="shared" si="63"/>
        <v>PLC3,9</v>
      </c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  <c r="AF1287" s="51"/>
    </row>
    <row r="1288" spans="1:32" hidden="1" x14ac:dyDescent="0.25">
      <c r="A1288" s="224"/>
      <c r="B1288" s="148">
        <v>45465</v>
      </c>
      <c r="C1288" s="58" t="s">
        <v>57</v>
      </c>
      <c r="D1288" s="59" t="s">
        <v>38</v>
      </c>
      <c r="E1288" s="136" t="s">
        <v>39</v>
      </c>
      <c r="F1288" s="149" t="s">
        <v>40</v>
      </c>
      <c r="G1288" s="60">
        <v>3.9</v>
      </c>
      <c r="H1288" s="60">
        <v>900</v>
      </c>
      <c r="I1288" s="136">
        <v>700</v>
      </c>
      <c r="J1288" s="60">
        <v>0</v>
      </c>
      <c r="K1288" s="62">
        <v>0</v>
      </c>
      <c r="L1288" s="183">
        <v>0</v>
      </c>
      <c r="M1288" s="62">
        <v>0.03</v>
      </c>
      <c r="N1288" s="63">
        <v>0</v>
      </c>
      <c r="O1288" s="153"/>
      <c r="P1288" s="145" t="str">
        <f t="shared" si="63"/>
        <v>PLC3,9</v>
      </c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  <c r="AE1288" s="51"/>
      <c r="AF1288" s="51"/>
    </row>
    <row r="1289" spans="1:32" ht="15.75" hidden="1" thickBot="1" x14ac:dyDescent="0.3">
      <c r="A1289" s="225"/>
      <c r="B1289" s="113">
        <v>45466</v>
      </c>
      <c r="C1289" s="66" t="s">
        <v>59</v>
      </c>
      <c r="D1289" s="67" t="s">
        <v>38</v>
      </c>
      <c r="E1289" s="137" t="s">
        <v>39</v>
      </c>
      <c r="F1289" s="151" t="s">
        <v>40</v>
      </c>
      <c r="G1289" s="137">
        <v>3.9</v>
      </c>
      <c r="H1289" s="67">
        <v>900</v>
      </c>
      <c r="I1289" s="137">
        <v>700</v>
      </c>
      <c r="J1289" s="67">
        <v>0</v>
      </c>
      <c r="K1289" s="69">
        <v>0</v>
      </c>
      <c r="L1289" s="184">
        <v>0</v>
      </c>
      <c r="M1289" s="69">
        <v>0.03</v>
      </c>
      <c r="N1289" s="70">
        <v>0</v>
      </c>
      <c r="O1289" s="152"/>
      <c r="P1289" s="145" t="str">
        <f t="shared" si="63"/>
        <v>PLC3,9</v>
      </c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  <c r="AF1289" s="51"/>
    </row>
    <row r="1290" spans="1:32" hidden="1" x14ac:dyDescent="0.25">
      <c r="A1290" s="223">
        <v>26</v>
      </c>
      <c r="B1290" s="145">
        <v>45467</v>
      </c>
      <c r="C1290" s="40" t="s">
        <v>37</v>
      </c>
      <c r="D1290" s="72" t="s">
        <v>38</v>
      </c>
      <c r="E1290" s="41" t="s">
        <v>39</v>
      </c>
      <c r="F1290" s="52" t="s">
        <v>40</v>
      </c>
      <c r="G1290" s="41">
        <v>3.9</v>
      </c>
      <c r="H1290" s="41">
        <v>900</v>
      </c>
      <c r="I1290" s="41">
        <v>700</v>
      </c>
      <c r="J1290" s="41">
        <v>0</v>
      </c>
      <c r="K1290" s="73">
        <v>0</v>
      </c>
      <c r="L1290" s="181">
        <v>0</v>
      </c>
      <c r="M1290" s="73">
        <v>0.03</v>
      </c>
      <c r="N1290" s="74">
        <v>0</v>
      </c>
      <c r="O1290" s="154"/>
      <c r="P1290" s="145" t="str">
        <f t="shared" si="63"/>
        <v>PLC3,9</v>
      </c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</row>
    <row r="1291" spans="1:32" hidden="1" x14ac:dyDescent="0.25">
      <c r="A1291" s="224"/>
      <c r="B1291" s="145">
        <v>45468</v>
      </c>
      <c r="C1291" s="52" t="s">
        <v>42</v>
      </c>
      <c r="D1291" s="52" t="s">
        <v>38</v>
      </c>
      <c r="E1291" s="41" t="s">
        <v>39</v>
      </c>
      <c r="F1291" s="72" t="s">
        <v>40</v>
      </c>
      <c r="G1291" s="41">
        <v>3.9</v>
      </c>
      <c r="H1291" s="53">
        <v>900</v>
      </c>
      <c r="I1291" s="41">
        <v>700</v>
      </c>
      <c r="J1291" s="53">
        <v>0</v>
      </c>
      <c r="K1291" s="55">
        <v>0</v>
      </c>
      <c r="L1291" s="182">
        <v>0</v>
      </c>
      <c r="M1291" s="55">
        <v>0.03</v>
      </c>
      <c r="N1291" s="56">
        <v>0</v>
      </c>
      <c r="O1291" s="147"/>
      <c r="P1291" s="145" t="str">
        <f t="shared" si="63"/>
        <v>PLC3,9</v>
      </c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  <c r="AF1291" s="51"/>
    </row>
    <row r="1292" spans="1:32" hidden="1" x14ac:dyDescent="0.25">
      <c r="A1292" s="224"/>
      <c r="B1292" s="145">
        <v>45469</v>
      </c>
      <c r="C1292" s="52" t="s">
        <v>46</v>
      </c>
      <c r="D1292" s="52" t="s">
        <v>38</v>
      </c>
      <c r="E1292" s="41" t="s">
        <v>39</v>
      </c>
      <c r="F1292" s="72" t="s">
        <v>40</v>
      </c>
      <c r="G1292" s="41">
        <v>3.9</v>
      </c>
      <c r="H1292" s="53">
        <v>900</v>
      </c>
      <c r="I1292" s="41">
        <v>700</v>
      </c>
      <c r="J1292" s="53">
        <v>0</v>
      </c>
      <c r="K1292" s="55">
        <v>0</v>
      </c>
      <c r="L1292" s="182">
        <v>0</v>
      </c>
      <c r="M1292" s="55">
        <v>0.03</v>
      </c>
      <c r="N1292" s="56">
        <v>0</v>
      </c>
      <c r="O1292" s="147"/>
      <c r="P1292" s="145" t="str">
        <f t="shared" si="63"/>
        <v>PLC3,9</v>
      </c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</row>
    <row r="1293" spans="1:32" hidden="1" x14ac:dyDescent="0.25">
      <c r="A1293" s="224"/>
      <c r="B1293" s="145">
        <v>45470</v>
      </c>
      <c r="C1293" s="52" t="s">
        <v>50</v>
      </c>
      <c r="D1293" s="52" t="s">
        <v>38</v>
      </c>
      <c r="E1293" s="41" t="s">
        <v>39</v>
      </c>
      <c r="F1293" s="72" t="s">
        <v>40</v>
      </c>
      <c r="G1293" s="41">
        <v>3.9</v>
      </c>
      <c r="H1293" s="53">
        <v>900</v>
      </c>
      <c r="I1293" s="41">
        <v>700</v>
      </c>
      <c r="J1293" s="53">
        <v>0</v>
      </c>
      <c r="K1293" s="55">
        <v>0</v>
      </c>
      <c r="L1293" s="182">
        <v>0</v>
      </c>
      <c r="M1293" s="55">
        <v>0.03</v>
      </c>
      <c r="N1293" s="56">
        <v>0</v>
      </c>
      <c r="O1293" s="154"/>
      <c r="P1293" s="145" t="str">
        <f t="shared" si="63"/>
        <v>PLC3,9</v>
      </c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  <c r="AE1293" s="51"/>
      <c r="AF1293" s="51"/>
    </row>
    <row r="1294" spans="1:32" hidden="1" x14ac:dyDescent="0.25">
      <c r="A1294" s="224"/>
      <c r="B1294" s="145">
        <v>45471</v>
      </c>
      <c r="C1294" s="52" t="s">
        <v>53</v>
      </c>
      <c r="D1294" s="52" t="s">
        <v>38</v>
      </c>
      <c r="E1294" s="41" t="s">
        <v>39</v>
      </c>
      <c r="F1294" s="72" t="s">
        <v>40</v>
      </c>
      <c r="G1294" s="41">
        <v>3.9</v>
      </c>
      <c r="H1294" s="53">
        <v>900</v>
      </c>
      <c r="I1294" s="41">
        <v>700</v>
      </c>
      <c r="J1294" s="53">
        <v>0</v>
      </c>
      <c r="K1294" s="55">
        <v>0</v>
      </c>
      <c r="L1294" s="182">
        <v>0</v>
      </c>
      <c r="M1294" s="55">
        <v>0.03</v>
      </c>
      <c r="N1294" s="56">
        <v>0</v>
      </c>
      <c r="O1294" s="155"/>
      <c r="P1294" s="145" t="str">
        <f t="shared" si="63"/>
        <v>PLC3,9</v>
      </c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  <c r="AE1294" s="51"/>
      <c r="AF1294" s="51"/>
    </row>
    <row r="1295" spans="1:32" hidden="1" x14ac:dyDescent="0.25">
      <c r="A1295" s="224"/>
      <c r="B1295" s="148">
        <v>45472</v>
      </c>
      <c r="C1295" s="58" t="s">
        <v>57</v>
      </c>
      <c r="D1295" s="59" t="s">
        <v>38</v>
      </c>
      <c r="E1295" s="136" t="s">
        <v>39</v>
      </c>
      <c r="F1295" s="149" t="s">
        <v>40</v>
      </c>
      <c r="G1295" s="136">
        <v>3.9</v>
      </c>
      <c r="H1295" s="60">
        <v>900</v>
      </c>
      <c r="I1295" s="136">
        <v>700</v>
      </c>
      <c r="J1295" s="60">
        <v>0</v>
      </c>
      <c r="K1295" s="62">
        <v>0</v>
      </c>
      <c r="L1295" s="183">
        <v>0</v>
      </c>
      <c r="M1295" s="62">
        <v>0.03</v>
      </c>
      <c r="N1295" s="63">
        <v>0</v>
      </c>
      <c r="O1295" s="150"/>
      <c r="P1295" s="145" t="str">
        <f t="shared" si="63"/>
        <v>PLC3,9</v>
      </c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  <c r="AE1295" s="51"/>
      <c r="AF1295" s="51"/>
    </row>
    <row r="1296" spans="1:32" ht="15.75" hidden="1" thickBot="1" x14ac:dyDescent="0.3">
      <c r="A1296" s="225"/>
      <c r="B1296" s="113">
        <v>45473</v>
      </c>
      <c r="C1296" s="66" t="s">
        <v>59</v>
      </c>
      <c r="D1296" s="67" t="s">
        <v>38</v>
      </c>
      <c r="E1296" s="137" t="s">
        <v>39</v>
      </c>
      <c r="F1296" s="151" t="s">
        <v>40</v>
      </c>
      <c r="G1296" s="137">
        <v>3.9</v>
      </c>
      <c r="H1296" s="67">
        <v>900</v>
      </c>
      <c r="I1296" s="137">
        <v>700</v>
      </c>
      <c r="J1296" s="67">
        <v>0</v>
      </c>
      <c r="K1296" s="69">
        <v>0</v>
      </c>
      <c r="L1296" s="184">
        <v>0</v>
      </c>
      <c r="M1296" s="69">
        <v>0.03</v>
      </c>
      <c r="N1296" s="70">
        <v>0</v>
      </c>
      <c r="O1296" s="152"/>
      <c r="P1296" s="145" t="str">
        <f t="shared" si="63"/>
        <v>PLC3,9</v>
      </c>
      <c r="Q1296" s="51"/>
      <c r="R1296" s="192"/>
      <c r="S1296" s="192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  <c r="AE1296" s="51"/>
      <c r="AF1296" s="51"/>
    </row>
    <row r="1297" spans="1:16" ht="30" hidden="1" x14ac:dyDescent="0.25">
      <c r="A1297" s="223">
        <v>27</v>
      </c>
      <c r="B1297" s="171">
        <v>45474</v>
      </c>
      <c r="C1297" s="172" t="s">
        <v>37</v>
      </c>
      <c r="D1297" s="172" t="s">
        <v>38</v>
      </c>
      <c r="E1297" s="41" t="s">
        <v>39</v>
      </c>
      <c r="F1297" s="174" t="s">
        <v>40</v>
      </c>
      <c r="G1297" s="175">
        <v>3.9</v>
      </c>
      <c r="H1297" s="172">
        <v>900</v>
      </c>
      <c r="I1297" s="172">
        <v>700</v>
      </c>
      <c r="J1297" s="172">
        <v>0</v>
      </c>
      <c r="K1297" s="178">
        <v>0</v>
      </c>
      <c r="L1297" s="185">
        <v>0</v>
      </c>
      <c r="M1297" s="173">
        <v>0.03</v>
      </c>
      <c r="N1297" s="179">
        <v>0</v>
      </c>
      <c r="O1297" s="170" t="s">
        <v>164</v>
      </c>
      <c r="P1297" s="145" t="str">
        <f t="shared" si="63"/>
        <v>PLC3,9</v>
      </c>
    </row>
    <row r="1298" spans="1:16" hidden="1" x14ac:dyDescent="0.25">
      <c r="A1298" s="224"/>
      <c r="B1298" s="145">
        <v>45475</v>
      </c>
      <c r="C1298" s="52" t="s">
        <v>42</v>
      </c>
      <c r="D1298" s="52" t="s">
        <v>38</v>
      </c>
      <c r="E1298" s="41" t="s">
        <v>39</v>
      </c>
      <c r="F1298" s="72" t="s">
        <v>40</v>
      </c>
      <c r="G1298" s="72">
        <v>3.9</v>
      </c>
      <c r="H1298" s="53">
        <v>900</v>
      </c>
      <c r="I1298" s="41">
        <v>700</v>
      </c>
      <c r="J1298" s="53">
        <v>0</v>
      </c>
      <c r="K1298" s="55">
        <v>0</v>
      </c>
      <c r="L1298" s="182">
        <f>+K1298*I1298</f>
        <v>0</v>
      </c>
      <c r="M1298" s="55">
        <v>0.03</v>
      </c>
      <c r="N1298" s="56">
        <v>0</v>
      </c>
      <c r="O1298" s="147"/>
      <c r="P1298" s="145" t="str">
        <f t="shared" si="63"/>
        <v>PLC3,9</v>
      </c>
    </row>
    <row r="1299" spans="1:16" hidden="1" x14ac:dyDescent="0.25">
      <c r="A1299" s="224"/>
      <c r="B1299" s="145">
        <v>45476</v>
      </c>
      <c r="C1299" s="52" t="s">
        <v>46</v>
      </c>
      <c r="D1299" s="52" t="s">
        <v>38</v>
      </c>
      <c r="E1299" s="41" t="s">
        <v>39</v>
      </c>
      <c r="F1299" s="72" t="s">
        <v>40</v>
      </c>
      <c r="G1299" s="72">
        <v>3.9</v>
      </c>
      <c r="H1299" s="53">
        <v>900</v>
      </c>
      <c r="I1299" s="41">
        <v>700</v>
      </c>
      <c r="J1299" s="53">
        <v>0</v>
      </c>
      <c r="K1299" s="55">
        <v>0</v>
      </c>
      <c r="L1299" s="182">
        <f t="shared" ref="L1299:L1310" si="64">+K1299*I1299</f>
        <v>0</v>
      </c>
      <c r="M1299" s="55">
        <v>0.03</v>
      </c>
      <c r="N1299" s="56">
        <v>0</v>
      </c>
      <c r="O1299" s="147"/>
      <c r="P1299" s="145" t="str">
        <f t="shared" si="63"/>
        <v>PLC3,9</v>
      </c>
    </row>
    <row r="1300" spans="1:16" hidden="1" x14ac:dyDescent="0.25">
      <c r="A1300" s="224"/>
      <c r="B1300" s="145">
        <v>45477</v>
      </c>
      <c r="C1300" s="52" t="s">
        <v>50</v>
      </c>
      <c r="D1300" s="52" t="s">
        <v>38</v>
      </c>
      <c r="E1300" s="41" t="s">
        <v>39</v>
      </c>
      <c r="F1300" s="72" t="s">
        <v>40</v>
      </c>
      <c r="G1300" s="72">
        <v>3.9</v>
      </c>
      <c r="H1300" s="53">
        <v>900</v>
      </c>
      <c r="I1300" s="41">
        <v>700</v>
      </c>
      <c r="J1300" s="53">
        <v>0</v>
      </c>
      <c r="K1300" s="55">
        <v>0</v>
      </c>
      <c r="L1300" s="182">
        <f t="shared" si="64"/>
        <v>0</v>
      </c>
      <c r="M1300" s="55">
        <v>0.03</v>
      </c>
      <c r="N1300" s="56">
        <v>0</v>
      </c>
      <c r="O1300" s="147"/>
      <c r="P1300" s="145" t="str">
        <f t="shared" si="63"/>
        <v>PLC3,9</v>
      </c>
    </row>
    <row r="1301" spans="1:16" hidden="1" x14ac:dyDescent="0.25">
      <c r="A1301" s="224"/>
      <c r="B1301" s="145">
        <v>45478</v>
      </c>
      <c r="C1301" s="52" t="s">
        <v>53</v>
      </c>
      <c r="D1301" s="52" t="s">
        <v>38</v>
      </c>
      <c r="E1301" s="41" t="s">
        <v>39</v>
      </c>
      <c r="F1301" s="72" t="s">
        <v>40</v>
      </c>
      <c r="G1301" s="72">
        <v>3.9</v>
      </c>
      <c r="H1301" s="53">
        <v>900</v>
      </c>
      <c r="I1301" s="41">
        <v>700</v>
      </c>
      <c r="J1301" s="53">
        <v>0</v>
      </c>
      <c r="K1301" s="55">
        <v>0</v>
      </c>
      <c r="L1301" s="182">
        <f t="shared" si="64"/>
        <v>0</v>
      </c>
      <c r="M1301" s="55">
        <v>0.03</v>
      </c>
      <c r="N1301" s="56">
        <v>0</v>
      </c>
      <c r="O1301" s="147"/>
      <c r="P1301" s="145" t="str">
        <f t="shared" si="63"/>
        <v>PLC3,9</v>
      </c>
    </row>
    <row r="1302" spans="1:16" hidden="1" x14ac:dyDescent="0.25">
      <c r="A1302" s="224"/>
      <c r="B1302" s="148">
        <v>45479</v>
      </c>
      <c r="C1302" s="58" t="s">
        <v>57</v>
      </c>
      <c r="D1302" s="59" t="s">
        <v>38</v>
      </c>
      <c r="E1302" s="136" t="s">
        <v>39</v>
      </c>
      <c r="F1302" s="149" t="s">
        <v>40</v>
      </c>
      <c r="G1302" s="149">
        <v>3.9</v>
      </c>
      <c r="H1302" s="60">
        <v>900</v>
      </c>
      <c r="I1302" s="136">
        <v>700</v>
      </c>
      <c r="J1302" s="60">
        <v>0</v>
      </c>
      <c r="K1302" s="62">
        <v>0</v>
      </c>
      <c r="L1302" s="183">
        <f t="shared" si="64"/>
        <v>0</v>
      </c>
      <c r="M1302" s="62">
        <v>0.03</v>
      </c>
      <c r="N1302" s="63">
        <v>0</v>
      </c>
      <c r="O1302" s="150"/>
      <c r="P1302" s="145" t="str">
        <f t="shared" si="63"/>
        <v>PLC3,9</v>
      </c>
    </row>
    <row r="1303" spans="1:16" ht="15.75" hidden="1" thickBot="1" x14ac:dyDescent="0.3">
      <c r="A1303" s="225"/>
      <c r="B1303" s="113">
        <v>45480</v>
      </c>
      <c r="C1303" s="66" t="s">
        <v>59</v>
      </c>
      <c r="D1303" s="67" t="s">
        <v>38</v>
      </c>
      <c r="E1303" s="137" t="s">
        <v>39</v>
      </c>
      <c r="F1303" s="151" t="s">
        <v>40</v>
      </c>
      <c r="G1303" s="151">
        <v>3.9</v>
      </c>
      <c r="H1303" s="67">
        <v>900</v>
      </c>
      <c r="I1303" s="137">
        <v>700</v>
      </c>
      <c r="J1303" s="67">
        <v>0</v>
      </c>
      <c r="K1303" s="69">
        <v>0</v>
      </c>
      <c r="L1303" s="184">
        <f t="shared" si="64"/>
        <v>0</v>
      </c>
      <c r="M1303" s="69">
        <v>0.03</v>
      </c>
      <c r="N1303" s="70">
        <v>0</v>
      </c>
      <c r="O1303" s="152"/>
      <c r="P1303" s="145" t="str">
        <f t="shared" si="63"/>
        <v>PLC3,9</v>
      </c>
    </row>
    <row r="1304" spans="1:16" hidden="1" x14ac:dyDescent="0.25">
      <c r="A1304" s="223">
        <f>+A1297+1</f>
        <v>28</v>
      </c>
      <c r="B1304" s="145">
        <v>45481</v>
      </c>
      <c r="C1304" s="40" t="s">
        <v>37</v>
      </c>
      <c r="D1304" s="72" t="s">
        <v>38</v>
      </c>
      <c r="E1304" s="41" t="s">
        <v>39</v>
      </c>
      <c r="F1304" s="72" t="s">
        <v>40</v>
      </c>
      <c r="G1304" s="72">
        <v>3.9</v>
      </c>
      <c r="H1304" s="41">
        <v>900</v>
      </c>
      <c r="I1304" s="41">
        <v>700</v>
      </c>
      <c r="J1304" s="41">
        <v>0</v>
      </c>
      <c r="K1304" s="73">
        <v>0</v>
      </c>
      <c r="L1304" s="181">
        <f t="shared" si="64"/>
        <v>0</v>
      </c>
      <c r="M1304" s="73">
        <v>0.03</v>
      </c>
      <c r="N1304" s="74">
        <v>0</v>
      </c>
      <c r="O1304" s="147"/>
      <c r="P1304" s="145" t="str">
        <f t="shared" si="63"/>
        <v>PLC3,9</v>
      </c>
    </row>
    <row r="1305" spans="1:16" hidden="1" x14ac:dyDescent="0.25">
      <c r="A1305" s="224"/>
      <c r="B1305" s="145">
        <v>45482</v>
      </c>
      <c r="C1305" s="52" t="s">
        <v>42</v>
      </c>
      <c r="D1305" s="52" t="s">
        <v>38</v>
      </c>
      <c r="E1305" s="41" t="s">
        <v>39</v>
      </c>
      <c r="F1305" s="72" t="s">
        <v>40</v>
      </c>
      <c r="G1305" s="72">
        <v>3.9</v>
      </c>
      <c r="H1305" s="53">
        <v>900</v>
      </c>
      <c r="I1305" s="41">
        <v>700</v>
      </c>
      <c r="J1305" s="53">
        <v>0</v>
      </c>
      <c r="K1305" s="55">
        <v>0</v>
      </c>
      <c r="L1305" s="182">
        <f t="shared" si="64"/>
        <v>0</v>
      </c>
      <c r="M1305" s="55">
        <v>0.03</v>
      </c>
      <c r="N1305" s="56">
        <v>0</v>
      </c>
      <c r="O1305" s="147"/>
      <c r="P1305" s="145" t="str">
        <f t="shared" si="63"/>
        <v>PLC3,9</v>
      </c>
    </row>
    <row r="1306" spans="1:16" hidden="1" x14ac:dyDescent="0.25">
      <c r="A1306" s="224"/>
      <c r="B1306" s="145">
        <v>45483</v>
      </c>
      <c r="C1306" s="52" t="s">
        <v>46</v>
      </c>
      <c r="D1306" s="52" t="s">
        <v>38</v>
      </c>
      <c r="E1306" s="41" t="s">
        <v>39</v>
      </c>
      <c r="F1306" s="72" t="s">
        <v>40</v>
      </c>
      <c r="G1306" s="72">
        <v>3.9</v>
      </c>
      <c r="H1306" s="53">
        <v>900</v>
      </c>
      <c r="I1306" s="41">
        <v>700</v>
      </c>
      <c r="J1306" s="53">
        <v>0</v>
      </c>
      <c r="K1306" s="55">
        <v>0</v>
      </c>
      <c r="L1306" s="182">
        <f t="shared" si="64"/>
        <v>0</v>
      </c>
      <c r="M1306" s="55">
        <v>0.03</v>
      </c>
      <c r="N1306" s="56">
        <v>0</v>
      </c>
      <c r="O1306" s="147"/>
      <c r="P1306" s="145" t="str">
        <f t="shared" si="63"/>
        <v>PLC3,9</v>
      </c>
    </row>
    <row r="1307" spans="1:16" hidden="1" x14ac:dyDescent="0.25">
      <c r="A1307" s="224"/>
      <c r="B1307" s="145">
        <v>45484</v>
      </c>
      <c r="C1307" s="52" t="s">
        <v>50</v>
      </c>
      <c r="D1307" s="52" t="s">
        <v>38</v>
      </c>
      <c r="E1307" s="41" t="s">
        <v>39</v>
      </c>
      <c r="F1307" s="72" t="s">
        <v>40</v>
      </c>
      <c r="G1307" s="72">
        <v>3.9</v>
      </c>
      <c r="H1307" s="53">
        <v>900</v>
      </c>
      <c r="I1307" s="41">
        <v>700</v>
      </c>
      <c r="J1307" s="53">
        <v>0</v>
      </c>
      <c r="K1307" s="55">
        <v>0</v>
      </c>
      <c r="L1307" s="182">
        <f t="shared" si="64"/>
        <v>0</v>
      </c>
      <c r="M1307" s="55">
        <v>0.03</v>
      </c>
      <c r="N1307" s="56">
        <v>0</v>
      </c>
      <c r="O1307" s="147"/>
      <c r="P1307" s="145" t="str">
        <f t="shared" si="63"/>
        <v>PLC3,9</v>
      </c>
    </row>
    <row r="1308" spans="1:16" hidden="1" x14ac:dyDescent="0.25">
      <c r="A1308" s="224"/>
      <c r="B1308" s="145">
        <v>45485</v>
      </c>
      <c r="C1308" s="52" t="s">
        <v>53</v>
      </c>
      <c r="D1308" s="52" t="s">
        <v>38</v>
      </c>
      <c r="E1308" s="41" t="s">
        <v>39</v>
      </c>
      <c r="F1308" s="72" t="s">
        <v>40</v>
      </c>
      <c r="G1308" s="72">
        <v>3.9</v>
      </c>
      <c r="H1308" s="53">
        <v>900</v>
      </c>
      <c r="I1308" s="41">
        <v>700</v>
      </c>
      <c r="J1308" s="53">
        <v>0</v>
      </c>
      <c r="K1308" s="55">
        <v>0</v>
      </c>
      <c r="L1308" s="182">
        <f t="shared" si="64"/>
        <v>0</v>
      </c>
      <c r="M1308" s="55">
        <v>0.03</v>
      </c>
      <c r="N1308" s="56">
        <v>0</v>
      </c>
      <c r="O1308" s="147"/>
      <c r="P1308" s="145" t="str">
        <f t="shared" si="63"/>
        <v>PLC3,9</v>
      </c>
    </row>
    <row r="1309" spans="1:16" hidden="1" x14ac:dyDescent="0.25">
      <c r="A1309" s="224"/>
      <c r="B1309" s="148">
        <v>45486</v>
      </c>
      <c r="C1309" s="58" t="s">
        <v>57</v>
      </c>
      <c r="D1309" s="59" t="s">
        <v>38</v>
      </c>
      <c r="E1309" s="136" t="s">
        <v>39</v>
      </c>
      <c r="F1309" s="149" t="s">
        <v>40</v>
      </c>
      <c r="G1309" s="149">
        <v>3.9</v>
      </c>
      <c r="H1309" s="60">
        <v>900</v>
      </c>
      <c r="I1309" s="136">
        <v>700</v>
      </c>
      <c r="J1309" s="60">
        <v>0</v>
      </c>
      <c r="K1309" s="62">
        <v>0</v>
      </c>
      <c r="L1309" s="183">
        <f t="shared" si="64"/>
        <v>0</v>
      </c>
      <c r="M1309" s="62">
        <v>0.03</v>
      </c>
      <c r="N1309" s="63">
        <v>0</v>
      </c>
      <c r="O1309" s="150"/>
      <c r="P1309" s="145" t="str">
        <f t="shared" si="63"/>
        <v>PLC3,9</v>
      </c>
    </row>
    <row r="1310" spans="1:16" ht="15.75" hidden="1" thickBot="1" x14ac:dyDescent="0.3">
      <c r="A1310" s="225"/>
      <c r="B1310" s="113">
        <v>45487</v>
      </c>
      <c r="C1310" s="66" t="s">
        <v>59</v>
      </c>
      <c r="D1310" s="67" t="s">
        <v>38</v>
      </c>
      <c r="E1310" s="137" t="s">
        <v>39</v>
      </c>
      <c r="F1310" s="151" t="s">
        <v>40</v>
      </c>
      <c r="G1310" s="151">
        <v>3.9</v>
      </c>
      <c r="H1310" s="67">
        <v>900</v>
      </c>
      <c r="I1310" s="137">
        <v>700</v>
      </c>
      <c r="J1310" s="67">
        <v>0</v>
      </c>
      <c r="K1310" s="69">
        <v>0</v>
      </c>
      <c r="L1310" s="184">
        <f t="shared" si="64"/>
        <v>0</v>
      </c>
      <c r="M1310" s="69">
        <v>0.03</v>
      </c>
      <c r="N1310" s="70">
        <v>0</v>
      </c>
      <c r="O1310" s="152"/>
      <c r="P1310" s="145" t="str">
        <f t="shared" si="63"/>
        <v>PLC3,9</v>
      </c>
    </row>
    <row r="1311" spans="1:16" hidden="1" x14ac:dyDescent="0.25">
      <c r="A1311" s="223">
        <f>+A1304+1</f>
        <v>29</v>
      </c>
      <c r="B1311" s="145">
        <v>45488</v>
      </c>
      <c r="C1311" s="40" t="s">
        <v>37</v>
      </c>
      <c r="D1311" s="72" t="s">
        <v>38</v>
      </c>
      <c r="E1311" s="41" t="s">
        <v>39</v>
      </c>
      <c r="F1311" s="72" t="s">
        <v>40</v>
      </c>
      <c r="G1311" s="72">
        <v>3.9</v>
      </c>
      <c r="H1311" s="41">
        <v>900</v>
      </c>
      <c r="I1311" s="41">
        <v>670</v>
      </c>
      <c r="J1311" s="41">
        <v>0</v>
      </c>
      <c r="K1311" s="73">
        <v>0</v>
      </c>
      <c r="L1311" s="41">
        <v>0</v>
      </c>
      <c r="M1311" s="73">
        <v>0.03</v>
      </c>
      <c r="N1311" s="74">
        <v>0</v>
      </c>
      <c r="O1311" s="147"/>
      <c r="P1311" s="145" t="str">
        <f t="shared" si="63"/>
        <v>PLC3,9</v>
      </c>
    </row>
    <row r="1312" spans="1:16" hidden="1" x14ac:dyDescent="0.25">
      <c r="A1312" s="224"/>
      <c r="B1312" s="145">
        <v>45489</v>
      </c>
      <c r="C1312" s="52" t="s">
        <v>42</v>
      </c>
      <c r="D1312" s="52" t="s">
        <v>38</v>
      </c>
      <c r="E1312" s="41" t="s">
        <v>39</v>
      </c>
      <c r="F1312" s="72" t="s">
        <v>40</v>
      </c>
      <c r="G1312" s="72">
        <v>3.9</v>
      </c>
      <c r="H1312" s="53">
        <v>900</v>
      </c>
      <c r="I1312" s="41">
        <v>670</v>
      </c>
      <c r="J1312" s="53">
        <v>0</v>
      </c>
      <c r="K1312" s="55">
        <v>0</v>
      </c>
      <c r="L1312" s="53">
        <v>0</v>
      </c>
      <c r="M1312" s="55">
        <v>0.03</v>
      </c>
      <c r="N1312" s="56">
        <v>0</v>
      </c>
      <c r="O1312" s="147"/>
      <c r="P1312" s="145" t="str">
        <f t="shared" si="63"/>
        <v>PLC3,9</v>
      </c>
    </row>
    <row r="1313" spans="1:16" hidden="1" x14ac:dyDescent="0.25">
      <c r="A1313" s="224"/>
      <c r="B1313" s="145">
        <v>45490</v>
      </c>
      <c r="C1313" s="52" t="s">
        <v>46</v>
      </c>
      <c r="D1313" s="52" t="s">
        <v>38</v>
      </c>
      <c r="E1313" s="41" t="s">
        <v>39</v>
      </c>
      <c r="F1313" s="72" t="s">
        <v>40</v>
      </c>
      <c r="G1313" s="72">
        <v>3.9</v>
      </c>
      <c r="H1313" s="53">
        <v>900</v>
      </c>
      <c r="I1313" s="41">
        <v>670</v>
      </c>
      <c r="J1313" s="53">
        <v>0</v>
      </c>
      <c r="K1313" s="55">
        <v>0</v>
      </c>
      <c r="L1313" s="53">
        <v>0</v>
      </c>
      <c r="M1313" s="55">
        <v>0.03</v>
      </c>
      <c r="N1313" s="56">
        <v>0</v>
      </c>
      <c r="O1313" s="147"/>
      <c r="P1313" s="145" t="str">
        <f t="shared" si="63"/>
        <v>PLC3,9</v>
      </c>
    </row>
    <row r="1314" spans="1:16" hidden="1" x14ac:dyDescent="0.25">
      <c r="A1314" s="224"/>
      <c r="B1314" s="145">
        <v>45491</v>
      </c>
      <c r="C1314" s="52" t="s">
        <v>50</v>
      </c>
      <c r="D1314" s="52" t="s">
        <v>38</v>
      </c>
      <c r="E1314" s="41" t="s">
        <v>39</v>
      </c>
      <c r="F1314" s="72" t="s">
        <v>40</v>
      </c>
      <c r="G1314" s="72">
        <v>3.9</v>
      </c>
      <c r="H1314" s="53">
        <v>900</v>
      </c>
      <c r="I1314" s="41">
        <v>670</v>
      </c>
      <c r="J1314" s="53">
        <v>0</v>
      </c>
      <c r="K1314" s="55">
        <v>0</v>
      </c>
      <c r="L1314" s="53">
        <v>0</v>
      </c>
      <c r="M1314" s="55">
        <v>0.03</v>
      </c>
      <c r="N1314" s="56">
        <v>0</v>
      </c>
      <c r="O1314" s="156"/>
      <c r="P1314" s="145" t="str">
        <f t="shared" si="63"/>
        <v>PLC3,9</v>
      </c>
    </row>
    <row r="1315" spans="1:16" hidden="1" x14ac:dyDescent="0.25">
      <c r="A1315" s="224"/>
      <c r="B1315" s="145">
        <v>45492</v>
      </c>
      <c r="C1315" s="52" t="s">
        <v>53</v>
      </c>
      <c r="D1315" s="52" t="s">
        <v>38</v>
      </c>
      <c r="E1315" s="41" t="s">
        <v>39</v>
      </c>
      <c r="F1315" s="72" t="s">
        <v>40</v>
      </c>
      <c r="G1315" s="72">
        <v>3.9</v>
      </c>
      <c r="H1315" s="53">
        <v>900</v>
      </c>
      <c r="I1315" s="41">
        <v>670</v>
      </c>
      <c r="J1315" s="53">
        <v>0</v>
      </c>
      <c r="K1315" s="55">
        <v>0</v>
      </c>
      <c r="L1315" s="53">
        <v>0</v>
      </c>
      <c r="M1315" s="55">
        <v>0.03</v>
      </c>
      <c r="N1315" s="56">
        <v>0</v>
      </c>
      <c r="O1315" s="147"/>
      <c r="P1315" s="145" t="str">
        <f t="shared" si="63"/>
        <v>PLC3,9</v>
      </c>
    </row>
    <row r="1316" spans="1:16" hidden="1" x14ac:dyDescent="0.25">
      <c r="A1316" s="224"/>
      <c r="B1316" s="148">
        <v>45493</v>
      </c>
      <c r="C1316" s="58" t="s">
        <v>57</v>
      </c>
      <c r="D1316" s="59" t="s">
        <v>38</v>
      </c>
      <c r="E1316" s="136" t="s">
        <v>39</v>
      </c>
      <c r="F1316" s="149" t="s">
        <v>40</v>
      </c>
      <c r="G1316" s="149">
        <v>3.9</v>
      </c>
      <c r="H1316" s="60">
        <v>900</v>
      </c>
      <c r="I1316" s="136">
        <v>670</v>
      </c>
      <c r="J1316" s="60">
        <v>0</v>
      </c>
      <c r="K1316" s="62">
        <v>0</v>
      </c>
      <c r="L1316" s="60">
        <v>0</v>
      </c>
      <c r="M1316" s="62">
        <v>0.03</v>
      </c>
      <c r="N1316" s="63">
        <v>0</v>
      </c>
      <c r="O1316" s="150"/>
      <c r="P1316" s="145" t="str">
        <f t="shared" si="63"/>
        <v>PLC3,9</v>
      </c>
    </row>
    <row r="1317" spans="1:16" ht="15.75" hidden="1" thickBot="1" x14ac:dyDescent="0.3">
      <c r="A1317" s="225"/>
      <c r="B1317" s="113">
        <v>45494</v>
      </c>
      <c r="C1317" s="66" t="s">
        <v>59</v>
      </c>
      <c r="D1317" s="67" t="s">
        <v>38</v>
      </c>
      <c r="E1317" s="137" t="s">
        <v>39</v>
      </c>
      <c r="F1317" s="151" t="s">
        <v>40</v>
      </c>
      <c r="G1317" s="151">
        <v>3.9</v>
      </c>
      <c r="H1317" s="67">
        <v>900</v>
      </c>
      <c r="I1317" s="137">
        <v>670</v>
      </c>
      <c r="J1317" s="67">
        <v>0</v>
      </c>
      <c r="K1317" s="69">
        <v>0</v>
      </c>
      <c r="L1317" s="67">
        <v>0</v>
      </c>
      <c r="M1317" s="69">
        <v>0.03</v>
      </c>
      <c r="N1317" s="70">
        <v>0</v>
      </c>
      <c r="O1317" s="152"/>
      <c r="P1317" s="145" t="str">
        <f t="shared" si="63"/>
        <v>PLC3,9</v>
      </c>
    </row>
    <row r="1318" spans="1:16" hidden="1" x14ac:dyDescent="0.25">
      <c r="A1318" s="223">
        <f>+A1311+1</f>
        <v>30</v>
      </c>
      <c r="B1318" s="145">
        <v>45495</v>
      </c>
      <c r="C1318" s="40" t="s">
        <v>37</v>
      </c>
      <c r="D1318" s="72" t="s">
        <v>38</v>
      </c>
      <c r="E1318" s="41" t="s">
        <v>39</v>
      </c>
      <c r="F1318" s="72" t="s">
        <v>40</v>
      </c>
      <c r="G1318" s="72">
        <v>3.9</v>
      </c>
      <c r="H1318" s="41">
        <v>900</v>
      </c>
      <c r="I1318" s="41">
        <v>670</v>
      </c>
      <c r="J1318" s="41">
        <v>0</v>
      </c>
      <c r="K1318" s="73">
        <v>0.5</v>
      </c>
      <c r="L1318" s="41">
        <v>335</v>
      </c>
      <c r="M1318" s="73">
        <v>0.03</v>
      </c>
      <c r="N1318" s="74">
        <v>325</v>
      </c>
      <c r="O1318" s="147"/>
      <c r="P1318" s="145" t="str">
        <f t="shared" si="63"/>
        <v>PLC3,9</v>
      </c>
    </row>
    <row r="1319" spans="1:16" hidden="1" x14ac:dyDescent="0.25">
      <c r="A1319" s="224"/>
      <c r="B1319" s="145">
        <v>45496</v>
      </c>
      <c r="C1319" s="52" t="s">
        <v>42</v>
      </c>
      <c r="D1319" s="52" t="s">
        <v>38</v>
      </c>
      <c r="E1319" s="41" t="s">
        <v>39</v>
      </c>
      <c r="F1319" s="72" t="s">
        <v>40</v>
      </c>
      <c r="G1319" s="72">
        <v>3.9</v>
      </c>
      <c r="H1319" s="53">
        <v>900</v>
      </c>
      <c r="I1319" s="41">
        <v>670</v>
      </c>
      <c r="J1319" s="53">
        <v>0</v>
      </c>
      <c r="K1319" s="55">
        <v>0.5</v>
      </c>
      <c r="L1319" s="53">
        <v>335</v>
      </c>
      <c r="M1319" s="55">
        <v>0.03</v>
      </c>
      <c r="N1319" s="56">
        <v>325</v>
      </c>
      <c r="O1319" s="147"/>
      <c r="P1319" s="145" t="str">
        <f t="shared" si="63"/>
        <v>PLC3,9</v>
      </c>
    </row>
    <row r="1320" spans="1:16" hidden="1" x14ac:dyDescent="0.25">
      <c r="A1320" s="224"/>
      <c r="B1320" s="145">
        <v>45497</v>
      </c>
      <c r="C1320" s="52" t="s">
        <v>46</v>
      </c>
      <c r="D1320" s="52" t="s">
        <v>38</v>
      </c>
      <c r="E1320" s="41" t="s">
        <v>39</v>
      </c>
      <c r="F1320" s="72" t="s">
        <v>40</v>
      </c>
      <c r="G1320" s="72">
        <v>3.9</v>
      </c>
      <c r="H1320" s="53">
        <v>900</v>
      </c>
      <c r="I1320" s="41">
        <v>670</v>
      </c>
      <c r="J1320" s="53">
        <v>0</v>
      </c>
      <c r="K1320" s="55">
        <v>0.5</v>
      </c>
      <c r="L1320" s="53">
        <v>335</v>
      </c>
      <c r="M1320" s="55">
        <v>0.03</v>
      </c>
      <c r="N1320" s="56">
        <v>325</v>
      </c>
      <c r="O1320" s="147"/>
      <c r="P1320" s="145" t="str">
        <f t="shared" si="63"/>
        <v>PLC3,9</v>
      </c>
    </row>
    <row r="1321" spans="1:16" hidden="1" x14ac:dyDescent="0.25">
      <c r="A1321" s="224"/>
      <c r="B1321" s="145">
        <v>45498</v>
      </c>
      <c r="C1321" s="52" t="s">
        <v>50</v>
      </c>
      <c r="D1321" s="52" t="s">
        <v>38</v>
      </c>
      <c r="E1321" s="41" t="s">
        <v>39</v>
      </c>
      <c r="F1321" s="72" t="s">
        <v>40</v>
      </c>
      <c r="G1321" s="72">
        <v>3.9</v>
      </c>
      <c r="H1321" s="53">
        <v>900</v>
      </c>
      <c r="I1321" s="41">
        <v>670</v>
      </c>
      <c r="J1321" s="53">
        <v>0</v>
      </c>
      <c r="K1321" s="55">
        <v>0.5</v>
      </c>
      <c r="L1321" s="53">
        <v>335</v>
      </c>
      <c r="M1321" s="55">
        <v>0.03</v>
      </c>
      <c r="N1321" s="56">
        <v>325</v>
      </c>
      <c r="O1321" s="147"/>
      <c r="P1321" s="145" t="str">
        <f t="shared" si="63"/>
        <v>PLC3,9</v>
      </c>
    </row>
    <row r="1322" spans="1:16" hidden="1" x14ac:dyDescent="0.25">
      <c r="A1322" s="224"/>
      <c r="B1322" s="145">
        <v>45499</v>
      </c>
      <c r="C1322" s="52" t="s">
        <v>53</v>
      </c>
      <c r="D1322" s="52" t="s">
        <v>38</v>
      </c>
      <c r="E1322" s="41" t="s">
        <v>39</v>
      </c>
      <c r="F1322" s="72" t="s">
        <v>40</v>
      </c>
      <c r="G1322" s="72">
        <v>3.9</v>
      </c>
      <c r="H1322" s="53">
        <v>900</v>
      </c>
      <c r="I1322" s="41">
        <v>680</v>
      </c>
      <c r="J1322" s="53">
        <v>0</v>
      </c>
      <c r="K1322" s="55">
        <v>0.5</v>
      </c>
      <c r="L1322" s="53">
        <v>340</v>
      </c>
      <c r="M1322" s="55">
        <v>0.03</v>
      </c>
      <c r="N1322" s="56">
        <v>330</v>
      </c>
      <c r="O1322" s="147"/>
      <c r="P1322" s="145" t="str">
        <f t="shared" si="63"/>
        <v>PLC3,9</v>
      </c>
    </row>
    <row r="1323" spans="1:16" hidden="1" x14ac:dyDescent="0.25">
      <c r="A1323" s="224"/>
      <c r="B1323" s="148">
        <v>45500</v>
      </c>
      <c r="C1323" s="58" t="s">
        <v>57</v>
      </c>
      <c r="D1323" s="59" t="s">
        <v>38</v>
      </c>
      <c r="E1323" s="136" t="s">
        <v>39</v>
      </c>
      <c r="F1323" s="149" t="s">
        <v>40</v>
      </c>
      <c r="G1323" s="149">
        <v>3.9</v>
      </c>
      <c r="H1323" s="60">
        <v>900</v>
      </c>
      <c r="I1323" s="136">
        <v>680</v>
      </c>
      <c r="J1323" s="60">
        <v>0</v>
      </c>
      <c r="K1323" s="62">
        <v>0.5</v>
      </c>
      <c r="L1323" s="60">
        <v>345</v>
      </c>
      <c r="M1323" s="62">
        <v>0.03</v>
      </c>
      <c r="N1323" s="63">
        <v>335</v>
      </c>
      <c r="O1323" s="150"/>
      <c r="P1323" s="145" t="str">
        <f t="shared" si="63"/>
        <v>PLC3,9</v>
      </c>
    </row>
    <row r="1324" spans="1:16" ht="15.75" hidden="1" thickBot="1" x14ac:dyDescent="0.3">
      <c r="A1324" s="225"/>
      <c r="B1324" s="113">
        <v>45501</v>
      </c>
      <c r="C1324" s="66" t="s">
        <v>59</v>
      </c>
      <c r="D1324" s="67" t="s">
        <v>38</v>
      </c>
      <c r="E1324" s="137" t="s">
        <v>39</v>
      </c>
      <c r="F1324" s="151" t="s">
        <v>40</v>
      </c>
      <c r="G1324" s="151">
        <v>3.9</v>
      </c>
      <c r="H1324" s="67">
        <v>900</v>
      </c>
      <c r="I1324" s="137">
        <v>680</v>
      </c>
      <c r="J1324" s="67">
        <v>0</v>
      </c>
      <c r="K1324" s="69">
        <v>0.5</v>
      </c>
      <c r="L1324" s="67">
        <v>350</v>
      </c>
      <c r="M1324" s="69">
        <v>0.03</v>
      </c>
      <c r="N1324" s="70">
        <v>340</v>
      </c>
      <c r="O1324" s="152"/>
      <c r="P1324" s="145" t="str">
        <f t="shared" si="63"/>
        <v>PLC3,9</v>
      </c>
    </row>
    <row r="1325" spans="1:16" hidden="1" x14ac:dyDescent="0.25">
      <c r="A1325" s="223">
        <f>+A1318+1</f>
        <v>31</v>
      </c>
      <c r="B1325" s="145">
        <v>45502</v>
      </c>
      <c r="C1325" s="40" t="s">
        <v>37</v>
      </c>
      <c r="D1325" s="72" t="s">
        <v>38</v>
      </c>
      <c r="E1325" s="41" t="s">
        <v>39</v>
      </c>
      <c r="F1325" s="72" t="s">
        <v>40</v>
      </c>
      <c r="G1325" s="72">
        <v>3.9</v>
      </c>
      <c r="H1325" s="72">
        <v>900</v>
      </c>
      <c r="I1325" s="41">
        <v>680</v>
      </c>
      <c r="J1325" s="72">
        <v>0</v>
      </c>
      <c r="K1325" s="73">
        <v>0.6</v>
      </c>
      <c r="L1325" s="72">
        <v>426</v>
      </c>
      <c r="M1325" s="157">
        <v>0.03</v>
      </c>
      <c r="N1325" s="158">
        <v>413</v>
      </c>
      <c r="O1325" s="146"/>
      <c r="P1325" s="145" t="str">
        <f t="shared" si="63"/>
        <v>PLC3,9</v>
      </c>
    </row>
    <row r="1326" spans="1:16" hidden="1" x14ac:dyDescent="0.25">
      <c r="A1326" s="224"/>
      <c r="B1326" s="145">
        <v>45503</v>
      </c>
      <c r="C1326" s="52" t="s">
        <v>42</v>
      </c>
      <c r="D1326" s="52" t="s">
        <v>38</v>
      </c>
      <c r="E1326" s="41" t="s">
        <v>39</v>
      </c>
      <c r="F1326" s="72" t="s">
        <v>40</v>
      </c>
      <c r="G1326" s="72">
        <v>3.9</v>
      </c>
      <c r="H1326" s="72">
        <v>900</v>
      </c>
      <c r="I1326" s="41">
        <v>690</v>
      </c>
      <c r="J1326" s="72">
        <v>0</v>
      </c>
      <c r="K1326" s="55">
        <v>0.6</v>
      </c>
      <c r="L1326" s="72">
        <v>432</v>
      </c>
      <c r="M1326" s="157">
        <v>0.03</v>
      </c>
      <c r="N1326" s="158">
        <v>419</v>
      </c>
      <c r="O1326" s="147"/>
      <c r="P1326" s="145" t="str">
        <f t="shared" si="63"/>
        <v>PLC3,9</v>
      </c>
    </row>
    <row r="1327" spans="1:16" ht="15" hidden="1" customHeight="1" x14ac:dyDescent="0.25">
      <c r="A1327" s="224"/>
      <c r="B1327" s="145">
        <v>45504</v>
      </c>
      <c r="C1327" s="52" t="s">
        <v>46</v>
      </c>
      <c r="D1327" s="52" t="s">
        <v>38</v>
      </c>
      <c r="E1327" s="41" t="s">
        <v>39</v>
      </c>
      <c r="F1327" s="72" t="s">
        <v>40</v>
      </c>
      <c r="G1327" s="72">
        <v>3.9</v>
      </c>
      <c r="H1327" s="72">
        <v>900</v>
      </c>
      <c r="I1327" s="41">
        <v>720</v>
      </c>
      <c r="J1327" s="72">
        <v>0</v>
      </c>
      <c r="K1327" s="55">
        <v>0.6</v>
      </c>
      <c r="L1327" s="72">
        <v>438</v>
      </c>
      <c r="M1327" s="157">
        <v>0.03</v>
      </c>
      <c r="N1327" s="158">
        <v>425</v>
      </c>
      <c r="O1327" s="147"/>
      <c r="P1327" s="145" t="str">
        <f t="shared" si="63"/>
        <v>PLC3,9</v>
      </c>
    </row>
    <row r="1328" spans="1:16" ht="15" hidden="1" customHeight="1" x14ac:dyDescent="0.25">
      <c r="A1328" s="224"/>
      <c r="B1328" s="145">
        <v>45505</v>
      </c>
      <c r="C1328" s="52" t="s">
        <v>50</v>
      </c>
      <c r="D1328" s="52" t="s">
        <v>38</v>
      </c>
      <c r="E1328" s="41" t="s">
        <v>39</v>
      </c>
      <c r="F1328" s="72" t="s">
        <v>40</v>
      </c>
      <c r="G1328" s="72">
        <v>3.9</v>
      </c>
      <c r="H1328" s="72">
        <v>900</v>
      </c>
      <c r="I1328" s="41">
        <v>740</v>
      </c>
      <c r="J1328" s="72">
        <v>0</v>
      </c>
      <c r="K1328" s="55">
        <v>0.6</v>
      </c>
      <c r="L1328" s="72">
        <v>444</v>
      </c>
      <c r="M1328" s="157">
        <v>0.03</v>
      </c>
      <c r="N1328" s="158">
        <v>431</v>
      </c>
      <c r="O1328" s="147"/>
      <c r="P1328" s="145" t="str">
        <f t="shared" si="63"/>
        <v>PLC3,9</v>
      </c>
    </row>
    <row r="1329" spans="1:32" ht="15" hidden="1" customHeight="1" x14ac:dyDescent="0.25">
      <c r="A1329" s="224"/>
      <c r="B1329" s="145">
        <v>45506</v>
      </c>
      <c r="C1329" s="52" t="s">
        <v>53</v>
      </c>
      <c r="D1329" s="52" t="s">
        <v>38</v>
      </c>
      <c r="E1329" s="41" t="s">
        <v>39</v>
      </c>
      <c r="F1329" s="72" t="s">
        <v>40</v>
      </c>
      <c r="G1329" s="72">
        <v>3.9</v>
      </c>
      <c r="H1329" s="72">
        <v>900</v>
      </c>
      <c r="I1329" s="41">
        <v>750</v>
      </c>
      <c r="J1329" s="72">
        <v>0</v>
      </c>
      <c r="K1329" s="55">
        <v>0.6</v>
      </c>
      <c r="L1329" s="72">
        <v>450</v>
      </c>
      <c r="M1329" s="157">
        <v>0.03</v>
      </c>
      <c r="N1329" s="158">
        <v>437</v>
      </c>
      <c r="O1329" s="147"/>
      <c r="P1329" s="145" t="str">
        <f t="shared" si="63"/>
        <v>PLC3,9</v>
      </c>
    </row>
    <row r="1330" spans="1:32" ht="15.75" hidden="1" customHeight="1" x14ac:dyDescent="0.25">
      <c r="A1330" s="224"/>
      <c r="B1330" s="148">
        <v>45507</v>
      </c>
      <c r="C1330" s="58" t="s">
        <v>57</v>
      </c>
      <c r="D1330" s="59" t="s">
        <v>38</v>
      </c>
      <c r="E1330" s="136" t="s">
        <v>39</v>
      </c>
      <c r="F1330" s="149" t="s">
        <v>40</v>
      </c>
      <c r="G1330" s="149">
        <v>3.9</v>
      </c>
      <c r="H1330" s="149">
        <v>900</v>
      </c>
      <c r="I1330" s="136">
        <v>750</v>
      </c>
      <c r="J1330" s="149">
        <v>0</v>
      </c>
      <c r="K1330" s="62">
        <v>0.6</v>
      </c>
      <c r="L1330" s="149">
        <v>450</v>
      </c>
      <c r="M1330" s="159">
        <v>0.03</v>
      </c>
      <c r="N1330" s="160">
        <v>437</v>
      </c>
      <c r="O1330" s="150"/>
      <c r="P1330" s="145" t="str">
        <f t="shared" si="63"/>
        <v>PLC3,9</v>
      </c>
    </row>
    <row r="1331" spans="1:32" ht="15" hidden="1" customHeight="1" thickBot="1" x14ac:dyDescent="0.3">
      <c r="A1331" s="225"/>
      <c r="B1331" s="113">
        <v>45508</v>
      </c>
      <c r="C1331" s="66" t="s">
        <v>59</v>
      </c>
      <c r="D1331" s="67" t="s">
        <v>38</v>
      </c>
      <c r="E1331" s="137" t="s">
        <v>39</v>
      </c>
      <c r="F1331" s="151" t="s">
        <v>40</v>
      </c>
      <c r="G1331" s="151">
        <v>3.9</v>
      </c>
      <c r="H1331" s="151">
        <v>900</v>
      </c>
      <c r="I1331" s="137">
        <v>750</v>
      </c>
      <c r="J1331" s="151">
        <v>0</v>
      </c>
      <c r="K1331" s="69">
        <v>0.6</v>
      </c>
      <c r="L1331" s="151">
        <v>450</v>
      </c>
      <c r="M1331" s="161">
        <v>0.03</v>
      </c>
      <c r="N1331" s="162">
        <v>437</v>
      </c>
      <c r="O1331" s="152"/>
      <c r="P1331" s="145" t="str">
        <f t="shared" si="63"/>
        <v>PLC3,9</v>
      </c>
    </row>
    <row r="1332" spans="1:32" ht="15" hidden="1" customHeight="1" x14ac:dyDescent="0.25">
      <c r="A1332" s="223">
        <v>32</v>
      </c>
      <c r="B1332" s="145">
        <v>45509</v>
      </c>
      <c r="C1332" s="40" t="s">
        <v>37</v>
      </c>
      <c r="D1332" s="72" t="s">
        <v>38</v>
      </c>
      <c r="E1332" s="41" t="s">
        <v>39</v>
      </c>
      <c r="F1332" s="72" t="s">
        <v>40</v>
      </c>
      <c r="G1332" s="72">
        <v>3.9</v>
      </c>
      <c r="H1332" s="72">
        <v>900</v>
      </c>
      <c r="I1332" s="72">
        <v>760</v>
      </c>
      <c r="J1332" s="72">
        <v>0</v>
      </c>
      <c r="K1332" s="157">
        <v>0.5</v>
      </c>
      <c r="L1332" s="72">
        <v>380</v>
      </c>
      <c r="M1332" s="157">
        <v>0.03</v>
      </c>
      <c r="N1332" s="158">
        <v>369</v>
      </c>
      <c r="O1332" s="147"/>
      <c r="P1332" s="145" t="str">
        <f t="shared" si="63"/>
        <v>PLC3,9</v>
      </c>
      <c r="Q1332" s="51"/>
      <c r="R1332" s="193"/>
      <c r="S1332" s="193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  <c r="AE1332" s="51"/>
      <c r="AF1332" s="51"/>
    </row>
    <row r="1333" spans="1:32" ht="15" hidden="1" customHeight="1" x14ac:dyDescent="0.25">
      <c r="A1333" s="224"/>
      <c r="B1333" s="145">
        <v>45510</v>
      </c>
      <c r="C1333" s="52" t="s">
        <v>42</v>
      </c>
      <c r="D1333" s="52" t="s">
        <v>38</v>
      </c>
      <c r="E1333" s="41" t="s">
        <v>39</v>
      </c>
      <c r="F1333" s="72" t="s">
        <v>40</v>
      </c>
      <c r="G1333" s="72">
        <v>4.9000000000000004</v>
      </c>
      <c r="H1333" s="72">
        <v>900</v>
      </c>
      <c r="I1333" s="72">
        <v>760</v>
      </c>
      <c r="J1333" s="72">
        <v>0</v>
      </c>
      <c r="K1333" s="157">
        <v>0.5</v>
      </c>
      <c r="L1333" s="72">
        <v>380</v>
      </c>
      <c r="M1333" s="157">
        <v>0.03</v>
      </c>
      <c r="N1333" s="158">
        <v>369</v>
      </c>
      <c r="O1333" s="147"/>
      <c r="P1333" s="145" t="str">
        <f t="shared" si="63"/>
        <v>PLC4,9</v>
      </c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  <c r="AE1333" s="51"/>
      <c r="AF1333" s="51"/>
    </row>
    <row r="1334" spans="1:32" ht="15" hidden="1" customHeight="1" x14ac:dyDescent="0.25">
      <c r="A1334" s="224"/>
      <c r="B1334" s="145">
        <v>45511</v>
      </c>
      <c r="C1334" s="52" t="s">
        <v>46</v>
      </c>
      <c r="D1334" s="52" t="s">
        <v>38</v>
      </c>
      <c r="E1334" s="41" t="s">
        <v>39</v>
      </c>
      <c r="F1334" s="72" t="s">
        <v>40</v>
      </c>
      <c r="G1334" s="72">
        <v>4.9000000000000004</v>
      </c>
      <c r="H1334" s="72">
        <v>900</v>
      </c>
      <c r="I1334" s="72">
        <v>760</v>
      </c>
      <c r="J1334" s="72">
        <v>0</v>
      </c>
      <c r="K1334" s="157">
        <v>0.5</v>
      </c>
      <c r="L1334" s="72">
        <v>380</v>
      </c>
      <c r="M1334" s="157">
        <v>0.03</v>
      </c>
      <c r="N1334" s="158">
        <v>369</v>
      </c>
      <c r="O1334" s="147" t="s">
        <v>165</v>
      </c>
      <c r="P1334" s="145" t="str">
        <f t="shared" si="63"/>
        <v>PLC4,9</v>
      </c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  <c r="AE1334" s="51"/>
      <c r="AF1334" s="51"/>
    </row>
    <row r="1335" spans="1:32" ht="15" hidden="1" customHeight="1" x14ac:dyDescent="0.25">
      <c r="A1335" s="224"/>
      <c r="B1335" s="145">
        <v>45512</v>
      </c>
      <c r="C1335" s="52" t="s">
        <v>50</v>
      </c>
      <c r="D1335" s="52" t="s">
        <v>38</v>
      </c>
      <c r="E1335" s="41" t="s">
        <v>39</v>
      </c>
      <c r="F1335" s="72" t="s">
        <v>40</v>
      </c>
      <c r="G1335" s="72">
        <v>5.9</v>
      </c>
      <c r="H1335" s="72">
        <v>900</v>
      </c>
      <c r="I1335" s="72">
        <v>770</v>
      </c>
      <c r="J1335" s="72">
        <v>0</v>
      </c>
      <c r="K1335" s="157">
        <v>0.5</v>
      </c>
      <c r="L1335" s="72">
        <v>385</v>
      </c>
      <c r="M1335" s="157">
        <v>0.03</v>
      </c>
      <c r="N1335" s="158">
        <v>373</v>
      </c>
      <c r="O1335" s="147" t="s">
        <v>165</v>
      </c>
      <c r="P1335" s="145" t="str">
        <f t="shared" si="63"/>
        <v>PLC5,9</v>
      </c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  <c r="AE1335" s="51"/>
      <c r="AF1335" s="51"/>
    </row>
    <row r="1336" spans="1:32" ht="15" hidden="1" customHeight="1" x14ac:dyDescent="0.25">
      <c r="A1336" s="224"/>
      <c r="B1336" s="145">
        <v>45513</v>
      </c>
      <c r="C1336" s="52" t="s">
        <v>53</v>
      </c>
      <c r="D1336" s="52" t="s">
        <v>38</v>
      </c>
      <c r="E1336" s="41" t="s">
        <v>39</v>
      </c>
      <c r="F1336" s="72" t="s">
        <v>40</v>
      </c>
      <c r="G1336" s="72">
        <v>5.9</v>
      </c>
      <c r="H1336" s="72">
        <v>900</v>
      </c>
      <c r="I1336" s="72">
        <v>780</v>
      </c>
      <c r="J1336" s="72">
        <v>0</v>
      </c>
      <c r="K1336" s="157">
        <v>0.6</v>
      </c>
      <c r="L1336" s="72">
        <v>468</v>
      </c>
      <c r="M1336" s="157">
        <v>0.03</v>
      </c>
      <c r="N1336" s="158">
        <v>454</v>
      </c>
      <c r="O1336" s="147" t="s">
        <v>165</v>
      </c>
      <c r="P1336" s="145" t="str">
        <f t="shared" si="63"/>
        <v>PLC5,9</v>
      </c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  <c r="AE1336" s="51"/>
      <c r="AF1336" s="51"/>
    </row>
    <row r="1337" spans="1:32" ht="15.75" hidden="1" customHeight="1" x14ac:dyDescent="0.25">
      <c r="A1337" s="224"/>
      <c r="B1337" s="148">
        <v>45514</v>
      </c>
      <c r="C1337" s="58" t="s">
        <v>57</v>
      </c>
      <c r="D1337" s="59" t="s">
        <v>38</v>
      </c>
      <c r="E1337" s="136" t="s">
        <v>39</v>
      </c>
      <c r="F1337" s="149" t="s">
        <v>40</v>
      </c>
      <c r="G1337" s="149">
        <v>5.9</v>
      </c>
      <c r="H1337" s="149">
        <v>900</v>
      </c>
      <c r="I1337" s="149">
        <v>790</v>
      </c>
      <c r="J1337" s="149">
        <v>0</v>
      </c>
      <c r="K1337" s="159">
        <v>0.7</v>
      </c>
      <c r="L1337" s="149">
        <v>553</v>
      </c>
      <c r="M1337" s="159">
        <v>0.03</v>
      </c>
      <c r="N1337" s="160">
        <v>536</v>
      </c>
      <c r="O1337" s="150" t="s">
        <v>165</v>
      </c>
      <c r="P1337" s="145" t="str">
        <f t="shared" ref="P1337:P1388" si="65">E1337&amp;G1337</f>
        <v>PLC5,9</v>
      </c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</row>
    <row r="1338" spans="1:32" ht="15" hidden="1" customHeight="1" thickBot="1" x14ac:dyDescent="0.3">
      <c r="A1338" s="225"/>
      <c r="B1338" s="113">
        <v>45515</v>
      </c>
      <c r="C1338" s="66" t="s">
        <v>59</v>
      </c>
      <c r="D1338" s="67" t="s">
        <v>38</v>
      </c>
      <c r="E1338" s="137" t="s">
        <v>39</v>
      </c>
      <c r="F1338" s="151" t="s">
        <v>40</v>
      </c>
      <c r="G1338" s="151">
        <v>5.9</v>
      </c>
      <c r="H1338" s="151">
        <v>900</v>
      </c>
      <c r="I1338" s="151">
        <v>800</v>
      </c>
      <c r="J1338" s="151">
        <v>0</v>
      </c>
      <c r="K1338" s="161">
        <v>0.7</v>
      </c>
      <c r="L1338" s="151">
        <v>560</v>
      </c>
      <c r="M1338" s="161">
        <v>0.03</v>
      </c>
      <c r="N1338" s="162">
        <v>543</v>
      </c>
      <c r="O1338" s="152" t="s">
        <v>165</v>
      </c>
      <c r="P1338" s="145" t="str">
        <f t="shared" si="65"/>
        <v>PLC5,9</v>
      </c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  <c r="AE1338" s="51"/>
      <c r="AF1338" s="51"/>
    </row>
    <row r="1339" spans="1:32" ht="15" hidden="1" customHeight="1" x14ac:dyDescent="0.25">
      <c r="A1339" s="223">
        <v>33</v>
      </c>
      <c r="B1339" s="145">
        <v>45516</v>
      </c>
      <c r="C1339" s="40" t="s">
        <v>37</v>
      </c>
      <c r="D1339" s="72" t="s">
        <v>38</v>
      </c>
      <c r="E1339" s="41" t="s">
        <v>39</v>
      </c>
      <c r="F1339" s="72" t="s">
        <v>40</v>
      </c>
      <c r="G1339" s="72">
        <v>5.9</v>
      </c>
      <c r="H1339" s="72">
        <v>900</v>
      </c>
      <c r="I1339" s="72">
        <v>800</v>
      </c>
      <c r="J1339" s="72">
        <v>0</v>
      </c>
      <c r="K1339" s="157">
        <v>0.7</v>
      </c>
      <c r="L1339" s="72">
        <v>560</v>
      </c>
      <c r="M1339" s="157">
        <v>0.03</v>
      </c>
      <c r="N1339" s="158">
        <v>543</v>
      </c>
      <c r="O1339" s="147" t="s">
        <v>165</v>
      </c>
      <c r="P1339" s="145" t="str">
        <f t="shared" si="65"/>
        <v>PLC5,9</v>
      </c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  <c r="AE1339" s="51"/>
      <c r="AF1339" s="51"/>
    </row>
    <row r="1340" spans="1:32" ht="15" hidden="1" customHeight="1" x14ac:dyDescent="0.25">
      <c r="A1340" s="224"/>
      <c r="B1340" s="145">
        <v>45517</v>
      </c>
      <c r="C1340" s="52" t="s">
        <v>42</v>
      </c>
      <c r="D1340" s="52" t="s">
        <v>38</v>
      </c>
      <c r="E1340" s="41" t="s">
        <v>39</v>
      </c>
      <c r="F1340" s="72" t="s">
        <v>40</v>
      </c>
      <c r="G1340" s="72">
        <v>5.9</v>
      </c>
      <c r="H1340" s="72">
        <v>900</v>
      </c>
      <c r="I1340" s="72">
        <v>800</v>
      </c>
      <c r="J1340" s="72">
        <v>0</v>
      </c>
      <c r="K1340" s="157">
        <v>0.75</v>
      </c>
      <c r="L1340" s="72">
        <v>600</v>
      </c>
      <c r="M1340" s="157">
        <v>0.03</v>
      </c>
      <c r="N1340" s="158">
        <v>582</v>
      </c>
      <c r="O1340" s="147" t="s">
        <v>165</v>
      </c>
      <c r="P1340" s="145" t="str">
        <f t="shared" si="65"/>
        <v>PLC5,9</v>
      </c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  <c r="AE1340" s="51"/>
      <c r="AF1340" s="51"/>
    </row>
    <row r="1341" spans="1:32" ht="15" hidden="1" customHeight="1" x14ac:dyDescent="0.25">
      <c r="A1341" s="224"/>
      <c r="B1341" s="145">
        <v>45518</v>
      </c>
      <c r="C1341" s="52" t="s">
        <v>46</v>
      </c>
      <c r="D1341" s="52" t="s">
        <v>38</v>
      </c>
      <c r="E1341" s="41" t="s">
        <v>39</v>
      </c>
      <c r="F1341" s="72" t="s">
        <v>40</v>
      </c>
      <c r="G1341" s="72">
        <v>5.9</v>
      </c>
      <c r="H1341" s="72">
        <v>900</v>
      </c>
      <c r="I1341" s="72">
        <v>800</v>
      </c>
      <c r="J1341" s="72">
        <v>0</v>
      </c>
      <c r="K1341" s="157">
        <v>0.75</v>
      </c>
      <c r="L1341" s="72">
        <v>600</v>
      </c>
      <c r="M1341" s="157">
        <v>0.03</v>
      </c>
      <c r="N1341" s="158">
        <v>582</v>
      </c>
      <c r="O1341" s="147" t="s">
        <v>165</v>
      </c>
      <c r="P1341" s="145" t="str">
        <f t="shared" si="65"/>
        <v>PLC5,9</v>
      </c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  <c r="AE1341" s="51"/>
      <c r="AF1341" s="51"/>
    </row>
    <row r="1342" spans="1:32" ht="15" hidden="1" customHeight="1" x14ac:dyDescent="0.25">
      <c r="A1342" s="224"/>
      <c r="B1342" s="145">
        <v>45519</v>
      </c>
      <c r="C1342" s="52" t="s">
        <v>50</v>
      </c>
      <c r="D1342" s="52" t="s">
        <v>38</v>
      </c>
      <c r="E1342" s="41" t="s">
        <v>39</v>
      </c>
      <c r="F1342" s="72" t="s">
        <v>40</v>
      </c>
      <c r="G1342" s="72">
        <v>5.9</v>
      </c>
      <c r="H1342" s="72">
        <v>900</v>
      </c>
      <c r="I1342" s="72">
        <v>800</v>
      </c>
      <c r="J1342" s="72">
        <v>0</v>
      </c>
      <c r="K1342" s="157">
        <v>0.75</v>
      </c>
      <c r="L1342" s="72">
        <v>600</v>
      </c>
      <c r="M1342" s="157">
        <v>0.03</v>
      </c>
      <c r="N1342" s="158">
        <f>+I1342*K1342</f>
        <v>600</v>
      </c>
      <c r="O1342" s="147" t="s">
        <v>165</v>
      </c>
      <c r="P1342" s="145" t="str">
        <f t="shared" si="65"/>
        <v>PLC5,9</v>
      </c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  <c r="AE1342" s="51"/>
      <c r="AF1342" s="51"/>
    </row>
    <row r="1343" spans="1:32" ht="15" hidden="1" customHeight="1" x14ac:dyDescent="0.25">
      <c r="A1343" s="224"/>
      <c r="B1343" s="145">
        <v>45520</v>
      </c>
      <c r="C1343" s="52" t="s">
        <v>53</v>
      </c>
      <c r="D1343" s="52" t="s">
        <v>38</v>
      </c>
      <c r="E1343" s="41" t="s">
        <v>39</v>
      </c>
      <c r="F1343" s="72" t="s">
        <v>40</v>
      </c>
      <c r="G1343" s="72">
        <v>5.9</v>
      </c>
      <c r="H1343" s="72">
        <v>900</v>
      </c>
      <c r="I1343" s="72">
        <v>800</v>
      </c>
      <c r="J1343" s="72">
        <v>0</v>
      </c>
      <c r="K1343" s="157">
        <v>0.6</v>
      </c>
      <c r="L1343" s="72">
        <v>600</v>
      </c>
      <c r="M1343" s="157">
        <v>0.03</v>
      </c>
      <c r="N1343" s="158">
        <v>582</v>
      </c>
      <c r="O1343" s="147" t="s">
        <v>165</v>
      </c>
      <c r="P1343" s="145" t="str">
        <f t="shared" si="65"/>
        <v>PLC5,9</v>
      </c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  <c r="AE1343" s="51"/>
      <c r="AF1343" s="51"/>
    </row>
    <row r="1344" spans="1:32" ht="15.75" hidden="1" customHeight="1" x14ac:dyDescent="0.25">
      <c r="A1344" s="224"/>
      <c r="B1344" s="148">
        <v>45521</v>
      </c>
      <c r="C1344" s="58" t="s">
        <v>57</v>
      </c>
      <c r="D1344" s="59" t="s">
        <v>38</v>
      </c>
      <c r="E1344" s="136" t="s">
        <v>39</v>
      </c>
      <c r="F1344" s="149" t="s">
        <v>40</v>
      </c>
      <c r="G1344" s="149">
        <v>5.9</v>
      </c>
      <c r="H1344" s="149">
        <v>900</v>
      </c>
      <c r="I1344" s="149">
        <v>800</v>
      </c>
      <c r="J1344" s="149">
        <v>0</v>
      </c>
      <c r="K1344" s="159">
        <v>0.75</v>
      </c>
      <c r="L1344" s="149">
        <v>600</v>
      </c>
      <c r="M1344" s="159">
        <v>0.03</v>
      </c>
      <c r="N1344" s="160">
        <v>582</v>
      </c>
      <c r="O1344" s="150" t="s">
        <v>165</v>
      </c>
      <c r="P1344" s="145" t="str">
        <f t="shared" si="65"/>
        <v>PLC5,9</v>
      </c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</row>
    <row r="1345" spans="1:33" ht="15" hidden="1" customHeight="1" thickBot="1" x14ac:dyDescent="0.3">
      <c r="A1345" s="225"/>
      <c r="B1345" s="113">
        <v>45522</v>
      </c>
      <c r="C1345" s="66" t="s">
        <v>59</v>
      </c>
      <c r="D1345" s="67" t="s">
        <v>38</v>
      </c>
      <c r="E1345" s="137" t="s">
        <v>39</v>
      </c>
      <c r="F1345" s="151" t="s">
        <v>40</v>
      </c>
      <c r="G1345" s="151">
        <v>5.9</v>
      </c>
      <c r="H1345" s="151">
        <v>900</v>
      </c>
      <c r="I1345" s="151">
        <v>800</v>
      </c>
      <c r="J1345" s="151">
        <v>0</v>
      </c>
      <c r="K1345" s="161">
        <v>0.75</v>
      </c>
      <c r="L1345" s="151">
        <v>600</v>
      </c>
      <c r="M1345" s="161">
        <v>0.03</v>
      </c>
      <c r="N1345" s="162">
        <v>582</v>
      </c>
      <c r="O1345" s="152" t="s">
        <v>165</v>
      </c>
      <c r="P1345" s="145" t="str">
        <f t="shared" si="65"/>
        <v>PLC5,9</v>
      </c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</row>
    <row r="1346" spans="1:33" ht="15" hidden="1" customHeight="1" x14ac:dyDescent="0.25">
      <c r="A1346" s="223">
        <v>34</v>
      </c>
      <c r="B1346" s="145">
        <v>45523</v>
      </c>
      <c r="C1346" s="40" t="s">
        <v>37</v>
      </c>
      <c r="D1346" s="72" t="s">
        <v>38</v>
      </c>
      <c r="E1346" s="41" t="s">
        <v>39</v>
      </c>
      <c r="F1346" s="72" t="s">
        <v>40</v>
      </c>
      <c r="G1346" s="72">
        <v>8</v>
      </c>
      <c r="H1346" s="72">
        <v>900</v>
      </c>
      <c r="I1346" s="72">
        <v>800</v>
      </c>
      <c r="J1346" s="72">
        <v>0</v>
      </c>
      <c r="K1346" s="157">
        <v>0.8</v>
      </c>
      <c r="L1346" s="72">
        <v>640</v>
      </c>
      <c r="M1346" s="157">
        <v>0.03</v>
      </c>
      <c r="N1346" s="158">
        <v>621</v>
      </c>
      <c r="O1346" s="147"/>
      <c r="P1346" s="145" t="str">
        <f t="shared" si="65"/>
        <v>PLC8</v>
      </c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  <c r="AE1346" s="51"/>
      <c r="AF1346" s="51"/>
    </row>
    <row r="1347" spans="1:33" ht="15" hidden="1" customHeight="1" x14ac:dyDescent="0.25">
      <c r="A1347" s="224"/>
      <c r="B1347" s="145">
        <v>45524</v>
      </c>
      <c r="C1347" s="52" t="s">
        <v>42</v>
      </c>
      <c r="D1347" s="52" t="s">
        <v>38</v>
      </c>
      <c r="E1347" s="41" t="s">
        <v>39</v>
      </c>
      <c r="F1347" s="72" t="s">
        <v>40</v>
      </c>
      <c r="G1347" s="72">
        <v>8</v>
      </c>
      <c r="H1347" s="72">
        <v>900</v>
      </c>
      <c r="I1347" s="72">
        <v>800</v>
      </c>
      <c r="J1347" s="72">
        <v>0</v>
      </c>
      <c r="K1347" s="157">
        <v>0.8</v>
      </c>
      <c r="L1347" s="72">
        <v>640</v>
      </c>
      <c r="M1347" s="157">
        <v>0.03</v>
      </c>
      <c r="N1347" s="158">
        <v>621</v>
      </c>
      <c r="O1347" s="147"/>
      <c r="P1347" s="145" t="str">
        <f t="shared" si="65"/>
        <v>PLC8</v>
      </c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  <c r="AE1347" s="51"/>
      <c r="AF1347" s="51"/>
    </row>
    <row r="1348" spans="1:33" ht="15" hidden="1" customHeight="1" x14ac:dyDescent="0.25">
      <c r="A1348" s="224"/>
      <c r="B1348" s="145">
        <v>45525</v>
      </c>
      <c r="C1348" s="52" t="s">
        <v>46</v>
      </c>
      <c r="D1348" s="52" t="s">
        <v>38</v>
      </c>
      <c r="E1348" s="41" t="s">
        <v>39</v>
      </c>
      <c r="F1348" s="72" t="s">
        <v>40</v>
      </c>
      <c r="G1348" s="72">
        <v>8</v>
      </c>
      <c r="H1348" s="72">
        <v>900</v>
      </c>
      <c r="I1348" s="72">
        <v>800</v>
      </c>
      <c r="J1348" s="72">
        <v>0</v>
      </c>
      <c r="K1348" s="157">
        <v>0.8</v>
      </c>
      <c r="L1348" s="72">
        <v>640</v>
      </c>
      <c r="M1348" s="157">
        <v>0.03</v>
      </c>
      <c r="N1348" s="158">
        <v>621</v>
      </c>
      <c r="O1348" s="147"/>
      <c r="P1348" s="145" t="str">
        <f t="shared" si="65"/>
        <v>PLC8</v>
      </c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</row>
    <row r="1349" spans="1:33" ht="15" hidden="1" customHeight="1" x14ac:dyDescent="0.25">
      <c r="A1349" s="224"/>
      <c r="B1349" s="145">
        <v>45526</v>
      </c>
      <c r="C1349" s="52" t="s">
        <v>50</v>
      </c>
      <c r="D1349" s="52" t="s">
        <v>38</v>
      </c>
      <c r="E1349" s="41" t="s">
        <v>39</v>
      </c>
      <c r="F1349" s="72" t="s">
        <v>40</v>
      </c>
      <c r="G1349" s="72">
        <v>10</v>
      </c>
      <c r="H1349" s="72">
        <v>900</v>
      </c>
      <c r="I1349" s="72">
        <v>800</v>
      </c>
      <c r="J1349" s="72">
        <v>0</v>
      </c>
      <c r="K1349" s="157">
        <v>0.8</v>
      </c>
      <c r="L1349" s="72">
        <v>640</v>
      </c>
      <c r="M1349" s="157">
        <v>0.03</v>
      </c>
      <c r="N1349" s="158">
        <v>621</v>
      </c>
      <c r="O1349" s="147"/>
      <c r="P1349" s="145" t="str">
        <f t="shared" si="65"/>
        <v>PLC10</v>
      </c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  <c r="AE1349" s="51"/>
      <c r="AF1349" s="51"/>
    </row>
    <row r="1350" spans="1:33" ht="15" hidden="1" customHeight="1" x14ac:dyDescent="0.25">
      <c r="A1350" s="224"/>
      <c r="B1350" s="145">
        <v>45527</v>
      </c>
      <c r="C1350" s="52" t="s">
        <v>53</v>
      </c>
      <c r="D1350" s="52" t="s">
        <v>38</v>
      </c>
      <c r="E1350" s="41" t="s">
        <v>39</v>
      </c>
      <c r="F1350" s="72" t="s">
        <v>40</v>
      </c>
      <c r="G1350" s="72">
        <v>10</v>
      </c>
      <c r="H1350" s="72">
        <v>900</v>
      </c>
      <c r="I1350" s="72">
        <v>800</v>
      </c>
      <c r="J1350" s="72">
        <v>0</v>
      </c>
      <c r="K1350" s="157">
        <v>0.8</v>
      </c>
      <c r="L1350" s="72">
        <v>640</v>
      </c>
      <c r="M1350" s="157">
        <v>0.03</v>
      </c>
      <c r="N1350" s="158">
        <v>621</v>
      </c>
      <c r="O1350" s="147"/>
      <c r="P1350" s="145" t="str">
        <f t="shared" si="65"/>
        <v>PLC10</v>
      </c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</row>
    <row r="1351" spans="1:33" ht="15.75" hidden="1" customHeight="1" x14ac:dyDescent="0.25">
      <c r="A1351" s="224"/>
      <c r="B1351" s="148">
        <v>45528</v>
      </c>
      <c r="C1351" s="58" t="s">
        <v>57</v>
      </c>
      <c r="D1351" s="59" t="s">
        <v>38</v>
      </c>
      <c r="E1351" s="136" t="s">
        <v>39</v>
      </c>
      <c r="F1351" s="149" t="s">
        <v>40</v>
      </c>
      <c r="G1351" s="149">
        <v>10</v>
      </c>
      <c r="H1351" s="149">
        <v>900</v>
      </c>
      <c r="I1351" s="149">
        <v>800</v>
      </c>
      <c r="J1351" s="149">
        <v>0</v>
      </c>
      <c r="K1351" s="159">
        <v>0.8</v>
      </c>
      <c r="L1351" s="149">
        <v>640</v>
      </c>
      <c r="M1351" s="159">
        <v>0.03</v>
      </c>
      <c r="N1351" s="160">
        <v>621</v>
      </c>
      <c r="O1351" s="150"/>
      <c r="P1351" s="145" t="str">
        <f t="shared" si="65"/>
        <v>PLC10</v>
      </c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  <c r="AE1351" s="51"/>
      <c r="AF1351" s="51"/>
    </row>
    <row r="1352" spans="1:33" ht="15" hidden="1" customHeight="1" thickBot="1" x14ac:dyDescent="0.3">
      <c r="A1352" s="225"/>
      <c r="B1352" s="113">
        <v>45529</v>
      </c>
      <c r="C1352" s="66" t="s">
        <v>59</v>
      </c>
      <c r="D1352" s="67" t="s">
        <v>38</v>
      </c>
      <c r="E1352" s="137" t="s">
        <v>39</v>
      </c>
      <c r="F1352" s="151" t="s">
        <v>40</v>
      </c>
      <c r="G1352" s="151">
        <v>10</v>
      </c>
      <c r="H1352" s="151">
        <v>900</v>
      </c>
      <c r="I1352" s="151">
        <v>800</v>
      </c>
      <c r="J1352" s="151">
        <v>0</v>
      </c>
      <c r="K1352" s="161">
        <v>0.8</v>
      </c>
      <c r="L1352" s="151">
        <v>640</v>
      </c>
      <c r="M1352" s="161">
        <v>0.03</v>
      </c>
      <c r="N1352" s="162">
        <v>621</v>
      </c>
      <c r="O1352" s="152"/>
      <c r="P1352" s="145" t="str">
        <f t="shared" si="65"/>
        <v>PLC10</v>
      </c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51"/>
    </row>
    <row r="1353" spans="1:33" ht="15" hidden="1" customHeight="1" x14ac:dyDescent="0.25">
      <c r="A1353" s="223">
        <v>35</v>
      </c>
      <c r="B1353" s="145">
        <v>45530</v>
      </c>
      <c r="C1353" s="40" t="s">
        <v>37</v>
      </c>
      <c r="D1353" s="72" t="s">
        <v>38</v>
      </c>
      <c r="E1353" s="41" t="s">
        <v>39</v>
      </c>
      <c r="F1353" s="72" t="s">
        <v>40</v>
      </c>
      <c r="G1353" s="72">
        <v>12</v>
      </c>
      <c r="H1353" s="72">
        <v>900</v>
      </c>
      <c r="I1353" s="72">
        <v>800</v>
      </c>
      <c r="J1353" s="72">
        <v>0</v>
      </c>
      <c r="K1353" s="157">
        <v>0.8</v>
      </c>
      <c r="L1353" s="72">
        <v>640</v>
      </c>
      <c r="M1353" s="157">
        <v>0.03</v>
      </c>
      <c r="N1353" s="158">
        <v>621</v>
      </c>
      <c r="O1353" s="147"/>
      <c r="P1353" s="145" t="str">
        <f t="shared" si="65"/>
        <v>PLC12</v>
      </c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  <c r="AE1353" s="51"/>
      <c r="AF1353" s="51"/>
    </row>
    <row r="1354" spans="1:33" ht="15" hidden="1" customHeight="1" x14ac:dyDescent="0.25">
      <c r="A1354" s="224"/>
      <c r="B1354" s="145">
        <v>45531</v>
      </c>
      <c r="C1354" s="52" t="s">
        <v>42</v>
      </c>
      <c r="D1354" s="52" t="s">
        <v>38</v>
      </c>
      <c r="E1354" s="41" t="s">
        <v>39</v>
      </c>
      <c r="F1354" s="72" t="s">
        <v>40</v>
      </c>
      <c r="G1354" s="72">
        <v>12</v>
      </c>
      <c r="H1354" s="72">
        <v>900</v>
      </c>
      <c r="I1354" s="72">
        <v>800</v>
      </c>
      <c r="J1354" s="72">
        <v>0</v>
      </c>
      <c r="K1354" s="157">
        <v>0.8</v>
      </c>
      <c r="L1354" s="72">
        <v>640</v>
      </c>
      <c r="M1354" s="157">
        <v>0.03</v>
      </c>
      <c r="N1354" s="158">
        <v>621</v>
      </c>
      <c r="O1354" s="154" t="s">
        <v>166</v>
      </c>
      <c r="P1354" s="145" t="str">
        <f t="shared" si="65"/>
        <v>PLC12</v>
      </c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  <c r="AE1354" s="51"/>
      <c r="AF1354" s="51"/>
    </row>
    <row r="1355" spans="1:33" ht="15" hidden="1" customHeight="1" x14ac:dyDescent="0.25">
      <c r="A1355" s="224"/>
      <c r="B1355" s="145">
        <v>45532</v>
      </c>
      <c r="C1355" s="52" t="s">
        <v>46</v>
      </c>
      <c r="D1355" s="52" t="s">
        <v>38</v>
      </c>
      <c r="E1355" s="41" t="s">
        <v>39</v>
      </c>
      <c r="F1355" s="72" t="s">
        <v>40</v>
      </c>
      <c r="G1355" s="72">
        <v>12</v>
      </c>
      <c r="H1355" s="72">
        <v>900</v>
      </c>
      <c r="I1355" s="72">
        <v>800</v>
      </c>
      <c r="J1355" s="72">
        <v>0</v>
      </c>
      <c r="K1355" s="157">
        <v>0.8</v>
      </c>
      <c r="L1355" s="72">
        <v>640</v>
      </c>
      <c r="M1355" s="157">
        <v>0.03</v>
      </c>
      <c r="N1355" s="158">
        <v>621</v>
      </c>
      <c r="O1355" s="147"/>
      <c r="P1355" s="145" t="str">
        <f t="shared" si="65"/>
        <v>PLC12</v>
      </c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  <c r="AE1355" s="51"/>
      <c r="AF1355" s="51"/>
      <c r="AG1355" s="188"/>
    </row>
    <row r="1356" spans="1:33" ht="15" hidden="1" customHeight="1" x14ac:dyDescent="0.25">
      <c r="A1356" s="224"/>
      <c r="B1356" s="145">
        <v>45533</v>
      </c>
      <c r="C1356" s="52" t="s">
        <v>50</v>
      </c>
      <c r="D1356" s="52" t="s">
        <v>38</v>
      </c>
      <c r="E1356" s="41" t="s">
        <v>39</v>
      </c>
      <c r="F1356" s="72" t="s">
        <v>40</v>
      </c>
      <c r="G1356" s="72">
        <v>8</v>
      </c>
      <c r="H1356" s="72">
        <v>900</v>
      </c>
      <c r="I1356" s="72">
        <v>800</v>
      </c>
      <c r="J1356" s="72">
        <v>0</v>
      </c>
      <c r="K1356" s="157">
        <v>0.8</v>
      </c>
      <c r="L1356" s="72">
        <v>640</v>
      </c>
      <c r="M1356" s="157">
        <v>0.03</v>
      </c>
      <c r="N1356" s="158">
        <v>621</v>
      </c>
      <c r="O1356" s="147"/>
      <c r="P1356" s="145" t="str">
        <f t="shared" si="65"/>
        <v>PLC8</v>
      </c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51"/>
      <c r="AG1356" s="188"/>
    </row>
    <row r="1357" spans="1:33" ht="15" hidden="1" customHeight="1" x14ac:dyDescent="0.25">
      <c r="A1357" s="224"/>
      <c r="B1357" s="145">
        <v>45534</v>
      </c>
      <c r="C1357" s="52" t="s">
        <v>53</v>
      </c>
      <c r="D1357" s="52" t="s">
        <v>38</v>
      </c>
      <c r="E1357" s="41" t="s">
        <v>39</v>
      </c>
      <c r="F1357" s="72" t="s">
        <v>40</v>
      </c>
      <c r="G1357" s="72">
        <v>4.9000000000000004</v>
      </c>
      <c r="H1357" s="72">
        <v>900</v>
      </c>
      <c r="I1357" s="72">
        <v>800</v>
      </c>
      <c r="J1357" s="72">
        <v>0</v>
      </c>
      <c r="K1357" s="157">
        <v>0.8</v>
      </c>
      <c r="L1357" s="72">
        <v>648</v>
      </c>
      <c r="M1357" s="157">
        <v>0.03</v>
      </c>
      <c r="N1357" s="158">
        <v>629</v>
      </c>
      <c r="O1357" s="147"/>
      <c r="P1357" s="145" t="str">
        <f t="shared" si="65"/>
        <v>PLC4,9</v>
      </c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  <c r="AE1357" s="51"/>
      <c r="AF1357" s="51"/>
    </row>
    <row r="1358" spans="1:33" ht="15.75" hidden="1" customHeight="1" x14ac:dyDescent="0.25">
      <c r="A1358" s="224"/>
      <c r="B1358" s="148">
        <v>45535</v>
      </c>
      <c r="C1358" s="58" t="s">
        <v>57</v>
      </c>
      <c r="D1358" s="59" t="s">
        <v>38</v>
      </c>
      <c r="E1358" s="136" t="s">
        <v>39</v>
      </c>
      <c r="F1358" s="149" t="s">
        <v>40</v>
      </c>
      <c r="G1358" s="149">
        <v>3.9</v>
      </c>
      <c r="H1358" s="149">
        <v>900</v>
      </c>
      <c r="I1358" s="149">
        <v>800</v>
      </c>
      <c r="J1358" s="149">
        <v>0</v>
      </c>
      <c r="K1358" s="159">
        <v>0.8</v>
      </c>
      <c r="L1358" s="149">
        <v>656</v>
      </c>
      <c r="M1358" s="159">
        <v>0.03</v>
      </c>
      <c r="N1358" s="160">
        <v>636</v>
      </c>
      <c r="O1358" s="150"/>
      <c r="P1358" s="145" t="str">
        <f t="shared" si="65"/>
        <v>PLC3,9</v>
      </c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  <c r="AE1358" s="51"/>
      <c r="AF1358" s="51"/>
    </row>
    <row r="1359" spans="1:33" ht="15" hidden="1" customHeight="1" thickBot="1" x14ac:dyDescent="0.3">
      <c r="A1359" s="225"/>
      <c r="B1359" s="113">
        <v>45536</v>
      </c>
      <c r="C1359" s="66" t="s">
        <v>59</v>
      </c>
      <c r="D1359" s="67" t="s">
        <v>38</v>
      </c>
      <c r="E1359" s="137" t="s">
        <v>39</v>
      </c>
      <c r="F1359" s="151" t="s">
        <v>40</v>
      </c>
      <c r="G1359" s="151">
        <v>3.9</v>
      </c>
      <c r="H1359" s="151">
        <v>900</v>
      </c>
      <c r="I1359" s="151">
        <v>800</v>
      </c>
      <c r="J1359" s="151">
        <v>0</v>
      </c>
      <c r="K1359" s="161">
        <v>0.85</v>
      </c>
      <c r="L1359" s="151">
        <v>697</v>
      </c>
      <c r="M1359" s="161">
        <v>0.03</v>
      </c>
      <c r="N1359" s="162">
        <v>676</v>
      </c>
      <c r="O1359" s="152"/>
      <c r="P1359" s="145" t="str">
        <f t="shared" si="65"/>
        <v>PLC3,9</v>
      </c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  <c r="AE1359" s="51"/>
      <c r="AF1359" s="51"/>
    </row>
    <row r="1360" spans="1:33" ht="15" hidden="1" customHeight="1" x14ac:dyDescent="0.25">
      <c r="A1360" s="223">
        <v>36</v>
      </c>
      <c r="B1360" s="145">
        <v>45537</v>
      </c>
      <c r="C1360" s="40" t="s">
        <v>37</v>
      </c>
      <c r="D1360" s="72" t="s">
        <v>38</v>
      </c>
      <c r="E1360" s="41" t="s">
        <v>39</v>
      </c>
      <c r="F1360" s="72" t="s">
        <v>40</v>
      </c>
      <c r="G1360" s="72">
        <v>3.9</v>
      </c>
      <c r="H1360" s="72">
        <v>900</v>
      </c>
      <c r="I1360" s="72">
        <v>800</v>
      </c>
      <c r="J1360" s="72">
        <v>0</v>
      </c>
      <c r="K1360" s="157">
        <v>0.85</v>
      </c>
      <c r="L1360" s="72">
        <v>697</v>
      </c>
      <c r="M1360" s="157">
        <v>0.03</v>
      </c>
      <c r="N1360" s="158">
        <v>676</v>
      </c>
      <c r="O1360" s="147"/>
      <c r="P1360" s="145" t="str">
        <f t="shared" si="65"/>
        <v>PLC3,9</v>
      </c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</row>
    <row r="1361" spans="1:32" ht="15" hidden="1" customHeight="1" x14ac:dyDescent="0.25">
      <c r="A1361" s="224"/>
      <c r="B1361" s="145">
        <v>45538</v>
      </c>
      <c r="C1361" s="52" t="s">
        <v>42</v>
      </c>
      <c r="D1361" s="52" t="s">
        <v>38</v>
      </c>
      <c r="E1361" s="41" t="s">
        <v>39</v>
      </c>
      <c r="F1361" s="72" t="s">
        <v>40</v>
      </c>
      <c r="G1361" s="72">
        <v>3.9</v>
      </c>
      <c r="H1361" s="72">
        <v>830</v>
      </c>
      <c r="I1361" s="72">
        <v>800</v>
      </c>
      <c r="J1361" s="72">
        <v>0</v>
      </c>
      <c r="K1361" s="157">
        <v>0.83</v>
      </c>
      <c r="L1361" s="72">
        <v>680.6</v>
      </c>
      <c r="M1361" s="157">
        <v>0.03</v>
      </c>
      <c r="N1361" s="158">
        <v>660</v>
      </c>
      <c r="O1361" s="147"/>
      <c r="P1361" s="145" t="str">
        <f t="shared" si="65"/>
        <v>PLC3,9</v>
      </c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  <c r="AE1361" s="51"/>
      <c r="AF1361" s="51"/>
    </row>
    <row r="1362" spans="1:32" ht="15" hidden="1" customHeight="1" x14ac:dyDescent="0.25">
      <c r="A1362" s="224"/>
      <c r="B1362" s="145">
        <v>45539</v>
      </c>
      <c r="C1362" s="52" t="s">
        <v>46</v>
      </c>
      <c r="D1362" s="52" t="s">
        <v>38</v>
      </c>
      <c r="E1362" s="41" t="s">
        <v>39</v>
      </c>
      <c r="F1362" s="72" t="s">
        <v>40</v>
      </c>
      <c r="G1362" s="72">
        <v>3.9</v>
      </c>
      <c r="H1362" s="72">
        <v>830</v>
      </c>
      <c r="I1362" s="72">
        <v>800</v>
      </c>
      <c r="J1362" s="72">
        <v>0</v>
      </c>
      <c r="K1362" s="157">
        <v>0.83</v>
      </c>
      <c r="L1362" s="72">
        <v>680.6</v>
      </c>
      <c r="M1362" s="157">
        <v>0.03</v>
      </c>
      <c r="N1362" s="158">
        <v>660</v>
      </c>
      <c r="O1362" s="147"/>
      <c r="P1362" s="145" t="str">
        <f t="shared" si="65"/>
        <v>PLC3,9</v>
      </c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  <c r="AE1362" s="51"/>
      <c r="AF1362" s="51"/>
    </row>
    <row r="1363" spans="1:32" ht="15" hidden="1" customHeight="1" x14ac:dyDescent="0.25">
      <c r="A1363" s="224"/>
      <c r="B1363" s="145">
        <v>45540</v>
      </c>
      <c r="C1363" s="52" t="s">
        <v>50</v>
      </c>
      <c r="D1363" s="52" t="s">
        <v>38</v>
      </c>
      <c r="E1363" s="41" t="s">
        <v>39</v>
      </c>
      <c r="F1363" s="72" t="s">
        <v>40</v>
      </c>
      <c r="G1363" s="72">
        <v>3.9</v>
      </c>
      <c r="H1363" s="72">
        <v>830</v>
      </c>
      <c r="I1363" s="72">
        <v>800</v>
      </c>
      <c r="J1363" s="72">
        <v>0</v>
      </c>
      <c r="K1363" s="157">
        <v>0.83</v>
      </c>
      <c r="L1363" s="72">
        <v>680.6</v>
      </c>
      <c r="M1363" s="157">
        <v>0.03</v>
      </c>
      <c r="N1363" s="158">
        <v>660</v>
      </c>
      <c r="O1363" s="147"/>
      <c r="P1363" s="145" t="str">
        <f t="shared" si="65"/>
        <v>PLC3,9</v>
      </c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  <c r="AE1363" s="51"/>
      <c r="AF1363" s="51"/>
    </row>
    <row r="1364" spans="1:32" ht="15" hidden="1" customHeight="1" x14ac:dyDescent="0.25">
      <c r="A1364" s="224"/>
      <c r="B1364" s="145">
        <v>45541</v>
      </c>
      <c r="C1364" s="52" t="s">
        <v>53</v>
      </c>
      <c r="D1364" s="52" t="s">
        <v>38</v>
      </c>
      <c r="E1364" s="41" t="s">
        <v>39</v>
      </c>
      <c r="F1364" s="72" t="s">
        <v>40</v>
      </c>
      <c r="G1364" s="72">
        <v>3.9</v>
      </c>
      <c r="H1364" s="72">
        <v>830</v>
      </c>
      <c r="I1364" s="72">
        <v>800</v>
      </c>
      <c r="J1364" s="72">
        <v>0</v>
      </c>
      <c r="K1364" s="157">
        <v>0.83</v>
      </c>
      <c r="L1364" s="72">
        <v>680.6</v>
      </c>
      <c r="M1364" s="157">
        <v>0.03</v>
      </c>
      <c r="N1364" s="158">
        <v>660</v>
      </c>
      <c r="O1364" s="147"/>
      <c r="P1364" s="145" t="str">
        <f t="shared" si="65"/>
        <v>PLC3,9</v>
      </c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  <c r="AE1364" s="51"/>
      <c r="AF1364" s="51"/>
    </row>
    <row r="1365" spans="1:32" ht="15.75" hidden="1" customHeight="1" x14ac:dyDescent="0.25">
      <c r="A1365" s="224"/>
      <c r="B1365" s="148">
        <v>45542</v>
      </c>
      <c r="C1365" s="58" t="s">
        <v>57</v>
      </c>
      <c r="D1365" s="59" t="s">
        <v>38</v>
      </c>
      <c r="E1365" s="136" t="s">
        <v>39</v>
      </c>
      <c r="F1365" s="149" t="s">
        <v>40</v>
      </c>
      <c r="G1365" s="149">
        <v>3.9</v>
      </c>
      <c r="H1365" s="149">
        <v>830</v>
      </c>
      <c r="I1365" s="149">
        <v>800</v>
      </c>
      <c r="J1365" s="149">
        <v>0</v>
      </c>
      <c r="K1365" s="159">
        <v>0.83</v>
      </c>
      <c r="L1365" s="149">
        <v>680.6</v>
      </c>
      <c r="M1365" s="159">
        <v>0.03</v>
      </c>
      <c r="N1365" s="160">
        <v>660</v>
      </c>
      <c r="O1365" s="150"/>
      <c r="P1365" s="145" t="str">
        <f t="shared" si="65"/>
        <v>PLC3,9</v>
      </c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  <c r="AE1365" s="51"/>
      <c r="AF1365" s="51"/>
    </row>
    <row r="1366" spans="1:32" ht="15" hidden="1" customHeight="1" thickBot="1" x14ac:dyDescent="0.3">
      <c r="A1366" s="225"/>
      <c r="B1366" s="113">
        <v>45543</v>
      </c>
      <c r="C1366" s="66" t="s">
        <v>59</v>
      </c>
      <c r="D1366" s="67" t="s">
        <v>38</v>
      </c>
      <c r="E1366" s="137" t="s">
        <v>39</v>
      </c>
      <c r="F1366" s="151" t="s">
        <v>40</v>
      </c>
      <c r="G1366" s="151">
        <v>3.9</v>
      </c>
      <c r="H1366" s="151">
        <v>830</v>
      </c>
      <c r="I1366" s="151">
        <v>800</v>
      </c>
      <c r="J1366" s="151">
        <v>0</v>
      </c>
      <c r="K1366" s="161">
        <v>0.83</v>
      </c>
      <c r="L1366" s="151">
        <v>680.6</v>
      </c>
      <c r="M1366" s="161">
        <v>0.03</v>
      </c>
      <c r="N1366" s="162">
        <v>660</v>
      </c>
      <c r="O1366" s="152"/>
      <c r="P1366" s="145" t="str">
        <f t="shared" si="65"/>
        <v>PLC3,9</v>
      </c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  <c r="AE1366" s="51"/>
      <c r="AF1366" s="51"/>
    </row>
    <row r="1367" spans="1:32" ht="15" hidden="1" customHeight="1" x14ac:dyDescent="0.25">
      <c r="A1367" s="223">
        <f>+A1360+1</f>
        <v>37</v>
      </c>
      <c r="B1367" s="145">
        <v>45544</v>
      </c>
      <c r="C1367" s="40" t="s">
        <v>37</v>
      </c>
      <c r="D1367" s="72" t="s">
        <v>38</v>
      </c>
      <c r="E1367" s="41" t="s">
        <v>39</v>
      </c>
      <c r="F1367" s="72" t="s">
        <v>40</v>
      </c>
      <c r="G1367" s="72">
        <v>4.9000000000000004</v>
      </c>
      <c r="H1367" s="72">
        <v>830</v>
      </c>
      <c r="I1367" s="72">
        <v>800</v>
      </c>
      <c r="J1367" s="72">
        <v>0</v>
      </c>
      <c r="K1367" s="157">
        <v>0.83</v>
      </c>
      <c r="L1367" s="72">
        <v>680.6</v>
      </c>
      <c r="M1367" s="157">
        <v>0.03</v>
      </c>
      <c r="N1367" s="158">
        <v>660</v>
      </c>
      <c r="O1367" s="146"/>
      <c r="P1367" s="145" t="str">
        <f t="shared" si="65"/>
        <v>PLC4,9</v>
      </c>
      <c r="Q1367" s="52">
        <f t="shared" ref="Q1367:Q1388" si="66">_xlfn.ISOWEEKNUM(B1367)</f>
        <v>37</v>
      </c>
      <c r="R1367" s="8">
        <f t="shared" ref="R1367:R1430" si="67">YEAR(B1367)</f>
        <v>2024</v>
      </c>
      <c r="S1367" s="72"/>
      <c r="T1367" s="72"/>
      <c r="U1367" s="72"/>
      <c r="V1367" s="72"/>
      <c r="W1367" s="157"/>
      <c r="X1367" s="72"/>
      <c r="Y1367" s="157"/>
      <c r="Z1367" s="157"/>
      <c r="AA1367" s="158"/>
      <c r="AB1367" s="146"/>
    </row>
    <row r="1368" spans="1:32" ht="15" hidden="1" customHeight="1" x14ac:dyDescent="0.25">
      <c r="A1368" s="224"/>
      <c r="B1368" s="145">
        <v>45545</v>
      </c>
      <c r="C1368" s="52" t="s">
        <v>42</v>
      </c>
      <c r="D1368" s="52" t="s">
        <v>38</v>
      </c>
      <c r="E1368" s="41" t="s">
        <v>39</v>
      </c>
      <c r="F1368" s="72" t="s">
        <v>40</v>
      </c>
      <c r="G1368" s="72">
        <v>4.9000000000000004</v>
      </c>
      <c r="H1368" s="72">
        <v>830</v>
      </c>
      <c r="I1368" s="72">
        <v>800</v>
      </c>
      <c r="J1368" s="72">
        <v>0</v>
      </c>
      <c r="K1368" s="157">
        <v>0.83</v>
      </c>
      <c r="L1368" s="72">
        <v>680.6</v>
      </c>
      <c r="M1368" s="157">
        <v>0.03</v>
      </c>
      <c r="N1368" s="158">
        <v>660</v>
      </c>
      <c r="O1368" s="147"/>
      <c r="P1368" s="145" t="str">
        <f t="shared" si="65"/>
        <v>PLC4,9</v>
      </c>
      <c r="Q1368" s="52">
        <f t="shared" si="66"/>
        <v>37</v>
      </c>
      <c r="R1368" s="8">
        <f t="shared" si="67"/>
        <v>2024</v>
      </c>
      <c r="S1368" s="72"/>
      <c r="T1368" s="72"/>
      <c r="U1368" s="72"/>
      <c r="V1368" s="72"/>
      <c r="W1368" s="157"/>
      <c r="X1368" s="72"/>
      <c r="Y1368" s="157"/>
      <c r="Z1368" s="157"/>
      <c r="AA1368" s="158"/>
      <c r="AB1368" s="147"/>
    </row>
    <row r="1369" spans="1:32" ht="15" hidden="1" customHeight="1" x14ac:dyDescent="0.25">
      <c r="A1369" s="224"/>
      <c r="B1369" s="145">
        <v>45546</v>
      </c>
      <c r="C1369" s="52" t="s">
        <v>46</v>
      </c>
      <c r="D1369" s="52" t="s">
        <v>38</v>
      </c>
      <c r="E1369" s="41" t="s">
        <v>39</v>
      </c>
      <c r="F1369" s="72" t="s">
        <v>40</v>
      </c>
      <c r="G1369" s="72">
        <v>3.9</v>
      </c>
      <c r="H1369" s="72">
        <v>830</v>
      </c>
      <c r="I1369" s="72">
        <v>800</v>
      </c>
      <c r="J1369" s="72">
        <v>0</v>
      </c>
      <c r="K1369" s="157">
        <v>0.83</v>
      </c>
      <c r="L1369" s="72">
        <v>680.6</v>
      </c>
      <c r="M1369" s="157">
        <v>0.03</v>
      </c>
      <c r="N1369" s="158">
        <v>660</v>
      </c>
      <c r="O1369" s="147"/>
      <c r="P1369" s="145" t="str">
        <f t="shared" si="65"/>
        <v>PLC3,9</v>
      </c>
      <c r="Q1369" s="52">
        <f t="shared" si="66"/>
        <v>37</v>
      </c>
      <c r="R1369" s="8">
        <f t="shared" si="67"/>
        <v>2024</v>
      </c>
      <c r="S1369" s="72"/>
      <c r="T1369" s="72"/>
      <c r="U1369" s="72"/>
      <c r="V1369" s="72"/>
      <c r="W1369" s="157"/>
      <c r="X1369" s="72"/>
      <c r="Y1369" s="157"/>
      <c r="Z1369" s="157"/>
      <c r="AA1369" s="158"/>
      <c r="AB1369" s="147"/>
    </row>
    <row r="1370" spans="1:32" ht="15" hidden="1" customHeight="1" x14ac:dyDescent="0.25">
      <c r="A1370" s="224"/>
      <c r="B1370" s="145">
        <v>45547</v>
      </c>
      <c r="C1370" s="52" t="s">
        <v>50</v>
      </c>
      <c r="D1370" s="52" t="s">
        <v>38</v>
      </c>
      <c r="E1370" s="41" t="s">
        <v>39</v>
      </c>
      <c r="F1370" s="72" t="s">
        <v>40</v>
      </c>
      <c r="G1370" s="72">
        <v>3.9</v>
      </c>
      <c r="H1370" s="72">
        <v>830</v>
      </c>
      <c r="I1370" s="72">
        <v>800</v>
      </c>
      <c r="J1370" s="72">
        <v>0</v>
      </c>
      <c r="K1370" s="157">
        <v>0.83</v>
      </c>
      <c r="L1370" s="72">
        <v>680.6</v>
      </c>
      <c r="M1370" s="157">
        <v>0.03</v>
      </c>
      <c r="N1370" s="158">
        <v>660</v>
      </c>
      <c r="O1370" s="147"/>
      <c r="P1370" s="145" t="str">
        <f t="shared" si="65"/>
        <v>PLC3,9</v>
      </c>
      <c r="Q1370" s="52">
        <f t="shared" si="66"/>
        <v>37</v>
      </c>
      <c r="R1370" s="8">
        <f t="shared" si="67"/>
        <v>2024</v>
      </c>
      <c r="S1370" s="72"/>
      <c r="T1370" s="72"/>
      <c r="U1370" s="72"/>
      <c r="V1370" s="72"/>
      <c r="W1370" s="157"/>
      <c r="X1370" s="72"/>
      <c r="Y1370" s="157"/>
      <c r="Z1370" s="157"/>
      <c r="AA1370" s="158"/>
      <c r="AB1370" s="147"/>
    </row>
    <row r="1371" spans="1:32" ht="15" hidden="1" customHeight="1" x14ac:dyDescent="0.25">
      <c r="A1371" s="224"/>
      <c r="B1371" s="145">
        <v>45548</v>
      </c>
      <c r="C1371" s="52" t="s">
        <v>53</v>
      </c>
      <c r="D1371" s="52" t="s">
        <v>38</v>
      </c>
      <c r="E1371" s="41" t="s">
        <v>55</v>
      </c>
      <c r="F1371" s="72" t="s">
        <v>40</v>
      </c>
      <c r="G1371" s="72">
        <v>3.9</v>
      </c>
      <c r="H1371" s="72">
        <v>830</v>
      </c>
      <c r="I1371" s="72">
        <v>800</v>
      </c>
      <c r="J1371" s="72">
        <v>0</v>
      </c>
      <c r="K1371" s="157">
        <v>0.83</v>
      </c>
      <c r="L1371" s="72">
        <v>680.6</v>
      </c>
      <c r="M1371" s="157">
        <v>0.03</v>
      </c>
      <c r="N1371" s="158">
        <v>660</v>
      </c>
      <c r="O1371" s="147"/>
      <c r="P1371" s="145" t="str">
        <f t="shared" si="65"/>
        <v>Transition3,9</v>
      </c>
      <c r="Q1371" s="52">
        <f t="shared" si="66"/>
        <v>37</v>
      </c>
      <c r="R1371" s="8">
        <f t="shared" si="67"/>
        <v>2024</v>
      </c>
      <c r="S1371" s="72"/>
      <c r="T1371" s="72"/>
      <c r="U1371" s="72"/>
      <c r="V1371" s="72"/>
      <c r="W1371" s="157"/>
      <c r="X1371" s="72"/>
      <c r="Y1371" s="157"/>
      <c r="Z1371" s="157"/>
      <c r="AA1371" s="158"/>
      <c r="AB1371" s="147"/>
    </row>
    <row r="1372" spans="1:32" ht="15.75" hidden="1" customHeight="1" x14ac:dyDescent="0.25">
      <c r="A1372" s="224"/>
      <c r="B1372" s="148">
        <v>45549</v>
      </c>
      <c r="C1372" s="58" t="s">
        <v>57</v>
      </c>
      <c r="D1372" s="59" t="s">
        <v>38</v>
      </c>
      <c r="E1372" s="136" t="s">
        <v>55</v>
      </c>
      <c r="F1372" s="149" t="s">
        <v>40</v>
      </c>
      <c r="G1372" s="149">
        <v>3.9</v>
      </c>
      <c r="H1372" s="149">
        <v>830</v>
      </c>
      <c r="I1372" s="149">
        <v>800</v>
      </c>
      <c r="J1372" s="149">
        <v>0</v>
      </c>
      <c r="K1372" s="159">
        <v>0.83</v>
      </c>
      <c r="L1372" s="149">
        <v>680.6</v>
      </c>
      <c r="M1372" s="159">
        <v>0.03</v>
      </c>
      <c r="N1372" s="160">
        <v>660</v>
      </c>
      <c r="O1372" s="150"/>
      <c r="P1372" s="145" t="str">
        <f t="shared" si="65"/>
        <v>Transition3,9</v>
      </c>
      <c r="Q1372" s="52">
        <f t="shared" si="66"/>
        <v>37</v>
      </c>
      <c r="R1372" s="8">
        <f t="shared" si="67"/>
        <v>2024</v>
      </c>
      <c r="S1372" s="149"/>
      <c r="T1372" s="149"/>
      <c r="U1372" s="149"/>
      <c r="V1372" s="149"/>
      <c r="W1372" s="159"/>
      <c r="X1372" s="149"/>
      <c r="Y1372" s="159"/>
      <c r="Z1372" s="159"/>
      <c r="AA1372" s="160"/>
      <c r="AB1372" s="150"/>
    </row>
    <row r="1373" spans="1:32" ht="15" hidden="1" customHeight="1" thickBot="1" x14ac:dyDescent="0.3">
      <c r="A1373" s="225"/>
      <c r="B1373" s="113">
        <v>45550</v>
      </c>
      <c r="C1373" s="66" t="s">
        <v>59</v>
      </c>
      <c r="D1373" s="67" t="s">
        <v>38</v>
      </c>
      <c r="E1373" s="137" t="s">
        <v>55</v>
      </c>
      <c r="F1373" s="151" t="s">
        <v>40</v>
      </c>
      <c r="G1373" s="151">
        <v>3.9</v>
      </c>
      <c r="H1373" s="151">
        <v>830</v>
      </c>
      <c r="I1373" s="151">
        <v>800</v>
      </c>
      <c r="J1373" s="151">
        <v>0</v>
      </c>
      <c r="K1373" s="161">
        <v>0.83</v>
      </c>
      <c r="L1373" s="151">
        <v>680.6</v>
      </c>
      <c r="M1373" s="161">
        <v>0.03</v>
      </c>
      <c r="N1373" s="162">
        <v>660</v>
      </c>
      <c r="O1373" s="152"/>
      <c r="P1373" s="145" t="str">
        <f t="shared" si="65"/>
        <v>Transition3,9</v>
      </c>
      <c r="Q1373" s="52">
        <f t="shared" si="66"/>
        <v>37</v>
      </c>
      <c r="R1373" s="8">
        <f t="shared" si="67"/>
        <v>2024</v>
      </c>
      <c r="S1373" s="151"/>
      <c r="T1373" s="151"/>
      <c r="U1373" s="151"/>
      <c r="V1373" s="151"/>
      <c r="W1373" s="161"/>
      <c r="X1373" s="151"/>
      <c r="Y1373" s="161"/>
      <c r="Z1373" s="161"/>
      <c r="AA1373" s="162"/>
      <c r="AB1373" s="152"/>
    </row>
    <row r="1374" spans="1:32" ht="15" hidden="1" customHeight="1" x14ac:dyDescent="0.25">
      <c r="A1374" s="223">
        <f>+A1367+1</f>
        <v>38</v>
      </c>
      <c r="B1374" s="145">
        <v>45551</v>
      </c>
      <c r="C1374" s="40" t="s">
        <v>37</v>
      </c>
      <c r="D1374" s="72" t="s">
        <v>38</v>
      </c>
      <c r="E1374" s="176" t="s">
        <v>45</v>
      </c>
      <c r="F1374" s="72" t="s">
        <v>40</v>
      </c>
      <c r="G1374" s="72">
        <v>3.9</v>
      </c>
      <c r="H1374" s="72">
        <v>830</v>
      </c>
      <c r="I1374" s="72">
        <v>800</v>
      </c>
      <c r="J1374" s="72">
        <v>0</v>
      </c>
      <c r="K1374" s="157">
        <v>0.7</v>
      </c>
      <c r="L1374" s="72">
        <f>+I1374*K1374</f>
        <v>560</v>
      </c>
      <c r="M1374" s="157">
        <v>0.03</v>
      </c>
      <c r="N1374" s="158">
        <f>L1374*(1-M1374)</f>
        <v>543.19999999999993</v>
      </c>
      <c r="O1374" s="146"/>
      <c r="P1374" s="145" t="str">
        <f t="shared" si="65"/>
        <v>Diamant3,9</v>
      </c>
      <c r="Q1374" s="52">
        <f t="shared" si="66"/>
        <v>38</v>
      </c>
      <c r="R1374" s="8">
        <f t="shared" si="67"/>
        <v>2024</v>
      </c>
      <c r="S1374" s="72"/>
      <c r="T1374" s="72"/>
      <c r="U1374" s="72"/>
      <c r="V1374" s="72"/>
      <c r="W1374" s="157"/>
      <c r="X1374" s="72"/>
      <c r="Y1374" s="157"/>
      <c r="Z1374" s="157"/>
      <c r="AA1374" s="158"/>
      <c r="AB1374" s="146"/>
    </row>
    <row r="1375" spans="1:32" ht="15" hidden="1" customHeight="1" x14ac:dyDescent="0.25">
      <c r="A1375" s="224"/>
      <c r="B1375" s="145">
        <v>45552</v>
      </c>
      <c r="C1375" s="52" t="s">
        <v>42</v>
      </c>
      <c r="D1375" s="52" t="s">
        <v>38</v>
      </c>
      <c r="E1375" s="176" t="s">
        <v>45</v>
      </c>
      <c r="F1375" s="72" t="s">
        <v>40</v>
      </c>
      <c r="G1375" s="72">
        <v>3.9</v>
      </c>
      <c r="H1375" s="72">
        <v>830</v>
      </c>
      <c r="I1375" s="72">
        <v>800</v>
      </c>
      <c r="J1375" s="72">
        <v>0</v>
      </c>
      <c r="K1375" s="157">
        <v>0.7</v>
      </c>
      <c r="L1375" s="72">
        <f t="shared" ref="L1375:L1395" si="68">+I1375*K1375</f>
        <v>560</v>
      </c>
      <c r="M1375" s="157">
        <v>0.03</v>
      </c>
      <c r="N1375" s="158">
        <f t="shared" ref="N1375:N1395" si="69">L1375*(1-M1375)</f>
        <v>543.19999999999993</v>
      </c>
      <c r="O1375" s="147"/>
      <c r="P1375" s="145" t="str">
        <f t="shared" si="65"/>
        <v>Diamant3,9</v>
      </c>
      <c r="Q1375" s="52">
        <f t="shared" si="66"/>
        <v>38</v>
      </c>
      <c r="R1375" s="8">
        <f t="shared" si="67"/>
        <v>2024</v>
      </c>
      <c r="S1375" s="72"/>
      <c r="T1375" s="72"/>
      <c r="U1375" s="72"/>
      <c r="V1375" s="72"/>
      <c r="W1375" s="157"/>
      <c r="X1375" s="72"/>
      <c r="Y1375" s="157"/>
      <c r="Z1375" s="157"/>
      <c r="AA1375" s="158"/>
      <c r="AB1375" s="147"/>
    </row>
    <row r="1376" spans="1:32" ht="15" hidden="1" customHeight="1" x14ac:dyDescent="0.25">
      <c r="A1376" s="224"/>
      <c r="B1376" s="145">
        <v>45553</v>
      </c>
      <c r="C1376" s="52" t="s">
        <v>46</v>
      </c>
      <c r="D1376" s="52" t="s">
        <v>38</v>
      </c>
      <c r="E1376" s="176" t="s">
        <v>45</v>
      </c>
      <c r="F1376" s="72" t="s">
        <v>40</v>
      </c>
      <c r="G1376" s="72" t="s">
        <v>9</v>
      </c>
      <c r="H1376" s="72">
        <v>830</v>
      </c>
      <c r="I1376" s="72">
        <v>800</v>
      </c>
      <c r="J1376" s="72">
        <v>0</v>
      </c>
      <c r="K1376" s="157">
        <v>0.7</v>
      </c>
      <c r="L1376" s="72">
        <f t="shared" si="68"/>
        <v>560</v>
      </c>
      <c r="M1376" s="157">
        <v>0.03</v>
      </c>
      <c r="N1376" s="158">
        <f t="shared" si="69"/>
        <v>543.19999999999993</v>
      </c>
      <c r="O1376" s="147"/>
      <c r="P1376" s="145" t="str">
        <f t="shared" si="65"/>
        <v>Diamant3,9/4,9</v>
      </c>
      <c r="Q1376" s="52">
        <f t="shared" si="66"/>
        <v>38</v>
      </c>
      <c r="R1376" s="8">
        <f t="shared" si="67"/>
        <v>2024</v>
      </c>
      <c r="S1376" s="72"/>
      <c r="T1376" s="72"/>
      <c r="U1376" s="72"/>
      <c r="V1376" s="72"/>
      <c r="W1376" s="157"/>
      <c r="X1376" s="72"/>
      <c r="Y1376" s="157"/>
      <c r="Z1376" s="157"/>
      <c r="AA1376" s="158"/>
      <c r="AB1376" s="147"/>
    </row>
    <row r="1377" spans="1:28" ht="15" hidden="1" customHeight="1" x14ac:dyDescent="0.25">
      <c r="A1377" s="224"/>
      <c r="B1377" s="145">
        <v>45554</v>
      </c>
      <c r="C1377" s="52" t="s">
        <v>50</v>
      </c>
      <c r="D1377" s="52" t="s">
        <v>38</v>
      </c>
      <c r="E1377" s="176" t="s">
        <v>45</v>
      </c>
      <c r="F1377" s="72" t="s">
        <v>40</v>
      </c>
      <c r="G1377" s="72">
        <v>5.9</v>
      </c>
      <c r="H1377" s="72">
        <v>830</v>
      </c>
      <c r="I1377" s="72">
        <v>800</v>
      </c>
      <c r="J1377" s="72">
        <v>0</v>
      </c>
      <c r="K1377" s="157">
        <v>0.7</v>
      </c>
      <c r="L1377" s="72">
        <f t="shared" si="68"/>
        <v>560</v>
      </c>
      <c r="M1377" s="157">
        <v>0.03</v>
      </c>
      <c r="N1377" s="158">
        <f t="shared" si="69"/>
        <v>543.19999999999993</v>
      </c>
      <c r="O1377" s="147" t="s">
        <v>167</v>
      </c>
      <c r="P1377" s="145" t="str">
        <f t="shared" si="65"/>
        <v>Diamant5,9</v>
      </c>
      <c r="Q1377" s="52">
        <f t="shared" si="66"/>
        <v>38</v>
      </c>
      <c r="R1377" s="8">
        <f t="shared" si="67"/>
        <v>2024</v>
      </c>
      <c r="S1377" s="72"/>
      <c r="T1377" s="72"/>
      <c r="U1377" s="72"/>
      <c r="V1377" s="72"/>
      <c r="W1377" s="157"/>
      <c r="X1377" s="72"/>
      <c r="Y1377" s="157"/>
      <c r="Z1377" s="157"/>
      <c r="AA1377" s="158"/>
      <c r="AB1377" s="147"/>
    </row>
    <row r="1378" spans="1:28" ht="15" hidden="1" customHeight="1" x14ac:dyDescent="0.25">
      <c r="A1378" s="224"/>
      <c r="B1378" s="145">
        <v>45555</v>
      </c>
      <c r="C1378" s="52" t="s">
        <v>53</v>
      </c>
      <c r="D1378" s="52" t="s">
        <v>38</v>
      </c>
      <c r="E1378" s="176" t="s">
        <v>45</v>
      </c>
      <c r="F1378" s="72" t="s">
        <v>40</v>
      </c>
      <c r="G1378" s="72">
        <v>5.9</v>
      </c>
      <c r="H1378" s="72">
        <v>830</v>
      </c>
      <c r="I1378" s="72">
        <v>800</v>
      </c>
      <c r="J1378" s="72">
        <v>0</v>
      </c>
      <c r="K1378" s="157">
        <v>0.7</v>
      </c>
      <c r="L1378" s="72">
        <f t="shared" si="68"/>
        <v>560</v>
      </c>
      <c r="M1378" s="157">
        <v>0.03</v>
      </c>
      <c r="N1378" s="158">
        <f t="shared" si="69"/>
        <v>543.19999999999993</v>
      </c>
      <c r="O1378" s="147"/>
      <c r="P1378" s="145" t="str">
        <f t="shared" si="65"/>
        <v>Diamant5,9</v>
      </c>
      <c r="Q1378" s="52">
        <f t="shared" si="66"/>
        <v>38</v>
      </c>
      <c r="R1378" s="8">
        <f t="shared" si="67"/>
        <v>2024</v>
      </c>
      <c r="S1378" s="72"/>
      <c r="T1378" s="72"/>
      <c r="U1378" s="72"/>
      <c r="V1378" s="72"/>
      <c r="W1378" s="157"/>
      <c r="X1378" s="72"/>
      <c r="Y1378" s="157"/>
      <c r="Z1378" s="157"/>
      <c r="AA1378" s="158"/>
      <c r="AB1378" s="147"/>
    </row>
    <row r="1379" spans="1:28" ht="15.75" hidden="1" customHeight="1" x14ac:dyDescent="0.25">
      <c r="A1379" s="224"/>
      <c r="B1379" s="148">
        <v>45556</v>
      </c>
      <c r="C1379" s="58" t="s">
        <v>57</v>
      </c>
      <c r="D1379" s="59" t="s">
        <v>38</v>
      </c>
      <c r="E1379" s="176" t="s">
        <v>45</v>
      </c>
      <c r="F1379" s="149" t="s">
        <v>40</v>
      </c>
      <c r="G1379" s="60">
        <v>8</v>
      </c>
      <c r="H1379" s="59">
        <v>830</v>
      </c>
      <c r="I1379" s="149">
        <v>800</v>
      </c>
      <c r="J1379" s="149">
        <v>0</v>
      </c>
      <c r="K1379" s="159">
        <v>0.7</v>
      </c>
      <c r="L1379" s="149">
        <f t="shared" si="68"/>
        <v>560</v>
      </c>
      <c r="M1379" s="159">
        <v>0.03</v>
      </c>
      <c r="N1379" s="160">
        <f t="shared" si="69"/>
        <v>543.19999999999993</v>
      </c>
      <c r="O1379" s="189"/>
      <c r="P1379" s="145" t="str">
        <f t="shared" si="65"/>
        <v>Diamant8</v>
      </c>
      <c r="Q1379" s="52">
        <f t="shared" si="66"/>
        <v>38</v>
      </c>
      <c r="R1379" s="8">
        <f t="shared" si="67"/>
        <v>2024</v>
      </c>
      <c r="S1379" s="149"/>
      <c r="T1379" s="149"/>
      <c r="U1379" s="149"/>
      <c r="V1379" s="149"/>
      <c r="W1379" s="159"/>
      <c r="X1379" s="149"/>
      <c r="Y1379" s="159"/>
      <c r="Z1379" s="159"/>
      <c r="AA1379" s="160"/>
      <c r="AB1379" s="150"/>
    </row>
    <row r="1380" spans="1:28" ht="15" hidden="1" customHeight="1" thickBot="1" x14ac:dyDescent="0.3">
      <c r="A1380" s="225"/>
      <c r="B1380" s="113">
        <v>45557</v>
      </c>
      <c r="C1380" s="66" t="s">
        <v>59</v>
      </c>
      <c r="D1380" s="67" t="s">
        <v>38</v>
      </c>
      <c r="E1380" s="177" t="s">
        <v>45</v>
      </c>
      <c r="F1380" s="151" t="s">
        <v>40</v>
      </c>
      <c r="G1380" s="137">
        <v>8</v>
      </c>
      <c r="H1380" s="151">
        <v>830</v>
      </c>
      <c r="I1380" s="151">
        <v>800</v>
      </c>
      <c r="J1380" s="151">
        <v>0</v>
      </c>
      <c r="K1380" s="161">
        <v>0.7</v>
      </c>
      <c r="L1380" s="151">
        <f t="shared" si="68"/>
        <v>560</v>
      </c>
      <c r="M1380" s="161">
        <v>0.03</v>
      </c>
      <c r="N1380" s="162">
        <f t="shared" si="69"/>
        <v>543.19999999999993</v>
      </c>
      <c r="O1380" s="152"/>
      <c r="P1380" s="145" t="str">
        <f t="shared" si="65"/>
        <v>Diamant8</v>
      </c>
      <c r="Q1380" s="52">
        <f t="shared" si="66"/>
        <v>38</v>
      </c>
      <c r="R1380" s="8">
        <f t="shared" si="67"/>
        <v>2024</v>
      </c>
      <c r="S1380" s="151"/>
      <c r="T1380" s="151"/>
      <c r="U1380" s="151"/>
      <c r="V1380" s="151"/>
      <c r="W1380" s="161"/>
      <c r="X1380" s="151"/>
      <c r="Y1380" s="161"/>
      <c r="Z1380" s="161"/>
      <c r="AA1380" s="162"/>
      <c r="AB1380" s="152"/>
    </row>
    <row r="1381" spans="1:28" ht="15" hidden="1" customHeight="1" x14ac:dyDescent="0.25">
      <c r="A1381" s="223">
        <f>+A1374+1</f>
        <v>39</v>
      </c>
      <c r="B1381" s="145">
        <v>45558</v>
      </c>
      <c r="C1381" s="40" t="s">
        <v>37</v>
      </c>
      <c r="D1381" s="72" t="s">
        <v>38</v>
      </c>
      <c r="E1381" s="176" t="s">
        <v>45</v>
      </c>
      <c r="F1381" s="72" t="s">
        <v>40</v>
      </c>
      <c r="G1381" s="41">
        <v>10</v>
      </c>
      <c r="H1381" s="72">
        <v>830</v>
      </c>
      <c r="I1381" s="72">
        <v>800</v>
      </c>
      <c r="J1381" s="72">
        <v>0</v>
      </c>
      <c r="K1381" s="157">
        <v>0.7</v>
      </c>
      <c r="L1381" s="72">
        <f t="shared" si="68"/>
        <v>560</v>
      </c>
      <c r="M1381" s="157">
        <v>0.03</v>
      </c>
      <c r="N1381" s="158">
        <f t="shared" si="69"/>
        <v>543.19999999999993</v>
      </c>
      <c r="O1381" s="146" t="s">
        <v>168</v>
      </c>
      <c r="P1381" s="145" t="str">
        <f t="shared" si="65"/>
        <v>Diamant10</v>
      </c>
      <c r="Q1381" s="52">
        <f t="shared" si="66"/>
        <v>39</v>
      </c>
      <c r="R1381" s="8">
        <f t="shared" si="67"/>
        <v>2024</v>
      </c>
      <c r="S1381" s="72"/>
      <c r="T1381" s="72"/>
      <c r="U1381" s="72"/>
      <c r="V1381" s="72"/>
      <c r="W1381" s="157"/>
      <c r="X1381" s="72"/>
      <c r="Y1381" s="157"/>
      <c r="Z1381" s="157"/>
      <c r="AA1381" s="158"/>
      <c r="AB1381" s="146"/>
    </row>
    <row r="1382" spans="1:28" ht="15" hidden="1" customHeight="1" x14ac:dyDescent="0.25">
      <c r="A1382" s="224"/>
      <c r="B1382" s="145">
        <v>45559</v>
      </c>
      <c r="C1382" s="52" t="s">
        <v>42</v>
      </c>
      <c r="D1382" s="52" t="s">
        <v>38</v>
      </c>
      <c r="E1382" s="176" t="s">
        <v>45</v>
      </c>
      <c r="F1382" s="72" t="s">
        <v>40</v>
      </c>
      <c r="G1382" s="41">
        <v>12</v>
      </c>
      <c r="H1382" s="72">
        <v>900</v>
      </c>
      <c r="I1382" s="72">
        <v>800</v>
      </c>
      <c r="J1382" s="72">
        <v>0</v>
      </c>
      <c r="K1382" s="157">
        <v>0.7</v>
      </c>
      <c r="L1382" s="72">
        <f t="shared" si="68"/>
        <v>560</v>
      </c>
      <c r="M1382" s="157">
        <v>0.03</v>
      </c>
      <c r="N1382" s="158">
        <f t="shared" si="69"/>
        <v>543.19999999999993</v>
      </c>
      <c r="O1382" s="147" t="s">
        <v>169</v>
      </c>
      <c r="P1382" s="145" t="str">
        <f t="shared" si="65"/>
        <v>Diamant12</v>
      </c>
      <c r="Q1382" s="52">
        <f t="shared" si="66"/>
        <v>39</v>
      </c>
      <c r="R1382" s="8">
        <f t="shared" si="67"/>
        <v>2024</v>
      </c>
      <c r="S1382" s="72"/>
      <c r="T1382" s="72"/>
      <c r="U1382" s="72"/>
      <c r="V1382" s="72"/>
      <c r="W1382" s="157"/>
      <c r="X1382" s="72"/>
      <c r="Y1382" s="157"/>
      <c r="Z1382" s="157"/>
      <c r="AA1382" s="158"/>
      <c r="AB1382" s="147"/>
    </row>
    <row r="1383" spans="1:28" ht="15" hidden="1" customHeight="1" x14ac:dyDescent="0.25">
      <c r="A1383" s="224"/>
      <c r="B1383" s="145">
        <v>45560</v>
      </c>
      <c r="C1383" s="52" t="s">
        <v>46</v>
      </c>
      <c r="D1383" s="52" t="s">
        <v>38</v>
      </c>
      <c r="E1383" s="176" t="s">
        <v>45</v>
      </c>
      <c r="F1383" s="72" t="s">
        <v>40</v>
      </c>
      <c r="G1383" s="41">
        <v>12</v>
      </c>
      <c r="H1383" s="72">
        <v>900</v>
      </c>
      <c r="I1383" s="72">
        <v>800</v>
      </c>
      <c r="J1383" s="72">
        <v>0</v>
      </c>
      <c r="K1383" s="157">
        <v>0.7</v>
      </c>
      <c r="L1383" s="72">
        <f t="shared" si="68"/>
        <v>560</v>
      </c>
      <c r="M1383" s="157">
        <v>0.03</v>
      </c>
      <c r="N1383" s="158">
        <f t="shared" si="69"/>
        <v>543.19999999999993</v>
      </c>
      <c r="O1383" s="147" t="s">
        <v>170</v>
      </c>
      <c r="P1383" s="145" t="str">
        <f t="shared" si="65"/>
        <v>Diamant12</v>
      </c>
      <c r="Q1383" s="52">
        <f t="shared" si="66"/>
        <v>39</v>
      </c>
      <c r="R1383" s="8">
        <f t="shared" si="67"/>
        <v>2024</v>
      </c>
      <c r="S1383" s="72"/>
      <c r="T1383" s="72"/>
      <c r="U1383" s="72"/>
      <c r="V1383" s="72"/>
      <c r="W1383" s="157"/>
      <c r="X1383" s="72"/>
      <c r="Y1383" s="157"/>
      <c r="Z1383" s="157"/>
      <c r="AA1383" s="158"/>
      <c r="AB1383" s="147"/>
    </row>
    <row r="1384" spans="1:28" ht="15" hidden="1" customHeight="1" x14ac:dyDescent="0.25">
      <c r="A1384" s="224"/>
      <c r="B1384" s="145">
        <v>45561</v>
      </c>
      <c r="C1384" s="52" t="s">
        <v>50</v>
      </c>
      <c r="D1384" s="52" t="s">
        <v>38</v>
      </c>
      <c r="E1384" s="176" t="s">
        <v>45</v>
      </c>
      <c r="F1384" s="72" t="s">
        <v>40</v>
      </c>
      <c r="G1384" s="41">
        <v>12</v>
      </c>
      <c r="H1384" s="72">
        <v>900</v>
      </c>
      <c r="I1384" s="72">
        <v>800</v>
      </c>
      <c r="J1384" s="72">
        <v>0</v>
      </c>
      <c r="K1384" s="157">
        <v>0.7</v>
      </c>
      <c r="L1384" s="72">
        <f t="shared" si="68"/>
        <v>560</v>
      </c>
      <c r="M1384" s="157">
        <v>0.03</v>
      </c>
      <c r="N1384" s="158">
        <f t="shared" si="69"/>
        <v>543.19999999999993</v>
      </c>
      <c r="O1384" s="147"/>
      <c r="P1384" s="145" t="str">
        <f t="shared" si="65"/>
        <v>Diamant12</v>
      </c>
      <c r="Q1384" s="52">
        <f t="shared" si="66"/>
        <v>39</v>
      </c>
      <c r="R1384" s="8">
        <f t="shared" si="67"/>
        <v>2024</v>
      </c>
      <c r="S1384" s="72"/>
      <c r="T1384" s="72"/>
      <c r="U1384" s="72"/>
      <c r="V1384" s="72"/>
      <c r="W1384" s="157"/>
      <c r="X1384" s="72"/>
      <c r="Y1384" s="157"/>
      <c r="Z1384" s="157"/>
      <c r="AA1384" s="158"/>
      <c r="AB1384" s="147"/>
    </row>
    <row r="1385" spans="1:28" ht="15" hidden="1" customHeight="1" x14ac:dyDescent="0.25">
      <c r="A1385" s="224"/>
      <c r="B1385" s="145">
        <v>45562</v>
      </c>
      <c r="C1385" s="52" t="s">
        <v>53</v>
      </c>
      <c r="D1385" s="52" t="s">
        <v>38</v>
      </c>
      <c r="E1385" s="176" t="s">
        <v>45</v>
      </c>
      <c r="F1385" s="72" t="s">
        <v>40</v>
      </c>
      <c r="G1385" s="41">
        <v>15</v>
      </c>
      <c r="H1385" s="72">
        <v>900</v>
      </c>
      <c r="I1385" s="72">
        <v>800</v>
      </c>
      <c r="J1385" s="72">
        <v>0</v>
      </c>
      <c r="K1385" s="157">
        <v>0.7</v>
      </c>
      <c r="L1385" s="72">
        <f t="shared" si="68"/>
        <v>560</v>
      </c>
      <c r="M1385" s="157">
        <v>0.03</v>
      </c>
      <c r="N1385" s="158">
        <f t="shared" si="69"/>
        <v>543.19999999999993</v>
      </c>
      <c r="O1385" s="147"/>
      <c r="P1385" s="145" t="str">
        <f t="shared" si="65"/>
        <v>Diamant15</v>
      </c>
      <c r="Q1385" s="52">
        <f t="shared" si="66"/>
        <v>39</v>
      </c>
      <c r="R1385" s="8">
        <f t="shared" si="67"/>
        <v>2024</v>
      </c>
      <c r="S1385" s="72"/>
      <c r="T1385" s="72"/>
      <c r="U1385" s="72"/>
      <c r="V1385" s="72"/>
      <c r="W1385" s="157"/>
      <c r="X1385" s="72"/>
      <c r="Y1385" s="157"/>
      <c r="Z1385" s="157"/>
      <c r="AA1385" s="158"/>
      <c r="AB1385" s="147"/>
    </row>
    <row r="1386" spans="1:28" ht="15.75" hidden="1" customHeight="1" x14ac:dyDescent="0.25">
      <c r="A1386" s="224"/>
      <c r="B1386" s="148">
        <v>45563</v>
      </c>
      <c r="C1386" s="58" t="s">
        <v>57</v>
      </c>
      <c r="D1386" s="59" t="s">
        <v>38</v>
      </c>
      <c r="E1386" s="176" t="s">
        <v>45</v>
      </c>
      <c r="F1386" s="149" t="s">
        <v>40</v>
      </c>
      <c r="G1386" s="136">
        <v>10</v>
      </c>
      <c r="H1386" s="149">
        <v>900</v>
      </c>
      <c r="I1386" s="149">
        <v>800</v>
      </c>
      <c r="J1386" s="149">
        <v>0</v>
      </c>
      <c r="K1386" s="159">
        <v>0.7</v>
      </c>
      <c r="L1386" s="149">
        <f t="shared" si="68"/>
        <v>560</v>
      </c>
      <c r="M1386" s="159">
        <v>0.03</v>
      </c>
      <c r="N1386" s="160">
        <f t="shared" si="69"/>
        <v>543.19999999999993</v>
      </c>
      <c r="O1386" s="150" t="s">
        <v>171</v>
      </c>
      <c r="P1386" s="145" t="str">
        <f t="shared" si="65"/>
        <v>Diamant10</v>
      </c>
      <c r="Q1386" s="52">
        <f t="shared" si="66"/>
        <v>39</v>
      </c>
      <c r="R1386" s="8">
        <f t="shared" si="67"/>
        <v>2024</v>
      </c>
      <c r="S1386" s="149"/>
      <c r="T1386" s="149"/>
      <c r="U1386" s="149"/>
      <c r="V1386" s="149"/>
      <c r="W1386" s="159"/>
      <c r="X1386" s="149"/>
      <c r="Y1386" s="159"/>
      <c r="Z1386" s="159"/>
      <c r="AA1386" s="160"/>
      <c r="AB1386" s="150"/>
    </row>
    <row r="1387" spans="1:28" ht="15" hidden="1" customHeight="1" thickBot="1" x14ac:dyDescent="0.3">
      <c r="A1387" s="225"/>
      <c r="B1387" s="113">
        <v>45564</v>
      </c>
      <c r="C1387" s="66" t="s">
        <v>59</v>
      </c>
      <c r="D1387" s="67" t="s">
        <v>38</v>
      </c>
      <c r="E1387" s="176" t="s">
        <v>45</v>
      </c>
      <c r="F1387" s="151" t="s">
        <v>40</v>
      </c>
      <c r="G1387" s="137">
        <v>10</v>
      </c>
      <c r="H1387" s="151">
        <v>900</v>
      </c>
      <c r="I1387" s="151">
        <v>800</v>
      </c>
      <c r="J1387" s="151">
        <v>0</v>
      </c>
      <c r="K1387" s="161">
        <v>0.7</v>
      </c>
      <c r="L1387" s="151">
        <f t="shared" si="68"/>
        <v>560</v>
      </c>
      <c r="M1387" s="161">
        <v>0.03</v>
      </c>
      <c r="N1387" s="162">
        <f t="shared" si="69"/>
        <v>543.19999999999993</v>
      </c>
      <c r="O1387" s="191" t="s">
        <v>172</v>
      </c>
      <c r="P1387" s="145" t="str">
        <f t="shared" si="65"/>
        <v>Diamant10</v>
      </c>
      <c r="Q1387" s="52">
        <f t="shared" si="66"/>
        <v>39</v>
      </c>
      <c r="R1387" s="8">
        <f t="shared" si="67"/>
        <v>2024</v>
      </c>
      <c r="S1387" s="151"/>
      <c r="T1387" s="151"/>
      <c r="U1387" s="151"/>
      <c r="V1387" s="151"/>
      <c r="W1387" s="161"/>
      <c r="X1387" s="151"/>
      <c r="Y1387" s="161"/>
      <c r="Z1387" s="161"/>
      <c r="AA1387" s="162"/>
      <c r="AB1387" s="152"/>
    </row>
    <row r="1388" spans="1:28" ht="15" hidden="1" customHeight="1" x14ac:dyDescent="0.25">
      <c r="A1388" s="223">
        <f>+A1381+1</f>
        <v>40</v>
      </c>
      <c r="B1388" s="145">
        <v>45565</v>
      </c>
      <c r="C1388" s="40" t="s">
        <v>37</v>
      </c>
      <c r="D1388" s="72" t="s">
        <v>38</v>
      </c>
      <c r="E1388" s="176" t="s">
        <v>45</v>
      </c>
      <c r="F1388" s="72" t="s">
        <v>40</v>
      </c>
      <c r="G1388" s="41">
        <v>10</v>
      </c>
      <c r="H1388" s="72">
        <v>900</v>
      </c>
      <c r="I1388" s="72">
        <v>800</v>
      </c>
      <c r="J1388" s="72">
        <v>0</v>
      </c>
      <c r="K1388" s="157">
        <v>0.7</v>
      </c>
      <c r="L1388" s="72">
        <f t="shared" si="68"/>
        <v>560</v>
      </c>
      <c r="M1388" s="157">
        <v>0.03</v>
      </c>
      <c r="N1388" s="158">
        <f t="shared" si="69"/>
        <v>543.19999999999993</v>
      </c>
      <c r="O1388" s="146"/>
      <c r="P1388" s="145" t="str">
        <f t="shared" si="65"/>
        <v>Diamant10</v>
      </c>
      <c r="Q1388" s="52">
        <f t="shared" si="66"/>
        <v>40</v>
      </c>
      <c r="R1388" s="8">
        <f t="shared" si="67"/>
        <v>2024</v>
      </c>
      <c r="S1388" s="72"/>
      <c r="T1388" s="72"/>
      <c r="U1388" s="72"/>
      <c r="V1388" s="72"/>
      <c r="W1388" s="157"/>
      <c r="X1388" s="72"/>
      <c r="Y1388" s="157"/>
      <c r="Z1388" s="157"/>
      <c r="AA1388" s="158"/>
      <c r="AB1388" s="146"/>
    </row>
    <row r="1389" spans="1:28" ht="15" hidden="1" customHeight="1" x14ac:dyDescent="0.25">
      <c r="A1389" s="224"/>
      <c r="B1389" s="145">
        <v>45566</v>
      </c>
      <c r="C1389" s="52" t="s">
        <v>42</v>
      </c>
      <c r="D1389" s="52" t="s">
        <v>38</v>
      </c>
      <c r="E1389" s="176" t="s">
        <v>45</v>
      </c>
      <c r="F1389" s="72" t="s">
        <v>40</v>
      </c>
      <c r="G1389" s="41">
        <v>8</v>
      </c>
      <c r="H1389" s="72">
        <v>0</v>
      </c>
      <c r="I1389" s="72">
        <v>800</v>
      </c>
      <c r="J1389" s="72">
        <v>0</v>
      </c>
      <c r="K1389" s="157">
        <v>0.7</v>
      </c>
      <c r="L1389" s="72">
        <f t="shared" si="68"/>
        <v>560</v>
      </c>
      <c r="M1389" s="157">
        <v>0.03</v>
      </c>
      <c r="N1389" s="158">
        <f t="shared" si="69"/>
        <v>543.19999999999993</v>
      </c>
      <c r="O1389" s="190" t="s">
        <v>173</v>
      </c>
      <c r="P1389" s="145" t="str">
        <f>E1389&amp;G1389</f>
        <v>Diamant8</v>
      </c>
      <c r="Q1389" s="52">
        <f t="shared" ref="Q1389:Q1397" si="70">_xlfn.ISOWEEKNUM(B1389)</f>
        <v>40</v>
      </c>
      <c r="R1389" s="8">
        <f t="shared" si="67"/>
        <v>2024</v>
      </c>
      <c r="S1389" s="72"/>
      <c r="T1389" s="72"/>
      <c r="U1389" s="72"/>
      <c r="V1389" s="72"/>
      <c r="W1389" s="157"/>
      <c r="X1389" s="72"/>
      <c r="Y1389" s="157"/>
      <c r="Z1389" s="157"/>
      <c r="AA1389" s="158"/>
      <c r="AB1389" s="147"/>
    </row>
    <row r="1390" spans="1:28" ht="15" hidden="1" customHeight="1" x14ac:dyDescent="0.25">
      <c r="A1390" s="224"/>
      <c r="B1390" s="145">
        <v>45567</v>
      </c>
      <c r="C1390" s="52" t="s">
        <v>46</v>
      </c>
      <c r="D1390" s="52" t="s">
        <v>38</v>
      </c>
      <c r="E1390" s="176" t="s">
        <v>45</v>
      </c>
      <c r="F1390" s="72" t="s">
        <v>40</v>
      </c>
      <c r="G1390" s="41">
        <v>8</v>
      </c>
      <c r="H1390" s="72">
        <v>0</v>
      </c>
      <c r="I1390" s="72">
        <v>800</v>
      </c>
      <c r="J1390" s="72">
        <v>0</v>
      </c>
      <c r="K1390" s="157">
        <v>0.7</v>
      </c>
      <c r="L1390" s="72">
        <f t="shared" si="68"/>
        <v>560</v>
      </c>
      <c r="M1390" s="157">
        <v>0.03</v>
      </c>
      <c r="N1390" s="158">
        <f t="shared" si="69"/>
        <v>543.19999999999993</v>
      </c>
      <c r="O1390" s="147"/>
      <c r="P1390" s="145" t="str">
        <f t="shared" ref="P1390:P1453" si="71">E1390&amp;G1390</f>
        <v>Diamant8</v>
      </c>
      <c r="Q1390" s="52">
        <f t="shared" si="70"/>
        <v>40</v>
      </c>
      <c r="R1390" s="8">
        <f t="shared" si="67"/>
        <v>2024</v>
      </c>
      <c r="S1390" s="72"/>
      <c r="T1390" s="72"/>
      <c r="U1390" s="72"/>
      <c r="V1390" s="72"/>
      <c r="W1390" s="157"/>
      <c r="X1390" s="72"/>
      <c r="Y1390" s="157"/>
      <c r="Z1390" s="157"/>
      <c r="AA1390" s="158"/>
      <c r="AB1390" s="147"/>
    </row>
    <row r="1391" spans="1:28" ht="15" hidden="1" customHeight="1" x14ac:dyDescent="0.25">
      <c r="A1391" s="224"/>
      <c r="B1391" s="187">
        <v>45568</v>
      </c>
      <c r="C1391" s="52" t="s">
        <v>50</v>
      </c>
      <c r="D1391" s="52" t="s">
        <v>38</v>
      </c>
      <c r="E1391" s="176" t="s">
        <v>45</v>
      </c>
      <c r="F1391" s="72" t="s">
        <v>40</v>
      </c>
      <c r="G1391" s="41">
        <v>5.9</v>
      </c>
      <c r="H1391" s="72">
        <v>0</v>
      </c>
      <c r="I1391" s="72">
        <v>800</v>
      </c>
      <c r="J1391" s="72">
        <v>0</v>
      </c>
      <c r="K1391" s="157">
        <v>0.7</v>
      </c>
      <c r="L1391" s="72">
        <f t="shared" si="68"/>
        <v>560</v>
      </c>
      <c r="M1391" s="157">
        <v>0.03</v>
      </c>
      <c r="N1391" s="158">
        <f t="shared" si="69"/>
        <v>543.19999999999993</v>
      </c>
      <c r="O1391" s="190" t="s">
        <v>174</v>
      </c>
      <c r="P1391" s="145" t="str">
        <f t="shared" si="71"/>
        <v>Diamant5,9</v>
      </c>
      <c r="Q1391" s="52">
        <f t="shared" si="70"/>
        <v>40</v>
      </c>
      <c r="R1391" s="8">
        <f t="shared" si="67"/>
        <v>2024</v>
      </c>
      <c r="S1391" s="72"/>
      <c r="T1391" s="72"/>
      <c r="U1391" s="72"/>
      <c r="V1391" s="72"/>
      <c r="W1391" s="157"/>
      <c r="X1391" s="72"/>
      <c r="Y1391" s="157"/>
      <c r="Z1391" s="157"/>
      <c r="AA1391" s="158"/>
      <c r="AB1391" s="147"/>
    </row>
    <row r="1392" spans="1:28" ht="15" hidden="1" customHeight="1" x14ac:dyDescent="0.25">
      <c r="A1392" s="224"/>
      <c r="B1392" s="145">
        <v>45569</v>
      </c>
      <c r="C1392" s="52" t="s">
        <v>53</v>
      </c>
      <c r="D1392" s="52" t="s">
        <v>38</v>
      </c>
      <c r="E1392" s="176" t="s">
        <v>45</v>
      </c>
      <c r="F1392" s="72" t="s">
        <v>40</v>
      </c>
      <c r="G1392" s="41">
        <v>5.9</v>
      </c>
      <c r="H1392" s="72">
        <v>0</v>
      </c>
      <c r="I1392" s="72">
        <v>800</v>
      </c>
      <c r="J1392" s="72">
        <v>0</v>
      </c>
      <c r="K1392" s="157">
        <v>0.7</v>
      </c>
      <c r="L1392" s="72">
        <f t="shared" si="68"/>
        <v>560</v>
      </c>
      <c r="M1392" s="157">
        <v>0.03</v>
      </c>
      <c r="N1392" s="158">
        <f t="shared" si="69"/>
        <v>543.19999999999993</v>
      </c>
      <c r="O1392" s="147"/>
      <c r="P1392" s="145" t="str">
        <f t="shared" si="71"/>
        <v>Diamant5,9</v>
      </c>
      <c r="Q1392" s="52">
        <f t="shared" si="70"/>
        <v>40</v>
      </c>
      <c r="R1392" s="8">
        <f t="shared" si="67"/>
        <v>2024</v>
      </c>
      <c r="S1392" s="72"/>
      <c r="T1392" s="72"/>
      <c r="U1392" s="72"/>
      <c r="V1392" s="72"/>
      <c r="W1392" s="157"/>
      <c r="X1392" s="72"/>
      <c r="Y1392" s="157"/>
      <c r="Z1392" s="157"/>
      <c r="AA1392" s="158"/>
      <c r="AB1392" s="147"/>
    </row>
    <row r="1393" spans="1:28" ht="15.75" hidden="1" customHeight="1" x14ac:dyDescent="0.25">
      <c r="A1393" s="224"/>
      <c r="B1393" s="148">
        <v>45570</v>
      </c>
      <c r="C1393" s="58" t="s">
        <v>57</v>
      </c>
      <c r="D1393" s="59" t="s">
        <v>38</v>
      </c>
      <c r="E1393" s="176" t="s">
        <v>45</v>
      </c>
      <c r="F1393" s="149" t="s">
        <v>40</v>
      </c>
      <c r="G1393" s="41" t="s">
        <v>70</v>
      </c>
      <c r="H1393" s="149">
        <v>0</v>
      </c>
      <c r="I1393" s="72">
        <v>800</v>
      </c>
      <c r="J1393" s="149">
        <v>0</v>
      </c>
      <c r="K1393" s="159">
        <v>0.7</v>
      </c>
      <c r="L1393" s="149">
        <f t="shared" si="68"/>
        <v>560</v>
      </c>
      <c r="M1393" s="159">
        <v>0.03</v>
      </c>
      <c r="N1393" s="160">
        <f t="shared" si="69"/>
        <v>543.19999999999993</v>
      </c>
      <c r="O1393" s="150"/>
      <c r="P1393" s="145" t="str">
        <f t="shared" si="71"/>
        <v>Diamant4,9/3,9</v>
      </c>
      <c r="Q1393" s="52">
        <f t="shared" si="70"/>
        <v>40</v>
      </c>
      <c r="R1393" s="8">
        <f t="shared" si="67"/>
        <v>2024</v>
      </c>
      <c r="S1393" s="149"/>
      <c r="T1393" s="149"/>
      <c r="U1393" s="149"/>
      <c r="V1393" s="149"/>
      <c r="W1393" s="159"/>
      <c r="X1393" s="149"/>
      <c r="Y1393" s="159"/>
      <c r="Z1393" s="159"/>
      <c r="AA1393" s="160"/>
      <c r="AB1393" s="150"/>
    </row>
    <row r="1394" spans="1:28" ht="15" hidden="1" customHeight="1" thickBot="1" x14ac:dyDescent="0.3">
      <c r="A1394" s="225"/>
      <c r="B1394" s="113">
        <v>45571</v>
      </c>
      <c r="C1394" s="66" t="s">
        <v>59</v>
      </c>
      <c r="D1394" s="67" t="s">
        <v>38</v>
      </c>
      <c r="E1394" s="176" t="s">
        <v>45</v>
      </c>
      <c r="F1394" s="151" t="s">
        <v>40</v>
      </c>
      <c r="G1394" s="137">
        <v>3.9</v>
      </c>
      <c r="H1394" s="151">
        <v>0</v>
      </c>
      <c r="I1394" s="72">
        <v>800</v>
      </c>
      <c r="J1394" s="151">
        <v>0</v>
      </c>
      <c r="K1394" s="161">
        <v>0.7</v>
      </c>
      <c r="L1394" s="151">
        <f t="shared" si="68"/>
        <v>560</v>
      </c>
      <c r="M1394" s="161">
        <v>0.03</v>
      </c>
      <c r="N1394" s="162">
        <f t="shared" si="69"/>
        <v>543.19999999999993</v>
      </c>
      <c r="O1394" s="152"/>
      <c r="P1394" s="145" t="str">
        <f t="shared" si="71"/>
        <v>Diamant3,9</v>
      </c>
      <c r="Q1394" s="52">
        <f t="shared" si="70"/>
        <v>40</v>
      </c>
      <c r="R1394" s="8">
        <f t="shared" si="67"/>
        <v>2024</v>
      </c>
      <c r="S1394" s="151"/>
      <c r="T1394" s="151"/>
      <c r="U1394" s="151"/>
      <c r="V1394" s="151"/>
      <c r="W1394" s="161"/>
      <c r="X1394" s="151"/>
      <c r="Y1394" s="161"/>
      <c r="Z1394" s="161"/>
      <c r="AA1394" s="162"/>
      <c r="AB1394" s="152"/>
    </row>
    <row r="1395" spans="1:28" ht="15" hidden="1" customHeight="1" x14ac:dyDescent="0.25">
      <c r="A1395" s="223">
        <f t="shared" ref="A1395" si="72">+A1388+1</f>
        <v>41</v>
      </c>
      <c r="B1395" s="145">
        <v>45572</v>
      </c>
      <c r="C1395" s="40" t="s">
        <v>37</v>
      </c>
      <c r="D1395" s="72" t="s">
        <v>38</v>
      </c>
      <c r="E1395" s="176" t="s">
        <v>45</v>
      </c>
      <c r="F1395" s="72" t="s">
        <v>40</v>
      </c>
      <c r="G1395" s="41">
        <v>3.9</v>
      </c>
      <c r="H1395" s="72">
        <v>0</v>
      </c>
      <c r="I1395" s="72">
        <v>800</v>
      </c>
      <c r="J1395" s="72">
        <v>0</v>
      </c>
      <c r="K1395" s="157">
        <v>0.7</v>
      </c>
      <c r="L1395" s="72">
        <f t="shared" si="68"/>
        <v>560</v>
      </c>
      <c r="M1395" s="157">
        <v>0.03</v>
      </c>
      <c r="N1395" s="158">
        <f t="shared" si="69"/>
        <v>543.19999999999993</v>
      </c>
      <c r="O1395" s="146"/>
      <c r="P1395" s="145" t="str">
        <f t="shared" si="71"/>
        <v>Diamant3,9</v>
      </c>
      <c r="Q1395" s="52">
        <f t="shared" si="70"/>
        <v>41</v>
      </c>
      <c r="R1395" s="8">
        <f t="shared" si="67"/>
        <v>2024</v>
      </c>
      <c r="S1395" s="72"/>
      <c r="T1395" s="72"/>
      <c r="U1395" s="72"/>
      <c r="V1395" s="72"/>
      <c r="W1395" s="157"/>
      <c r="X1395" s="72"/>
      <c r="Y1395" s="157"/>
      <c r="Z1395" s="157"/>
      <c r="AA1395" s="158"/>
      <c r="AB1395" s="146"/>
    </row>
    <row r="1396" spans="1:28" ht="15" hidden="1" customHeight="1" x14ac:dyDescent="0.25">
      <c r="A1396" s="224"/>
      <c r="B1396" s="145">
        <v>45573</v>
      </c>
      <c r="C1396" s="52" t="s">
        <v>42</v>
      </c>
      <c r="D1396" s="52" t="s">
        <v>38</v>
      </c>
      <c r="E1396" s="41" t="s">
        <v>55</v>
      </c>
      <c r="F1396" s="72" t="s">
        <v>40</v>
      </c>
      <c r="G1396" s="41">
        <v>3.9</v>
      </c>
      <c r="H1396" s="72">
        <v>0</v>
      </c>
      <c r="I1396" s="72">
        <v>800</v>
      </c>
      <c r="J1396" s="72">
        <v>0</v>
      </c>
      <c r="K1396" s="157">
        <v>0.85</v>
      </c>
      <c r="L1396" s="72">
        <f>+I1396*K1396</f>
        <v>680</v>
      </c>
      <c r="M1396" s="157">
        <v>0.03</v>
      </c>
      <c r="N1396" s="158">
        <f>+L1396*(1-M1396)</f>
        <v>659.6</v>
      </c>
      <c r="O1396" s="147"/>
      <c r="P1396" s="145" t="str">
        <f t="shared" si="71"/>
        <v>Transition3,9</v>
      </c>
      <c r="Q1396" s="52">
        <f t="shared" si="70"/>
        <v>41</v>
      </c>
      <c r="R1396" s="8">
        <f t="shared" si="67"/>
        <v>2024</v>
      </c>
      <c r="S1396" s="72"/>
      <c r="T1396" s="72"/>
      <c r="U1396" s="72"/>
      <c r="V1396" s="72"/>
      <c r="W1396" s="157"/>
      <c r="X1396" s="72"/>
      <c r="Y1396" s="157"/>
      <c r="Z1396" s="157"/>
      <c r="AA1396" s="158"/>
      <c r="AB1396" s="147"/>
    </row>
    <row r="1397" spans="1:28" ht="15" hidden="1" customHeight="1" x14ac:dyDescent="0.25">
      <c r="A1397" s="224"/>
      <c r="B1397" s="145">
        <v>45574</v>
      </c>
      <c r="C1397" s="52" t="s">
        <v>46</v>
      </c>
      <c r="D1397" s="52" t="s">
        <v>38</v>
      </c>
      <c r="E1397" s="41" t="s">
        <v>55</v>
      </c>
      <c r="F1397" s="72" t="s">
        <v>40</v>
      </c>
      <c r="G1397" s="41">
        <v>3.9</v>
      </c>
      <c r="H1397" s="72">
        <v>0</v>
      </c>
      <c r="I1397" s="72">
        <v>800</v>
      </c>
      <c r="J1397" s="72">
        <v>0</v>
      </c>
      <c r="K1397" s="157">
        <v>0.85</v>
      </c>
      <c r="L1397" s="72">
        <f t="shared" ref="L1397:L1431" si="73">+I1397*K1397</f>
        <v>680</v>
      </c>
      <c r="M1397" s="157">
        <v>0.03</v>
      </c>
      <c r="N1397" s="158">
        <f t="shared" ref="N1397:N1460" si="74">+L1397*(1-M1397)</f>
        <v>659.6</v>
      </c>
      <c r="O1397" s="147"/>
      <c r="P1397" s="145" t="str">
        <f t="shared" si="71"/>
        <v>Transition3,9</v>
      </c>
      <c r="Q1397" s="52">
        <f t="shared" si="70"/>
        <v>41</v>
      </c>
      <c r="R1397" s="8">
        <f t="shared" si="67"/>
        <v>2024</v>
      </c>
      <c r="S1397" s="72"/>
      <c r="T1397" s="72"/>
      <c r="U1397" s="72"/>
      <c r="V1397" s="72"/>
      <c r="W1397" s="157"/>
      <c r="X1397" s="72"/>
      <c r="Y1397" s="157"/>
      <c r="Z1397" s="157"/>
      <c r="AA1397" s="158"/>
      <c r="AB1397" s="147"/>
    </row>
    <row r="1398" spans="1:28" ht="15" hidden="1" customHeight="1" x14ac:dyDescent="0.25">
      <c r="A1398" s="224"/>
      <c r="B1398" s="145">
        <v>45575</v>
      </c>
      <c r="C1398" s="52" t="s">
        <v>50</v>
      </c>
      <c r="D1398" s="52" t="s">
        <v>38</v>
      </c>
      <c r="E1398" s="41" t="s">
        <v>39</v>
      </c>
      <c r="F1398" s="72" t="s">
        <v>40</v>
      </c>
      <c r="G1398" s="41">
        <v>3.9</v>
      </c>
      <c r="H1398" s="72">
        <v>0</v>
      </c>
      <c r="I1398" s="72">
        <v>800</v>
      </c>
      <c r="J1398" s="72">
        <v>0</v>
      </c>
      <c r="K1398" s="157">
        <v>0.85</v>
      </c>
      <c r="L1398" s="72">
        <f t="shared" si="73"/>
        <v>680</v>
      </c>
      <c r="M1398" s="157">
        <v>0.03</v>
      </c>
      <c r="N1398" s="158">
        <f t="shared" si="74"/>
        <v>659.6</v>
      </c>
      <c r="O1398" s="147"/>
      <c r="P1398" s="145" t="str">
        <f t="shared" si="71"/>
        <v>PLC3,9</v>
      </c>
      <c r="Q1398" s="52">
        <f>_xlfn.ISOWEEKNUM(B1398)</f>
        <v>41</v>
      </c>
      <c r="R1398" s="8">
        <f t="shared" si="67"/>
        <v>2024</v>
      </c>
      <c r="S1398" s="72"/>
      <c r="T1398" s="72"/>
      <c r="U1398" s="72"/>
      <c r="V1398" s="72"/>
      <c r="W1398" s="157"/>
      <c r="X1398" s="72"/>
      <c r="Y1398" s="157"/>
      <c r="Z1398" s="157"/>
      <c r="AA1398" s="158"/>
      <c r="AB1398" s="147"/>
    </row>
    <row r="1399" spans="1:28" ht="15" hidden="1" customHeight="1" x14ac:dyDescent="0.25">
      <c r="A1399" s="224"/>
      <c r="B1399" s="145">
        <v>45576</v>
      </c>
      <c r="C1399" s="52" t="s">
        <v>53</v>
      </c>
      <c r="D1399" s="52" t="s">
        <v>38</v>
      </c>
      <c r="E1399" s="41" t="s">
        <v>39</v>
      </c>
      <c r="F1399" s="72" t="s">
        <v>40</v>
      </c>
      <c r="G1399" s="41">
        <v>3.9</v>
      </c>
      <c r="H1399" s="72">
        <v>0</v>
      </c>
      <c r="I1399" s="72">
        <v>800</v>
      </c>
      <c r="J1399" s="72">
        <v>0</v>
      </c>
      <c r="K1399" s="157">
        <v>0.85</v>
      </c>
      <c r="L1399" s="72">
        <f t="shared" si="73"/>
        <v>680</v>
      </c>
      <c r="M1399" s="157">
        <v>0.03</v>
      </c>
      <c r="N1399" s="158">
        <f t="shared" si="74"/>
        <v>659.6</v>
      </c>
      <c r="O1399" s="147"/>
      <c r="P1399" s="145" t="str">
        <f t="shared" si="71"/>
        <v>PLC3,9</v>
      </c>
      <c r="Q1399" s="52">
        <f t="shared" ref="Q1399:Q1462" si="75">_xlfn.ISOWEEKNUM(B1399)</f>
        <v>41</v>
      </c>
      <c r="R1399" s="8">
        <f t="shared" si="67"/>
        <v>2024</v>
      </c>
      <c r="S1399" s="72"/>
      <c r="T1399" s="72"/>
      <c r="U1399" s="72"/>
      <c r="V1399" s="72"/>
      <c r="W1399" s="157"/>
      <c r="X1399" s="72"/>
      <c r="Y1399" s="157"/>
      <c r="Z1399" s="157"/>
      <c r="AA1399" s="158"/>
      <c r="AB1399" s="147"/>
    </row>
    <row r="1400" spans="1:28" ht="15.75" hidden="1" customHeight="1" x14ac:dyDescent="0.25">
      <c r="A1400" s="224"/>
      <c r="B1400" s="148">
        <v>45577</v>
      </c>
      <c r="C1400" s="58" t="s">
        <v>57</v>
      </c>
      <c r="D1400" s="59" t="s">
        <v>38</v>
      </c>
      <c r="E1400" s="41" t="s">
        <v>39</v>
      </c>
      <c r="F1400" s="149" t="s">
        <v>40</v>
      </c>
      <c r="G1400" s="136">
        <v>3.9</v>
      </c>
      <c r="H1400" s="149">
        <v>0</v>
      </c>
      <c r="I1400" s="72">
        <v>800</v>
      </c>
      <c r="J1400" s="149">
        <v>0</v>
      </c>
      <c r="K1400" s="159">
        <v>0.85</v>
      </c>
      <c r="L1400" s="149">
        <f t="shared" si="73"/>
        <v>680</v>
      </c>
      <c r="M1400" s="159">
        <v>0.03</v>
      </c>
      <c r="N1400" s="160">
        <f t="shared" si="74"/>
        <v>659.6</v>
      </c>
      <c r="O1400" s="150"/>
      <c r="P1400" s="145" t="str">
        <f t="shared" si="71"/>
        <v>PLC3,9</v>
      </c>
      <c r="Q1400" s="52">
        <f t="shared" si="75"/>
        <v>41</v>
      </c>
      <c r="R1400" s="8">
        <f t="shared" si="67"/>
        <v>2024</v>
      </c>
      <c r="S1400" s="149"/>
      <c r="T1400" s="149"/>
      <c r="U1400" s="149"/>
      <c r="V1400" s="149"/>
      <c r="W1400" s="159"/>
      <c r="X1400" s="149"/>
      <c r="Y1400" s="159"/>
      <c r="Z1400" s="159"/>
      <c r="AA1400" s="160"/>
      <c r="AB1400" s="150"/>
    </row>
    <row r="1401" spans="1:28" ht="15" hidden="1" customHeight="1" thickBot="1" x14ac:dyDescent="0.3">
      <c r="A1401" s="225"/>
      <c r="B1401" s="113">
        <v>45578</v>
      </c>
      <c r="C1401" s="66" t="s">
        <v>59</v>
      </c>
      <c r="D1401" s="67" t="s">
        <v>38</v>
      </c>
      <c r="E1401" s="186" t="s">
        <v>39</v>
      </c>
      <c r="F1401" s="151" t="s">
        <v>40</v>
      </c>
      <c r="G1401" s="137">
        <v>3.9</v>
      </c>
      <c r="H1401" s="151">
        <v>0</v>
      </c>
      <c r="I1401" s="72">
        <v>800</v>
      </c>
      <c r="J1401" s="151">
        <v>0</v>
      </c>
      <c r="K1401" s="161">
        <v>0.85</v>
      </c>
      <c r="L1401" s="151">
        <f t="shared" si="73"/>
        <v>680</v>
      </c>
      <c r="M1401" s="161">
        <v>0.03</v>
      </c>
      <c r="N1401" s="162">
        <f t="shared" si="74"/>
        <v>659.6</v>
      </c>
      <c r="O1401" s="152"/>
      <c r="P1401" s="145" t="str">
        <f t="shared" si="71"/>
        <v>PLC3,9</v>
      </c>
      <c r="Q1401" s="52">
        <f t="shared" si="75"/>
        <v>41</v>
      </c>
      <c r="R1401" s="8">
        <f t="shared" si="67"/>
        <v>2024</v>
      </c>
      <c r="S1401" s="151"/>
      <c r="T1401" s="151"/>
      <c r="U1401" s="151"/>
      <c r="V1401" s="151"/>
      <c r="W1401" s="161"/>
      <c r="X1401" s="151"/>
      <c r="Y1401" s="161"/>
      <c r="Z1401" s="161"/>
      <c r="AA1401" s="162"/>
      <c r="AB1401" s="152"/>
    </row>
    <row r="1402" spans="1:28" ht="15" hidden="1" customHeight="1" x14ac:dyDescent="0.25">
      <c r="A1402" s="223">
        <f t="shared" ref="A1402" si="76">+A1395+1</f>
        <v>42</v>
      </c>
      <c r="B1402" s="145">
        <v>45579</v>
      </c>
      <c r="C1402" s="40" t="s">
        <v>37</v>
      </c>
      <c r="D1402" s="72" t="s">
        <v>38</v>
      </c>
      <c r="E1402" s="41" t="s">
        <v>39</v>
      </c>
      <c r="F1402" s="72" t="s">
        <v>40</v>
      </c>
      <c r="G1402" s="41">
        <v>3.9</v>
      </c>
      <c r="H1402" s="72">
        <v>0</v>
      </c>
      <c r="I1402" s="72">
        <v>800</v>
      </c>
      <c r="J1402" s="72">
        <v>0</v>
      </c>
      <c r="K1402" s="157">
        <v>0.7</v>
      </c>
      <c r="L1402" s="72">
        <f t="shared" si="73"/>
        <v>560</v>
      </c>
      <c r="M1402" s="157">
        <v>0.03</v>
      </c>
      <c r="N1402" s="158">
        <f t="shared" si="74"/>
        <v>543.19999999999993</v>
      </c>
      <c r="O1402" s="146"/>
      <c r="P1402" s="145" t="str">
        <f t="shared" si="71"/>
        <v>PLC3,9</v>
      </c>
      <c r="Q1402" s="52">
        <f t="shared" si="75"/>
        <v>42</v>
      </c>
      <c r="R1402" s="8">
        <f t="shared" si="67"/>
        <v>2024</v>
      </c>
      <c r="S1402" s="72"/>
      <c r="T1402" s="72"/>
      <c r="U1402" s="72"/>
      <c r="V1402" s="72"/>
      <c r="W1402" s="157"/>
      <c r="X1402" s="72"/>
      <c r="Y1402" s="157"/>
      <c r="Z1402" s="157"/>
      <c r="AA1402" s="158"/>
      <c r="AB1402" s="146"/>
    </row>
    <row r="1403" spans="1:28" ht="15" hidden="1" customHeight="1" x14ac:dyDescent="0.25">
      <c r="A1403" s="224"/>
      <c r="B1403" s="145">
        <v>45580</v>
      </c>
      <c r="C1403" s="52" t="s">
        <v>42</v>
      </c>
      <c r="D1403" s="52" t="s">
        <v>38</v>
      </c>
      <c r="E1403" s="41" t="s">
        <v>39</v>
      </c>
      <c r="F1403" s="72" t="s">
        <v>40</v>
      </c>
      <c r="G1403" s="41">
        <v>3.9</v>
      </c>
      <c r="H1403" s="72">
        <v>0</v>
      </c>
      <c r="I1403" s="72">
        <v>800</v>
      </c>
      <c r="J1403" s="72">
        <v>0</v>
      </c>
      <c r="K1403" s="157">
        <v>0.7</v>
      </c>
      <c r="L1403" s="72">
        <f t="shared" si="73"/>
        <v>560</v>
      </c>
      <c r="M1403" s="157">
        <v>0.03</v>
      </c>
      <c r="N1403" s="158">
        <f t="shared" si="74"/>
        <v>543.19999999999993</v>
      </c>
      <c r="O1403" s="147"/>
      <c r="P1403" s="145" t="str">
        <f t="shared" si="71"/>
        <v>PLC3,9</v>
      </c>
      <c r="Q1403" s="52">
        <f t="shared" si="75"/>
        <v>42</v>
      </c>
      <c r="R1403" s="8">
        <f t="shared" si="67"/>
        <v>2024</v>
      </c>
      <c r="S1403" s="72"/>
      <c r="T1403" s="72"/>
      <c r="U1403" s="72"/>
      <c r="V1403" s="72"/>
      <c r="W1403" s="157"/>
      <c r="X1403" s="72"/>
      <c r="Y1403" s="157"/>
      <c r="Z1403" s="157"/>
      <c r="AA1403" s="158"/>
      <c r="AB1403" s="147"/>
    </row>
    <row r="1404" spans="1:28" ht="15" hidden="1" customHeight="1" x14ac:dyDescent="0.25">
      <c r="A1404" s="224"/>
      <c r="B1404" s="145">
        <v>45581</v>
      </c>
      <c r="C1404" s="52" t="s">
        <v>46</v>
      </c>
      <c r="D1404" s="52" t="s">
        <v>38</v>
      </c>
      <c r="E1404" s="41" t="s">
        <v>39</v>
      </c>
      <c r="F1404" s="72" t="s">
        <v>40</v>
      </c>
      <c r="G1404" s="41">
        <v>5.9</v>
      </c>
      <c r="H1404" s="72">
        <v>0</v>
      </c>
      <c r="I1404" s="72">
        <v>800</v>
      </c>
      <c r="J1404" s="72">
        <v>0</v>
      </c>
      <c r="K1404" s="157">
        <v>0.7</v>
      </c>
      <c r="L1404" s="72">
        <f t="shared" si="73"/>
        <v>560</v>
      </c>
      <c r="M1404" s="157">
        <v>0.03</v>
      </c>
      <c r="N1404" s="158">
        <f t="shared" si="74"/>
        <v>543.19999999999993</v>
      </c>
      <c r="O1404" s="147"/>
      <c r="P1404" s="145" t="str">
        <f t="shared" si="71"/>
        <v>PLC5,9</v>
      </c>
      <c r="Q1404" s="52">
        <f t="shared" si="75"/>
        <v>42</v>
      </c>
      <c r="R1404" s="8">
        <f t="shared" si="67"/>
        <v>2024</v>
      </c>
      <c r="S1404" s="72"/>
      <c r="T1404" s="72"/>
      <c r="U1404" s="72"/>
      <c r="V1404" s="72"/>
      <c r="W1404" s="157"/>
      <c r="X1404" s="72"/>
      <c r="Y1404" s="157"/>
      <c r="Z1404" s="157"/>
      <c r="AA1404" s="158"/>
      <c r="AB1404" s="147"/>
    </row>
    <row r="1405" spans="1:28" ht="15" hidden="1" customHeight="1" x14ac:dyDescent="0.25">
      <c r="A1405" s="224"/>
      <c r="B1405" s="145">
        <v>45582</v>
      </c>
      <c r="C1405" s="52" t="s">
        <v>50</v>
      </c>
      <c r="D1405" s="52" t="s">
        <v>38</v>
      </c>
      <c r="E1405" s="41" t="s">
        <v>39</v>
      </c>
      <c r="F1405" s="72" t="s">
        <v>40</v>
      </c>
      <c r="G1405" s="41">
        <v>8</v>
      </c>
      <c r="H1405" s="72">
        <v>0</v>
      </c>
      <c r="I1405" s="72">
        <v>800</v>
      </c>
      <c r="J1405" s="72">
        <v>0</v>
      </c>
      <c r="K1405" s="157">
        <v>0.7</v>
      </c>
      <c r="L1405" s="72">
        <f t="shared" si="73"/>
        <v>560</v>
      </c>
      <c r="M1405" s="157">
        <v>0.03</v>
      </c>
      <c r="N1405" s="158">
        <f t="shared" si="74"/>
        <v>543.19999999999993</v>
      </c>
      <c r="O1405" s="147"/>
      <c r="P1405" s="145" t="str">
        <f t="shared" si="71"/>
        <v>PLC8</v>
      </c>
      <c r="Q1405" s="52">
        <f t="shared" si="75"/>
        <v>42</v>
      </c>
      <c r="R1405" s="8">
        <f t="shared" si="67"/>
        <v>2024</v>
      </c>
      <c r="S1405" s="72"/>
      <c r="T1405" s="72"/>
      <c r="U1405" s="72"/>
      <c r="V1405" s="72"/>
      <c r="W1405" s="157"/>
      <c r="X1405" s="72"/>
      <c r="Y1405" s="157"/>
      <c r="Z1405" s="157"/>
      <c r="AA1405" s="158"/>
      <c r="AB1405" s="147"/>
    </row>
    <row r="1406" spans="1:28" ht="15" hidden="1" customHeight="1" x14ac:dyDescent="0.25">
      <c r="A1406" s="224"/>
      <c r="B1406" s="145">
        <v>45583</v>
      </c>
      <c r="C1406" s="52" t="s">
        <v>53</v>
      </c>
      <c r="D1406" s="52" t="s">
        <v>38</v>
      </c>
      <c r="E1406" s="41" t="s">
        <v>39</v>
      </c>
      <c r="F1406" s="72" t="s">
        <v>40</v>
      </c>
      <c r="G1406" s="41">
        <v>8</v>
      </c>
      <c r="H1406" s="72">
        <v>0</v>
      </c>
      <c r="I1406" s="72">
        <v>800</v>
      </c>
      <c r="J1406" s="72">
        <v>0</v>
      </c>
      <c r="K1406" s="157">
        <v>0.7</v>
      </c>
      <c r="L1406" s="72">
        <f t="shared" si="73"/>
        <v>560</v>
      </c>
      <c r="M1406" s="157">
        <v>0.03</v>
      </c>
      <c r="N1406" s="158">
        <f t="shared" si="74"/>
        <v>543.19999999999993</v>
      </c>
      <c r="O1406" s="147"/>
      <c r="P1406" s="145" t="str">
        <f t="shared" si="71"/>
        <v>PLC8</v>
      </c>
      <c r="Q1406" s="52">
        <f t="shared" si="75"/>
        <v>42</v>
      </c>
      <c r="R1406" s="8">
        <f t="shared" si="67"/>
        <v>2024</v>
      </c>
      <c r="S1406" s="72"/>
      <c r="T1406" s="72"/>
      <c r="U1406" s="72"/>
      <c r="V1406" s="72"/>
      <c r="W1406" s="157"/>
      <c r="X1406" s="72"/>
      <c r="Y1406" s="157"/>
      <c r="Z1406" s="157"/>
      <c r="AA1406" s="158"/>
      <c r="AB1406" s="147"/>
    </row>
    <row r="1407" spans="1:28" ht="15.75" hidden="1" customHeight="1" x14ac:dyDescent="0.25">
      <c r="A1407" s="224"/>
      <c r="B1407" s="148">
        <v>45584</v>
      </c>
      <c r="C1407" s="58" t="s">
        <v>57</v>
      </c>
      <c r="D1407" s="59" t="s">
        <v>38</v>
      </c>
      <c r="E1407" s="136" t="s">
        <v>39</v>
      </c>
      <c r="F1407" s="149" t="s">
        <v>40</v>
      </c>
      <c r="G1407" s="136">
        <v>8</v>
      </c>
      <c r="H1407" s="149">
        <v>0</v>
      </c>
      <c r="I1407" s="72">
        <v>800</v>
      </c>
      <c r="J1407" s="149">
        <v>0</v>
      </c>
      <c r="K1407" s="157">
        <v>0.7</v>
      </c>
      <c r="L1407" s="149">
        <f t="shared" si="73"/>
        <v>560</v>
      </c>
      <c r="M1407" s="159">
        <v>0.03</v>
      </c>
      <c r="N1407" s="160">
        <f t="shared" si="74"/>
        <v>543.19999999999993</v>
      </c>
      <c r="O1407" s="150"/>
      <c r="P1407" s="145" t="str">
        <f t="shared" si="71"/>
        <v>PLC8</v>
      </c>
      <c r="Q1407" s="52">
        <f t="shared" si="75"/>
        <v>42</v>
      </c>
      <c r="R1407" s="8">
        <f t="shared" si="67"/>
        <v>2024</v>
      </c>
      <c r="S1407" s="149"/>
      <c r="T1407" s="149"/>
      <c r="U1407" s="149"/>
      <c r="V1407" s="149"/>
      <c r="W1407" s="159"/>
      <c r="X1407" s="149"/>
      <c r="Y1407" s="159"/>
      <c r="Z1407" s="159"/>
      <c r="AA1407" s="160"/>
      <c r="AB1407" s="150"/>
    </row>
    <row r="1408" spans="1:28" ht="15" hidden="1" customHeight="1" thickBot="1" x14ac:dyDescent="0.3">
      <c r="A1408" s="225"/>
      <c r="B1408" s="113">
        <v>45585</v>
      </c>
      <c r="C1408" s="66" t="s">
        <v>59</v>
      </c>
      <c r="D1408" s="67" t="s">
        <v>38</v>
      </c>
      <c r="E1408" s="137" t="s">
        <v>39</v>
      </c>
      <c r="F1408" s="151" t="s">
        <v>40</v>
      </c>
      <c r="G1408" s="137">
        <v>8</v>
      </c>
      <c r="H1408" s="151">
        <v>0</v>
      </c>
      <c r="I1408" s="72">
        <v>800</v>
      </c>
      <c r="J1408" s="151">
        <v>0</v>
      </c>
      <c r="K1408" s="157">
        <v>0.7</v>
      </c>
      <c r="L1408" s="151">
        <f t="shared" si="73"/>
        <v>560</v>
      </c>
      <c r="M1408" s="161">
        <v>0.03</v>
      </c>
      <c r="N1408" s="162">
        <f t="shared" si="74"/>
        <v>543.19999999999993</v>
      </c>
      <c r="O1408" s="152"/>
      <c r="P1408" s="145" t="str">
        <f t="shared" si="71"/>
        <v>PLC8</v>
      </c>
      <c r="Q1408" s="52">
        <f t="shared" si="75"/>
        <v>42</v>
      </c>
      <c r="R1408" s="8">
        <f t="shared" si="67"/>
        <v>2024</v>
      </c>
      <c r="S1408" s="151"/>
      <c r="T1408" s="151"/>
      <c r="U1408" s="151"/>
      <c r="V1408" s="151"/>
      <c r="W1408" s="161"/>
      <c r="X1408" s="151"/>
      <c r="Y1408" s="161"/>
      <c r="Z1408" s="161"/>
      <c r="AA1408" s="162"/>
      <c r="AB1408" s="152"/>
    </row>
    <row r="1409" spans="1:28" ht="15" hidden="1" customHeight="1" x14ac:dyDescent="0.25">
      <c r="A1409" s="223">
        <f t="shared" ref="A1409" si="77">+A1402+1</f>
        <v>43</v>
      </c>
      <c r="B1409" s="145">
        <v>45586</v>
      </c>
      <c r="C1409" s="40" t="s">
        <v>37</v>
      </c>
      <c r="D1409" s="72" t="s">
        <v>38</v>
      </c>
      <c r="E1409" s="41" t="s">
        <v>39</v>
      </c>
      <c r="F1409" s="72" t="s">
        <v>40</v>
      </c>
      <c r="G1409" s="41">
        <v>5.9</v>
      </c>
      <c r="H1409" s="72">
        <v>0</v>
      </c>
      <c r="I1409" s="72">
        <v>800</v>
      </c>
      <c r="J1409" s="72">
        <v>0</v>
      </c>
      <c r="K1409" s="157">
        <v>0.7</v>
      </c>
      <c r="L1409" s="72">
        <f t="shared" si="73"/>
        <v>560</v>
      </c>
      <c r="M1409" s="157">
        <v>0.03</v>
      </c>
      <c r="N1409" s="158">
        <f t="shared" si="74"/>
        <v>543.19999999999993</v>
      </c>
      <c r="O1409" s="146"/>
      <c r="P1409" s="145" t="str">
        <f t="shared" si="71"/>
        <v>PLC5,9</v>
      </c>
      <c r="Q1409" s="52">
        <f t="shared" si="75"/>
        <v>43</v>
      </c>
      <c r="R1409" s="8">
        <f t="shared" si="67"/>
        <v>2024</v>
      </c>
      <c r="S1409" s="72"/>
      <c r="T1409" s="72"/>
      <c r="U1409" s="72"/>
      <c r="V1409" s="72"/>
      <c r="W1409" s="157"/>
      <c r="X1409" s="72"/>
      <c r="Y1409" s="157"/>
      <c r="Z1409" s="157"/>
      <c r="AA1409" s="158"/>
      <c r="AB1409" s="146"/>
    </row>
    <row r="1410" spans="1:28" ht="15" hidden="1" customHeight="1" x14ac:dyDescent="0.25">
      <c r="A1410" s="224"/>
      <c r="B1410" s="145">
        <v>45587</v>
      </c>
      <c r="C1410" s="52" t="s">
        <v>42</v>
      </c>
      <c r="D1410" s="52" t="s">
        <v>38</v>
      </c>
      <c r="E1410" s="41" t="s">
        <v>39</v>
      </c>
      <c r="F1410" s="72" t="s">
        <v>40</v>
      </c>
      <c r="G1410" s="41">
        <v>5.9</v>
      </c>
      <c r="H1410" s="72">
        <v>0</v>
      </c>
      <c r="I1410" s="72">
        <v>800</v>
      </c>
      <c r="J1410" s="72">
        <v>0</v>
      </c>
      <c r="K1410" s="157">
        <v>0.7</v>
      </c>
      <c r="L1410" s="72">
        <f t="shared" si="73"/>
        <v>560</v>
      </c>
      <c r="M1410" s="157">
        <v>0.03</v>
      </c>
      <c r="N1410" s="158">
        <f t="shared" si="74"/>
        <v>543.19999999999993</v>
      </c>
      <c r="O1410" s="147"/>
      <c r="P1410" s="145" t="str">
        <f t="shared" si="71"/>
        <v>PLC5,9</v>
      </c>
      <c r="Q1410" s="52">
        <f t="shared" si="75"/>
        <v>43</v>
      </c>
      <c r="R1410" s="8">
        <f t="shared" si="67"/>
        <v>2024</v>
      </c>
      <c r="S1410" s="72"/>
      <c r="T1410" s="72"/>
      <c r="U1410" s="72"/>
      <c r="V1410" s="72"/>
      <c r="W1410" s="157"/>
      <c r="X1410" s="72"/>
      <c r="Y1410" s="157"/>
      <c r="Z1410" s="157"/>
      <c r="AA1410" s="158"/>
      <c r="AB1410" s="147"/>
    </row>
    <row r="1411" spans="1:28" ht="15" hidden="1" customHeight="1" x14ac:dyDescent="0.25">
      <c r="A1411" s="224"/>
      <c r="B1411" s="145">
        <v>45588</v>
      </c>
      <c r="C1411" s="52" t="s">
        <v>46</v>
      </c>
      <c r="D1411" s="52" t="s">
        <v>38</v>
      </c>
      <c r="E1411" s="41" t="s">
        <v>39</v>
      </c>
      <c r="F1411" s="72" t="s">
        <v>40</v>
      </c>
      <c r="G1411" s="41">
        <v>3.9</v>
      </c>
      <c r="H1411" s="72">
        <v>0</v>
      </c>
      <c r="I1411" s="72">
        <v>800</v>
      </c>
      <c r="J1411" s="72">
        <v>0</v>
      </c>
      <c r="K1411" s="157">
        <v>0.7</v>
      </c>
      <c r="L1411" s="72">
        <f t="shared" si="73"/>
        <v>560</v>
      </c>
      <c r="M1411" s="157">
        <v>0.03</v>
      </c>
      <c r="N1411" s="158">
        <f t="shared" si="74"/>
        <v>543.19999999999993</v>
      </c>
      <c r="O1411" s="147"/>
      <c r="P1411" s="145" t="str">
        <f t="shared" si="71"/>
        <v>PLC3,9</v>
      </c>
      <c r="Q1411" s="52">
        <f t="shared" si="75"/>
        <v>43</v>
      </c>
      <c r="R1411" s="8">
        <f t="shared" si="67"/>
        <v>2024</v>
      </c>
      <c r="S1411" s="72"/>
      <c r="T1411" s="72"/>
      <c r="U1411" s="72"/>
      <c r="V1411" s="72"/>
      <c r="W1411" s="157"/>
      <c r="X1411" s="72"/>
      <c r="Y1411" s="157"/>
      <c r="Z1411" s="157"/>
      <c r="AA1411" s="158"/>
      <c r="AB1411" s="147"/>
    </row>
    <row r="1412" spans="1:28" ht="15" hidden="1" customHeight="1" x14ac:dyDescent="0.25">
      <c r="A1412" s="224"/>
      <c r="B1412" s="145">
        <v>45589</v>
      </c>
      <c r="C1412" s="52" t="s">
        <v>50</v>
      </c>
      <c r="D1412" s="52" t="s">
        <v>38</v>
      </c>
      <c r="E1412" s="41" t="s">
        <v>39</v>
      </c>
      <c r="F1412" s="72" t="s">
        <v>40</v>
      </c>
      <c r="G1412" s="41">
        <v>3.9</v>
      </c>
      <c r="H1412" s="72">
        <v>0</v>
      </c>
      <c r="I1412" s="72">
        <v>800</v>
      </c>
      <c r="J1412" s="72">
        <v>0</v>
      </c>
      <c r="K1412" s="157">
        <v>0.7</v>
      </c>
      <c r="L1412" s="72">
        <f t="shared" si="73"/>
        <v>560</v>
      </c>
      <c r="M1412" s="157">
        <v>0.03</v>
      </c>
      <c r="N1412" s="158">
        <f t="shared" si="74"/>
        <v>543.19999999999993</v>
      </c>
      <c r="O1412" s="147"/>
      <c r="P1412" s="145" t="str">
        <f t="shared" si="71"/>
        <v>PLC3,9</v>
      </c>
      <c r="Q1412" s="52">
        <f t="shared" si="75"/>
        <v>43</v>
      </c>
      <c r="R1412" s="8">
        <f t="shared" si="67"/>
        <v>2024</v>
      </c>
      <c r="S1412" s="72"/>
      <c r="T1412" s="72"/>
      <c r="U1412" s="72"/>
      <c r="V1412" s="72"/>
      <c r="W1412" s="157"/>
      <c r="X1412" s="72"/>
      <c r="Y1412" s="157"/>
      <c r="Z1412" s="157"/>
      <c r="AA1412" s="158"/>
      <c r="AB1412" s="147"/>
    </row>
    <row r="1413" spans="1:28" ht="15" hidden="1" customHeight="1" x14ac:dyDescent="0.25">
      <c r="A1413" s="224"/>
      <c r="B1413" s="145">
        <v>45590</v>
      </c>
      <c r="C1413" s="52" t="s">
        <v>53</v>
      </c>
      <c r="D1413" s="52" t="s">
        <v>38</v>
      </c>
      <c r="E1413" s="41" t="s">
        <v>39</v>
      </c>
      <c r="F1413" s="72" t="s">
        <v>40</v>
      </c>
      <c r="G1413" s="41">
        <v>3.9</v>
      </c>
      <c r="H1413" s="72">
        <v>0</v>
      </c>
      <c r="I1413" s="72">
        <v>800</v>
      </c>
      <c r="J1413" s="72">
        <v>0</v>
      </c>
      <c r="K1413" s="157">
        <v>0.7</v>
      </c>
      <c r="L1413" s="72">
        <f t="shared" si="73"/>
        <v>560</v>
      </c>
      <c r="M1413" s="157">
        <v>0.03</v>
      </c>
      <c r="N1413" s="158">
        <f t="shared" si="74"/>
        <v>543.19999999999993</v>
      </c>
      <c r="O1413" s="147"/>
      <c r="P1413" s="145" t="str">
        <f t="shared" si="71"/>
        <v>PLC3,9</v>
      </c>
      <c r="Q1413" s="52">
        <f t="shared" si="75"/>
        <v>43</v>
      </c>
      <c r="R1413" s="8">
        <f t="shared" si="67"/>
        <v>2024</v>
      </c>
      <c r="S1413" s="72"/>
      <c r="T1413" s="72"/>
      <c r="U1413" s="72"/>
      <c r="V1413" s="72"/>
      <c r="W1413" s="157"/>
      <c r="X1413" s="72"/>
      <c r="Y1413" s="157"/>
      <c r="Z1413" s="157"/>
      <c r="AA1413" s="158"/>
      <c r="AB1413" s="147"/>
    </row>
    <row r="1414" spans="1:28" ht="15.75" hidden="1" customHeight="1" x14ac:dyDescent="0.25">
      <c r="A1414" s="224"/>
      <c r="B1414" s="148">
        <v>45591</v>
      </c>
      <c r="C1414" s="58" t="s">
        <v>57</v>
      </c>
      <c r="D1414" s="59" t="s">
        <v>38</v>
      </c>
      <c r="E1414" s="136" t="s">
        <v>39</v>
      </c>
      <c r="F1414" s="149" t="s">
        <v>40</v>
      </c>
      <c r="G1414" s="136">
        <v>3.9</v>
      </c>
      <c r="H1414" s="149">
        <v>0</v>
      </c>
      <c r="I1414" s="72">
        <v>800</v>
      </c>
      <c r="J1414" s="149">
        <v>0</v>
      </c>
      <c r="K1414" s="157">
        <v>0.7</v>
      </c>
      <c r="L1414" s="149">
        <f t="shared" si="73"/>
        <v>560</v>
      </c>
      <c r="M1414" s="159">
        <v>0.03</v>
      </c>
      <c r="N1414" s="160">
        <f t="shared" si="74"/>
        <v>543.19999999999993</v>
      </c>
      <c r="O1414" s="150"/>
      <c r="P1414" s="145" t="str">
        <f t="shared" si="71"/>
        <v>PLC3,9</v>
      </c>
      <c r="Q1414" s="52">
        <f t="shared" si="75"/>
        <v>43</v>
      </c>
      <c r="R1414" s="8">
        <f t="shared" si="67"/>
        <v>2024</v>
      </c>
      <c r="S1414" s="149"/>
      <c r="T1414" s="149"/>
      <c r="U1414" s="149"/>
      <c r="V1414" s="149"/>
      <c r="W1414" s="159"/>
      <c r="X1414" s="149"/>
      <c r="Y1414" s="159"/>
      <c r="Z1414" s="159"/>
      <c r="AA1414" s="160"/>
      <c r="AB1414" s="150"/>
    </row>
    <row r="1415" spans="1:28" ht="15" hidden="1" customHeight="1" thickBot="1" x14ac:dyDescent="0.3">
      <c r="A1415" s="225"/>
      <c r="B1415" s="113">
        <v>45592</v>
      </c>
      <c r="C1415" s="66" t="s">
        <v>59</v>
      </c>
      <c r="D1415" s="67" t="s">
        <v>38</v>
      </c>
      <c r="E1415" s="137" t="s">
        <v>39</v>
      </c>
      <c r="F1415" s="151" t="s">
        <v>40</v>
      </c>
      <c r="G1415" s="137">
        <v>3.9</v>
      </c>
      <c r="H1415" s="151">
        <v>0</v>
      </c>
      <c r="I1415" s="72">
        <v>800</v>
      </c>
      <c r="J1415" s="151">
        <v>0</v>
      </c>
      <c r="K1415" s="157">
        <v>0.7</v>
      </c>
      <c r="L1415" s="151">
        <f t="shared" si="73"/>
        <v>560</v>
      </c>
      <c r="M1415" s="161">
        <v>0.03</v>
      </c>
      <c r="N1415" s="162">
        <f t="shared" si="74"/>
        <v>543.19999999999993</v>
      </c>
      <c r="O1415" s="152"/>
      <c r="P1415" s="145" t="str">
        <f t="shared" si="71"/>
        <v>PLC3,9</v>
      </c>
      <c r="Q1415" s="52">
        <f t="shared" si="75"/>
        <v>43</v>
      </c>
      <c r="R1415" s="8">
        <f t="shared" si="67"/>
        <v>2024</v>
      </c>
      <c r="S1415" s="151"/>
      <c r="T1415" s="151"/>
      <c r="U1415" s="151"/>
      <c r="V1415" s="151"/>
      <c r="W1415" s="161"/>
      <c r="X1415" s="151"/>
      <c r="Y1415" s="161"/>
      <c r="Z1415" s="161"/>
      <c r="AA1415" s="162"/>
      <c r="AB1415" s="152"/>
    </row>
    <row r="1416" spans="1:28" ht="15" hidden="1" customHeight="1" x14ac:dyDescent="0.25">
      <c r="A1416" s="223">
        <f t="shared" ref="A1416" si="78">+A1409+1</f>
        <v>44</v>
      </c>
      <c r="B1416" s="145">
        <v>45593</v>
      </c>
      <c r="C1416" s="40" t="s">
        <v>37</v>
      </c>
      <c r="D1416" s="72" t="s">
        <v>38</v>
      </c>
      <c r="E1416" s="41" t="s">
        <v>39</v>
      </c>
      <c r="F1416" s="72" t="s">
        <v>40</v>
      </c>
      <c r="G1416" s="41">
        <v>3.9</v>
      </c>
      <c r="H1416" s="72">
        <v>0</v>
      </c>
      <c r="I1416" s="72">
        <v>800</v>
      </c>
      <c r="J1416" s="72">
        <v>0</v>
      </c>
      <c r="K1416" s="157">
        <v>0.8</v>
      </c>
      <c r="L1416" s="72">
        <f t="shared" si="73"/>
        <v>640</v>
      </c>
      <c r="M1416" s="157">
        <v>0.03</v>
      </c>
      <c r="N1416" s="158">
        <f t="shared" si="74"/>
        <v>620.79999999999995</v>
      </c>
      <c r="O1416" s="146"/>
      <c r="P1416" s="145" t="str">
        <f t="shared" si="71"/>
        <v>PLC3,9</v>
      </c>
      <c r="Q1416" s="52">
        <f t="shared" si="75"/>
        <v>44</v>
      </c>
      <c r="R1416" s="8">
        <f t="shared" si="67"/>
        <v>2024</v>
      </c>
      <c r="S1416" s="72"/>
      <c r="T1416" s="72"/>
      <c r="U1416" s="72"/>
      <c r="V1416" s="72"/>
      <c r="W1416" s="157"/>
      <c r="X1416" s="72"/>
      <c r="Y1416" s="157"/>
      <c r="Z1416" s="157"/>
      <c r="AA1416" s="158"/>
      <c r="AB1416" s="146"/>
    </row>
    <row r="1417" spans="1:28" ht="15" hidden="1" customHeight="1" x14ac:dyDescent="0.25">
      <c r="A1417" s="224"/>
      <c r="B1417" s="145">
        <v>45594</v>
      </c>
      <c r="C1417" s="52" t="s">
        <v>42</v>
      </c>
      <c r="D1417" s="52" t="s">
        <v>38</v>
      </c>
      <c r="E1417" s="41" t="s">
        <v>39</v>
      </c>
      <c r="F1417" s="72" t="s">
        <v>40</v>
      </c>
      <c r="G1417" s="41">
        <v>4.9000000000000004</v>
      </c>
      <c r="H1417" s="72">
        <v>0</v>
      </c>
      <c r="I1417" s="72">
        <v>800</v>
      </c>
      <c r="J1417" s="72">
        <v>0</v>
      </c>
      <c r="K1417" s="157">
        <v>0.8</v>
      </c>
      <c r="L1417" s="72">
        <f t="shared" si="73"/>
        <v>640</v>
      </c>
      <c r="M1417" s="157">
        <v>0.03</v>
      </c>
      <c r="N1417" s="158">
        <f t="shared" si="74"/>
        <v>620.79999999999995</v>
      </c>
      <c r="O1417" s="147"/>
      <c r="P1417" s="145" t="str">
        <f t="shared" si="71"/>
        <v>PLC4,9</v>
      </c>
      <c r="Q1417" s="52">
        <f t="shared" si="75"/>
        <v>44</v>
      </c>
      <c r="R1417" s="8">
        <f t="shared" si="67"/>
        <v>2024</v>
      </c>
      <c r="S1417" s="72"/>
      <c r="T1417" s="72"/>
      <c r="U1417" s="72"/>
      <c r="V1417" s="72"/>
      <c r="W1417" s="157"/>
      <c r="X1417" s="72"/>
      <c r="Y1417" s="157"/>
      <c r="Z1417" s="157"/>
      <c r="AA1417" s="158"/>
      <c r="AB1417" s="147"/>
    </row>
    <row r="1418" spans="1:28" ht="15" hidden="1" customHeight="1" x14ac:dyDescent="0.25">
      <c r="A1418" s="224"/>
      <c r="B1418" s="145">
        <v>45595</v>
      </c>
      <c r="C1418" s="52" t="s">
        <v>46</v>
      </c>
      <c r="D1418" s="52" t="s">
        <v>38</v>
      </c>
      <c r="E1418" s="41" t="s">
        <v>39</v>
      </c>
      <c r="F1418" s="72" t="s">
        <v>40</v>
      </c>
      <c r="G1418" s="41">
        <v>4.9000000000000004</v>
      </c>
      <c r="H1418" s="72">
        <v>0</v>
      </c>
      <c r="I1418" s="72">
        <v>800</v>
      </c>
      <c r="J1418" s="72">
        <v>0</v>
      </c>
      <c r="K1418" s="157">
        <v>0.8</v>
      </c>
      <c r="L1418" s="72">
        <f t="shared" si="73"/>
        <v>640</v>
      </c>
      <c r="M1418" s="157">
        <v>0.03</v>
      </c>
      <c r="N1418" s="158">
        <f t="shared" si="74"/>
        <v>620.79999999999995</v>
      </c>
      <c r="O1418" s="147"/>
      <c r="P1418" s="145" t="str">
        <f t="shared" si="71"/>
        <v>PLC4,9</v>
      </c>
      <c r="Q1418" s="52">
        <f t="shared" si="75"/>
        <v>44</v>
      </c>
      <c r="R1418" s="8">
        <f t="shared" si="67"/>
        <v>2024</v>
      </c>
      <c r="S1418" s="72"/>
      <c r="T1418" s="72"/>
      <c r="U1418" s="72"/>
      <c r="V1418" s="72"/>
      <c r="W1418" s="157"/>
      <c r="X1418" s="72"/>
      <c r="Y1418" s="157"/>
      <c r="Z1418" s="157"/>
      <c r="AA1418" s="158"/>
      <c r="AB1418" s="147"/>
    </row>
    <row r="1419" spans="1:28" ht="15" hidden="1" customHeight="1" x14ac:dyDescent="0.25">
      <c r="A1419" s="224"/>
      <c r="B1419" s="145">
        <v>45596</v>
      </c>
      <c r="C1419" s="52" t="s">
        <v>50</v>
      </c>
      <c r="D1419" s="52" t="s">
        <v>38</v>
      </c>
      <c r="E1419" s="41" t="s">
        <v>39</v>
      </c>
      <c r="F1419" s="72" t="s">
        <v>40</v>
      </c>
      <c r="G1419" s="41">
        <v>5.9</v>
      </c>
      <c r="H1419" s="72">
        <v>0</v>
      </c>
      <c r="I1419" s="72">
        <v>800</v>
      </c>
      <c r="J1419" s="72">
        <v>0</v>
      </c>
      <c r="K1419" s="157">
        <v>0.8</v>
      </c>
      <c r="L1419" s="72">
        <f t="shared" si="73"/>
        <v>640</v>
      </c>
      <c r="M1419" s="157">
        <v>0.03</v>
      </c>
      <c r="N1419" s="158">
        <f t="shared" si="74"/>
        <v>620.79999999999995</v>
      </c>
      <c r="O1419" s="147"/>
      <c r="P1419" s="145" t="str">
        <f t="shared" si="71"/>
        <v>PLC5,9</v>
      </c>
      <c r="Q1419" s="52">
        <f t="shared" si="75"/>
        <v>44</v>
      </c>
      <c r="R1419" s="8">
        <f t="shared" si="67"/>
        <v>2024</v>
      </c>
      <c r="S1419" s="72"/>
      <c r="T1419" s="72"/>
      <c r="U1419" s="72"/>
      <c r="V1419" s="72"/>
      <c r="W1419" s="157"/>
      <c r="X1419" s="72"/>
      <c r="Y1419" s="157"/>
      <c r="Z1419" s="157"/>
      <c r="AA1419" s="158"/>
      <c r="AB1419" s="147"/>
    </row>
    <row r="1420" spans="1:28" ht="15" hidden="1" customHeight="1" x14ac:dyDescent="0.25">
      <c r="A1420" s="224"/>
      <c r="B1420" s="187">
        <v>45597</v>
      </c>
      <c r="C1420" s="52" t="s">
        <v>53</v>
      </c>
      <c r="D1420" s="52" t="s">
        <v>38</v>
      </c>
      <c r="E1420" s="41" t="s">
        <v>39</v>
      </c>
      <c r="F1420" s="72" t="s">
        <v>40</v>
      </c>
      <c r="G1420" s="41">
        <v>5.9</v>
      </c>
      <c r="H1420" s="72">
        <v>0</v>
      </c>
      <c r="I1420" s="72">
        <v>800</v>
      </c>
      <c r="J1420" s="72">
        <v>0</v>
      </c>
      <c r="K1420" s="157">
        <v>0.8</v>
      </c>
      <c r="L1420" s="72">
        <f t="shared" si="73"/>
        <v>640</v>
      </c>
      <c r="M1420" s="157">
        <v>0.03</v>
      </c>
      <c r="N1420" s="158">
        <f t="shared" si="74"/>
        <v>620.79999999999995</v>
      </c>
      <c r="O1420" s="154" t="s">
        <v>175</v>
      </c>
      <c r="P1420" s="145" t="str">
        <f t="shared" si="71"/>
        <v>PLC5,9</v>
      </c>
      <c r="Q1420" s="52">
        <f t="shared" si="75"/>
        <v>44</v>
      </c>
      <c r="R1420" s="8">
        <f t="shared" si="67"/>
        <v>2024</v>
      </c>
      <c r="S1420" s="72"/>
      <c r="T1420" s="72"/>
      <c r="U1420" s="72"/>
      <c r="V1420" s="72"/>
      <c r="W1420" s="157"/>
      <c r="X1420" s="72"/>
      <c r="Y1420" s="157"/>
      <c r="Z1420" s="157"/>
      <c r="AA1420" s="158"/>
      <c r="AB1420" s="147"/>
    </row>
    <row r="1421" spans="1:28" ht="15.75" hidden="1" customHeight="1" x14ac:dyDescent="0.25">
      <c r="A1421" s="224"/>
      <c r="B1421" s="148">
        <v>45598</v>
      </c>
      <c r="C1421" s="58" t="s">
        <v>57</v>
      </c>
      <c r="D1421" s="59" t="s">
        <v>38</v>
      </c>
      <c r="E1421" s="136" t="s">
        <v>39</v>
      </c>
      <c r="F1421" s="149" t="s">
        <v>40</v>
      </c>
      <c r="G1421" s="41">
        <v>5.9</v>
      </c>
      <c r="H1421" s="149">
        <v>0</v>
      </c>
      <c r="I1421" s="72">
        <v>800</v>
      </c>
      <c r="J1421" s="149">
        <v>0</v>
      </c>
      <c r="K1421" s="159">
        <v>0.8</v>
      </c>
      <c r="L1421" s="149">
        <f t="shared" si="73"/>
        <v>640</v>
      </c>
      <c r="M1421" s="159">
        <v>0.03</v>
      </c>
      <c r="N1421" s="160">
        <f t="shared" si="74"/>
        <v>620.79999999999995</v>
      </c>
      <c r="O1421" s="195" t="s">
        <v>175</v>
      </c>
      <c r="P1421" s="145" t="str">
        <f t="shared" si="71"/>
        <v>PLC5,9</v>
      </c>
      <c r="Q1421" s="52">
        <f t="shared" si="75"/>
        <v>44</v>
      </c>
      <c r="R1421" s="8">
        <f t="shared" si="67"/>
        <v>2024</v>
      </c>
      <c r="S1421" s="149"/>
      <c r="T1421" s="149"/>
      <c r="U1421" s="149"/>
      <c r="V1421" s="149"/>
      <c r="W1421" s="159"/>
      <c r="X1421" s="149"/>
      <c r="Y1421" s="159"/>
      <c r="Z1421" s="159"/>
      <c r="AA1421" s="160"/>
      <c r="AB1421" s="150"/>
    </row>
    <row r="1422" spans="1:28" ht="15" hidden="1" customHeight="1" thickBot="1" x14ac:dyDescent="0.3">
      <c r="A1422" s="225"/>
      <c r="B1422" s="113">
        <v>45599</v>
      </c>
      <c r="C1422" s="66" t="s">
        <v>59</v>
      </c>
      <c r="D1422" s="67" t="s">
        <v>38</v>
      </c>
      <c r="E1422" s="137" t="s">
        <v>39</v>
      </c>
      <c r="F1422" s="151" t="s">
        <v>40</v>
      </c>
      <c r="G1422" s="137">
        <v>5.9</v>
      </c>
      <c r="H1422" s="151">
        <v>0</v>
      </c>
      <c r="I1422" s="72">
        <v>800</v>
      </c>
      <c r="J1422" s="151">
        <v>0</v>
      </c>
      <c r="K1422" s="161">
        <v>0.8</v>
      </c>
      <c r="L1422" s="151">
        <f t="shared" si="73"/>
        <v>640</v>
      </c>
      <c r="M1422" s="161">
        <v>0.03</v>
      </c>
      <c r="N1422" s="162">
        <f t="shared" si="74"/>
        <v>620.79999999999995</v>
      </c>
      <c r="O1422" s="194" t="s">
        <v>175</v>
      </c>
      <c r="P1422" s="145" t="str">
        <f t="shared" si="71"/>
        <v>PLC5,9</v>
      </c>
      <c r="Q1422" s="52">
        <f t="shared" si="75"/>
        <v>44</v>
      </c>
      <c r="R1422" s="8">
        <f t="shared" si="67"/>
        <v>2024</v>
      </c>
      <c r="S1422" s="151"/>
      <c r="T1422" s="151"/>
      <c r="U1422" s="151"/>
      <c r="V1422" s="151"/>
      <c r="W1422" s="161"/>
      <c r="X1422" s="151"/>
      <c r="Y1422" s="161"/>
      <c r="Z1422" s="161"/>
      <c r="AA1422" s="162"/>
      <c r="AB1422" s="152"/>
    </row>
    <row r="1423" spans="1:28" ht="15" hidden="1" customHeight="1" x14ac:dyDescent="0.25">
      <c r="A1423" s="223">
        <f t="shared" ref="A1423:A1458" si="79">+A1416+1</f>
        <v>45</v>
      </c>
      <c r="B1423" s="145">
        <v>45600</v>
      </c>
      <c r="C1423" s="40" t="s">
        <v>37</v>
      </c>
      <c r="D1423" s="72" t="s">
        <v>38</v>
      </c>
      <c r="E1423" s="41" t="s">
        <v>39</v>
      </c>
      <c r="F1423" s="72" t="s">
        <v>40</v>
      </c>
      <c r="G1423" s="41">
        <v>5.9</v>
      </c>
      <c r="H1423" s="72">
        <v>0</v>
      </c>
      <c r="I1423" s="72">
        <v>800</v>
      </c>
      <c r="J1423" s="72">
        <v>0</v>
      </c>
      <c r="K1423" s="157">
        <v>0.8</v>
      </c>
      <c r="L1423" s="72">
        <f t="shared" si="73"/>
        <v>640</v>
      </c>
      <c r="M1423" s="157">
        <v>0.03</v>
      </c>
      <c r="N1423" s="158">
        <f t="shared" si="74"/>
        <v>620.79999999999995</v>
      </c>
      <c r="O1423" s="146"/>
      <c r="P1423" s="145" t="str">
        <f t="shared" si="71"/>
        <v>PLC5,9</v>
      </c>
      <c r="Q1423" s="52">
        <f t="shared" si="75"/>
        <v>45</v>
      </c>
      <c r="R1423" s="8">
        <f t="shared" si="67"/>
        <v>2024</v>
      </c>
      <c r="S1423" s="72"/>
      <c r="T1423" s="72"/>
      <c r="U1423" s="72"/>
      <c r="V1423" s="72"/>
      <c r="W1423" s="157"/>
      <c r="X1423" s="72"/>
      <c r="Y1423" s="157"/>
      <c r="Z1423" s="157"/>
      <c r="AA1423" s="158"/>
      <c r="AB1423" s="146"/>
    </row>
    <row r="1424" spans="1:28" ht="15" hidden="1" customHeight="1" x14ac:dyDescent="0.25">
      <c r="A1424" s="224"/>
      <c r="B1424" s="145">
        <v>45601</v>
      </c>
      <c r="C1424" s="52" t="s">
        <v>42</v>
      </c>
      <c r="D1424" s="52" t="s">
        <v>38</v>
      </c>
      <c r="E1424" s="41" t="s">
        <v>39</v>
      </c>
      <c r="F1424" s="72" t="s">
        <v>40</v>
      </c>
      <c r="G1424" s="41">
        <v>8</v>
      </c>
      <c r="H1424" s="72">
        <v>0</v>
      </c>
      <c r="I1424" s="72">
        <v>800</v>
      </c>
      <c r="J1424" s="72">
        <v>0</v>
      </c>
      <c r="K1424" s="157">
        <v>0.8</v>
      </c>
      <c r="L1424" s="72">
        <f t="shared" si="73"/>
        <v>640</v>
      </c>
      <c r="M1424" s="157">
        <v>0.03</v>
      </c>
      <c r="N1424" s="158">
        <f t="shared" si="74"/>
        <v>620.79999999999995</v>
      </c>
      <c r="O1424" s="147"/>
      <c r="P1424" s="145" t="str">
        <f t="shared" si="71"/>
        <v>PLC8</v>
      </c>
      <c r="Q1424" s="52">
        <f t="shared" si="75"/>
        <v>45</v>
      </c>
      <c r="R1424" s="8">
        <f t="shared" si="67"/>
        <v>2024</v>
      </c>
      <c r="S1424" s="72"/>
      <c r="T1424" s="72"/>
      <c r="U1424" s="72"/>
      <c r="V1424" s="72"/>
      <c r="W1424" s="157"/>
      <c r="X1424" s="72"/>
      <c r="Y1424" s="157"/>
      <c r="Z1424" s="157"/>
      <c r="AA1424" s="158"/>
      <c r="AB1424" s="147"/>
    </row>
    <row r="1425" spans="1:28" ht="15" hidden="1" customHeight="1" x14ac:dyDescent="0.25">
      <c r="A1425" s="224"/>
      <c r="B1425" s="145">
        <v>45602</v>
      </c>
      <c r="C1425" s="52" t="s">
        <v>46</v>
      </c>
      <c r="D1425" s="52" t="s">
        <v>38</v>
      </c>
      <c r="E1425" s="41" t="s">
        <v>39</v>
      </c>
      <c r="F1425" s="72" t="s">
        <v>40</v>
      </c>
      <c r="G1425" s="41">
        <v>8</v>
      </c>
      <c r="H1425" s="72">
        <v>0</v>
      </c>
      <c r="I1425" s="72">
        <v>800</v>
      </c>
      <c r="J1425" s="72">
        <v>0</v>
      </c>
      <c r="K1425" s="157">
        <v>0.8</v>
      </c>
      <c r="L1425" s="72">
        <f t="shared" si="73"/>
        <v>640</v>
      </c>
      <c r="M1425" s="157">
        <v>0.03</v>
      </c>
      <c r="N1425" s="158">
        <f t="shared" si="74"/>
        <v>620.79999999999995</v>
      </c>
      <c r="O1425" s="147"/>
      <c r="P1425" s="145" t="str">
        <f t="shared" si="71"/>
        <v>PLC8</v>
      </c>
      <c r="Q1425" s="52">
        <f t="shared" si="75"/>
        <v>45</v>
      </c>
      <c r="R1425" s="8">
        <f t="shared" si="67"/>
        <v>2024</v>
      </c>
      <c r="S1425" s="72"/>
      <c r="T1425" s="72"/>
      <c r="U1425" s="72"/>
      <c r="V1425" s="72"/>
      <c r="W1425" s="157"/>
      <c r="X1425" s="72"/>
      <c r="Y1425" s="157"/>
      <c r="Z1425" s="157"/>
      <c r="AA1425" s="158"/>
      <c r="AB1425" s="147"/>
    </row>
    <row r="1426" spans="1:28" ht="15" hidden="1" customHeight="1" x14ac:dyDescent="0.25">
      <c r="A1426" s="224"/>
      <c r="B1426" s="145">
        <v>45603</v>
      </c>
      <c r="C1426" s="52" t="s">
        <v>50</v>
      </c>
      <c r="D1426" s="52" t="s">
        <v>38</v>
      </c>
      <c r="E1426" s="41" t="s">
        <v>39</v>
      </c>
      <c r="F1426" s="72" t="s">
        <v>40</v>
      </c>
      <c r="G1426" s="41">
        <v>4.9000000000000004</v>
      </c>
      <c r="H1426" s="72">
        <v>0</v>
      </c>
      <c r="I1426" s="72">
        <v>800</v>
      </c>
      <c r="J1426" s="72">
        <v>0</v>
      </c>
      <c r="K1426" s="157">
        <v>0.8</v>
      </c>
      <c r="L1426" s="72">
        <f t="shared" si="73"/>
        <v>640</v>
      </c>
      <c r="M1426" s="157">
        <v>0.03</v>
      </c>
      <c r="N1426" s="158">
        <f t="shared" si="74"/>
        <v>620.79999999999995</v>
      </c>
      <c r="O1426" s="147"/>
      <c r="P1426" s="145" t="str">
        <f t="shared" si="71"/>
        <v>PLC4,9</v>
      </c>
      <c r="Q1426" s="52">
        <f t="shared" si="75"/>
        <v>45</v>
      </c>
      <c r="R1426" s="8">
        <f t="shared" si="67"/>
        <v>2024</v>
      </c>
      <c r="S1426" s="72"/>
      <c r="T1426" s="72"/>
      <c r="U1426" s="72"/>
      <c r="V1426" s="72"/>
      <c r="W1426" s="157"/>
      <c r="X1426" s="72"/>
      <c r="Y1426" s="157"/>
      <c r="Z1426" s="157"/>
      <c r="AA1426" s="158"/>
      <c r="AB1426" s="147"/>
    </row>
    <row r="1427" spans="1:28" ht="15" hidden="1" customHeight="1" x14ac:dyDescent="0.25">
      <c r="A1427" s="224"/>
      <c r="B1427" s="145">
        <v>45604</v>
      </c>
      <c r="C1427" s="52" t="s">
        <v>53</v>
      </c>
      <c r="D1427" s="52" t="s">
        <v>38</v>
      </c>
      <c r="E1427" s="41" t="s">
        <v>39</v>
      </c>
      <c r="F1427" s="72" t="s">
        <v>40</v>
      </c>
      <c r="G1427" s="72">
        <v>3.9</v>
      </c>
      <c r="H1427" s="72">
        <v>0</v>
      </c>
      <c r="I1427" s="72">
        <v>800</v>
      </c>
      <c r="J1427" s="72">
        <v>0</v>
      </c>
      <c r="K1427" s="157">
        <v>0.8</v>
      </c>
      <c r="L1427" s="72">
        <f t="shared" si="73"/>
        <v>640</v>
      </c>
      <c r="M1427" s="157">
        <v>0.03</v>
      </c>
      <c r="N1427" s="158">
        <f t="shared" si="74"/>
        <v>620.79999999999995</v>
      </c>
      <c r="O1427" s="147"/>
      <c r="P1427" s="145" t="str">
        <f t="shared" si="71"/>
        <v>PLC3,9</v>
      </c>
      <c r="Q1427" s="52">
        <f t="shared" si="75"/>
        <v>45</v>
      </c>
      <c r="R1427" s="8">
        <f t="shared" si="67"/>
        <v>2024</v>
      </c>
      <c r="S1427" s="72"/>
      <c r="T1427" s="72"/>
      <c r="U1427" s="72"/>
      <c r="V1427" s="72"/>
      <c r="W1427" s="157"/>
      <c r="X1427" s="72"/>
      <c r="Y1427" s="157"/>
      <c r="Z1427" s="157"/>
      <c r="AA1427" s="158"/>
      <c r="AB1427" s="147"/>
    </row>
    <row r="1428" spans="1:28" ht="15.75" hidden="1" customHeight="1" x14ac:dyDescent="0.25">
      <c r="A1428" s="224"/>
      <c r="B1428" s="148">
        <v>45605</v>
      </c>
      <c r="C1428" s="58" t="s">
        <v>57</v>
      </c>
      <c r="D1428" s="59" t="s">
        <v>38</v>
      </c>
      <c r="E1428" s="136" t="s">
        <v>39</v>
      </c>
      <c r="F1428" s="149" t="s">
        <v>40</v>
      </c>
      <c r="G1428" s="149">
        <v>3.9</v>
      </c>
      <c r="H1428" s="149">
        <v>0</v>
      </c>
      <c r="I1428" s="72">
        <v>800</v>
      </c>
      <c r="J1428" s="149">
        <v>0</v>
      </c>
      <c r="K1428" s="159">
        <v>0.8</v>
      </c>
      <c r="L1428" s="149">
        <f t="shared" si="73"/>
        <v>640</v>
      </c>
      <c r="M1428" s="159">
        <v>0.03</v>
      </c>
      <c r="N1428" s="160">
        <f t="shared" si="74"/>
        <v>620.79999999999995</v>
      </c>
      <c r="O1428" s="150"/>
      <c r="P1428" s="145" t="str">
        <f t="shared" si="71"/>
        <v>PLC3,9</v>
      </c>
      <c r="Q1428" s="52">
        <f t="shared" si="75"/>
        <v>45</v>
      </c>
      <c r="R1428" s="8">
        <f t="shared" si="67"/>
        <v>2024</v>
      </c>
      <c r="S1428" s="149"/>
      <c r="T1428" s="149"/>
      <c r="U1428" s="149"/>
      <c r="V1428" s="149"/>
      <c r="W1428" s="159"/>
      <c r="X1428" s="149"/>
      <c r="Y1428" s="159"/>
      <c r="Z1428" s="159"/>
      <c r="AA1428" s="160"/>
      <c r="AB1428" s="150"/>
    </row>
    <row r="1429" spans="1:28" ht="15" hidden="1" customHeight="1" thickBot="1" x14ac:dyDescent="0.3">
      <c r="A1429" s="225"/>
      <c r="B1429" s="113">
        <v>45606</v>
      </c>
      <c r="C1429" s="66" t="s">
        <v>59</v>
      </c>
      <c r="D1429" s="67" t="s">
        <v>38</v>
      </c>
      <c r="E1429" s="137" t="s">
        <v>39</v>
      </c>
      <c r="F1429" s="151" t="s">
        <v>40</v>
      </c>
      <c r="G1429" s="151">
        <v>3.9</v>
      </c>
      <c r="H1429" s="151">
        <v>0</v>
      </c>
      <c r="I1429" s="72">
        <v>800</v>
      </c>
      <c r="J1429" s="151">
        <v>0</v>
      </c>
      <c r="K1429" s="161">
        <v>0.8</v>
      </c>
      <c r="L1429" s="151">
        <f t="shared" si="73"/>
        <v>640</v>
      </c>
      <c r="M1429" s="161">
        <v>0.03</v>
      </c>
      <c r="N1429" s="162">
        <f t="shared" si="74"/>
        <v>620.79999999999995</v>
      </c>
      <c r="O1429" s="152"/>
      <c r="P1429" s="145" t="str">
        <f t="shared" si="71"/>
        <v>PLC3,9</v>
      </c>
      <c r="Q1429" s="52">
        <f t="shared" si="75"/>
        <v>45</v>
      </c>
      <c r="R1429" s="8">
        <f t="shared" si="67"/>
        <v>2024</v>
      </c>
      <c r="S1429" s="151"/>
      <c r="T1429" s="151"/>
      <c r="U1429" s="151"/>
      <c r="V1429" s="151"/>
      <c r="W1429" s="161"/>
      <c r="X1429" s="151"/>
      <c r="Y1429" s="161"/>
      <c r="Z1429" s="161"/>
      <c r="AA1429" s="162"/>
      <c r="AB1429" s="152"/>
    </row>
    <row r="1430" spans="1:28" ht="15" hidden="1" customHeight="1" x14ac:dyDescent="0.25">
      <c r="A1430" s="223">
        <f t="shared" si="79"/>
        <v>46</v>
      </c>
      <c r="B1430" s="145">
        <v>45607</v>
      </c>
      <c r="C1430" s="40" t="s">
        <v>37</v>
      </c>
      <c r="D1430" s="72" t="s">
        <v>38</v>
      </c>
      <c r="E1430" s="41" t="s">
        <v>39</v>
      </c>
      <c r="F1430" s="72" t="s">
        <v>40</v>
      </c>
      <c r="G1430" s="196">
        <v>3.9</v>
      </c>
      <c r="H1430" s="72">
        <v>0</v>
      </c>
      <c r="I1430" s="72">
        <v>800</v>
      </c>
      <c r="J1430" s="72">
        <v>0</v>
      </c>
      <c r="K1430" s="157">
        <v>0.8</v>
      </c>
      <c r="L1430" s="72">
        <f t="shared" si="73"/>
        <v>640</v>
      </c>
      <c r="M1430" s="157">
        <v>0.03</v>
      </c>
      <c r="N1430" s="158">
        <f t="shared" si="74"/>
        <v>620.79999999999995</v>
      </c>
      <c r="O1430" s="146"/>
      <c r="P1430" s="145" t="str">
        <f t="shared" si="71"/>
        <v>PLC3,9</v>
      </c>
      <c r="Q1430" s="52">
        <f t="shared" si="75"/>
        <v>46</v>
      </c>
      <c r="R1430" s="8">
        <f t="shared" si="67"/>
        <v>2024</v>
      </c>
      <c r="S1430" s="72"/>
      <c r="T1430" s="72"/>
      <c r="U1430" s="72"/>
      <c r="V1430" s="72"/>
      <c r="W1430" s="157"/>
      <c r="X1430" s="72"/>
      <c r="Y1430" s="157"/>
      <c r="Z1430" s="157"/>
      <c r="AA1430" s="158"/>
      <c r="AB1430" s="146"/>
    </row>
    <row r="1431" spans="1:28" ht="15" hidden="1" customHeight="1" x14ac:dyDescent="0.25">
      <c r="A1431" s="224"/>
      <c r="B1431" s="145">
        <v>45608</v>
      </c>
      <c r="C1431" s="52" t="s">
        <v>42</v>
      </c>
      <c r="D1431" s="52" t="s">
        <v>38</v>
      </c>
      <c r="E1431" s="41" t="s">
        <v>39</v>
      </c>
      <c r="F1431" s="72" t="s">
        <v>40</v>
      </c>
      <c r="G1431" s="196">
        <v>3.9</v>
      </c>
      <c r="H1431" s="72">
        <v>0</v>
      </c>
      <c r="I1431" s="72">
        <v>800</v>
      </c>
      <c r="J1431" s="72">
        <v>0</v>
      </c>
      <c r="K1431" s="157">
        <v>0.8</v>
      </c>
      <c r="L1431" s="72">
        <f t="shared" si="73"/>
        <v>640</v>
      </c>
      <c r="M1431" s="157">
        <v>0.03</v>
      </c>
      <c r="N1431" s="158">
        <f t="shared" si="74"/>
        <v>620.79999999999995</v>
      </c>
      <c r="O1431" s="147"/>
      <c r="P1431" s="145" t="str">
        <f t="shared" si="71"/>
        <v>PLC3,9</v>
      </c>
      <c r="Q1431" s="52">
        <f t="shared" si="75"/>
        <v>46</v>
      </c>
      <c r="R1431" s="8">
        <f t="shared" ref="R1431:R1478" si="80">YEAR(B1431)</f>
        <v>2024</v>
      </c>
      <c r="S1431" s="72"/>
      <c r="T1431" s="72"/>
      <c r="U1431" s="72"/>
      <c r="V1431" s="72"/>
      <c r="W1431" s="157"/>
      <c r="X1431" s="72"/>
      <c r="Y1431" s="157"/>
      <c r="Z1431" s="157"/>
      <c r="AA1431" s="158"/>
      <c r="AB1431" s="147"/>
    </row>
    <row r="1432" spans="1:28" ht="15" hidden="1" customHeight="1" x14ac:dyDescent="0.25">
      <c r="A1432" s="224"/>
      <c r="B1432" s="145">
        <v>45609</v>
      </c>
      <c r="C1432" s="52" t="s">
        <v>46</v>
      </c>
      <c r="D1432" s="52" t="s">
        <v>38</v>
      </c>
      <c r="E1432" s="41" t="s">
        <v>39</v>
      </c>
      <c r="F1432" s="72" t="s">
        <v>40</v>
      </c>
      <c r="G1432" s="196">
        <v>3.9</v>
      </c>
      <c r="H1432" s="72">
        <v>0</v>
      </c>
      <c r="I1432" s="72">
        <v>800</v>
      </c>
      <c r="J1432" s="72"/>
      <c r="K1432" s="157">
        <v>0.8</v>
      </c>
      <c r="L1432" s="72">
        <f>IF(J1432&gt;0,J1432*K1432,I1432*K1432)</f>
        <v>640</v>
      </c>
      <c r="M1432" s="157">
        <v>0.03</v>
      </c>
      <c r="N1432" s="158">
        <f t="shared" si="74"/>
        <v>620.79999999999995</v>
      </c>
      <c r="O1432" s="147"/>
      <c r="P1432" s="145" t="str">
        <f t="shared" si="71"/>
        <v>PLC3,9</v>
      </c>
      <c r="Q1432" s="52">
        <f t="shared" si="75"/>
        <v>46</v>
      </c>
      <c r="R1432" s="8">
        <f t="shared" si="80"/>
        <v>2024</v>
      </c>
      <c r="S1432" s="72"/>
      <c r="T1432" s="72"/>
      <c r="U1432" s="72"/>
      <c r="V1432" s="72"/>
      <c r="W1432" s="157"/>
      <c r="X1432" s="72"/>
      <c r="Y1432" s="157"/>
      <c r="Z1432" s="157"/>
      <c r="AA1432" s="158"/>
      <c r="AB1432" s="147"/>
    </row>
    <row r="1433" spans="1:28" ht="15" hidden="1" customHeight="1" x14ac:dyDescent="0.25">
      <c r="A1433" s="224"/>
      <c r="B1433" s="145">
        <v>45610</v>
      </c>
      <c r="C1433" s="52" t="s">
        <v>50</v>
      </c>
      <c r="D1433" s="52" t="s">
        <v>38</v>
      </c>
      <c r="E1433" s="41" t="s">
        <v>39</v>
      </c>
      <c r="F1433" s="72" t="s">
        <v>40</v>
      </c>
      <c r="G1433" s="196">
        <v>3.9</v>
      </c>
      <c r="H1433" s="72">
        <v>0</v>
      </c>
      <c r="I1433" s="72">
        <v>800</v>
      </c>
      <c r="J1433" s="72"/>
      <c r="K1433" s="157">
        <v>0.8</v>
      </c>
      <c r="L1433" s="72">
        <f t="shared" ref="L1433:L1497" si="81">IF(J1433&gt;0,J1433*K1433,I1433*K1433)</f>
        <v>640</v>
      </c>
      <c r="M1433" s="157">
        <v>0.03</v>
      </c>
      <c r="N1433" s="158">
        <f t="shared" si="74"/>
        <v>620.79999999999995</v>
      </c>
      <c r="O1433" s="147"/>
      <c r="P1433" s="145" t="str">
        <f t="shared" si="71"/>
        <v>PLC3,9</v>
      </c>
      <c r="Q1433" s="52">
        <f t="shared" si="75"/>
        <v>46</v>
      </c>
      <c r="R1433" s="8">
        <f t="shared" si="80"/>
        <v>2024</v>
      </c>
      <c r="S1433" s="72"/>
      <c r="T1433" s="72"/>
      <c r="U1433" s="72"/>
      <c r="V1433" s="72"/>
      <c r="W1433" s="157"/>
      <c r="X1433" s="72"/>
      <c r="Y1433" s="157"/>
      <c r="Z1433" s="157"/>
      <c r="AA1433" s="158"/>
      <c r="AB1433" s="147"/>
    </row>
    <row r="1434" spans="1:28" ht="15" hidden="1" customHeight="1" x14ac:dyDescent="0.25">
      <c r="A1434" s="224"/>
      <c r="B1434" s="145">
        <v>45611</v>
      </c>
      <c r="C1434" s="52" t="s">
        <v>53</v>
      </c>
      <c r="D1434" s="52" t="s">
        <v>38</v>
      </c>
      <c r="E1434" s="41" t="s">
        <v>39</v>
      </c>
      <c r="F1434" s="72" t="s">
        <v>40</v>
      </c>
      <c r="G1434" s="196">
        <v>5.9</v>
      </c>
      <c r="H1434" s="72">
        <v>0</v>
      </c>
      <c r="I1434" s="72">
        <v>800</v>
      </c>
      <c r="J1434" s="72"/>
      <c r="K1434" s="157">
        <v>0.8</v>
      </c>
      <c r="L1434" s="72">
        <f t="shared" si="81"/>
        <v>640</v>
      </c>
      <c r="M1434" s="157">
        <v>0.03</v>
      </c>
      <c r="N1434" s="158">
        <f t="shared" si="74"/>
        <v>620.79999999999995</v>
      </c>
      <c r="O1434" s="147"/>
      <c r="P1434" s="145" t="str">
        <f t="shared" si="71"/>
        <v>PLC5,9</v>
      </c>
      <c r="Q1434" s="52">
        <f t="shared" si="75"/>
        <v>46</v>
      </c>
      <c r="R1434" s="8">
        <f t="shared" si="80"/>
        <v>2024</v>
      </c>
      <c r="S1434" s="72"/>
      <c r="T1434" s="72"/>
      <c r="U1434" s="72"/>
      <c r="V1434" s="72"/>
      <c r="W1434" s="157"/>
      <c r="X1434" s="72"/>
      <c r="Y1434" s="157"/>
      <c r="Z1434" s="157"/>
      <c r="AA1434" s="158"/>
      <c r="AB1434" s="147"/>
    </row>
    <row r="1435" spans="1:28" ht="15.75" hidden="1" customHeight="1" x14ac:dyDescent="0.25">
      <c r="A1435" s="224"/>
      <c r="B1435" s="148">
        <v>45612</v>
      </c>
      <c r="C1435" s="58" t="s">
        <v>57</v>
      </c>
      <c r="D1435" s="59" t="s">
        <v>38</v>
      </c>
      <c r="E1435" s="136" t="s">
        <v>39</v>
      </c>
      <c r="F1435" s="149" t="s">
        <v>40</v>
      </c>
      <c r="G1435" s="197">
        <v>5.9</v>
      </c>
      <c r="H1435" s="149">
        <v>0</v>
      </c>
      <c r="I1435" s="72">
        <v>800</v>
      </c>
      <c r="J1435" s="149"/>
      <c r="K1435" s="159">
        <v>0.8</v>
      </c>
      <c r="L1435" s="149">
        <f t="shared" si="81"/>
        <v>640</v>
      </c>
      <c r="M1435" s="159">
        <v>0.03</v>
      </c>
      <c r="N1435" s="160">
        <f t="shared" si="74"/>
        <v>620.79999999999995</v>
      </c>
      <c r="O1435" s="150"/>
      <c r="P1435" s="145" t="str">
        <f t="shared" si="71"/>
        <v>PLC5,9</v>
      </c>
      <c r="Q1435" s="52">
        <f t="shared" si="75"/>
        <v>46</v>
      </c>
      <c r="R1435" s="8">
        <f t="shared" si="80"/>
        <v>2024</v>
      </c>
      <c r="S1435" s="149"/>
      <c r="T1435" s="149"/>
      <c r="U1435" s="149"/>
      <c r="V1435" s="149"/>
      <c r="W1435" s="159"/>
      <c r="X1435" s="149"/>
      <c r="Y1435" s="159"/>
      <c r="Z1435" s="159"/>
      <c r="AA1435" s="160"/>
      <c r="AB1435" s="150"/>
    </row>
    <row r="1436" spans="1:28" ht="15" hidden="1" customHeight="1" thickBot="1" x14ac:dyDescent="0.3">
      <c r="A1436" s="225"/>
      <c r="B1436" s="113">
        <v>45613</v>
      </c>
      <c r="C1436" s="66" t="s">
        <v>59</v>
      </c>
      <c r="D1436" s="67" t="s">
        <v>38</v>
      </c>
      <c r="E1436" s="137" t="s">
        <v>39</v>
      </c>
      <c r="F1436" s="151" t="s">
        <v>40</v>
      </c>
      <c r="G1436" s="198">
        <v>5.9</v>
      </c>
      <c r="H1436" s="151">
        <v>0</v>
      </c>
      <c r="I1436" s="72">
        <v>800</v>
      </c>
      <c r="J1436" s="151"/>
      <c r="K1436" s="161">
        <v>0.8</v>
      </c>
      <c r="L1436" s="151">
        <f t="shared" si="81"/>
        <v>640</v>
      </c>
      <c r="M1436" s="161">
        <v>0.03</v>
      </c>
      <c r="N1436" s="162">
        <f t="shared" si="74"/>
        <v>620.79999999999995</v>
      </c>
      <c r="O1436" s="152"/>
      <c r="P1436" s="145" t="str">
        <f t="shared" si="71"/>
        <v>PLC5,9</v>
      </c>
      <c r="Q1436" s="52">
        <f t="shared" si="75"/>
        <v>46</v>
      </c>
      <c r="R1436" s="8">
        <f t="shared" si="80"/>
        <v>2024</v>
      </c>
      <c r="S1436" s="151"/>
      <c r="T1436" s="151"/>
      <c r="U1436" s="151"/>
      <c r="V1436" s="151"/>
      <c r="W1436" s="161"/>
      <c r="X1436" s="151"/>
      <c r="Y1436" s="161"/>
      <c r="Z1436" s="161"/>
      <c r="AA1436" s="162"/>
      <c r="AB1436" s="152"/>
    </row>
    <row r="1437" spans="1:28" ht="15" hidden="1" customHeight="1" x14ac:dyDescent="0.25">
      <c r="A1437" s="223">
        <f t="shared" si="79"/>
        <v>47</v>
      </c>
      <c r="B1437" s="145">
        <v>45614</v>
      </c>
      <c r="C1437" s="40" t="s">
        <v>37</v>
      </c>
      <c r="D1437" s="72" t="s">
        <v>38</v>
      </c>
      <c r="E1437" s="41" t="s">
        <v>39</v>
      </c>
      <c r="F1437" s="72" t="s">
        <v>40</v>
      </c>
      <c r="G1437" s="196">
        <v>5.9</v>
      </c>
      <c r="H1437" s="72">
        <v>0</v>
      </c>
      <c r="I1437" s="72">
        <v>800</v>
      </c>
      <c r="J1437" s="72">
        <v>750</v>
      </c>
      <c r="K1437" s="157">
        <v>0.8</v>
      </c>
      <c r="L1437" s="72">
        <f t="shared" si="81"/>
        <v>600</v>
      </c>
      <c r="M1437" s="157">
        <v>0.03</v>
      </c>
      <c r="N1437" s="158">
        <f t="shared" si="74"/>
        <v>582</v>
      </c>
      <c r="O1437" s="146"/>
      <c r="P1437" s="145" t="str">
        <f t="shared" si="71"/>
        <v>PLC5,9</v>
      </c>
      <c r="Q1437" s="52">
        <f t="shared" si="75"/>
        <v>47</v>
      </c>
      <c r="R1437" s="8">
        <f t="shared" si="80"/>
        <v>2024</v>
      </c>
      <c r="S1437" s="72"/>
      <c r="T1437" s="72"/>
      <c r="U1437" s="72"/>
      <c r="V1437" s="72"/>
      <c r="W1437" s="157"/>
      <c r="X1437" s="72"/>
      <c r="Y1437" s="157"/>
      <c r="Z1437" s="157"/>
      <c r="AA1437" s="158"/>
      <c r="AB1437" s="146"/>
    </row>
    <row r="1438" spans="1:28" ht="15" hidden="1" customHeight="1" x14ac:dyDescent="0.25">
      <c r="A1438" s="224"/>
      <c r="B1438" s="145">
        <v>45615</v>
      </c>
      <c r="C1438" s="52" t="s">
        <v>42</v>
      </c>
      <c r="D1438" s="52" t="s">
        <v>38</v>
      </c>
      <c r="E1438" s="41" t="s">
        <v>39</v>
      </c>
      <c r="F1438" s="72" t="s">
        <v>40</v>
      </c>
      <c r="G1438" s="196">
        <v>8</v>
      </c>
      <c r="H1438" s="72">
        <v>0</v>
      </c>
      <c r="I1438" s="72">
        <v>800</v>
      </c>
      <c r="J1438" s="72">
        <v>730</v>
      </c>
      <c r="K1438" s="157">
        <v>0.8</v>
      </c>
      <c r="L1438" s="72">
        <f t="shared" si="81"/>
        <v>584</v>
      </c>
      <c r="M1438" s="157">
        <v>0.03</v>
      </c>
      <c r="N1438" s="158">
        <f t="shared" si="74"/>
        <v>566.48</v>
      </c>
      <c r="O1438" s="147"/>
      <c r="P1438" s="145" t="str">
        <f t="shared" si="71"/>
        <v>PLC8</v>
      </c>
      <c r="Q1438" s="52">
        <f t="shared" si="75"/>
        <v>47</v>
      </c>
      <c r="R1438" s="8">
        <f t="shared" si="80"/>
        <v>2024</v>
      </c>
      <c r="S1438" s="72"/>
      <c r="T1438" s="72"/>
      <c r="U1438" s="72"/>
      <c r="V1438" s="72"/>
      <c r="W1438" s="157"/>
      <c r="X1438" s="72"/>
      <c r="Y1438" s="157"/>
      <c r="Z1438" s="157"/>
      <c r="AA1438" s="158"/>
      <c r="AB1438" s="147"/>
    </row>
    <row r="1439" spans="1:28" ht="15" hidden="1" customHeight="1" x14ac:dyDescent="0.25">
      <c r="A1439" s="224"/>
      <c r="B1439" s="145">
        <v>45616</v>
      </c>
      <c r="C1439" s="52" t="s">
        <v>46</v>
      </c>
      <c r="D1439" s="52" t="s">
        <v>38</v>
      </c>
      <c r="E1439" s="41" t="s">
        <v>39</v>
      </c>
      <c r="F1439" s="72" t="s">
        <v>40</v>
      </c>
      <c r="G1439" s="196">
        <v>8</v>
      </c>
      <c r="H1439" s="72">
        <v>0</v>
      </c>
      <c r="I1439" s="72">
        <v>800</v>
      </c>
      <c r="J1439" s="72">
        <v>710</v>
      </c>
      <c r="K1439" s="157">
        <v>0.8</v>
      </c>
      <c r="L1439" s="72">
        <f t="shared" si="81"/>
        <v>568</v>
      </c>
      <c r="M1439" s="157">
        <v>0.03</v>
      </c>
      <c r="N1439" s="158">
        <f>+L1439*(1-M1439)</f>
        <v>550.96</v>
      </c>
      <c r="O1439" s="147"/>
      <c r="P1439" s="145" t="str">
        <f t="shared" si="71"/>
        <v>PLC8</v>
      </c>
      <c r="Q1439" s="52">
        <f t="shared" si="75"/>
        <v>47</v>
      </c>
      <c r="R1439" s="8">
        <f t="shared" si="80"/>
        <v>2024</v>
      </c>
      <c r="S1439" s="72"/>
      <c r="T1439" s="72"/>
      <c r="U1439" s="72"/>
      <c r="V1439" s="72"/>
      <c r="W1439" s="157"/>
      <c r="X1439" s="72"/>
      <c r="Y1439" s="157"/>
      <c r="Z1439" s="157"/>
      <c r="AA1439" s="158"/>
      <c r="AB1439" s="147"/>
    </row>
    <row r="1440" spans="1:28" ht="15" hidden="1" customHeight="1" x14ac:dyDescent="0.25">
      <c r="A1440" s="224"/>
      <c r="B1440" s="145">
        <v>45617</v>
      </c>
      <c r="C1440" s="52" t="s">
        <v>50</v>
      </c>
      <c r="D1440" s="52" t="s">
        <v>38</v>
      </c>
      <c r="E1440" s="53" t="s">
        <v>39</v>
      </c>
      <c r="F1440" s="53" t="s">
        <v>40</v>
      </c>
      <c r="G1440" s="43">
        <v>8</v>
      </c>
      <c r="H1440" s="53">
        <v>900</v>
      </c>
      <c r="I1440" s="72">
        <v>800</v>
      </c>
      <c r="J1440" s="72">
        <v>690</v>
      </c>
      <c r="K1440" s="157">
        <v>0.8</v>
      </c>
      <c r="L1440" s="53">
        <f t="shared" si="81"/>
        <v>552</v>
      </c>
      <c r="M1440" s="55">
        <v>0.03</v>
      </c>
      <c r="N1440" s="56">
        <f t="shared" si="74"/>
        <v>535.43999999999994</v>
      </c>
      <c r="O1440" s="147"/>
      <c r="P1440" s="145" t="str">
        <f t="shared" si="71"/>
        <v>PLC8</v>
      </c>
      <c r="Q1440" s="52">
        <f t="shared" si="75"/>
        <v>47</v>
      </c>
      <c r="R1440" s="8">
        <f t="shared" si="80"/>
        <v>2024</v>
      </c>
      <c r="S1440" s="72"/>
      <c r="T1440" s="72"/>
      <c r="U1440" s="72"/>
      <c r="V1440" s="72"/>
      <c r="W1440" s="157"/>
      <c r="X1440" s="72"/>
      <c r="Y1440" s="157"/>
      <c r="Z1440" s="157"/>
      <c r="AA1440" s="158"/>
      <c r="AB1440" s="147"/>
    </row>
    <row r="1441" spans="1:28" ht="15" hidden="1" customHeight="1" x14ac:dyDescent="0.25">
      <c r="A1441" s="224"/>
      <c r="B1441" s="145">
        <v>45618</v>
      </c>
      <c r="C1441" s="52" t="s">
        <v>53</v>
      </c>
      <c r="D1441" s="52" t="s">
        <v>38</v>
      </c>
      <c r="E1441" s="53" t="s">
        <v>39</v>
      </c>
      <c r="F1441" s="53" t="s">
        <v>40</v>
      </c>
      <c r="G1441" s="43">
        <v>10</v>
      </c>
      <c r="H1441" s="53">
        <v>900</v>
      </c>
      <c r="I1441" s="72">
        <v>800</v>
      </c>
      <c r="J1441" s="72">
        <v>670</v>
      </c>
      <c r="K1441" s="157">
        <v>0.8</v>
      </c>
      <c r="L1441" s="53">
        <f t="shared" si="81"/>
        <v>536</v>
      </c>
      <c r="M1441" s="55">
        <v>0.03</v>
      </c>
      <c r="N1441" s="56">
        <f t="shared" si="74"/>
        <v>519.91999999999996</v>
      </c>
      <c r="O1441" s="147"/>
      <c r="P1441" s="145" t="str">
        <f t="shared" si="71"/>
        <v>PLC10</v>
      </c>
      <c r="Q1441" s="52">
        <f t="shared" si="75"/>
        <v>47</v>
      </c>
      <c r="R1441" s="8">
        <f t="shared" si="80"/>
        <v>2024</v>
      </c>
      <c r="S1441" s="72"/>
      <c r="T1441" s="72"/>
      <c r="U1441" s="72"/>
      <c r="V1441" s="72"/>
      <c r="W1441" s="157"/>
      <c r="X1441" s="72"/>
      <c r="Y1441" s="157"/>
      <c r="Z1441" s="157"/>
      <c r="AA1441" s="158"/>
      <c r="AB1441" s="147"/>
    </row>
    <row r="1442" spans="1:28" ht="15.75" hidden="1" customHeight="1" x14ac:dyDescent="0.25">
      <c r="A1442" s="224"/>
      <c r="B1442" s="148">
        <v>45619</v>
      </c>
      <c r="C1442" s="58" t="s">
        <v>57</v>
      </c>
      <c r="D1442" s="59" t="s">
        <v>38</v>
      </c>
      <c r="E1442" s="60" t="s">
        <v>39</v>
      </c>
      <c r="F1442" s="60" t="s">
        <v>40</v>
      </c>
      <c r="G1442" s="199">
        <v>10</v>
      </c>
      <c r="H1442" s="60">
        <v>900</v>
      </c>
      <c r="I1442" s="72">
        <v>800</v>
      </c>
      <c r="J1442" s="72">
        <v>670</v>
      </c>
      <c r="K1442" s="159">
        <v>0.8</v>
      </c>
      <c r="L1442" s="60">
        <f t="shared" si="81"/>
        <v>536</v>
      </c>
      <c r="M1442" s="62">
        <v>0.03</v>
      </c>
      <c r="N1442" s="63">
        <f t="shared" si="74"/>
        <v>519.91999999999996</v>
      </c>
      <c r="O1442" s="150"/>
      <c r="P1442" s="145" t="str">
        <f t="shared" si="71"/>
        <v>PLC10</v>
      </c>
      <c r="Q1442" s="52">
        <f t="shared" si="75"/>
        <v>47</v>
      </c>
      <c r="R1442" s="8">
        <f t="shared" si="80"/>
        <v>2024</v>
      </c>
      <c r="S1442" s="149"/>
      <c r="T1442" s="149"/>
      <c r="U1442" s="149"/>
      <c r="V1442" s="149"/>
      <c r="W1442" s="159"/>
      <c r="X1442" s="149"/>
      <c r="Y1442" s="159"/>
      <c r="Z1442" s="159"/>
      <c r="AA1442" s="160"/>
      <c r="AB1442" s="150"/>
    </row>
    <row r="1443" spans="1:28" ht="15" hidden="1" customHeight="1" thickBot="1" x14ac:dyDescent="0.3">
      <c r="A1443" s="225"/>
      <c r="B1443" s="113">
        <v>45620</v>
      </c>
      <c r="C1443" s="66" t="s">
        <v>59</v>
      </c>
      <c r="D1443" s="67" t="s">
        <v>38</v>
      </c>
      <c r="E1443" s="67" t="s">
        <v>39</v>
      </c>
      <c r="F1443" s="67" t="s">
        <v>40</v>
      </c>
      <c r="G1443" s="200">
        <v>10</v>
      </c>
      <c r="H1443" s="67">
        <v>900</v>
      </c>
      <c r="I1443" s="72">
        <v>800</v>
      </c>
      <c r="J1443" s="72">
        <v>670</v>
      </c>
      <c r="K1443" s="161">
        <v>0.8</v>
      </c>
      <c r="L1443" s="67">
        <f t="shared" si="81"/>
        <v>536</v>
      </c>
      <c r="M1443" s="69">
        <v>0.03</v>
      </c>
      <c r="N1443" s="70">
        <f t="shared" si="74"/>
        <v>519.91999999999996</v>
      </c>
      <c r="O1443" s="152"/>
      <c r="P1443" s="145" t="str">
        <f t="shared" si="71"/>
        <v>PLC10</v>
      </c>
      <c r="Q1443" s="52">
        <f t="shared" si="75"/>
        <v>47</v>
      </c>
      <c r="R1443" s="8">
        <f t="shared" si="80"/>
        <v>2024</v>
      </c>
      <c r="S1443" s="151"/>
      <c r="T1443" s="151"/>
      <c r="U1443" s="151"/>
      <c r="V1443" s="151"/>
      <c r="W1443" s="161"/>
      <c r="X1443" s="151"/>
      <c r="Y1443" s="161"/>
      <c r="Z1443" s="161"/>
      <c r="AA1443" s="162"/>
      <c r="AB1443" s="152"/>
    </row>
    <row r="1444" spans="1:28" ht="15" hidden="1" customHeight="1" x14ac:dyDescent="0.25">
      <c r="A1444" s="223">
        <f t="shared" si="79"/>
        <v>48</v>
      </c>
      <c r="B1444" s="145">
        <v>45621</v>
      </c>
      <c r="C1444" s="40" t="s">
        <v>37</v>
      </c>
      <c r="D1444" s="72" t="s">
        <v>38</v>
      </c>
      <c r="E1444" s="41" t="s">
        <v>39</v>
      </c>
      <c r="F1444" s="41" t="s">
        <v>176</v>
      </c>
      <c r="G1444" s="43">
        <v>15</v>
      </c>
      <c r="H1444" s="41">
        <v>900</v>
      </c>
      <c r="I1444" s="72">
        <v>800</v>
      </c>
      <c r="J1444" s="41">
        <v>670</v>
      </c>
      <c r="K1444" s="157">
        <v>0.8</v>
      </c>
      <c r="L1444" s="41">
        <f t="shared" si="81"/>
        <v>536</v>
      </c>
      <c r="M1444" s="73">
        <v>0.03</v>
      </c>
      <c r="N1444" s="74">
        <f t="shared" si="74"/>
        <v>519.91999999999996</v>
      </c>
      <c r="O1444" s="146"/>
      <c r="P1444" s="145" t="str">
        <f t="shared" si="71"/>
        <v>PLC15</v>
      </c>
      <c r="Q1444" s="52">
        <f t="shared" si="75"/>
        <v>48</v>
      </c>
      <c r="R1444" s="8">
        <f t="shared" si="80"/>
        <v>2024</v>
      </c>
      <c r="S1444" s="72"/>
      <c r="T1444" s="72"/>
      <c r="U1444" s="72"/>
      <c r="V1444" s="72"/>
      <c r="W1444" s="157"/>
      <c r="X1444" s="72"/>
      <c r="Y1444" s="157"/>
      <c r="Z1444" s="157"/>
      <c r="AA1444" s="158"/>
      <c r="AB1444" s="146"/>
    </row>
    <row r="1445" spans="1:28" ht="15" hidden="1" customHeight="1" x14ac:dyDescent="0.25">
      <c r="A1445" s="224"/>
      <c r="B1445" s="145">
        <v>45622</v>
      </c>
      <c r="C1445" s="52" t="s">
        <v>42</v>
      </c>
      <c r="D1445" s="52" t="s">
        <v>38</v>
      </c>
      <c r="E1445" s="53" t="s">
        <v>39</v>
      </c>
      <c r="F1445" s="41" t="s">
        <v>176</v>
      </c>
      <c r="G1445" s="43">
        <v>15</v>
      </c>
      <c r="H1445" s="53">
        <v>900</v>
      </c>
      <c r="I1445" s="72">
        <v>800</v>
      </c>
      <c r="J1445" s="53">
        <v>670</v>
      </c>
      <c r="K1445" s="157">
        <v>0.8</v>
      </c>
      <c r="L1445" s="53">
        <f t="shared" si="81"/>
        <v>536</v>
      </c>
      <c r="M1445" s="55">
        <v>0.03</v>
      </c>
      <c r="N1445" s="56">
        <f t="shared" si="74"/>
        <v>519.91999999999996</v>
      </c>
      <c r="O1445" s="147"/>
      <c r="P1445" s="145" t="str">
        <f t="shared" si="71"/>
        <v>PLC15</v>
      </c>
      <c r="Q1445" s="52">
        <f t="shared" si="75"/>
        <v>48</v>
      </c>
      <c r="R1445" s="8">
        <f t="shared" si="80"/>
        <v>2024</v>
      </c>
      <c r="S1445" s="72"/>
      <c r="T1445" s="72"/>
      <c r="U1445" s="72"/>
      <c r="V1445" s="72"/>
      <c r="W1445" s="157"/>
      <c r="X1445" s="72"/>
      <c r="Y1445" s="157"/>
      <c r="Z1445" s="157"/>
      <c r="AA1445" s="158"/>
      <c r="AB1445" s="147"/>
    </row>
    <row r="1446" spans="1:28" ht="15" hidden="1" customHeight="1" x14ac:dyDescent="0.25">
      <c r="A1446" s="224"/>
      <c r="B1446" s="145">
        <v>45623</v>
      </c>
      <c r="C1446" s="52" t="s">
        <v>46</v>
      </c>
      <c r="D1446" s="52" t="s">
        <v>38</v>
      </c>
      <c r="E1446" s="53" t="s">
        <v>39</v>
      </c>
      <c r="F1446" s="41" t="s">
        <v>176</v>
      </c>
      <c r="G1446" s="43">
        <v>19</v>
      </c>
      <c r="H1446" s="53">
        <v>900</v>
      </c>
      <c r="I1446" s="72">
        <v>800</v>
      </c>
      <c r="J1446" s="53">
        <v>670</v>
      </c>
      <c r="K1446" s="157">
        <v>0.8</v>
      </c>
      <c r="L1446" s="53">
        <f t="shared" si="81"/>
        <v>536</v>
      </c>
      <c r="M1446" s="55">
        <v>0.03</v>
      </c>
      <c r="N1446" s="56">
        <f t="shared" si="74"/>
        <v>519.91999999999996</v>
      </c>
      <c r="O1446" s="147"/>
      <c r="P1446" s="145" t="str">
        <f t="shared" si="71"/>
        <v>PLC19</v>
      </c>
      <c r="Q1446" s="52">
        <f t="shared" si="75"/>
        <v>48</v>
      </c>
      <c r="R1446" s="8">
        <f t="shared" si="80"/>
        <v>2024</v>
      </c>
      <c r="S1446" s="72"/>
      <c r="T1446" s="72"/>
      <c r="U1446" s="72"/>
      <c r="V1446" s="72"/>
      <c r="W1446" s="157"/>
      <c r="X1446" s="72"/>
      <c r="Y1446" s="157"/>
      <c r="Z1446" s="157"/>
      <c r="AA1446" s="158"/>
      <c r="AB1446" s="147"/>
    </row>
    <row r="1447" spans="1:28" ht="15" hidden="1" customHeight="1" x14ac:dyDescent="0.25">
      <c r="A1447" s="224"/>
      <c r="B1447" s="145">
        <v>45624</v>
      </c>
      <c r="C1447" s="52" t="s">
        <v>50</v>
      </c>
      <c r="D1447" s="52" t="s">
        <v>38</v>
      </c>
      <c r="E1447" s="53" t="s">
        <v>39</v>
      </c>
      <c r="F1447" s="41" t="s">
        <v>176</v>
      </c>
      <c r="G1447" s="43">
        <v>19</v>
      </c>
      <c r="H1447" s="53">
        <v>900</v>
      </c>
      <c r="I1447" s="72">
        <v>800</v>
      </c>
      <c r="J1447" s="53">
        <v>670</v>
      </c>
      <c r="K1447" s="157">
        <v>0.8</v>
      </c>
      <c r="L1447" s="53">
        <f t="shared" si="81"/>
        <v>536</v>
      </c>
      <c r="M1447" s="55">
        <v>0.03</v>
      </c>
      <c r="N1447" s="56">
        <f t="shared" si="74"/>
        <v>519.91999999999996</v>
      </c>
      <c r="O1447" s="147"/>
      <c r="P1447" s="145" t="str">
        <f t="shared" si="71"/>
        <v>PLC19</v>
      </c>
      <c r="Q1447" s="52">
        <f t="shared" si="75"/>
        <v>48</v>
      </c>
      <c r="R1447" s="8">
        <f t="shared" si="80"/>
        <v>2024</v>
      </c>
      <c r="S1447" s="72"/>
      <c r="T1447" s="72"/>
      <c r="U1447" s="72"/>
      <c r="V1447" s="72"/>
      <c r="W1447" s="157"/>
      <c r="X1447" s="72"/>
      <c r="Y1447" s="157"/>
      <c r="Z1447" s="157"/>
      <c r="AA1447" s="158"/>
      <c r="AB1447" s="147"/>
    </row>
    <row r="1448" spans="1:28" ht="15" hidden="1" customHeight="1" x14ac:dyDescent="0.25">
      <c r="A1448" s="224"/>
      <c r="B1448" s="145">
        <v>45625</v>
      </c>
      <c r="C1448" s="52" t="s">
        <v>53</v>
      </c>
      <c r="D1448" s="52" t="s">
        <v>38</v>
      </c>
      <c r="E1448" s="53" t="s">
        <v>39</v>
      </c>
      <c r="F1448" s="53" t="s">
        <v>40</v>
      </c>
      <c r="G1448" s="43">
        <v>12</v>
      </c>
      <c r="H1448" s="53">
        <v>900</v>
      </c>
      <c r="I1448" s="72">
        <v>800</v>
      </c>
      <c r="J1448" s="53">
        <v>670</v>
      </c>
      <c r="K1448" s="157">
        <v>0.8</v>
      </c>
      <c r="L1448" s="53">
        <f t="shared" si="81"/>
        <v>536</v>
      </c>
      <c r="M1448" s="55">
        <v>0.03</v>
      </c>
      <c r="N1448" s="56">
        <f t="shared" si="74"/>
        <v>519.91999999999996</v>
      </c>
      <c r="O1448" s="147"/>
      <c r="P1448" s="145" t="str">
        <f t="shared" si="71"/>
        <v>PLC12</v>
      </c>
      <c r="Q1448" s="52">
        <f t="shared" si="75"/>
        <v>48</v>
      </c>
      <c r="R1448" s="8">
        <f t="shared" si="80"/>
        <v>2024</v>
      </c>
      <c r="S1448" s="72"/>
      <c r="T1448" s="72"/>
      <c r="U1448" s="72"/>
      <c r="V1448" s="72"/>
      <c r="W1448" s="157"/>
      <c r="X1448" s="72"/>
      <c r="Y1448" s="157"/>
      <c r="Z1448" s="157"/>
      <c r="AA1448" s="158"/>
      <c r="AB1448" s="147"/>
    </row>
    <row r="1449" spans="1:28" ht="15.75" hidden="1" customHeight="1" x14ac:dyDescent="0.25">
      <c r="A1449" s="224"/>
      <c r="B1449" s="148">
        <v>45626</v>
      </c>
      <c r="C1449" s="58" t="s">
        <v>57</v>
      </c>
      <c r="D1449" s="59" t="s">
        <v>38</v>
      </c>
      <c r="E1449" s="60" t="s">
        <v>39</v>
      </c>
      <c r="F1449" s="60" t="s">
        <v>40</v>
      </c>
      <c r="G1449" s="199">
        <v>10</v>
      </c>
      <c r="H1449" s="60">
        <v>900</v>
      </c>
      <c r="I1449" s="72">
        <v>800</v>
      </c>
      <c r="J1449" s="60">
        <v>670</v>
      </c>
      <c r="K1449" s="159">
        <v>0.8</v>
      </c>
      <c r="L1449" s="60">
        <f t="shared" si="81"/>
        <v>536</v>
      </c>
      <c r="M1449" s="62">
        <v>0.03</v>
      </c>
      <c r="N1449" s="63">
        <f t="shared" si="74"/>
        <v>519.91999999999996</v>
      </c>
      <c r="O1449" s="150"/>
      <c r="P1449" s="145" t="str">
        <f t="shared" si="71"/>
        <v>PLC10</v>
      </c>
      <c r="Q1449" s="52">
        <f t="shared" si="75"/>
        <v>48</v>
      </c>
      <c r="R1449" s="8">
        <f t="shared" si="80"/>
        <v>2024</v>
      </c>
      <c r="S1449" s="149"/>
      <c r="T1449" s="149"/>
      <c r="U1449" s="149"/>
      <c r="V1449" s="149"/>
      <c r="W1449" s="159"/>
      <c r="X1449" s="149"/>
      <c r="Y1449" s="159"/>
      <c r="Z1449" s="159"/>
      <c r="AA1449" s="160"/>
      <c r="AB1449" s="150"/>
    </row>
    <row r="1450" spans="1:28" ht="15" hidden="1" customHeight="1" thickBot="1" x14ac:dyDescent="0.3">
      <c r="A1450" s="225"/>
      <c r="B1450" s="113">
        <v>45627</v>
      </c>
      <c r="C1450" s="66" t="s">
        <v>59</v>
      </c>
      <c r="D1450" s="67" t="s">
        <v>38</v>
      </c>
      <c r="E1450" s="67" t="s">
        <v>39</v>
      </c>
      <c r="F1450" s="67" t="s">
        <v>40</v>
      </c>
      <c r="G1450" s="200">
        <v>10</v>
      </c>
      <c r="H1450" s="67">
        <v>900</v>
      </c>
      <c r="I1450" s="72">
        <v>800</v>
      </c>
      <c r="J1450" s="67">
        <v>670</v>
      </c>
      <c r="K1450" s="161">
        <v>0.8</v>
      </c>
      <c r="L1450" s="67">
        <f t="shared" si="81"/>
        <v>536</v>
      </c>
      <c r="M1450" s="69">
        <v>0.03</v>
      </c>
      <c r="N1450" s="70">
        <f t="shared" si="74"/>
        <v>519.91999999999996</v>
      </c>
      <c r="O1450" s="152"/>
      <c r="P1450" s="145" t="str">
        <f t="shared" si="71"/>
        <v>PLC10</v>
      </c>
      <c r="Q1450" s="52">
        <f t="shared" si="75"/>
        <v>48</v>
      </c>
      <c r="R1450" s="8">
        <f t="shared" si="80"/>
        <v>2024</v>
      </c>
      <c r="S1450" s="151"/>
      <c r="T1450" s="151"/>
      <c r="U1450" s="151"/>
      <c r="V1450" s="151"/>
      <c r="W1450" s="161"/>
      <c r="X1450" s="151"/>
      <c r="Y1450" s="161"/>
      <c r="Z1450" s="161"/>
      <c r="AA1450" s="162"/>
      <c r="AB1450" s="152"/>
    </row>
    <row r="1451" spans="1:28" ht="15" hidden="1" customHeight="1" x14ac:dyDescent="0.25">
      <c r="A1451" s="223">
        <f t="shared" si="79"/>
        <v>49</v>
      </c>
      <c r="B1451" s="145">
        <v>45628</v>
      </c>
      <c r="C1451" s="40" t="s">
        <v>37</v>
      </c>
      <c r="D1451" s="72" t="s">
        <v>38</v>
      </c>
      <c r="E1451" s="41" t="s">
        <v>39</v>
      </c>
      <c r="F1451" s="41" t="s">
        <v>40</v>
      </c>
      <c r="G1451" s="43">
        <v>5.9</v>
      </c>
      <c r="H1451" s="41">
        <v>900</v>
      </c>
      <c r="I1451" s="72">
        <v>800</v>
      </c>
      <c r="J1451" s="41">
        <v>700</v>
      </c>
      <c r="K1451" s="157">
        <v>0.8</v>
      </c>
      <c r="L1451" s="41">
        <f t="shared" si="81"/>
        <v>560</v>
      </c>
      <c r="M1451" s="73">
        <v>0.03</v>
      </c>
      <c r="N1451" s="74">
        <f t="shared" si="74"/>
        <v>543.19999999999993</v>
      </c>
      <c r="O1451" s="146"/>
      <c r="P1451" s="145" t="str">
        <f t="shared" si="71"/>
        <v>PLC5,9</v>
      </c>
      <c r="Q1451" s="52">
        <f t="shared" si="75"/>
        <v>49</v>
      </c>
      <c r="R1451" s="8">
        <f t="shared" si="80"/>
        <v>2024</v>
      </c>
      <c r="S1451" s="72"/>
      <c r="T1451" s="72"/>
      <c r="U1451" s="72"/>
      <c r="V1451" s="72"/>
      <c r="W1451" s="157"/>
      <c r="X1451" s="72"/>
      <c r="Y1451" s="157"/>
      <c r="Z1451" s="157"/>
      <c r="AA1451" s="158"/>
      <c r="AB1451" s="146"/>
    </row>
    <row r="1452" spans="1:28" ht="15" hidden="1" customHeight="1" x14ac:dyDescent="0.25">
      <c r="A1452" s="224"/>
      <c r="B1452" s="145">
        <v>45629</v>
      </c>
      <c r="C1452" s="52" t="s">
        <v>42</v>
      </c>
      <c r="D1452" s="52" t="s">
        <v>38</v>
      </c>
      <c r="E1452" s="53" t="s">
        <v>39</v>
      </c>
      <c r="F1452" s="53" t="s">
        <v>40</v>
      </c>
      <c r="G1452" s="43">
        <v>5.9</v>
      </c>
      <c r="H1452" s="53">
        <v>900</v>
      </c>
      <c r="I1452" s="72">
        <v>800</v>
      </c>
      <c r="J1452" s="53">
        <v>730</v>
      </c>
      <c r="K1452" s="157">
        <v>0.8</v>
      </c>
      <c r="L1452" s="53">
        <f t="shared" si="81"/>
        <v>584</v>
      </c>
      <c r="M1452" s="55">
        <v>0.03</v>
      </c>
      <c r="N1452" s="56">
        <f t="shared" si="74"/>
        <v>566.48</v>
      </c>
      <c r="O1452" s="147" t="s">
        <v>177</v>
      </c>
      <c r="P1452" s="145" t="str">
        <f t="shared" si="71"/>
        <v>PLC5,9</v>
      </c>
      <c r="Q1452" s="52">
        <f t="shared" si="75"/>
        <v>49</v>
      </c>
      <c r="R1452" s="8">
        <f t="shared" si="80"/>
        <v>2024</v>
      </c>
      <c r="S1452" s="72"/>
      <c r="T1452" s="72"/>
      <c r="U1452" s="72"/>
      <c r="V1452" s="72"/>
      <c r="W1452" s="157"/>
      <c r="X1452" s="72"/>
      <c r="Y1452" s="157"/>
      <c r="Z1452" s="157"/>
      <c r="AA1452" s="158"/>
      <c r="AB1452" s="147"/>
    </row>
    <row r="1453" spans="1:28" ht="15" hidden="1" customHeight="1" x14ac:dyDescent="0.25">
      <c r="A1453" s="224"/>
      <c r="B1453" s="145">
        <v>45630</v>
      </c>
      <c r="C1453" s="52" t="s">
        <v>46</v>
      </c>
      <c r="D1453" s="52" t="s">
        <v>38</v>
      </c>
      <c r="E1453" s="53" t="s">
        <v>39</v>
      </c>
      <c r="F1453" s="53" t="s">
        <v>40</v>
      </c>
      <c r="G1453" s="43">
        <v>5.9</v>
      </c>
      <c r="H1453" s="53">
        <v>900</v>
      </c>
      <c r="I1453" s="72">
        <v>800</v>
      </c>
      <c r="J1453" s="53">
        <v>760</v>
      </c>
      <c r="K1453" s="157">
        <v>0.8</v>
      </c>
      <c r="L1453" s="53">
        <f t="shared" si="81"/>
        <v>608</v>
      </c>
      <c r="M1453" s="55">
        <v>0.03</v>
      </c>
      <c r="N1453" s="56">
        <f t="shared" si="74"/>
        <v>589.76</v>
      </c>
      <c r="O1453" s="147"/>
      <c r="P1453" s="145" t="str">
        <f t="shared" si="71"/>
        <v>PLC5,9</v>
      </c>
      <c r="Q1453" s="52">
        <f t="shared" si="75"/>
        <v>49</v>
      </c>
      <c r="R1453" s="8">
        <f t="shared" si="80"/>
        <v>2024</v>
      </c>
      <c r="S1453" s="72"/>
      <c r="T1453" s="72"/>
      <c r="U1453" s="72"/>
      <c r="V1453" s="72"/>
      <c r="W1453" s="157"/>
      <c r="X1453" s="72"/>
      <c r="Y1453" s="157"/>
      <c r="Z1453" s="157"/>
      <c r="AA1453" s="158"/>
      <c r="AB1453" s="147"/>
    </row>
    <row r="1454" spans="1:28" ht="15" hidden="1" customHeight="1" x14ac:dyDescent="0.25">
      <c r="A1454" s="224"/>
      <c r="B1454" s="145">
        <v>45631</v>
      </c>
      <c r="C1454" s="52" t="s">
        <v>50</v>
      </c>
      <c r="D1454" s="52" t="s">
        <v>38</v>
      </c>
      <c r="E1454" s="53" t="s">
        <v>39</v>
      </c>
      <c r="F1454" s="53" t="s">
        <v>40</v>
      </c>
      <c r="G1454" s="43">
        <v>5.9</v>
      </c>
      <c r="H1454" s="53">
        <v>900</v>
      </c>
      <c r="I1454" s="72">
        <v>800</v>
      </c>
      <c r="J1454" s="53">
        <v>0</v>
      </c>
      <c r="K1454" s="157">
        <v>0.8</v>
      </c>
      <c r="L1454" s="53">
        <f t="shared" si="81"/>
        <v>640</v>
      </c>
      <c r="M1454" s="55">
        <v>0.03</v>
      </c>
      <c r="N1454" s="56">
        <f t="shared" si="74"/>
        <v>620.79999999999995</v>
      </c>
      <c r="O1454" s="147"/>
      <c r="P1454" s="145" t="str">
        <f t="shared" ref="P1454:P1518" si="82">E1454&amp;G1454</f>
        <v>PLC5,9</v>
      </c>
      <c r="Q1454" s="52">
        <f t="shared" si="75"/>
        <v>49</v>
      </c>
      <c r="R1454" s="8">
        <f t="shared" si="80"/>
        <v>2024</v>
      </c>
      <c r="S1454" s="72"/>
      <c r="T1454" s="72"/>
      <c r="U1454" s="72"/>
      <c r="V1454" s="72"/>
      <c r="W1454" s="157"/>
      <c r="X1454" s="72"/>
      <c r="Y1454" s="157"/>
      <c r="Z1454" s="157"/>
      <c r="AA1454" s="158"/>
      <c r="AB1454" s="147"/>
    </row>
    <row r="1455" spans="1:28" ht="15" hidden="1" customHeight="1" x14ac:dyDescent="0.25">
      <c r="A1455" s="224"/>
      <c r="B1455" s="145">
        <v>45632</v>
      </c>
      <c r="C1455" s="52" t="s">
        <v>53</v>
      </c>
      <c r="D1455" s="52" t="s">
        <v>38</v>
      </c>
      <c r="E1455" s="53" t="s">
        <v>39</v>
      </c>
      <c r="F1455" s="53" t="s">
        <v>40</v>
      </c>
      <c r="G1455" s="43">
        <v>3.9</v>
      </c>
      <c r="H1455" s="53">
        <v>900</v>
      </c>
      <c r="I1455" s="72">
        <v>800</v>
      </c>
      <c r="J1455" s="53">
        <v>0</v>
      </c>
      <c r="K1455" s="157">
        <v>0.8</v>
      </c>
      <c r="L1455" s="53">
        <f t="shared" si="81"/>
        <v>640</v>
      </c>
      <c r="M1455" s="55">
        <v>0.03</v>
      </c>
      <c r="N1455" s="56">
        <f t="shared" si="74"/>
        <v>620.79999999999995</v>
      </c>
      <c r="O1455" s="147"/>
      <c r="P1455" s="145" t="str">
        <f t="shared" si="82"/>
        <v>PLC3,9</v>
      </c>
      <c r="Q1455" s="52">
        <f t="shared" si="75"/>
        <v>49</v>
      </c>
      <c r="R1455" s="8">
        <f t="shared" si="80"/>
        <v>2024</v>
      </c>
      <c r="S1455" s="72"/>
      <c r="T1455" s="72"/>
      <c r="U1455" s="72"/>
      <c r="V1455" s="72"/>
      <c r="W1455" s="157"/>
      <c r="X1455" s="72"/>
      <c r="Y1455" s="157"/>
      <c r="Z1455" s="157"/>
      <c r="AA1455" s="158"/>
      <c r="AB1455" s="147"/>
    </row>
    <row r="1456" spans="1:28" ht="15.75" hidden="1" customHeight="1" x14ac:dyDescent="0.25">
      <c r="A1456" s="224"/>
      <c r="B1456" s="148">
        <v>45633</v>
      </c>
      <c r="C1456" s="58" t="s">
        <v>57</v>
      </c>
      <c r="D1456" s="59" t="s">
        <v>38</v>
      </c>
      <c r="E1456" s="60" t="s">
        <v>39</v>
      </c>
      <c r="F1456" s="60" t="s">
        <v>40</v>
      </c>
      <c r="G1456" s="199">
        <v>3.9</v>
      </c>
      <c r="H1456" s="60">
        <v>900</v>
      </c>
      <c r="I1456" s="72">
        <v>800</v>
      </c>
      <c r="J1456" s="60">
        <v>0</v>
      </c>
      <c r="K1456" s="159">
        <v>0.8</v>
      </c>
      <c r="L1456" s="60">
        <f t="shared" si="81"/>
        <v>640</v>
      </c>
      <c r="M1456" s="62">
        <v>0.03</v>
      </c>
      <c r="N1456" s="63">
        <f t="shared" si="74"/>
        <v>620.79999999999995</v>
      </c>
      <c r="O1456" s="150"/>
      <c r="P1456" s="145" t="str">
        <f t="shared" si="82"/>
        <v>PLC3,9</v>
      </c>
      <c r="Q1456" s="52">
        <f t="shared" si="75"/>
        <v>49</v>
      </c>
      <c r="R1456" s="8">
        <f t="shared" si="80"/>
        <v>2024</v>
      </c>
      <c r="S1456" s="149"/>
      <c r="T1456" s="149"/>
      <c r="U1456" s="149"/>
      <c r="V1456" s="149"/>
      <c r="W1456" s="159"/>
      <c r="X1456" s="149"/>
      <c r="Y1456" s="159"/>
      <c r="Z1456" s="159"/>
      <c r="AA1456" s="160"/>
      <c r="AB1456" s="150"/>
    </row>
    <row r="1457" spans="1:28" ht="15" hidden="1" customHeight="1" thickBot="1" x14ac:dyDescent="0.3">
      <c r="A1457" s="225"/>
      <c r="B1457" s="113">
        <v>45634</v>
      </c>
      <c r="C1457" s="66" t="s">
        <v>59</v>
      </c>
      <c r="D1457" s="67" t="s">
        <v>38</v>
      </c>
      <c r="E1457" s="67" t="s">
        <v>39</v>
      </c>
      <c r="F1457" s="67" t="s">
        <v>40</v>
      </c>
      <c r="G1457" s="200">
        <v>3.9</v>
      </c>
      <c r="H1457" s="67">
        <v>900</v>
      </c>
      <c r="I1457" s="72">
        <v>800</v>
      </c>
      <c r="J1457" s="67">
        <v>0</v>
      </c>
      <c r="K1457" s="161">
        <v>0.8</v>
      </c>
      <c r="L1457" s="67">
        <f t="shared" si="81"/>
        <v>640</v>
      </c>
      <c r="M1457" s="69">
        <v>0.03</v>
      </c>
      <c r="N1457" s="70">
        <f t="shared" si="74"/>
        <v>620.79999999999995</v>
      </c>
      <c r="O1457" s="152"/>
      <c r="P1457" s="145" t="str">
        <f t="shared" si="82"/>
        <v>PLC3,9</v>
      </c>
      <c r="Q1457" s="52">
        <f t="shared" si="75"/>
        <v>49</v>
      </c>
      <c r="R1457" s="8">
        <f t="shared" si="80"/>
        <v>2024</v>
      </c>
      <c r="S1457" s="151"/>
      <c r="T1457" s="151"/>
      <c r="U1457" s="151"/>
      <c r="V1457" s="151"/>
      <c r="W1457" s="161"/>
      <c r="X1457" s="151"/>
      <c r="Y1457" s="161"/>
      <c r="Z1457" s="161"/>
      <c r="AA1457" s="162"/>
      <c r="AB1457" s="152"/>
    </row>
    <row r="1458" spans="1:28" ht="15" hidden="1" customHeight="1" x14ac:dyDescent="0.25">
      <c r="A1458" s="223">
        <f t="shared" si="79"/>
        <v>50</v>
      </c>
      <c r="B1458" s="145">
        <v>45635</v>
      </c>
      <c r="C1458" s="40" t="s">
        <v>37</v>
      </c>
      <c r="D1458" s="72" t="s">
        <v>38</v>
      </c>
      <c r="E1458" s="41" t="s">
        <v>39</v>
      </c>
      <c r="F1458" s="41" t="s">
        <v>40</v>
      </c>
      <c r="G1458" s="43">
        <v>3.9</v>
      </c>
      <c r="H1458" s="41">
        <v>900</v>
      </c>
      <c r="I1458" s="72">
        <v>800</v>
      </c>
      <c r="J1458" s="41">
        <v>0</v>
      </c>
      <c r="K1458" s="157">
        <v>0.8</v>
      </c>
      <c r="L1458" s="41">
        <f t="shared" si="81"/>
        <v>640</v>
      </c>
      <c r="M1458" s="73">
        <v>0.03</v>
      </c>
      <c r="N1458" s="74">
        <f t="shared" si="74"/>
        <v>620.79999999999995</v>
      </c>
      <c r="O1458" s="146"/>
      <c r="P1458" s="145" t="str">
        <f t="shared" si="82"/>
        <v>PLC3,9</v>
      </c>
      <c r="Q1458" s="52">
        <f t="shared" si="75"/>
        <v>50</v>
      </c>
      <c r="R1458" s="8">
        <f t="shared" si="80"/>
        <v>2024</v>
      </c>
      <c r="S1458" s="72"/>
      <c r="T1458" s="72"/>
      <c r="U1458" s="72"/>
      <c r="V1458" s="72"/>
      <c r="W1458" s="157"/>
      <c r="X1458" s="72"/>
      <c r="Y1458" s="157"/>
      <c r="Z1458" s="157"/>
      <c r="AA1458" s="158"/>
      <c r="AB1458" s="146"/>
    </row>
    <row r="1459" spans="1:28" ht="15" hidden="1" customHeight="1" x14ac:dyDescent="0.25">
      <c r="A1459" s="224"/>
      <c r="B1459" s="145">
        <v>45636</v>
      </c>
      <c r="C1459" s="52" t="s">
        <v>42</v>
      </c>
      <c r="D1459" s="52" t="s">
        <v>38</v>
      </c>
      <c r="E1459" s="53" t="s">
        <v>39</v>
      </c>
      <c r="F1459" s="53" t="s">
        <v>40</v>
      </c>
      <c r="G1459" s="43">
        <v>3.9</v>
      </c>
      <c r="H1459" s="53">
        <v>900</v>
      </c>
      <c r="I1459" s="72">
        <v>800</v>
      </c>
      <c r="J1459" s="53">
        <v>0</v>
      </c>
      <c r="K1459" s="157">
        <v>0.8</v>
      </c>
      <c r="L1459" s="53">
        <f t="shared" si="81"/>
        <v>640</v>
      </c>
      <c r="M1459" s="55">
        <v>0.03</v>
      </c>
      <c r="N1459" s="56">
        <f t="shared" si="74"/>
        <v>620.79999999999995</v>
      </c>
      <c r="O1459" s="147"/>
      <c r="P1459" s="145" t="str">
        <f t="shared" si="82"/>
        <v>PLC3,9</v>
      </c>
      <c r="Q1459" s="52">
        <f t="shared" si="75"/>
        <v>50</v>
      </c>
      <c r="R1459" s="8">
        <f t="shared" si="80"/>
        <v>2024</v>
      </c>
      <c r="S1459" s="72"/>
      <c r="T1459" s="72"/>
      <c r="U1459" s="72"/>
      <c r="V1459" s="72"/>
      <c r="W1459" s="157"/>
      <c r="X1459" s="72"/>
      <c r="Y1459" s="157"/>
      <c r="Z1459" s="157"/>
      <c r="AA1459" s="158"/>
      <c r="AB1459" s="147"/>
    </row>
    <row r="1460" spans="1:28" ht="15" hidden="1" customHeight="1" x14ac:dyDescent="0.25">
      <c r="A1460" s="224"/>
      <c r="B1460" s="145">
        <v>45637</v>
      </c>
      <c r="C1460" s="52" t="s">
        <v>46</v>
      </c>
      <c r="D1460" s="52" t="s">
        <v>38</v>
      </c>
      <c r="E1460" s="53" t="s">
        <v>39</v>
      </c>
      <c r="F1460" s="53" t="s">
        <v>40</v>
      </c>
      <c r="G1460" s="43">
        <v>3.9</v>
      </c>
      <c r="H1460" s="53">
        <v>900</v>
      </c>
      <c r="I1460" s="72">
        <v>800</v>
      </c>
      <c r="J1460" s="53">
        <v>0</v>
      </c>
      <c r="K1460" s="157">
        <v>0.8</v>
      </c>
      <c r="L1460" s="53">
        <f t="shared" si="81"/>
        <v>640</v>
      </c>
      <c r="M1460" s="55">
        <v>0.03</v>
      </c>
      <c r="N1460" s="56">
        <f t="shared" si="74"/>
        <v>620.79999999999995</v>
      </c>
      <c r="O1460" s="147"/>
      <c r="P1460" s="145" t="str">
        <f t="shared" si="82"/>
        <v>PLC3,9</v>
      </c>
      <c r="Q1460" s="52">
        <f t="shared" si="75"/>
        <v>50</v>
      </c>
      <c r="R1460" s="8">
        <f t="shared" si="80"/>
        <v>2024</v>
      </c>
      <c r="S1460" s="72"/>
      <c r="T1460" s="72"/>
      <c r="U1460" s="72"/>
      <c r="V1460" s="72"/>
      <c r="W1460" s="157"/>
      <c r="X1460" s="72"/>
      <c r="Y1460" s="157"/>
      <c r="Z1460" s="157"/>
      <c r="AA1460" s="158"/>
      <c r="AB1460" s="147"/>
    </row>
    <row r="1461" spans="1:28" ht="15" hidden="1" customHeight="1" x14ac:dyDescent="0.25">
      <c r="A1461" s="224"/>
      <c r="B1461" s="145">
        <v>45638</v>
      </c>
      <c r="C1461" s="52" t="s">
        <v>50</v>
      </c>
      <c r="D1461" s="52" t="s">
        <v>38</v>
      </c>
      <c r="E1461" s="53" t="s">
        <v>39</v>
      </c>
      <c r="F1461" s="53" t="s">
        <v>40</v>
      </c>
      <c r="G1461" s="43">
        <v>3.9</v>
      </c>
      <c r="H1461" s="53">
        <v>900</v>
      </c>
      <c r="I1461" s="72">
        <v>800</v>
      </c>
      <c r="J1461" s="53">
        <v>0</v>
      </c>
      <c r="K1461" s="157">
        <v>0.7</v>
      </c>
      <c r="L1461" s="53">
        <f t="shared" si="81"/>
        <v>560</v>
      </c>
      <c r="M1461" s="55">
        <v>0.03</v>
      </c>
      <c r="N1461" s="56">
        <f t="shared" ref="N1461:N1525" si="83">+L1461*(1-M1461)</f>
        <v>543.19999999999993</v>
      </c>
      <c r="O1461" s="147"/>
      <c r="P1461" s="145" t="str">
        <f t="shared" si="82"/>
        <v>PLC3,9</v>
      </c>
      <c r="Q1461" s="52">
        <f t="shared" si="75"/>
        <v>50</v>
      </c>
      <c r="R1461" s="8">
        <f t="shared" si="80"/>
        <v>2024</v>
      </c>
      <c r="S1461" s="72"/>
      <c r="T1461" s="72"/>
      <c r="U1461" s="72"/>
      <c r="V1461" s="72"/>
      <c r="W1461" s="157"/>
      <c r="X1461" s="72"/>
      <c r="Y1461" s="157"/>
      <c r="Z1461" s="157"/>
      <c r="AA1461" s="158"/>
      <c r="AB1461" s="147"/>
    </row>
    <row r="1462" spans="1:28" ht="15" hidden="1" customHeight="1" x14ac:dyDescent="0.25">
      <c r="A1462" s="224"/>
      <c r="B1462" s="145">
        <v>45639</v>
      </c>
      <c r="C1462" s="52" t="s">
        <v>53</v>
      </c>
      <c r="D1462" s="52" t="s">
        <v>38</v>
      </c>
      <c r="E1462" s="53" t="s">
        <v>39</v>
      </c>
      <c r="F1462" s="53" t="s">
        <v>40</v>
      </c>
      <c r="G1462" s="43">
        <v>4.9000000000000004</v>
      </c>
      <c r="H1462" s="53">
        <v>900</v>
      </c>
      <c r="I1462" s="72">
        <v>800</v>
      </c>
      <c r="J1462" s="53">
        <v>0</v>
      </c>
      <c r="K1462" s="157">
        <v>0.65</v>
      </c>
      <c r="L1462" s="53">
        <f t="shared" si="81"/>
        <v>520</v>
      </c>
      <c r="M1462" s="55">
        <v>0.03</v>
      </c>
      <c r="N1462" s="56">
        <f t="shared" si="83"/>
        <v>504.4</v>
      </c>
      <c r="O1462" s="147"/>
      <c r="P1462" s="145" t="str">
        <f t="shared" si="82"/>
        <v>PLC4,9</v>
      </c>
      <c r="Q1462" s="52">
        <f t="shared" si="75"/>
        <v>50</v>
      </c>
      <c r="R1462" s="8">
        <f t="shared" si="80"/>
        <v>2024</v>
      </c>
      <c r="S1462" s="72"/>
      <c r="T1462" s="72"/>
      <c r="U1462" s="72"/>
      <c r="V1462" s="72"/>
      <c r="W1462" s="157"/>
      <c r="X1462" s="72"/>
      <c r="Y1462" s="157"/>
      <c r="Z1462" s="157"/>
      <c r="AA1462" s="158"/>
      <c r="AB1462" s="147"/>
    </row>
    <row r="1463" spans="1:28" ht="15.75" hidden="1" customHeight="1" x14ac:dyDescent="0.25">
      <c r="A1463" s="224"/>
      <c r="B1463" s="148">
        <v>45640</v>
      </c>
      <c r="C1463" s="58" t="s">
        <v>57</v>
      </c>
      <c r="D1463" s="59" t="s">
        <v>38</v>
      </c>
      <c r="E1463" s="60" t="s">
        <v>39</v>
      </c>
      <c r="F1463" s="60" t="s">
        <v>40</v>
      </c>
      <c r="G1463" s="199">
        <v>4.9000000000000004</v>
      </c>
      <c r="H1463" s="60">
        <v>900</v>
      </c>
      <c r="I1463" s="72">
        <v>800</v>
      </c>
      <c r="J1463" s="60">
        <v>0</v>
      </c>
      <c r="K1463" s="159">
        <v>0.65</v>
      </c>
      <c r="L1463" s="60">
        <f t="shared" si="81"/>
        <v>520</v>
      </c>
      <c r="M1463" s="62">
        <v>0.03</v>
      </c>
      <c r="N1463" s="63">
        <f t="shared" si="83"/>
        <v>504.4</v>
      </c>
      <c r="O1463" s="150"/>
      <c r="P1463" s="145" t="str">
        <f t="shared" si="82"/>
        <v>PLC4,9</v>
      </c>
      <c r="Q1463" s="52">
        <f t="shared" ref="Q1463:Q1479" si="84">_xlfn.ISOWEEKNUM(B1463)</f>
        <v>50</v>
      </c>
      <c r="R1463" s="8">
        <f t="shared" si="80"/>
        <v>2024</v>
      </c>
      <c r="S1463" s="149"/>
      <c r="T1463" s="149"/>
      <c r="U1463" s="149"/>
      <c r="V1463" s="149"/>
      <c r="W1463" s="159"/>
      <c r="X1463" s="149"/>
      <c r="Y1463" s="159"/>
      <c r="Z1463" s="159"/>
      <c r="AA1463" s="160"/>
      <c r="AB1463" s="150"/>
    </row>
    <row r="1464" spans="1:28" ht="15" hidden="1" customHeight="1" thickBot="1" x14ac:dyDescent="0.3">
      <c r="A1464" s="225"/>
      <c r="B1464" s="113">
        <v>45641</v>
      </c>
      <c r="C1464" s="66" t="s">
        <v>59</v>
      </c>
      <c r="D1464" s="67" t="s">
        <v>38</v>
      </c>
      <c r="E1464" s="67" t="s">
        <v>39</v>
      </c>
      <c r="F1464" s="67" t="s">
        <v>40</v>
      </c>
      <c r="G1464" s="200">
        <v>5.9</v>
      </c>
      <c r="H1464" s="67">
        <v>900</v>
      </c>
      <c r="I1464" s="72">
        <v>800</v>
      </c>
      <c r="J1464" s="67">
        <v>0</v>
      </c>
      <c r="K1464" s="161">
        <v>0.65</v>
      </c>
      <c r="L1464" s="67">
        <f t="shared" si="81"/>
        <v>520</v>
      </c>
      <c r="M1464" s="69">
        <v>0.03</v>
      </c>
      <c r="N1464" s="70">
        <f t="shared" si="83"/>
        <v>504.4</v>
      </c>
      <c r="O1464" s="152"/>
      <c r="P1464" s="145" t="str">
        <f t="shared" si="82"/>
        <v>PLC5,9</v>
      </c>
      <c r="Q1464" s="52">
        <f t="shared" si="84"/>
        <v>50</v>
      </c>
      <c r="R1464" s="8">
        <f t="shared" si="80"/>
        <v>2024</v>
      </c>
      <c r="S1464" s="151"/>
      <c r="T1464" s="151"/>
      <c r="U1464" s="151"/>
      <c r="V1464" s="151"/>
      <c r="W1464" s="161"/>
      <c r="X1464" s="151"/>
      <c r="Y1464" s="161"/>
      <c r="Z1464" s="161"/>
      <c r="AA1464" s="162"/>
      <c r="AB1464" s="152"/>
    </row>
    <row r="1465" spans="1:28" ht="15" hidden="1" customHeight="1" x14ac:dyDescent="0.25">
      <c r="A1465" s="223">
        <f t="shared" ref="A1465" si="85">+A1458+1</f>
        <v>51</v>
      </c>
      <c r="B1465" s="145">
        <v>45642</v>
      </c>
      <c r="C1465" s="40" t="s">
        <v>37</v>
      </c>
      <c r="D1465" s="72" t="s">
        <v>38</v>
      </c>
      <c r="E1465" s="41" t="s">
        <v>39</v>
      </c>
      <c r="F1465" s="41" t="s">
        <v>40</v>
      </c>
      <c r="G1465" s="43">
        <v>5.9</v>
      </c>
      <c r="H1465" s="41">
        <v>900</v>
      </c>
      <c r="I1465" s="72">
        <v>800</v>
      </c>
      <c r="J1465" s="41">
        <v>0</v>
      </c>
      <c r="K1465" s="157">
        <v>0.65</v>
      </c>
      <c r="L1465" s="41">
        <f t="shared" si="81"/>
        <v>520</v>
      </c>
      <c r="M1465" s="73">
        <v>0.03</v>
      </c>
      <c r="N1465" s="74">
        <f t="shared" si="83"/>
        <v>504.4</v>
      </c>
      <c r="O1465" s="146"/>
      <c r="P1465" s="145" t="str">
        <f t="shared" si="82"/>
        <v>PLC5,9</v>
      </c>
      <c r="Q1465" s="52">
        <f t="shared" si="84"/>
        <v>51</v>
      </c>
      <c r="R1465" s="8">
        <f t="shared" si="80"/>
        <v>2024</v>
      </c>
      <c r="S1465" s="72"/>
      <c r="T1465" s="72"/>
      <c r="U1465" s="72"/>
      <c r="V1465" s="72"/>
      <c r="W1465" s="157"/>
      <c r="X1465" s="72"/>
      <c r="Y1465" s="157"/>
      <c r="Z1465" s="157"/>
      <c r="AA1465" s="158"/>
      <c r="AB1465" s="146"/>
    </row>
    <row r="1466" spans="1:28" ht="15" hidden="1" customHeight="1" x14ac:dyDescent="0.25">
      <c r="A1466" s="224"/>
      <c r="B1466" s="145">
        <v>45643</v>
      </c>
      <c r="C1466" s="52" t="s">
        <v>42</v>
      </c>
      <c r="D1466" s="52" t="s">
        <v>38</v>
      </c>
      <c r="E1466" s="53" t="s">
        <v>39</v>
      </c>
      <c r="F1466" s="53" t="s">
        <v>40</v>
      </c>
      <c r="G1466" s="43">
        <v>5.9</v>
      </c>
      <c r="H1466" s="53">
        <v>900</v>
      </c>
      <c r="I1466" s="72">
        <v>800</v>
      </c>
      <c r="J1466" s="53">
        <v>0</v>
      </c>
      <c r="K1466" s="157">
        <v>0.65</v>
      </c>
      <c r="L1466" s="53">
        <f t="shared" si="81"/>
        <v>520</v>
      </c>
      <c r="M1466" s="55">
        <v>0.03</v>
      </c>
      <c r="N1466" s="56">
        <f t="shared" si="83"/>
        <v>504.4</v>
      </c>
      <c r="O1466" s="147"/>
      <c r="P1466" s="145" t="str">
        <f t="shared" si="82"/>
        <v>PLC5,9</v>
      </c>
      <c r="Q1466" s="52">
        <f t="shared" si="84"/>
        <v>51</v>
      </c>
      <c r="R1466" s="8">
        <f t="shared" si="80"/>
        <v>2024</v>
      </c>
      <c r="S1466" s="72"/>
      <c r="T1466" s="72"/>
      <c r="U1466" s="72"/>
      <c r="V1466" s="72"/>
      <c r="W1466" s="157"/>
      <c r="X1466" s="72"/>
      <c r="Y1466" s="157"/>
      <c r="Z1466" s="157"/>
      <c r="AA1466" s="158"/>
      <c r="AB1466" s="147"/>
    </row>
    <row r="1467" spans="1:28" ht="15" hidden="1" customHeight="1" x14ac:dyDescent="0.25">
      <c r="A1467" s="224"/>
      <c r="B1467" s="145">
        <v>45644</v>
      </c>
      <c r="C1467" s="52" t="s">
        <v>46</v>
      </c>
      <c r="D1467" s="52" t="s">
        <v>38</v>
      </c>
      <c r="E1467" s="53" t="s">
        <v>39</v>
      </c>
      <c r="F1467" s="53" t="s">
        <v>40</v>
      </c>
      <c r="G1467" s="43">
        <v>5.9</v>
      </c>
      <c r="H1467" s="53">
        <v>900</v>
      </c>
      <c r="I1467" s="72">
        <v>800</v>
      </c>
      <c r="J1467" s="53">
        <v>0</v>
      </c>
      <c r="K1467" s="157">
        <v>0.65</v>
      </c>
      <c r="L1467" s="53">
        <f t="shared" si="81"/>
        <v>520</v>
      </c>
      <c r="M1467" s="55">
        <v>0.03</v>
      </c>
      <c r="N1467" s="56">
        <f t="shared" si="83"/>
        <v>504.4</v>
      </c>
      <c r="O1467" s="147"/>
      <c r="P1467" s="145" t="str">
        <f t="shared" si="82"/>
        <v>PLC5,9</v>
      </c>
      <c r="Q1467" s="52">
        <f t="shared" si="84"/>
        <v>51</v>
      </c>
      <c r="R1467" s="8">
        <f t="shared" si="80"/>
        <v>2024</v>
      </c>
      <c r="S1467" s="72"/>
      <c r="T1467" s="72"/>
      <c r="U1467" s="72"/>
      <c r="V1467" s="72"/>
      <c r="W1467" s="157"/>
      <c r="X1467" s="72"/>
      <c r="Y1467" s="157"/>
      <c r="Z1467" s="157"/>
      <c r="AA1467" s="158"/>
      <c r="AB1467" s="147"/>
    </row>
    <row r="1468" spans="1:28" ht="15" hidden="1" customHeight="1" x14ac:dyDescent="0.25">
      <c r="A1468" s="224"/>
      <c r="B1468" s="145">
        <v>45645</v>
      </c>
      <c r="C1468" s="52" t="s">
        <v>50</v>
      </c>
      <c r="D1468" s="52" t="s">
        <v>38</v>
      </c>
      <c r="E1468" s="53" t="s">
        <v>39</v>
      </c>
      <c r="F1468" s="53" t="s">
        <v>40</v>
      </c>
      <c r="G1468" s="43">
        <v>5.9</v>
      </c>
      <c r="H1468" s="53">
        <v>900</v>
      </c>
      <c r="I1468" s="72">
        <v>800</v>
      </c>
      <c r="J1468" s="53">
        <v>0</v>
      </c>
      <c r="K1468" s="157">
        <v>0.65</v>
      </c>
      <c r="L1468" s="53">
        <f t="shared" si="81"/>
        <v>520</v>
      </c>
      <c r="M1468" s="55">
        <v>0.03</v>
      </c>
      <c r="N1468" s="56">
        <f t="shared" si="83"/>
        <v>504.4</v>
      </c>
      <c r="O1468" s="147"/>
      <c r="P1468" s="145" t="str">
        <f t="shared" si="82"/>
        <v>PLC5,9</v>
      </c>
      <c r="Q1468" s="52">
        <f t="shared" si="84"/>
        <v>51</v>
      </c>
      <c r="R1468" s="8">
        <f t="shared" si="80"/>
        <v>2024</v>
      </c>
      <c r="S1468" s="72"/>
      <c r="T1468" s="72"/>
      <c r="U1468" s="72"/>
      <c r="V1468" s="72"/>
      <c r="W1468" s="157"/>
      <c r="X1468" s="72"/>
      <c r="Y1468" s="157"/>
      <c r="Z1468" s="157"/>
      <c r="AA1468" s="158"/>
      <c r="AB1468" s="147"/>
    </row>
    <row r="1469" spans="1:28" ht="15" hidden="1" customHeight="1" x14ac:dyDescent="0.25">
      <c r="A1469" s="224"/>
      <c r="B1469" s="145">
        <v>45646</v>
      </c>
      <c r="C1469" s="52" t="s">
        <v>53</v>
      </c>
      <c r="D1469" s="52" t="s">
        <v>38</v>
      </c>
      <c r="E1469" s="53" t="s">
        <v>39</v>
      </c>
      <c r="F1469" s="53" t="s">
        <v>40</v>
      </c>
      <c r="G1469" s="43">
        <v>5.9</v>
      </c>
      <c r="H1469" s="53">
        <v>900</v>
      </c>
      <c r="I1469" s="72">
        <v>800</v>
      </c>
      <c r="J1469" s="53">
        <v>0</v>
      </c>
      <c r="K1469" s="157">
        <v>0.65</v>
      </c>
      <c r="L1469" s="53">
        <f t="shared" si="81"/>
        <v>520</v>
      </c>
      <c r="M1469" s="55">
        <v>0.03</v>
      </c>
      <c r="N1469" s="56">
        <f t="shared" si="83"/>
        <v>504.4</v>
      </c>
      <c r="O1469" s="147"/>
      <c r="P1469" s="145" t="str">
        <f t="shared" si="82"/>
        <v>PLC5,9</v>
      </c>
      <c r="Q1469" s="52">
        <f t="shared" si="84"/>
        <v>51</v>
      </c>
      <c r="R1469" s="8">
        <f t="shared" si="80"/>
        <v>2024</v>
      </c>
      <c r="S1469" s="72"/>
      <c r="T1469" s="72"/>
      <c r="U1469" s="72"/>
      <c r="V1469" s="72"/>
      <c r="W1469" s="157"/>
      <c r="X1469" s="72"/>
      <c r="Y1469" s="157"/>
      <c r="Z1469" s="157"/>
      <c r="AA1469" s="158"/>
      <c r="AB1469" s="147"/>
    </row>
    <row r="1470" spans="1:28" ht="15.75" hidden="1" customHeight="1" x14ac:dyDescent="0.25">
      <c r="A1470" s="224"/>
      <c r="B1470" s="148">
        <v>45647</v>
      </c>
      <c r="C1470" s="58" t="s">
        <v>57</v>
      </c>
      <c r="D1470" s="59" t="s">
        <v>38</v>
      </c>
      <c r="E1470" s="60" t="s">
        <v>39</v>
      </c>
      <c r="F1470" s="60" t="s">
        <v>40</v>
      </c>
      <c r="G1470" s="199">
        <v>5.9</v>
      </c>
      <c r="H1470" s="60">
        <v>900</v>
      </c>
      <c r="I1470" s="72">
        <v>800</v>
      </c>
      <c r="J1470" s="60">
        <v>0</v>
      </c>
      <c r="K1470" s="159">
        <v>0.65</v>
      </c>
      <c r="L1470" s="60">
        <f t="shared" si="81"/>
        <v>520</v>
      </c>
      <c r="M1470" s="62">
        <v>0.03</v>
      </c>
      <c r="N1470" s="63">
        <f t="shared" si="83"/>
        <v>504.4</v>
      </c>
      <c r="O1470" s="147"/>
      <c r="P1470" s="145" t="str">
        <f t="shared" si="82"/>
        <v>PLC5,9</v>
      </c>
      <c r="Q1470" s="52">
        <f t="shared" si="84"/>
        <v>51</v>
      </c>
      <c r="R1470" s="8">
        <f t="shared" si="80"/>
        <v>2024</v>
      </c>
      <c r="S1470" s="149"/>
      <c r="T1470" s="149"/>
      <c r="U1470" s="149"/>
      <c r="V1470" s="149"/>
      <c r="W1470" s="159"/>
      <c r="X1470" s="149"/>
      <c r="Y1470" s="159"/>
      <c r="Z1470" s="159"/>
      <c r="AA1470" s="160"/>
      <c r="AB1470" s="150"/>
    </row>
    <row r="1471" spans="1:28" ht="15" hidden="1" customHeight="1" thickBot="1" x14ac:dyDescent="0.3">
      <c r="A1471" s="225"/>
      <c r="B1471" s="113">
        <v>45648</v>
      </c>
      <c r="C1471" s="66" t="s">
        <v>59</v>
      </c>
      <c r="D1471" s="67" t="s">
        <v>38</v>
      </c>
      <c r="E1471" s="67" t="s">
        <v>39</v>
      </c>
      <c r="F1471" s="67" t="s">
        <v>40</v>
      </c>
      <c r="G1471" s="68">
        <v>5.9</v>
      </c>
      <c r="H1471" s="67">
        <v>900</v>
      </c>
      <c r="I1471" s="72">
        <v>800</v>
      </c>
      <c r="J1471" s="67">
        <v>0</v>
      </c>
      <c r="K1471" s="161">
        <v>0.65</v>
      </c>
      <c r="L1471" s="67">
        <f t="shared" si="81"/>
        <v>520</v>
      </c>
      <c r="M1471" s="69">
        <v>0.03</v>
      </c>
      <c r="N1471" s="70">
        <f t="shared" si="83"/>
        <v>504.4</v>
      </c>
      <c r="O1471" s="147"/>
      <c r="P1471" s="145" t="str">
        <f t="shared" si="82"/>
        <v>PLC5,9</v>
      </c>
      <c r="Q1471" s="52">
        <f t="shared" si="84"/>
        <v>51</v>
      </c>
      <c r="R1471" s="8">
        <f t="shared" si="80"/>
        <v>2024</v>
      </c>
      <c r="S1471" s="151"/>
      <c r="T1471" s="151"/>
      <c r="U1471" s="151"/>
      <c r="V1471" s="151"/>
      <c r="W1471" s="161"/>
      <c r="X1471" s="151"/>
      <c r="Y1471" s="161"/>
      <c r="Z1471" s="161"/>
      <c r="AA1471" s="162"/>
      <c r="AB1471" s="152"/>
    </row>
    <row r="1472" spans="1:28" ht="15" hidden="1" customHeight="1" x14ac:dyDescent="0.25">
      <c r="A1472" s="223">
        <f t="shared" ref="A1472" si="86">+A1465+1</f>
        <v>52</v>
      </c>
      <c r="B1472" s="145">
        <v>45649</v>
      </c>
      <c r="C1472" s="40" t="s">
        <v>37</v>
      </c>
      <c r="D1472" s="72" t="s">
        <v>38</v>
      </c>
      <c r="E1472" s="41" t="s">
        <v>39</v>
      </c>
      <c r="F1472" s="41" t="s">
        <v>40</v>
      </c>
      <c r="G1472" s="43">
        <v>8</v>
      </c>
      <c r="H1472" s="41">
        <v>900</v>
      </c>
      <c r="I1472" s="72">
        <v>800</v>
      </c>
      <c r="J1472" s="41">
        <v>0</v>
      </c>
      <c r="K1472" s="157">
        <v>0.65</v>
      </c>
      <c r="L1472" s="41">
        <f t="shared" si="81"/>
        <v>520</v>
      </c>
      <c r="M1472" s="73">
        <v>0.03</v>
      </c>
      <c r="N1472" s="74">
        <f t="shared" si="83"/>
        <v>504.4</v>
      </c>
      <c r="O1472" s="146"/>
      <c r="P1472" s="145" t="str">
        <f t="shared" si="82"/>
        <v>PLC8</v>
      </c>
      <c r="Q1472" s="52">
        <f t="shared" si="84"/>
        <v>52</v>
      </c>
      <c r="R1472" s="8">
        <f t="shared" si="80"/>
        <v>2024</v>
      </c>
      <c r="S1472" s="72"/>
      <c r="T1472" s="72"/>
      <c r="U1472" s="72"/>
      <c r="V1472" s="72"/>
      <c r="W1472" s="157"/>
      <c r="X1472" s="72"/>
      <c r="Y1472" s="157"/>
      <c r="Z1472" s="157"/>
      <c r="AA1472" s="158"/>
      <c r="AB1472" s="146"/>
    </row>
    <row r="1473" spans="1:28" ht="15" hidden="1" customHeight="1" x14ac:dyDescent="0.25">
      <c r="A1473" s="224"/>
      <c r="B1473" s="145">
        <v>45650</v>
      </c>
      <c r="C1473" s="52" t="s">
        <v>42</v>
      </c>
      <c r="D1473" s="52" t="s">
        <v>38</v>
      </c>
      <c r="E1473" s="53" t="s">
        <v>39</v>
      </c>
      <c r="F1473" s="53" t="s">
        <v>40</v>
      </c>
      <c r="G1473" s="43">
        <v>8</v>
      </c>
      <c r="H1473" s="53">
        <v>900</v>
      </c>
      <c r="I1473" s="72">
        <v>800</v>
      </c>
      <c r="J1473" s="53">
        <v>0</v>
      </c>
      <c r="K1473" s="157">
        <v>0.65</v>
      </c>
      <c r="L1473" s="53">
        <f t="shared" si="81"/>
        <v>520</v>
      </c>
      <c r="M1473" s="55">
        <v>0.03</v>
      </c>
      <c r="N1473" s="56">
        <f t="shared" si="83"/>
        <v>504.4</v>
      </c>
      <c r="O1473" s="147"/>
      <c r="P1473" s="145" t="str">
        <f t="shared" si="82"/>
        <v>PLC8</v>
      </c>
      <c r="Q1473" s="52">
        <f t="shared" si="84"/>
        <v>52</v>
      </c>
      <c r="R1473" s="8">
        <f t="shared" si="80"/>
        <v>2024</v>
      </c>
      <c r="S1473" s="72"/>
      <c r="T1473" s="72"/>
      <c r="U1473" s="72"/>
      <c r="V1473" s="72"/>
      <c r="W1473" s="157"/>
      <c r="X1473" s="72"/>
      <c r="Y1473" s="157"/>
      <c r="Z1473" s="157"/>
      <c r="AA1473" s="158"/>
      <c r="AB1473" s="147"/>
    </row>
    <row r="1474" spans="1:28" ht="15" hidden="1" customHeight="1" x14ac:dyDescent="0.25">
      <c r="A1474" s="224"/>
      <c r="B1474" s="145">
        <v>45651</v>
      </c>
      <c r="C1474" s="52" t="s">
        <v>46</v>
      </c>
      <c r="D1474" s="52" t="s">
        <v>38</v>
      </c>
      <c r="E1474" s="53" t="s">
        <v>39</v>
      </c>
      <c r="F1474" s="53" t="s">
        <v>40</v>
      </c>
      <c r="G1474" s="43">
        <v>8</v>
      </c>
      <c r="H1474" s="53">
        <v>900</v>
      </c>
      <c r="I1474" s="72">
        <v>800</v>
      </c>
      <c r="J1474" s="53">
        <v>0</v>
      </c>
      <c r="K1474" s="157">
        <v>0.65</v>
      </c>
      <c r="L1474" s="53">
        <f t="shared" si="81"/>
        <v>520</v>
      </c>
      <c r="M1474" s="55">
        <v>0.03</v>
      </c>
      <c r="N1474" s="56">
        <f t="shared" si="83"/>
        <v>504.4</v>
      </c>
      <c r="O1474" s="147"/>
      <c r="P1474" s="145" t="str">
        <f t="shared" si="82"/>
        <v>PLC8</v>
      </c>
      <c r="Q1474" s="52">
        <f t="shared" si="84"/>
        <v>52</v>
      </c>
      <c r="R1474" s="8">
        <f t="shared" si="80"/>
        <v>2024</v>
      </c>
      <c r="S1474" s="72"/>
      <c r="T1474" s="72"/>
      <c r="U1474" s="72"/>
      <c r="V1474" s="72"/>
      <c r="W1474" s="157"/>
      <c r="X1474" s="72"/>
      <c r="Y1474" s="157"/>
      <c r="Z1474" s="157"/>
      <c r="AA1474" s="158"/>
      <c r="AB1474" s="147"/>
    </row>
    <row r="1475" spans="1:28" ht="15" hidden="1" customHeight="1" x14ac:dyDescent="0.25">
      <c r="A1475" s="224"/>
      <c r="B1475" s="145">
        <v>45652</v>
      </c>
      <c r="C1475" s="52" t="s">
        <v>50</v>
      </c>
      <c r="D1475" s="52" t="s">
        <v>38</v>
      </c>
      <c r="E1475" s="53" t="s">
        <v>39</v>
      </c>
      <c r="F1475" s="53" t="s">
        <v>40</v>
      </c>
      <c r="G1475" s="43">
        <v>8</v>
      </c>
      <c r="H1475" s="53">
        <v>900</v>
      </c>
      <c r="I1475" s="72">
        <v>800</v>
      </c>
      <c r="J1475" s="53">
        <v>0</v>
      </c>
      <c r="K1475" s="157">
        <v>0.65</v>
      </c>
      <c r="L1475" s="53">
        <f t="shared" si="81"/>
        <v>520</v>
      </c>
      <c r="M1475" s="55">
        <v>0.03</v>
      </c>
      <c r="N1475" s="56">
        <f t="shared" si="83"/>
        <v>504.4</v>
      </c>
      <c r="O1475" s="147"/>
      <c r="P1475" s="145" t="str">
        <f t="shared" si="82"/>
        <v>PLC8</v>
      </c>
      <c r="Q1475" s="52">
        <f t="shared" si="84"/>
        <v>52</v>
      </c>
      <c r="R1475" s="8">
        <f t="shared" si="80"/>
        <v>2024</v>
      </c>
      <c r="S1475" s="72"/>
      <c r="T1475" s="72"/>
      <c r="U1475" s="72"/>
      <c r="V1475" s="72"/>
      <c r="W1475" s="157"/>
      <c r="X1475" s="72"/>
      <c r="Y1475" s="157"/>
      <c r="Z1475" s="157"/>
      <c r="AA1475" s="158"/>
      <c r="AB1475" s="147"/>
    </row>
    <row r="1476" spans="1:28" ht="15" hidden="1" customHeight="1" x14ac:dyDescent="0.25">
      <c r="A1476" s="224"/>
      <c r="B1476" s="145">
        <v>45653</v>
      </c>
      <c r="C1476" s="52" t="s">
        <v>53</v>
      </c>
      <c r="D1476" s="52" t="s">
        <v>38</v>
      </c>
      <c r="E1476" s="53" t="s">
        <v>39</v>
      </c>
      <c r="F1476" s="53" t="s">
        <v>40</v>
      </c>
      <c r="G1476" s="43">
        <v>10</v>
      </c>
      <c r="H1476" s="53">
        <v>900</v>
      </c>
      <c r="I1476" s="72">
        <v>800</v>
      </c>
      <c r="J1476" s="53">
        <v>0</v>
      </c>
      <c r="K1476" s="157">
        <v>0.65</v>
      </c>
      <c r="L1476" s="53">
        <f t="shared" si="81"/>
        <v>520</v>
      </c>
      <c r="M1476" s="55">
        <v>0.03</v>
      </c>
      <c r="N1476" s="56">
        <f t="shared" si="83"/>
        <v>504.4</v>
      </c>
      <c r="O1476" s="156"/>
      <c r="P1476" s="145" t="str">
        <f t="shared" si="82"/>
        <v>PLC10</v>
      </c>
      <c r="Q1476" s="52">
        <f t="shared" si="84"/>
        <v>52</v>
      </c>
      <c r="R1476" s="8">
        <f t="shared" si="80"/>
        <v>2024</v>
      </c>
      <c r="S1476" s="72"/>
      <c r="T1476" s="72"/>
      <c r="U1476" s="72"/>
      <c r="V1476" s="72"/>
      <c r="W1476" s="157"/>
      <c r="X1476" s="72"/>
      <c r="Y1476" s="157"/>
      <c r="Z1476" s="157"/>
      <c r="AA1476" s="158"/>
      <c r="AB1476" s="147"/>
    </row>
    <row r="1477" spans="1:28" ht="15.75" hidden="1" customHeight="1" x14ac:dyDescent="0.25">
      <c r="A1477" s="224"/>
      <c r="B1477" s="148">
        <v>45654</v>
      </c>
      <c r="C1477" s="58" t="s">
        <v>57</v>
      </c>
      <c r="D1477" s="59" t="s">
        <v>38</v>
      </c>
      <c r="E1477" s="60" t="s">
        <v>39</v>
      </c>
      <c r="F1477" s="60" t="s">
        <v>40</v>
      </c>
      <c r="G1477" s="199">
        <v>10</v>
      </c>
      <c r="H1477" s="60">
        <v>900</v>
      </c>
      <c r="I1477" s="72">
        <v>800</v>
      </c>
      <c r="J1477" s="60">
        <v>0</v>
      </c>
      <c r="K1477" s="159">
        <v>0.65</v>
      </c>
      <c r="L1477" s="60">
        <f t="shared" si="81"/>
        <v>520</v>
      </c>
      <c r="M1477" s="62">
        <v>0.03</v>
      </c>
      <c r="N1477" s="63">
        <f t="shared" si="83"/>
        <v>504.4</v>
      </c>
      <c r="O1477" s="206"/>
      <c r="P1477" s="145" t="str">
        <f t="shared" si="82"/>
        <v>PLC10</v>
      </c>
      <c r="Q1477" s="52">
        <f t="shared" si="84"/>
        <v>52</v>
      </c>
      <c r="R1477" s="8">
        <f t="shared" si="80"/>
        <v>2024</v>
      </c>
      <c r="S1477" s="149"/>
      <c r="T1477" s="149"/>
      <c r="U1477" s="149"/>
      <c r="V1477" s="149"/>
      <c r="W1477" s="159"/>
      <c r="X1477" s="149"/>
      <c r="Y1477" s="159"/>
      <c r="Z1477" s="159"/>
      <c r="AA1477" s="160"/>
      <c r="AB1477" s="150"/>
    </row>
    <row r="1478" spans="1:28" ht="15.75" hidden="1" thickBot="1" x14ac:dyDescent="0.3">
      <c r="A1478" s="225"/>
      <c r="B1478" s="113">
        <v>45655</v>
      </c>
      <c r="C1478" s="66" t="s">
        <v>59</v>
      </c>
      <c r="D1478" s="67" t="s">
        <v>38</v>
      </c>
      <c r="E1478" s="67" t="s">
        <v>39</v>
      </c>
      <c r="F1478" s="67" t="s">
        <v>40</v>
      </c>
      <c r="G1478" s="68">
        <v>5.9</v>
      </c>
      <c r="H1478" s="67">
        <v>900</v>
      </c>
      <c r="I1478" s="72">
        <v>800</v>
      </c>
      <c r="J1478" s="67">
        <v>0</v>
      </c>
      <c r="K1478" s="161">
        <v>0.65</v>
      </c>
      <c r="L1478" s="67">
        <f t="shared" si="81"/>
        <v>520</v>
      </c>
      <c r="M1478" s="69">
        <v>0.03</v>
      </c>
      <c r="N1478" s="70">
        <f t="shared" si="83"/>
        <v>504.4</v>
      </c>
      <c r="O1478" s="207"/>
      <c r="P1478" s="145" t="str">
        <f t="shared" si="82"/>
        <v>PLC5,9</v>
      </c>
      <c r="Q1478" s="52">
        <f t="shared" si="84"/>
        <v>52</v>
      </c>
      <c r="R1478" s="8">
        <f t="shared" si="80"/>
        <v>2024</v>
      </c>
    </row>
    <row r="1479" spans="1:28" hidden="1" x14ac:dyDescent="0.25">
      <c r="A1479" s="223"/>
      <c r="B1479" s="145">
        <f t="shared" ref="B1479" si="87">+B1478+1</f>
        <v>45656</v>
      </c>
      <c r="C1479" s="40" t="s">
        <v>37</v>
      </c>
      <c r="D1479" s="72" t="s">
        <v>38</v>
      </c>
      <c r="E1479" s="41" t="s">
        <v>39</v>
      </c>
      <c r="F1479" s="41" t="s">
        <v>40</v>
      </c>
      <c r="G1479" s="43">
        <v>5.9</v>
      </c>
      <c r="H1479" s="41">
        <v>900</v>
      </c>
      <c r="I1479" s="72">
        <v>800</v>
      </c>
      <c r="J1479" s="41">
        <v>0</v>
      </c>
      <c r="K1479" s="157">
        <v>0.65</v>
      </c>
      <c r="L1479" s="41">
        <f t="shared" si="81"/>
        <v>520</v>
      </c>
      <c r="M1479" s="73">
        <v>0.03</v>
      </c>
      <c r="N1479" s="74">
        <f t="shared" si="83"/>
        <v>504.4</v>
      </c>
      <c r="O1479" s="208"/>
      <c r="P1479" s="145" t="str">
        <f t="shared" si="82"/>
        <v>PLC5,9</v>
      </c>
      <c r="Q1479" s="52">
        <f t="shared" si="84"/>
        <v>1</v>
      </c>
      <c r="R1479" s="8">
        <f>YEAR(B1479)</f>
        <v>2024</v>
      </c>
    </row>
    <row r="1480" spans="1:28" hidden="1" x14ac:dyDescent="0.25">
      <c r="A1480" s="224"/>
      <c r="B1480" s="145">
        <f>+B1479+1</f>
        <v>45657</v>
      </c>
      <c r="C1480" s="52" t="s">
        <v>42</v>
      </c>
      <c r="D1480" s="52" t="s">
        <v>38</v>
      </c>
      <c r="E1480" s="53" t="s">
        <v>39</v>
      </c>
      <c r="F1480" s="53" t="s">
        <v>40</v>
      </c>
      <c r="G1480" s="43">
        <v>3.9</v>
      </c>
      <c r="H1480" s="53">
        <v>900</v>
      </c>
      <c r="I1480" s="72">
        <v>800</v>
      </c>
      <c r="J1480" s="53">
        <v>0</v>
      </c>
      <c r="K1480" s="157">
        <v>0.65</v>
      </c>
      <c r="L1480" s="53">
        <f t="shared" ref="L1480" si="88">IF(J1480&gt;0,J1480*K1480,I1480*K1480)</f>
        <v>520</v>
      </c>
      <c r="M1480" s="55">
        <v>0.03</v>
      </c>
      <c r="N1480" s="56">
        <f t="shared" ref="N1480" si="89">+L1480*(1-M1480)</f>
        <v>504.4</v>
      </c>
      <c r="O1480" s="156"/>
      <c r="P1480" s="145"/>
      <c r="Q1480" s="52"/>
    </row>
    <row r="1481" spans="1:28" ht="15" hidden="1" customHeight="1" x14ac:dyDescent="0.25">
      <c r="A1481" s="224"/>
      <c r="B1481" s="145">
        <v>45658</v>
      </c>
      <c r="C1481" s="52" t="s">
        <v>46</v>
      </c>
      <c r="D1481" s="52" t="s">
        <v>38</v>
      </c>
      <c r="E1481" s="53" t="s">
        <v>39</v>
      </c>
      <c r="F1481" s="53" t="s">
        <v>40</v>
      </c>
      <c r="G1481" s="43">
        <v>3.9</v>
      </c>
      <c r="H1481" s="53">
        <v>900</v>
      </c>
      <c r="I1481" s="72">
        <v>800</v>
      </c>
      <c r="J1481" s="53">
        <v>0</v>
      </c>
      <c r="K1481" s="157">
        <v>0.65</v>
      </c>
      <c r="L1481" s="53">
        <f t="shared" si="81"/>
        <v>520</v>
      </c>
      <c r="M1481" s="55">
        <v>0.03</v>
      </c>
      <c r="N1481" s="56">
        <f t="shared" si="83"/>
        <v>504.4</v>
      </c>
      <c r="O1481" s="156"/>
      <c r="P1481" s="145" t="str">
        <f t="shared" si="82"/>
        <v>PLC3,9</v>
      </c>
      <c r="Q1481" s="52">
        <f t="shared" ref="Q1481:Q1544" si="90">_xlfn.ISOWEEKNUM(B1481)</f>
        <v>1</v>
      </c>
      <c r="R1481" s="8">
        <f t="shared" ref="R1481:R1544" si="91">YEAR(B1481)</f>
        <v>2025</v>
      </c>
    </row>
    <row r="1482" spans="1:28" ht="15" hidden="1" customHeight="1" x14ac:dyDescent="0.25">
      <c r="A1482" s="224"/>
      <c r="B1482" s="145">
        <v>45659</v>
      </c>
      <c r="C1482" s="52" t="s">
        <v>50</v>
      </c>
      <c r="D1482" s="52" t="s">
        <v>38</v>
      </c>
      <c r="E1482" s="53" t="s">
        <v>39</v>
      </c>
      <c r="F1482" s="53" t="s">
        <v>40</v>
      </c>
      <c r="G1482" s="43">
        <v>3.9</v>
      </c>
      <c r="H1482" s="53">
        <v>900</v>
      </c>
      <c r="I1482" s="72">
        <v>800</v>
      </c>
      <c r="J1482" s="53">
        <v>0</v>
      </c>
      <c r="K1482" s="157">
        <v>0.65</v>
      </c>
      <c r="L1482" s="53">
        <f t="shared" si="81"/>
        <v>520</v>
      </c>
      <c r="M1482" s="55">
        <v>0.03</v>
      </c>
      <c r="N1482" s="56">
        <f t="shared" si="83"/>
        <v>504.4</v>
      </c>
      <c r="O1482" s="156"/>
      <c r="P1482" s="145" t="str">
        <f t="shared" si="82"/>
        <v>PLC3,9</v>
      </c>
      <c r="Q1482" s="52">
        <f t="shared" si="90"/>
        <v>1</v>
      </c>
      <c r="R1482" s="8">
        <f t="shared" si="91"/>
        <v>2025</v>
      </c>
    </row>
    <row r="1483" spans="1:28" ht="15" hidden="1" customHeight="1" x14ac:dyDescent="0.25">
      <c r="A1483" s="224"/>
      <c r="B1483" s="145">
        <v>45660</v>
      </c>
      <c r="C1483" s="52" t="s">
        <v>53</v>
      </c>
      <c r="D1483" s="52" t="s">
        <v>38</v>
      </c>
      <c r="E1483" s="53" t="s">
        <v>39</v>
      </c>
      <c r="F1483" s="53" t="s">
        <v>40</v>
      </c>
      <c r="G1483" s="43">
        <v>3.9</v>
      </c>
      <c r="H1483" s="53">
        <v>900</v>
      </c>
      <c r="I1483" s="72">
        <v>800</v>
      </c>
      <c r="J1483" s="53">
        <v>0</v>
      </c>
      <c r="K1483" s="157">
        <v>0.65</v>
      </c>
      <c r="L1483" s="53">
        <f t="shared" si="81"/>
        <v>520</v>
      </c>
      <c r="M1483" s="55">
        <v>0.03</v>
      </c>
      <c r="N1483" s="56">
        <f t="shared" si="83"/>
        <v>504.4</v>
      </c>
      <c r="O1483" s="156"/>
      <c r="P1483" s="145" t="str">
        <f t="shared" si="82"/>
        <v>PLC3,9</v>
      </c>
      <c r="Q1483" s="52">
        <f t="shared" si="90"/>
        <v>1</v>
      </c>
      <c r="R1483" s="8">
        <f t="shared" si="91"/>
        <v>2025</v>
      </c>
    </row>
    <row r="1484" spans="1:28" ht="15" hidden="1" customHeight="1" x14ac:dyDescent="0.25">
      <c r="A1484" s="224"/>
      <c r="B1484" s="148">
        <v>45661</v>
      </c>
      <c r="C1484" s="58" t="s">
        <v>57</v>
      </c>
      <c r="D1484" s="59" t="s">
        <v>38</v>
      </c>
      <c r="E1484" s="60" t="s">
        <v>39</v>
      </c>
      <c r="F1484" s="60" t="s">
        <v>40</v>
      </c>
      <c r="G1484" s="199">
        <v>3.9</v>
      </c>
      <c r="H1484" s="60">
        <v>900</v>
      </c>
      <c r="I1484" s="72">
        <v>800</v>
      </c>
      <c r="J1484" s="60">
        <v>0</v>
      </c>
      <c r="K1484" s="159">
        <v>0.65</v>
      </c>
      <c r="L1484" s="60">
        <f t="shared" si="81"/>
        <v>520</v>
      </c>
      <c r="M1484" s="62">
        <v>0.03</v>
      </c>
      <c r="N1484" s="63">
        <f t="shared" si="83"/>
        <v>504.4</v>
      </c>
      <c r="O1484" s="206"/>
      <c r="P1484" s="145" t="str">
        <f t="shared" si="82"/>
        <v>PLC3,9</v>
      </c>
      <c r="Q1484" s="52">
        <f t="shared" si="90"/>
        <v>1</v>
      </c>
      <c r="R1484" s="8">
        <f t="shared" si="91"/>
        <v>2025</v>
      </c>
    </row>
    <row r="1485" spans="1:28" ht="15.75" hidden="1" customHeight="1" thickBot="1" x14ac:dyDescent="0.3">
      <c r="A1485" s="225"/>
      <c r="B1485" s="113">
        <v>45662</v>
      </c>
      <c r="C1485" s="66" t="s">
        <v>59</v>
      </c>
      <c r="D1485" s="67" t="s">
        <v>38</v>
      </c>
      <c r="E1485" s="67" t="s">
        <v>39</v>
      </c>
      <c r="F1485" s="67" t="s">
        <v>40</v>
      </c>
      <c r="G1485" s="68">
        <v>3.9</v>
      </c>
      <c r="H1485" s="67">
        <v>900</v>
      </c>
      <c r="I1485" s="72">
        <v>800</v>
      </c>
      <c r="J1485" s="67">
        <v>0</v>
      </c>
      <c r="K1485" s="161">
        <v>0.65</v>
      </c>
      <c r="L1485" s="67">
        <f t="shared" si="81"/>
        <v>520</v>
      </c>
      <c r="M1485" s="69">
        <v>0.03</v>
      </c>
      <c r="N1485" s="70">
        <f t="shared" si="83"/>
        <v>504.4</v>
      </c>
      <c r="O1485" s="207"/>
      <c r="P1485" s="145" t="str">
        <f t="shared" si="82"/>
        <v>PLC3,9</v>
      </c>
      <c r="Q1485" s="52">
        <f t="shared" si="90"/>
        <v>1</v>
      </c>
      <c r="R1485" s="8">
        <f t="shared" si="91"/>
        <v>2025</v>
      </c>
    </row>
    <row r="1486" spans="1:28" hidden="1" x14ac:dyDescent="0.25">
      <c r="A1486" s="223">
        <f>_xlfn.ISOWEEKNUM(B1486)</f>
        <v>2</v>
      </c>
      <c r="B1486" s="145">
        <v>45663</v>
      </c>
      <c r="C1486" s="40" t="s">
        <v>37</v>
      </c>
      <c r="D1486" s="72" t="s">
        <v>38</v>
      </c>
      <c r="E1486" s="41" t="s">
        <v>39</v>
      </c>
      <c r="F1486" s="41" t="s">
        <v>40</v>
      </c>
      <c r="G1486" s="43">
        <v>3.9</v>
      </c>
      <c r="H1486" s="41">
        <v>900</v>
      </c>
      <c r="I1486" s="72">
        <v>800</v>
      </c>
      <c r="J1486" s="41">
        <v>0</v>
      </c>
      <c r="K1486" s="157">
        <v>0.65</v>
      </c>
      <c r="L1486" s="41">
        <f t="shared" si="81"/>
        <v>520</v>
      </c>
      <c r="M1486" s="73">
        <v>0.03</v>
      </c>
      <c r="N1486" s="74">
        <f t="shared" si="83"/>
        <v>504.4</v>
      </c>
      <c r="O1486" s="208"/>
      <c r="P1486" s="145" t="str">
        <f t="shared" si="82"/>
        <v>PLC3,9</v>
      </c>
      <c r="Q1486" s="52">
        <f t="shared" si="90"/>
        <v>2</v>
      </c>
      <c r="R1486" s="8">
        <f t="shared" si="91"/>
        <v>2025</v>
      </c>
    </row>
    <row r="1487" spans="1:28" hidden="1" x14ac:dyDescent="0.25">
      <c r="A1487" s="224"/>
      <c r="B1487" s="145">
        <v>45664</v>
      </c>
      <c r="C1487" s="52" t="s">
        <v>42</v>
      </c>
      <c r="D1487" s="52" t="s">
        <v>38</v>
      </c>
      <c r="E1487" s="53" t="s">
        <v>39</v>
      </c>
      <c r="F1487" s="53" t="s">
        <v>40</v>
      </c>
      <c r="G1487" s="43">
        <v>3.9</v>
      </c>
      <c r="H1487" s="53">
        <v>900</v>
      </c>
      <c r="I1487" s="72">
        <v>800</v>
      </c>
      <c r="J1487" s="53">
        <v>0</v>
      </c>
      <c r="K1487" s="157">
        <v>0.65</v>
      </c>
      <c r="L1487" s="53">
        <f t="shared" si="81"/>
        <v>520</v>
      </c>
      <c r="M1487" s="55">
        <v>0.03</v>
      </c>
      <c r="N1487" s="56">
        <f t="shared" si="83"/>
        <v>504.4</v>
      </c>
      <c r="O1487" s="156"/>
      <c r="P1487" s="145" t="str">
        <f t="shared" si="82"/>
        <v>PLC3,9</v>
      </c>
      <c r="Q1487" s="52">
        <f t="shared" si="90"/>
        <v>2</v>
      </c>
      <c r="R1487" s="8">
        <f t="shared" si="91"/>
        <v>2025</v>
      </c>
    </row>
    <row r="1488" spans="1:28" hidden="1" x14ac:dyDescent="0.25">
      <c r="A1488" s="224"/>
      <c r="B1488" s="145">
        <v>45665</v>
      </c>
      <c r="C1488" s="52" t="s">
        <v>46</v>
      </c>
      <c r="D1488" s="52" t="s">
        <v>38</v>
      </c>
      <c r="E1488" s="53" t="s">
        <v>39</v>
      </c>
      <c r="F1488" s="53" t="s">
        <v>40</v>
      </c>
      <c r="G1488" s="43">
        <v>3.9</v>
      </c>
      <c r="H1488" s="53">
        <v>900</v>
      </c>
      <c r="I1488" s="72">
        <v>800</v>
      </c>
      <c r="J1488" s="53">
        <v>0</v>
      </c>
      <c r="K1488" s="157">
        <v>0.65</v>
      </c>
      <c r="L1488" s="53">
        <f t="shared" si="81"/>
        <v>520</v>
      </c>
      <c r="M1488" s="55">
        <v>0.03</v>
      </c>
      <c r="N1488" s="56">
        <f t="shared" si="83"/>
        <v>504.4</v>
      </c>
      <c r="O1488" s="156"/>
      <c r="P1488" s="145" t="str">
        <f t="shared" si="82"/>
        <v>PLC3,9</v>
      </c>
      <c r="Q1488" s="52">
        <f t="shared" si="90"/>
        <v>2</v>
      </c>
      <c r="R1488" s="8">
        <f t="shared" si="91"/>
        <v>2025</v>
      </c>
    </row>
    <row r="1489" spans="1:33" hidden="1" x14ac:dyDescent="0.25">
      <c r="A1489" s="224"/>
      <c r="B1489" s="145">
        <v>45666</v>
      </c>
      <c r="C1489" s="52" t="s">
        <v>50</v>
      </c>
      <c r="D1489" s="52" t="s">
        <v>38</v>
      </c>
      <c r="E1489" s="53" t="s">
        <v>39</v>
      </c>
      <c r="F1489" s="53" t="s">
        <v>40</v>
      </c>
      <c r="G1489" s="43">
        <v>5.9</v>
      </c>
      <c r="H1489" s="53">
        <v>900</v>
      </c>
      <c r="I1489" s="72">
        <v>820</v>
      </c>
      <c r="J1489" s="53">
        <v>0</v>
      </c>
      <c r="K1489" s="157">
        <v>0.75</v>
      </c>
      <c r="L1489" s="53">
        <f t="shared" si="81"/>
        <v>615</v>
      </c>
      <c r="M1489" s="55">
        <v>0.03</v>
      </c>
      <c r="N1489" s="56">
        <f t="shared" si="83"/>
        <v>596.54999999999995</v>
      </c>
      <c r="O1489" s="156" t="s">
        <v>178</v>
      </c>
      <c r="P1489" s="145" t="str">
        <f t="shared" si="82"/>
        <v>PLC5,9</v>
      </c>
      <c r="Q1489" s="52">
        <f t="shared" si="90"/>
        <v>2</v>
      </c>
      <c r="R1489" s="8">
        <f t="shared" si="91"/>
        <v>2025</v>
      </c>
      <c r="AG1489" s="108" t="s">
        <v>179</v>
      </c>
    </row>
    <row r="1490" spans="1:33" hidden="1" x14ac:dyDescent="0.25">
      <c r="A1490" s="224"/>
      <c r="B1490" s="145">
        <v>45667</v>
      </c>
      <c r="C1490" s="52" t="s">
        <v>53</v>
      </c>
      <c r="D1490" s="52" t="s">
        <v>38</v>
      </c>
      <c r="E1490" s="53" t="s">
        <v>39</v>
      </c>
      <c r="F1490" s="53" t="s">
        <v>40</v>
      </c>
      <c r="G1490" s="43">
        <v>5.9</v>
      </c>
      <c r="H1490" s="53">
        <v>900</v>
      </c>
      <c r="I1490" s="72">
        <v>820</v>
      </c>
      <c r="J1490" s="53">
        <v>0</v>
      </c>
      <c r="K1490" s="157">
        <v>0.75</v>
      </c>
      <c r="L1490" s="53">
        <f t="shared" si="81"/>
        <v>615</v>
      </c>
      <c r="M1490" s="55">
        <v>0.03</v>
      </c>
      <c r="N1490" s="56">
        <f t="shared" si="83"/>
        <v>596.54999999999995</v>
      </c>
      <c r="O1490" s="156"/>
      <c r="P1490" s="145" t="str">
        <f t="shared" si="82"/>
        <v>PLC5,9</v>
      </c>
      <c r="Q1490" s="52">
        <f t="shared" si="90"/>
        <v>2</v>
      </c>
      <c r="R1490" s="8">
        <f t="shared" si="91"/>
        <v>2025</v>
      </c>
    </row>
    <row r="1491" spans="1:33" hidden="1" x14ac:dyDescent="0.25">
      <c r="A1491" s="224"/>
      <c r="B1491" s="148">
        <v>45668</v>
      </c>
      <c r="C1491" s="58" t="s">
        <v>57</v>
      </c>
      <c r="D1491" s="59" t="s">
        <v>38</v>
      </c>
      <c r="E1491" s="60" t="s">
        <v>39</v>
      </c>
      <c r="F1491" s="60" t="s">
        <v>40</v>
      </c>
      <c r="G1491" s="199">
        <v>5.9</v>
      </c>
      <c r="H1491" s="60">
        <v>900</v>
      </c>
      <c r="I1491" s="72">
        <v>820</v>
      </c>
      <c r="J1491" s="60">
        <v>0</v>
      </c>
      <c r="K1491" s="159">
        <v>0.75</v>
      </c>
      <c r="L1491" s="60">
        <f t="shared" si="81"/>
        <v>615</v>
      </c>
      <c r="M1491" s="62">
        <v>0.03</v>
      </c>
      <c r="N1491" s="63">
        <f t="shared" si="83"/>
        <v>596.54999999999995</v>
      </c>
      <c r="O1491" s="206"/>
      <c r="P1491" s="145" t="str">
        <f t="shared" si="82"/>
        <v>PLC5,9</v>
      </c>
      <c r="Q1491" s="52">
        <f t="shared" si="90"/>
        <v>2</v>
      </c>
      <c r="R1491" s="8">
        <f t="shared" si="91"/>
        <v>2025</v>
      </c>
    </row>
    <row r="1492" spans="1:33" ht="15.75" hidden="1" thickBot="1" x14ac:dyDescent="0.3">
      <c r="A1492" s="225"/>
      <c r="B1492" s="113">
        <v>45669</v>
      </c>
      <c r="C1492" s="66" t="s">
        <v>59</v>
      </c>
      <c r="D1492" s="67" t="s">
        <v>38</v>
      </c>
      <c r="E1492" s="67" t="s">
        <v>39</v>
      </c>
      <c r="F1492" s="67" t="s">
        <v>40</v>
      </c>
      <c r="G1492" s="68">
        <v>5.9</v>
      </c>
      <c r="H1492" s="67">
        <v>900</v>
      </c>
      <c r="I1492" s="72">
        <v>820</v>
      </c>
      <c r="J1492" s="67">
        <v>0</v>
      </c>
      <c r="K1492" s="161">
        <v>0.75</v>
      </c>
      <c r="L1492" s="67">
        <f t="shared" si="81"/>
        <v>615</v>
      </c>
      <c r="M1492" s="69">
        <v>0.03</v>
      </c>
      <c r="N1492" s="70">
        <f t="shared" si="83"/>
        <v>596.54999999999995</v>
      </c>
      <c r="O1492" s="207"/>
      <c r="P1492" s="145" t="str">
        <f t="shared" si="82"/>
        <v>PLC5,9</v>
      </c>
      <c r="Q1492" s="52">
        <f t="shared" si="90"/>
        <v>2</v>
      </c>
      <c r="R1492" s="8">
        <f t="shared" si="91"/>
        <v>2025</v>
      </c>
    </row>
    <row r="1493" spans="1:33" hidden="1" x14ac:dyDescent="0.25">
      <c r="A1493" s="223">
        <f>_xlfn.ISOWEEKNUM(B1493)</f>
        <v>3</v>
      </c>
      <c r="B1493" s="145">
        <v>45670</v>
      </c>
      <c r="C1493" s="40" t="s">
        <v>37</v>
      </c>
      <c r="D1493" s="72" t="s">
        <v>38</v>
      </c>
      <c r="E1493" s="41" t="s">
        <v>39</v>
      </c>
      <c r="F1493" s="41" t="s">
        <v>40</v>
      </c>
      <c r="G1493" s="43">
        <v>8</v>
      </c>
      <c r="H1493" s="41">
        <v>900</v>
      </c>
      <c r="I1493" s="72">
        <v>820</v>
      </c>
      <c r="J1493" s="41">
        <v>0</v>
      </c>
      <c r="K1493" s="157">
        <v>0.8</v>
      </c>
      <c r="L1493" s="41">
        <f t="shared" si="81"/>
        <v>656</v>
      </c>
      <c r="M1493" s="73">
        <v>0.03</v>
      </c>
      <c r="N1493" s="74">
        <f t="shared" si="83"/>
        <v>636.31999999999994</v>
      </c>
      <c r="O1493" s="208"/>
      <c r="P1493" s="145" t="str">
        <f t="shared" si="82"/>
        <v>PLC8</v>
      </c>
      <c r="Q1493" s="52">
        <f t="shared" si="90"/>
        <v>3</v>
      </c>
      <c r="R1493" s="8">
        <f t="shared" si="91"/>
        <v>2025</v>
      </c>
    </row>
    <row r="1494" spans="1:33" hidden="1" x14ac:dyDescent="0.25">
      <c r="A1494" s="224"/>
      <c r="B1494" s="145">
        <v>45671</v>
      </c>
      <c r="C1494" s="52" t="s">
        <v>42</v>
      </c>
      <c r="D1494" s="52" t="s">
        <v>38</v>
      </c>
      <c r="E1494" s="53" t="s">
        <v>39</v>
      </c>
      <c r="F1494" s="53" t="s">
        <v>40</v>
      </c>
      <c r="G1494" s="43">
        <v>8</v>
      </c>
      <c r="H1494" s="53">
        <v>900</v>
      </c>
      <c r="I1494" s="72">
        <v>820</v>
      </c>
      <c r="J1494" s="53">
        <v>0</v>
      </c>
      <c r="K1494" s="157">
        <v>0.8</v>
      </c>
      <c r="L1494" s="53">
        <f t="shared" si="81"/>
        <v>656</v>
      </c>
      <c r="M1494" s="55">
        <v>0.03</v>
      </c>
      <c r="N1494" s="56">
        <f t="shared" si="83"/>
        <v>636.31999999999994</v>
      </c>
      <c r="O1494" s="156"/>
      <c r="P1494" s="145" t="str">
        <f t="shared" si="82"/>
        <v>PLC8</v>
      </c>
      <c r="Q1494" s="52">
        <f t="shared" si="90"/>
        <v>3</v>
      </c>
      <c r="R1494" s="8">
        <f t="shared" si="91"/>
        <v>2025</v>
      </c>
    </row>
    <row r="1495" spans="1:33" hidden="1" x14ac:dyDescent="0.25">
      <c r="A1495" s="224"/>
      <c r="B1495" s="145">
        <v>45672</v>
      </c>
      <c r="C1495" s="52" t="s">
        <v>46</v>
      </c>
      <c r="D1495" s="52" t="s">
        <v>38</v>
      </c>
      <c r="E1495" s="53" t="s">
        <v>39</v>
      </c>
      <c r="F1495" s="53" t="s">
        <v>40</v>
      </c>
      <c r="G1495" s="43">
        <v>10</v>
      </c>
      <c r="H1495" s="53">
        <v>900</v>
      </c>
      <c r="I1495" s="72">
        <v>820</v>
      </c>
      <c r="J1495" s="53">
        <v>0</v>
      </c>
      <c r="K1495" s="157">
        <v>0.8</v>
      </c>
      <c r="L1495" s="53">
        <f t="shared" si="81"/>
        <v>656</v>
      </c>
      <c r="M1495" s="55">
        <v>0.03</v>
      </c>
      <c r="N1495" s="56">
        <f t="shared" si="83"/>
        <v>636.31999999999994</v>
      </c>
      <c r="O1495" s="156"/>
      <c r="P1495" s="145" t="str">
        <f t="shared" si="82"/>
        <v>PLC10</v>
      </c>
      <c r="Q1495" s="52">
        <f t="shared" si="90"/>
        <v>3</v>
      </c>
      <c r="R1495" s="8">
        <f t="shared" si="91"/>
        <v>2025</v>
      </c>
    </row>
    <row r="1496" spans="1:33" hidden="1" x14ac:dyDescent="0.25">
      <c r="A1496" s="224"/>
      <c r="B1496" s="145">
        <v>45673</v>
      </c>
      <c r="C1496" s="52" t="s">
        <v>50</v>
      </c>
      <c r="D1496" s="52" t="s">
        <v>38</v>
      </c>
      <c r="E1496" s="53" t="s">
        <v>39</v>
      </c>
      <c r="F1496" s="53" t="s">
        <v>40</v>
      </c>
      <c r="G1496" s="43">
        <v>5.9</v>
      </c>
      <c r="H1496" s="53">
        <v>900</v>
      </c>
      <c r="I1496" s="72">
        <v>820</v>
      </c>
      <c r="J1496" s="53">
        <v>0</v>
      </c>
      <c r="K1496" s="157">
        <v>0.8</v>
      </c>
      <c r="L1496" s="53">
        <f t="shared" si="81"/>
        <v>656</v>
      </c>
      <c r="M1496" s="55">
        <v>0.03</v>
      </c>
      <c r="N1496" s="56">
        <f t="shared" si="83"/>
        <v>636.31999999999994</v>
      </c>
      <c r="O1496" s="156"/>
      <c r="P1496" s="145" t="str">
        <f t="shared" si="82"/>
        <v>PLC5,9</v>
      </c>
      <c r="Q1496" s="52">
        <f t="shared" si="90"/>
        <v>3</v>
      </c>
      <c r="R1496" s="8">
        <f t="shared" si="91"/>
        <v>2025</v>
      </c>
    </row>
    <row r="1497" spans="1:33" hidden="1" x14ac:dyDescent="0.25">
      <c r="A1497" s="224"/>
      <c r="B1497" s="145">
        <v>45674</v>
      </c>
      <c r="C1497" s="52" t="s">
        <v>53</v>
      </c>
      <c r="D1497" s="52" t="s">
        <v>38</v>
      </c>
      <c r="E1497" s="53" t="s">
        <v>39</v>
      </c>
      <c r="F1497" s="53" t="s">
        <v>40</v>
      </c>
      <c r="G1497" s="43">
        <v>4.9000000000000004</v>
      </c>
      <c r="H1497" s="53">
        <v>900</v>
      </c>
      <c r="I1497" s="72">
        <v>820</v>
      </c>
      <c r="J1497" s="53">
        <v>0</v>
      </c>
      <c r="K1497" s="157">
        <v>0.8</v>
      </c>
      <c r="L1497" s="53">
        <f t="shared" si="81"/>
        <v>656</v>
      </c>
      <c r="M1497" s="55">
        <v>0.03</v>
      </c>
      <c r="N1497" s="56">
        <f t="shared" si="83"/>
        <v>636.31999999999994</v>
      </c>
      <c r="O1497" s="156"/>
      <c r="P1497" s="145" t="str">
        <f t="shared" si="82"/>
        <v>PLC4,9</v>
      </c>
      <c r="Q1497" s="52">
        <f t="shared" si="90"/>
        <v>3</v>
      </c>
      <c r="R1497" s="8">
        <f t="shared" si="91"/>
        <v>2025</v>
      </c>
    </row>
    <row r="1498" spans="1:33" hidden="1" x14ac:dyDescent="0.25">
      <c r="A1498" s="224"/>
      <c r="B1498" s="148">
        <v>45675</v>
      </c>
      <c r="C1498" s="58" t="s">
        <v>57</v>
      </c>
      <c r="D1498" s="59" t="s">
        <v>38</v>
      </c>
      <c r="E1498" s="60" t="s">
        <v>39</v>
      </c>
      <c r="F1498" s="60" t="s">
        <v>40</v>
      </c>
      <c r="G1498" s="199">
        <v>3.9</v>
      </c>
      <c r="H1498" s="60">
        <v>900</v>
      </c>
      <c r="I1498" s="72">
        <v>820</v>
      </c>
      <c r="J1498" s="60">
        <v>0</v>
      </c>
      <c r="K1498" s="159">
        <v>0.8</v>
      </c>
      <c r="L1498" s="60">
        <f t="shared" ref="L1498:L1561" si="92">IF(J1498&gt;0,J1498*K1498,I1498*K1498)</f>
        <v>656</v>
      </c>
      <c r="M1498" s="62">
        <v>0.03</v>
      </c>
      <c r="N1498" s="63">
        <f t="shared" si="83"/>
        <v>636.31999999999994</v>
      </c>
      <c r="O1498" s="206"/>
      <c r="P1498" s="145" t="str">
        <f t="shared" si="82"/>
        <v>PLC3,9</v>
      </c>
      <c r="Q1498" s="52">
        <f t="shared" si="90"/>
        <v>3</v>
      </c>
      <c r="R1498" s="8">
        <f t="shared" si="91"/>
        <v>2025</v>
      </c>
    </row>
    <row r="1499" spans="1:33" ht="15.75" hidden="1" thickBot="1" x14ac:dyDescent="0.3">
      <c r="A1499" s="225"/>
      <c r="B1499" s="113">
        <v>45676</v>
      </c>
      <c r="C1499" s="66" t="s">
        <v>59</v>
      </c>
      <c r="D1499" s="67" t="s">
        <v>38</v>
      </c>
      <c r="E1499" s="67" t="s">
        <v>39</v>
      </c>
      <c r="F1499" s="67" t="s">
        <v>40</v>
      </c>
      <c r="G1499" s="68">
        <v>3.9</v>
      </c>
      <c r="H1499" s="67">
        <v>900</v>
      </c>
      <c r="I1499" s="72">
        <v>820</v>
      </c>
      <c r="J1499" s="67">
        <v>0</v>
      </c>
      <c r="K1499" s="161">
        <v>0.8</v>
      </c>
      <c r="L1499" s="67">
        <f t="shared" si="92"/>
        <v>656</v>
      </c>
      <c r="M1499" s="69">
        <v>0.03</v>
      </c>
      <c r="N1499" s="70">
        <f t="shared" si="83"/>
        <v>636.31999999999994</v>
      </c>
      <c r="O1499" s="207"/>
      <c r="P1499" s="145" t="str">
        <f t="shared" si="82"/>
        <v>PLC3,9</v>
      </c>
      <c r="Q1499" s="52">
        <f t="shared" si="90"/>
        <v>3</v>
      </c>
      <c r="R1499" s="8">
        <f t="shared" si="91"/>
        <v>2025</v>
      </c>
    </row>
    <row r="1500" spans="1:33" hidden="1" x14ac:dyDescent="0.25">
      <c r="A1500" s="223">
        <f>_xlfn.ISOWEEKNUM(B1500)</f>
        <v>4</v>
      </c>
      <c r="B1500" s="145">
        <v>45677</v>
      </c>
      <c r="C1500" s="40" t="s">
        <v>37</v>
      </c>
      <c r="D1500" s="72" t="s">
        <v>38</v>
      </c>
      <c r="E1500" s="41" t="s">
        <v>39</v>
      </c>
      <c r="F1500" s="41" t="s">
        <v>40</v>
      </c>
      <c r="G1500" s="43">
        <v>3.9</v>
      </c>
      <c r="H1500" s="41">
        <v>900</v>
      </c>
      <c r="I1500" s="72">
        <v>820</v>
      </c>
      <c r="J1500" s="41">
        <v>0</v>
      </c>
      <c r="K1500" s="157">
        <v>0.8</v>
      </c>
      <c r="L1500" s="41">
        <f t="shared" si="92"/>
        <v>656</v>
      </c>
      <c r="M1500" s="73">
        <v>0.03</v>
      </c>
      <c r="N1500" s="74">
        <f t="shared" si="83"/>
        <v>636.31999999999994</v>
      </c>
      <c r="O1500" s="208"/>
      <c r="P1500" s="145" t="str">
        <f t="shared" si="82"/>
        <v>PLC3,9</v>
      </c>
      <c r="Q1500" s="52">
        <f t="shared" si="90"/>
        <v>4</v>
      </c>
      <c r="R1500" s="8">
        <f t="shared" si="91"/>
        <v>2025</v>
      </c>
    </row>
    <row r="1501" spans="1:33" hidden="1" x14ac:dyDescent="0.25">
      <c r="A1501" s="224"/>
      <c r="B1501" s="145">
        <v>45678</v>
      </c>
      <c r="C1501" s="52" t="s">
        <v>42</v>
      </c>
      <c r="D1501" s="52" t="s">
        <v>38</v>
      </c>
      <c r="E1501" s="53" t="s">
        <v>39</v>
      </c>
      <c r="F1501" s="53" t="s">
        <v>40</v>
      </c>
      <c r="G1501" s="43">
        <v>3.9</v>
      </c>
      <c r="H1501" s="53">
        <v>900</v>
      </c>
      <c r="I1501" s="72">
        <v>820</v>
      </c>
      <c r="J1501" s="53">
        <v>0</v>
      </c>
      <c r="K1501" s="157">
        <v>0.8</v>
      </c>
      <c r="L1501" s="53">
        <f t="shared" si="92"/>
        <v>656</v>
      </c>
      <c r="M1501" s="55">
        <v>0.03</v>
      </c>
      <c r="N1501" s="56">
        <f t="shared" si="83"/>
        <v>636.31999999999994</v>
      </c>
      <c r="O1501" s="156" t="s">
        <v>180</v>
      </c>
      <c r="P1501" s="145" t="str">
        <f t="shared" si="82"/>
        <v>PLC3,9</v>
      </c>
      <c r="Q1501" s="52">
        <f t="shared" si="90"/>
        <v>4</v>
      </c>
      <c r="R1501" s="8">
        <f t="shared" si="91"/>
        <v>2025</v>
      </c>
    </row>
    <row r="1502" spans="1:33" hidden="1" x14ac:dyDescent="0.25">
      <c r="A1502" s="224"/>
      <c r="B1502" s="145">
        <v>45679</v>
      </c>
      <c r="C1502" s="52" t="s">
        <v>46</v>
      </c>
      <c r="D1502" s="52" t="s">
        <v>38</v>
      </c>
      <c r="E1502" s="53" t="s">
        <v>55</v>
      </c>
      <c r="F1502" s="53" t="s">
        <v>40</v>
      </c>
      <c r="G1502" s="43">
        <v>3.9</v>
      </c>
      <c r="H1502" s="53">
        <v>900</v>
      </c>
      <c r="I1502" s="72">
        <v>820</v>
      </c>
      <c r="J1502" s="53">
        <v>0</v>
      </c>
      <c r="K1502" s="157">
        <v>0.8</v>
      </c>
      <c r="L1502" s="53">
        <f t="shared" si="92"/>
        <v>656</v>
      </c>
      <c r="M1502" s="55">
        <v>0.03</v>
      </c>
      <c r="N1502" s="56">
        <f t="shared" si="83"/>
        <v>636.31999999999994</v>
      </c>
      <c r="O1502" s="156" t="s">
        <v>181</v>
      </c>
      <c r="P1502" s="145" t="str">
        <f t="shared" si="82"/>
        <v>Transition3,9</v>
      </c>
      <c r="Q1502" s="52">
        <f t="shared" si="90"/>
        <v>4</v>
      </c>
      <c r="R1502" s="8">
        <f t="shared" si="91"/>
        <v>2025</v>
      </c>
    </row>
    <row r="1503" spans="1:33" hidden="1" x14ac:dyDescent="0.25">
      <c r="A1503" s="224"/>
      <c r="B1503" s="145">
        <v>45680</v>
      </c>
      <c r="C1503" s="52" t="s">
        <v>50</v>
      </c>
      <c r="D1503" s="52" t="s">
        <v>38</v>
      </c>
      <c r="E1503" s="53" t="s">
        <v>55</v>
      </c>
      <c r="F1503" s="53" t="s">
        <v>40</v>
      </c>
      <c r="G1503" s="43">
        <v>3.9</v>
      </c>
      <c r="H1503" s="53">
        <v>900</v>
      </c>
      <c r="I1503" s="72">
        <v>820</v>
      </c>
      <c r="J1503" s="53">
        <v>0</v>
      </c>
      <c r="K1503" s="157">
        <v>0.8</v>
      </c>
      <c r="L1503" s="53">
        <f t="shared" si="92"/>
        <v>656</v>
      </c>
      <c r="M1503" s="55">
        <v>0.03</v>
      </c>
      <c r="N1503" s="56">
        <f t="shared" si="83"/>
        <v>636.31999999999994</v>
      </c>
      <c r="O1503" s="156"/>
      <c r="P1503" s="145" t="str">
        <f t="shared" si="82"/>
        <v>Transition3,9</v>
      </c>
      <c r="Q1503" s="52">
        <f t="shared" si="90"/>
        <v>4</v>
      </c>
      <c r="R1503" s="8">
        <f t="shared" si="91"/>
        <v>2025</v>
      </c>
    </row>
    <row r="1504" spans="1:33" hidden="1" x14ac:dyDescent="0.25">
      <c r="A1504" s="224"/>
      <c r="B1504" s="145">
        <v>45681</v>
      </c>
      <c r="C1504" s="52" t="s">
        <v>53</v>
      </c>
      <c r="D1504" s="52" t="s">
        <v>38</v>
      </c>
      <c r="E1504" s="53" t="s">
        <v>55</v>
      </c>
      <c r="F1504" s="53" t="s">
        <v>40</v>
      </c>
      <c r="G1504" s="43">
        <v>3.9</v>
      </c>
      <c r="H1504" s="53">
        <v>900</v>
      </c>
      <c r="I1504" s="72">
        <v>820</v>
      </c>
      <c r="J1504" s="53">
        <v>0</v>
      </c>
      <c r="K1504" s="157">
        <v>0.8</v>
      </c>
      <c r="L1504" s="53">
        <f t="shared" si="92"/>
        <v>656</v>
      </c>
      <c r="M1504" s="55">
        <v>0.03</v>
      </c>
      <c r="N1504" s="56">
        <f t="shared" si="83"/>
        <v>636.31999999999994</v>
      </c>
      <c r="O1504" s="156"/>
      <c r="P1504" s="145" t="str">
        <f t="shared" si="82"/>
        <v>Transition3,9</v>
      </c>
      <c r="Q1504" s="52">
        <f t="shared" si="90"/>
        <v>4</v>
      </c>
      <c r="R1504" s="8">
        <f t="shared" si="91"/>
        <v>2025</v>
      </c>
      <c r="AG1504" s="108" t="s">
        <v>179</v>
      </c>
    </row>
    <row r="1505" spans="1:18" hidden="1" x14ac:dyDescent="0.25">
      <c r="A1505" s="224"/>
      <c r="B1505" s="148">
        <v>45682</v>
      </c>
      <c r="C1505" s="58" t="s">
        <v>57</v>
      </c>
      <c r="D1505" s="59" t="s">
        <v>38</v>
      </c>
      <c r="E1505" s="59" t="s">
        <v>55</v>
      </c>
      <c r="F1505" s="60" t="s">
        <v>40</v>
      </c>
      <c r="G1505" s="199">
        <v>3.9</v>
      </c>
      <c r="H1505" s="60">
        <v>900</v>
      </c>
      <c r="I1505" s="72">
        <v>820</v>
      </c>
      <c r="J1505" s="60">
        <v>0</v>
      </c>
      <c r="K1505" s="159">
        <v>0.8</v>
      </c>
      <c r="L1505" s="60">
        <f t="shared" si="92"/>
        <v>656</v>
      </c>
      <c r="M1505" s="62">
        <v>0</v>
      </c>
      <c r="N1505" s="63">
        <f t="shared" si="83"/>
        <v>656</v>
      </c>
      <c r="O1505" s="206"/>
      <c r="P1505" s="145" t="str">
        <f t="shared" si="82"/>
        <v>Transition3,9</v>
      </c>
      <c r="Q1505" s="52">
        <f t="shared" si="90"/>
        <v>4</v>
      </c>
      <c r="R1505" s="8">
        <f t="shared" si="91"/>
        <v>2025</v>
      </c>
    </row>
    <row r="1506" spans="1:18" ht="15.75" hidden="1" thickBot="1" x14ac:dyDescent="0.3">
      <c r="A1506" s="225"/>
      <c r="B1506" s="113">
        <v>45683</v>
      </c>
      <c r="C1506" s="66" t="s">
        <v>59</v>
      </c>
      <c r="D1506" s="67" t="s">
        <v>38</v>
      </c>
      <c r="E1506" s="204" t="s">
        <v>45</v>
      </c>
      <c r="F1506" s="67" t="s">
        <v>40</v>
      </c>
      <c r="G1506" s="68">
        <v>3.9</v>
      </c>
      <c r="H1506" s="67">
        <v>900</v>
      </c>
      <c r="I1506" s="72">
        <v>820</v>
      </c>
      <c r="J1506" s="67">
        <v>0</v>
      </c>
      <c r="K1506" s="161">
        <v>0.8</v>
      </c>
      <c r="L1506" s="67">
        <f t="shared" si="92"/>
        <v>656</v>
      </c>
      <c r="M1506" s="69">
        <v>0</v>
      </c>
      <c r="N1506" s="70">
        <f t="shared" si="83"/>
        <v>656</v>
      </c>
      <c r="O1506" s="207" t="s">
        <v>182</v>
      </c>
      <c r="P1506" s="145" t="str">
        <f t="shared" si="82"/>
        <v>Diamant3,9</v>
      </c>
      <c r="Q1506" s="52">
        <f t="shared" si="90"/>
        <v>4</v>
      </c>
      <c r="R1506" s="8">
        <f t="shared" si="91"/>
        <v>2025</v>
      </c>
    </row>
    <row r="1507" spans="1:18" hidden="1" x14ac:dyDescent="0.25">
      <c r="A1507" s="223">
        <f>_xlfn.ISOWEEKNUM(B1507)</f>
        <v>5</v>
      </c>
      <c r="B1507" s="145">
        <v>45684</v>
      </c>
      <c r="C1507" s="40" t="s">
        <v>37</v>
      </c>
      <c r="D1507" s="72" t="s">
        <v>38</v>
      </c>
      <c r="E1507" s="201" t="s">
        <v>45</v>
      </c>
      <c r="F1507" s="41" t="s">
        <v>40</v>
      </c>
      <c r="G1507" s="43">
        <v>3.9</v>
      </c>
      <c r="H1507" s="41">
        <v>900</v>
      </c>
      <c r="I1507" s="72">
        <v>820</v>
      </c>
      <c r="J1507" s="41">
        <v>0</v>
      </c>
      <c r="K1507" s="157">
        <v>0.8</v>
      </c>
      <c r="L1507" s="41">
        <f t="shared" si="92"/>
        <v>656</v>
      </c>
      <c r="M1507" s="73">
        <v>0</v>
      </c>
      <c r="N1507" s="74">
        <f t="shared" si="83"/>
        <v>656</v>
      </c>
      <c r="O1507" s="208"/>
      <c r="P1507" s="145" t="str">
        <f t="shared" si="82"/>
        <v>Diamant3,9</v>
      </c>
      <c r="Q1507" s="52">
        <f t="shared" si="90"/>
        <v>5</v>
      </c>
      <c r="R1507" s="8">
        <f t="shared" si="91"/>
        <v>2025</v>
      </c>
    </row>
    <row r="1508" spans="1:18" hidden="1" x14ac:dyDescent="0.25">
      <c r="A1508" s="224"/>
      <c r="B1508" s="145">
        <v>45685</v>
      </c>
      <c r="C1508" s="52" t="s">
        <v>42</v>
      </c>
      <c r="D1508" s="52" t="s">
        <v>38</v>
      </c>
      <c r="E1508" s="202" t="s">
        <v>45</v>
      </c>
      <c r="F1508" s="53" t="s">
        <v>40</v>
      </c>
      <c r="G1508" s="43">
        <v>3.9</v>
      </c>
      <c r="H1508" s="53">
        <v>900</v>
      </c>
      <c r="I1508" s="72">
        <v>820</v>
      </c>
      <c r="J1508" s="53">
        <v>0</v>
      </c>
      <c r="K1508" s="157">
        <v>0.8</v>
      </c>
      <c r="L1508" s="53">
        <f t="shared" si="92"/>
        <v>656</v>
      </c>
      <c r="M1508" s="55">
        <v>0</v>
      </c>
      <c r="N1508" s="56">
        <f t="shared" si="83"/>
        <v>656</v>
      </c>
      <c r="O1508" s="156"/>
      <c r="P1508" s="145" t="str">
        <f t="shared" si="82"/>
        <v>Diamant3,9</v>
      </c>
      <c r="Q1508" s="52">
        <f t="shared" si="90"/>
        <v>5</v>
      </c>
      <c r="R1508" s="8">
        <f t="shared" si="91"/>
        <v>2025</v>
      </c>
    </row>
    <row r="1509" spans="1:18" hidden="1" x14ac:dyDescent="0.25">
      <c r="A1509" s="224"/>
      <c r="B1509" s="145">
        <v>45686</v>
      </c>
      <c r="C1509" s="52" t="s">
        <v>46</v>
      </c>
      <c r="D1509" s="52" t="s">
        <v>38</v>
      </c>
      <c r="E1509" s="202" t="s">
        <v>45</v>
      </c>
      <c r="F1509" s="53" t="s">
        <v>40</v>
      </c>
      <c r="G1509" s="43">
        <v>5.9</v>
      </c>
      <c r="H1509" s="53">
        <v>900</v>
      </c>
      <c r="I1509" s="72">
        <v>820</v>
      </c>
      <c r="J1509" s="53">
        <v>0</v>
      </c>
      <c r="K1509" s="157">
        <v>0.8</v>
      </c>
      <c r="L1509" s="53">
        <f t="shared" si="92"/>
        <v>656</v>
      </c>
      <c r="M1509" s="55">
        <v>0</v>
      </c>
      <c r="N1509" s="56">
        <f t="shared" si="83"/>
        <v>656</v>
      </c>
      <c r="O1509" s="156"/>
      <c r="P1509" s="145" t="str">
        <f t="shared" si="82"/>
        <v>Diamant5,9</v>
      </c>
      <c r="Q1509" s="52">
        <f t="shared" si="90"/>
        <v>5</v>
      </c>
      <c r="R1509" s="8">
        <f t="shared" si="91"/>
        <v>2025</v>
      </c>
    </row>
    <row r="1510" spans="1:18" hidden="1" x14ac:dyDescent="0.25">
      <c r="A1510" s="224"/>
      <c r="B1510" s="145">
        <v>45687</v>
      </c>
      <c r="C1510" s="52" t="s">
        <v>50</v>
      </c>
      <c r="D1510" s="52" t="s">
        <v>38</v>
      </c>
      <c r="E1510" s="202" t="s">
        <v>45</v>
      </c>
      <c r="F1510" s="53" t="s">
        <v>40</v>
      </c>
      <c r="G1510" s="43">
        <v>8</v>
      </c>
      <c r="H1510" s="53">
        <v>900</v>
      </c>
      <c r="I1510" s="72">
        <v>820</v>
      </c>
      <c r="J1510" s="53">
        <v>0</v>
      </c>
      <c r="K1510" s="157">
        <v>0.8</v>
      </c>
      <c r="L1510" s="53">
        <f t="shared" si="92"/>
        <v>656</v>
      </c>
      <c r="M1510" s="55">
        <v>0</v>
      </c>
      <c r="N1510" s="56">
        <f t="shared" si="83"/>
        <v>656</v>
      </c>
      <c r="O1510" s="210"/>
      <c r="P1510" s="145" t="str">
        <f t="shared" si="82"/>
        <v>Diamant8</v>
      </c>
      <c r="Q1510" s="52">
        <f t="shared" si="90"/>
        <v>5</v>
      </c>
      <c r="R1510" s="8">
        <f t="shared" si="91"/>
        <v>2025</v>
      </c>
    </row>
    <row r="1511" spans="1:18" hidden="1" x14ac:dyDescent="0.25">
      <c r="A1511" s="224"/>
      <c r="B1511" s="145">
        <v>45688</v>
      </c>
      <c r="C1511" s="52" t="s">
        <v>53</v>
      </c>
      <c r="D1511" s="52" t="s">
        <v>38</v>
      </c>
      <c r="E1511" s="202" t="s">
        <v>45</v>
      </c>
      <c r="F1511" s="53" t="s">
        <v>40</v>
      </c>
      <c r="G1511" s="43">
        <v>10</v>
      </c>
      <c r="H1511" s="53">
        <v>900</v>
      </c>
      <c r="I1511" s="72">
        <v>820</v>
      </c>
      <c r="J1511" s="53">
        <v>0</v>
      </c>
      <c r="K1511" s="157">
        <v>0.8</v>
      </c>
      <c r="L1511" s="53">
        <f t="shared" si="92"/>
        <v>656</v>
      </c>
      <c r="M1511" s="55">
        <v>0</v>
      </c>
      <c r="N1511" s="56">
        <f t="shared" si="83"/>
        <v>656</v>
      </c>
      <c r="O1511" s="210"/>
      <c r="P1511" s="145" t="str">
        <f t="shared" si="82"/>
        <v>Diamant10</v>
      </c>
      <c r="Q1511" s="52">
        <f t="shared" si="90"/>
        <v>5</v>
      </c>
      <c r="R1511" s="8">
        <f t="shared" si="91"/>
        <v>2025</v>
      </c>
    </row>
    <row r="1512" spans="1:18" hidden="1" x14ac:dyDescent="0.25">
      <c r="A1512" s="224"/>
      <c r="B1512" s="148">
        <v>45689</v>
      </c>
      <c r="C1512" s="58" t="s">
        <v>57</v>
      </c>
      <c r="D1512" s="59" t="s">
        <v>38</v>
      </c>
      <c r="E1512" s="203" t="s">
        <v>45</v>
      </c>
      <c r="F1512" s="60" t="s">
        <v>40</v>
      </c>
      <c r="G1512" s="199">
        <v>10</v>
      </c>
      <c r="H1512" s="60">
        <v>900</v>
      </c>
      <c r="I1512" s="72">
        <v>820</v>
      </c>
      <c r="J1512" s="60">
        <v>0</v>
      </c>
      <c r="K1512" s="159">
        <v>0.8</v>
      </c>
      <c r="L1512" s="60">
        <f t="shared" si="92"/>
        <v>656</v>
      </c>
      <c r="M1512" s="62">
        <v>0</v>
      </c>
      <c r="N1512" s="63">
        <f t="shared" si="83"/>
        <v>656</v>
      </c>
      <c r="O1512" s="211"/>
      <c r="P1512" s="145" t="str">
        <f t="shared" si="82"/>
        <v>Diamant10</v>
      </c>
      <c r="Q1512" s="52">
        <f t="shared" si="90"/>
        <v>5</v>
      </c>
      <c r="R1512" s="8">
        <f t="shared" si="91"/>
        <v>2025</v>
      </c>
    </row>
    <row r="1513" spans="1:18" ht="15.75" hidden="1" thickBot="1" x14ac:dyDescent="0.3">
      <c r="A1513" s="225"/>
      <c r="B1513" s="113">
        <v>45690</v>
      </c>
      <c r="C1513" s="66" t="s">
        <v>59</v>
      </c>
      <c r="D1513" s="67" t="s">
        <v>38</v>
      </c>
      <c r="E1513" s="204" t="s">
        <v>45</v>
      </c>
      <c r="F1513" s="67" t="s">
        <v>40</v>
      </c>
      <c r="G1513" s="68">
        <v>10</v>
      </c>
      <c r="H1513" s="67">
        <v>900</v>
      </c>
      <c r="I1513" s="72">
        <v>820</v>
      </c>
      <c r="J1513" s="67">
        <v>0</v>
      </c>
      <c r="K1513" s="161">
        <v>0.8</v>
      </c>
      <c r="L1513" s="67">
        <f t="shared" si="92"/>
        <v>656</v>
      </c>
      <c r="M1513" s="69">
        <v>0</v>
      </c>
      <c r="N1513" s="70">
        <f t="shared" si="83"/>
        <v>656</v>
      </c>
      <c r="O1513" s="212" t="s">
        <v>183</v>
      </c>
      <c r="P1513" s="145" t="str">
        <f t="shared" si="82"/>
        <v>Diamant10</v>
      </c>
      <c r="Q1513" s="52">
        <f t="shared" si="90"/>
        <v>5</v>
      </c>
      <c r="R1513" s="8">
        <f t="shared" si="91"/>
        <v>2025</v>
      </c>
    </row>
    <row r="1514" spans="1:18" hidden="1" x14ac:dyDescent="0.25">
      <c r="A1514" s="223">
        <f>_xlfn.ISOWEEKNUM(B1514)</f>
        <v>6</v>
      </c>
      <c r="B1514" s="145">
        <v>45691</v>
      </c>
      <c r="C1514" s="40" t="s">
        <v>37</v>
      </c>
      <c r="D1514" s="72" t="s">
        <v>38</v>
      </c>
      <c r="E1514" s="201" t="s">
        <v>45</v>
      </c>
      <c r="F1514" s="41" t="s">
        <v>40</v>
      </c>
      <c r="G1514" s="43">
        <v>10</v>
      </c>
      <c r="H1514" s="41">
        <v>900</v>
      </c>
      <c r="I1514" s="72">
        <v>820</v>
      </c>
      <c r="J1514" s="41">
        <v>0</v>
      </c>
      <c r="K1514" s="157">
        <v>0.8</v>
      </c>
      <c r="L1514" s="41">
        <f t="shared" si="92"/>
        <v>656</v>
      </c>
      <c r="M1514" s="73">
        <v>0</v>
      </c>
      <c r="N1514" s="74">
        <f t="shared" si="83"/>
        <v>656</v>
      </c>
      <c r="O1514" s="209" t="s">
        <v>184</v>
      </c>
      <c r="P1514" s="145" t="str">
        <f t="shared" si="82"/>
        <v>Diamant10</v>
      </c>
      <c r="Q1514" s="52">
        <f t="shared" si="90"/>
        <v>6</v>
      </c>
      <c r="R1514" s="8">
        <f t="shared" si="91"/>
        <v>2025</v>
      </c>
    </row>
    <row r="1515" spans="1:18" hidden="1" x14ac:dyDescent="0.25">
      <c r="A1515" s="224"/>
      <c r="B1515" s="145">
        <v>45692</v>
      </c>
      <c r="C1515" s="52" t="s">
        <v>42</v>
      </c>
      <c r="D1515" s="52" t="s">
        <v>38</v>
      </c>
      <c r="E1515" s="202" t="s">
        <v>45</v>
      </c>
      <c r="F1515" s="53" t="s">
        <v>40</v>
      </c>
      <c r="G1515" s="43">
        <v>10</v>
      </c>
      <c r="H1515" s="53">
        <v>900</v>
      </c>
      <c r="I1515" s="72">
        <v>820</v>
      </c>
      <c r="J1515" s="53">
        <v>0</v>
      </c>
      <c r="K1515" s="157">
        <v>0.8</v>
      </c>
      <c r="L1515" s="53">
        <f t="shared" si="92"/>
        <v>656</v>
      </c>
      <c r="M1515" s="55">
        <v>0</v>
      </c>
      <c r="N1515" s="56">
        <f t="shared" si="83"/>
        <v>656</v>
      </c>
      <c r="O1515" s="210"/>
      <c r="P1515" s="145" t="str">
        <f t="shared" si="82"/>
        <v>Diamant10</v>
      </c>
      <c r="Q1515" s="52">
        <f t="shared" si="90"/>
        <v>6</v>
      </c>
      <c r="R1515" s="8">
        <f t="shared" si="91"/>
        <v>2025</v>
      </c>
    </row>
    <row r="1516" spans="1:18" hidden="1" x14ac:dyDescent="0.25">
      <c r="A1516" s="224"/>
      <c r="B1516" s="145">
        <v>45693</v>
      </c>
      <c r="C1516" s="52" t="s">
        <v>46</v>
      </c>
      <c r="D1516" s="52" t="s">
        <v>38</v>
      </c>
      <c r="E1516" s="202" t="s">
        <v>45</v>
      </c>
      <c r="F1516" s="53" t="s">
        <v>40</v>
      </c>
      <c r="G1516" s="205">
        <v>12</v>
      </c>
      <c r="H1516" s="53">
        <v>900</v>
      </c>
      <c r="I1516" s="72">
        <v>820</v>
      </c>
      <c r="J1516" s="53">
        <v>0</v>
      </c>
      <c r="K1516" s="157">
        <v>0.8</v>
      </c>
      <c r="L1516" s="53">
        <f t="shared" si="92"/>
        <v>656</v>
      </c>
      <c r="M1516" s="55">
        <v>0</v>
      </c>
      <c r="N1516" s="56">
        <f t="shared" si="83"/>
        <v>656</v>
      </c>
      <c r="O1516" s="210"/>
      <c r="P1516" s="145" t="str">
        <f t="shared" si="82"/>
        <v>Diamant12</v>
      </c>
      <c r="Q1516" s="52">
        <f t="shared" si="90"/>
        <v>6</v>
      </c>
      <c r="R1516" s="8">
        <f t="shared" si="91"/>
        <v>2025</v>
      </c>
    </row>
    <row r="1517" spans="1:18" hidden="1" x14ac:dyDescent="0.25">
      <c r="A1517" s="224"/>
      <c r="B1517" s="145">
        <v>45694</v>
      </c>
      <c r="C1517" s="52" t="s">
        <v>50</v>
      </c>
      <c r="D1517" s="52" t="s">
        <v>38</v>
      </c>
      <c r="E1517" s="202" t="s">
        <v>45</v>
      </c>
      <c r="F1517" s="53" t="s">
        <v>40</v>
      </c>
      <c r="G1517" s="43">
        <v>12</v>
      </c>
      <c r="H1517" s="53">
        <v>900</v>
      </c>
      <c r="I1517" s="72">
        <v>820</v>
      </c>
      <c r="J1517" s="53">
        <v>0</v>
      </c>
      <c r="K1517" s="157">
        <v>0.8</v>
      </c>
      <c r="L1517" s="53">
        <f t="shared" si="92"/>
        <v>656</v>
      </c>
      <c r="M1517" s="55">
        <v>0</v>
      </c>
      <c r="N1517" s="56">
        <f t="shared" si="83"/>
        <v>656</v>
      </c>
      <c r="O1517" s="156"/>
      <c r="P1517" s="145" t="str">
        <f t="shared" si="82"/>
        <v>Diamant12</v>
      </c>
      <c r="Q1517" s="52">
        <f t="shared" si="90"/>
        <v>6</v>
      </c>
      <c r="R1517" s="8">
        <f t="shared" si="91"/>
        <v>2025</v>
      </c>
    </row>
    <row r="1518" spans="1:18" hidden="1" x14ac:dyDescent="0.25">
      <c r="A1518" s="224"/>
      <c r="B1518" s="145">
        <v>45695</v>
      </c>
      <c r="C1518" s="52" t="s">
        <v>53</v>
      </c>
      <c r="D1518" s="52" t="s">
        <v>38</v>
      </c>
      <c r="E1518" s="202" t="s">
        <v>45</v>
      </c>
      <c r="F1518" s="53" t="s">
        <v>40</v>
      </c>
      <c r="G1518" s="43">
        <v>12</v>
      </c>
      <c r="H1518" s="53">
        <v>900</v>
      </c>
      <c r="I1518" s="72">
        <v>820</v>
      </c>
      <c r="J1518" s="53">
        <v>0</v>
      </c>
      <c r="K1518" s="157">
        <v>0.8</v>
      </c>
      <c r="L1518" s="53">
        <f t="shared" si="92"/>
        <v>656</v>
      </c>
      <c r="M1518" s="55">
        <v>0</v>
      </c>
      <c r="N1518" s="56">
        <f t="shared" si="83"/>
        <v>656</v>
      </c>
      <c r="O1518" s="156"/>
      <c r="P1518" s="145" t="str">
        <f t="shared" si="82"/>
        <v>Diamant12</v>
      </c>
      <c r="Q1518" s="52">
        <f t="shared" si="90"/>
        <v>6</v>
      </c>
      <c r="R1518" s="8">
        <f t="shared" si="91"/>
        <v>2025</v>
      </c>
    </row>
    <row r="1519" spans="1:18" hidden="1" x14ac:dyDescent="0.25">
      <c r="A1519" s="224"/>
      <c r="B1519" s="148">
        <v>45696</v>
      </c>
      <c r="C1519" s="58" t="s">
        <v>57</v>
      </c>
      <c r="D1519" s="59" t="s">
        <v>38</v>
      </c>
      <c r="E1519" s="202" t="s">
        <v>45</v>
      </c>
      <c r="F1519" s="60" t="s">
        <v>40</v>
      </c>
      <c r="G1519" s="199">
        <v>12</v>
      </c>
      <c r="H1519" s="53">
        <v>900</v>
      </c>
      <c r="I1519" s="72">
        <v>820</v>
      </c>
      <c r="J1519" s="60">
        <v>0</v>
      </c>
      <c r="K1519" s="159">
        <v>0.8</v>
      </c>
      <c r="L1519" s="60">
        <f t="shared" si="92"/>
        <v>656</v>
      </c>
      <c r="M1519" s="62">
        <v>0</v>
      </c>
      <c r="N1519" s="63">
        <f t="shared" si="83"/>
        <v>656</v>
      </c>
      <c r="O1519" s="206"/>
      <c r="P1519" s="145" t="str">
        <f t="shared" ref="P1519:P1582" si="93">E1519&amp;G1519</f>
        <v>Diamant12</v>
      </c>
      <c r="Q1519" s="52">
        <f t="shared" si="90"/>
        <v>6</v>
      </c>
      <c r="R1519" s="8">
        <f t="shared" si="91"/>
        <v>2025</v>
      </c>
    </row>
    <row r="1520" spans="1:18" ht="15.75" hidden="1" thickBot="1" x14ac:dyDescent="0.3">
      <c r="A1520" s="225"/>
      <c r="B1520" s="113">
        <v>45697</v>
      </c>
      <c r="C1520" s="66" t="s">
        <v>59</v>
      </c>
      <c r="D1520" s="67" t="s">
        <v>38</v>
      </c>
      <c r="E1520" s="202" t="s">
        <v>45</v>
      </c>
      <c r="F1520" s="67" t="s">
        <v>40</v>
      </c>
      <c r="G1520" s="68">
        <v>8</v>
      </c>
      <c r="H1520" s="53">
        <v>900</v>
      </c>
      <c r="I1520" s="72">
        <v>820</v>
      </c>
      <c r="J1520" s="67">
        <v>0</v>
      </c>
      <c r="K1520" s="161">
        <v>0.8</v>
      </c>
      <c r="L1520" s="67">
        <f t="shared" si="92"/>
        <v>656</v>
      </c>
      <c r="M1520" s="69">
        <v>0</v>
      </c>
      <c r="N1520" s="70">
        <f t="shared" si="83"/>
        <v>656</v>
      </c>
      <c r="O1520" s="207"/>
      <c r="P1520" s="145" t="str">
        <f t="shared" si="93"/>
        <v>Diamant8</v>
      </c>
      <c r="Q1520" s="52">
        <f t="shared" si="90"/>
        <v>6</v>
      </c>
      <c r="R1520" s="8">
        <f t="shared" si="91"/>
        <v>2025</v>
      </c>
    </row>
    <row r="1521" spans="1:18" hidden="1" x14ac:dyDescent="0.25">
      <c r="A1521" s="223">
        <f>_xlfn.ISOWEEKNUM(B1521)</f>
        <v>7</v>
      </c>
      <c r="B1521" s="145">
        <v>45698</v>
      </c>
      <c r="C1521" s="40" t="s">
        <v>37</v>
      </c>
      <c r="D1521" s="72" t="s">
        <v>38</v>
      </c>
      <c r="E1521" s="202" t="s">
        <v>45</v>
      </c>
      <c r="F1521" s="41" t="s">
        <v>40</v>
      </c>
      <c r="G1521" s="43">
        <v>8</v>
      </c>
      <c r="H1521" s="53">
        <v>900</v>
      </c>
      <c r="I1521" s="72">
        <v>820</v>
      </c>
      <c r="J1521" s="41">
        <v>0</v>
      </c>
      <c r="K1521" s="157">
        <v>0.8</v>
      </c>
      <c r="L1521" s="41">
        <f t="shared" si="92"/>
        <v>656</v>
      </c>
      <c r="M1521" s="73">
        <v>0</v>
      </c>
      <c r="N1521" s="74">
        <f t="shared" si="83"/>
        <v>656</v>
      </c>
      <c r="O1521" s="156"/>
      <c r="P1521" s="145" t="str">
        <f t="shared" si="93"/>
        <v>Diamant8</v>
      </c>
      <c r="Q1521" s="52">
        <f t="shared" si="90"/>
        <v>7</v>
      </c>
      <c r="R1521" s="8">
        <f t="shared" si="91"/>
        <v>2025</v>
      </c>
    </row>
    <row r="1522" spans="1:18" hidden="1" x14ac:dyDescent="0.25">
      <c r="A1522" s="224"/>
      <c r="B1522" s="145">
        <v>45699</v>
      </c>
      <c r="C1522" s="52" t="s">
        <v>42</v>
      </c>
      <c r="D1522" s="52" t="s">
        <v>38</v>
      </c>
      <c r="E1522" s="202" t="s">
        <v>45</v>
      </c>
      <c r="F1522" s="53" t="s">
        <v>40</v>
      </c>
      <c r="G1522" s="43">
        <v>5.9</v>
      </c>
      <c r="H1522" s="53">
        <v>900</v>
      </c>
      <c r="I1522" s="72">
        <v>820</v>
      </c>
      <c r="J1522" s="53">
        <v>0</v>
      </c>
      <c r="K1522" s="157">
        <v>0.8</v>
      </c>
      <c r="L1522" s="53">
        <f t="shared" si="92"/>
        <v>656</v>
      </c>
      <c r="M1522" s="55">
        <v>0</v>
      </c>
      <c r="N1522" s="56">
        <f t="shared" si="83"/>
        <v>656</v>
      </c>
      <c r="O1522" s="156" t="s">
        <v>185</v>
      </c>
      <c r="P1522" s="145" t="str">
        <f t="shared" si="93"/>
        <v>Diamant5,9</v>
      </c>
      <c r="Q1522" s="52">
        <f t="shared" si="90"/>
        <v>7</v>
      </c>
      <c r="R1522" s="8">
        <f t="shared" si="91"/>
        <v>2025</v>
      </c>
    </row>
    <row r="1523" spans="1:18" hidden="1" x14ac:dyDescent="0.25">
      <c r="A1523" s="224"/>
      <c r="B1523" s="145">
        <v>45700</v>
      </c>
      <c r="C1523" s="52" t="s">
        <v>46</v>
      </c>
      <c r="D1523" s="52" t="s">
        <v>38</v>
      </c>
      <c r="E1523" s="202" t="s">
        <v>45</v>
      </c>
      <c r="F1523" s="53" t="s">
        <v>40</v>
      </c>
      <c r="G1523" s="43">
        <v>5.9</v>
      </c>
      <c r="H1523" s="53">
        <v>900</v>
      </c>
      <c r="I1523" s="72">
        <v>820</v>
      </c>
      <c r="J1523" s="53">
        <v>0</v>
      </c>
      <c r="K1523" s="157">
        <v>0.8</v>
      </c>
      <c r="L1523" s="53">
        <f t="shared" si="92"/>
        <v>656</v>
      </c>
      <c r="M1523" s="55">
        <v>0</v>
      </c>
      <c r="N1523" s="56">
        <f t="shared" si="83"/>
        <v>656</v>
      </c>
      <c r="O1523" s="156" t="s">
        <v>186</v>
      </c>
      <c r="P1523" s="145" t="str">
        <f t="shared" si="93"/>
        <v>Diamant5,9</v>
      </c>
      <c r="Q1523" s="52">
        <f t="shared" si="90"/>
        <v>7</v>
      </c>
      <c r="R1523" s="8">
        <f t="shared" si="91"/>
        <v>2025</v>
      </c>
    </row>
    <row r="1524" spans="1:18" hidden="1" x14ac:dyDescent="0.25">
      <c r="A1524" s="224"/>
      <c r="B1524" s="145">
        <v>45701</v>
      </c>
      <c r="C1524" s="52" t="s">
        <v>50</v>
      </c>
      <c r="D1524" s="52" t="s">
        <v>38</v>
      </c>
      <c r="E1524" s="53" t="s">
        <v>55</v>
      </c>
      <c r="F1524" s="53" t="s">
        <v>40</v>
      </c>
      <c r="G1524" s="43">
        <v>3.9</v>
      </c>
      <c r="H1524" s="53">
        <v>900</v>
      </c>
      <c r="I1524" s="72">
        <v>820</v>
      </c>
      <c r="J1524" s="53">
        <v>0</v>
      </c>
      <c r="K1524" s="157">
        <v>0.8</v>
      </c>
      <c r="L1524" s="53">
        <f t="shared" si="92"/>
        <v>656</v>
      </c>
      <c r="M1524" s="55">
        <v>0</v>
      </c>
      <c r="N1524" s="56">
        <f t="shared" si="83"/>
        <v>656</v>
      </c>
      <c r="O1524" s="156"/>
      <c r="P1524" s="145" t="str">
        <f t="shared" si="93"/>
        <v>Transition3,9</v>
      </c>
      <c r="Q1524" s="52">
        <f t="shared" si="90"/>
        <v>7</v>
      </c>
      <c r="R1524" s="8">
        <f t="shared" si="91"/>
        <v>2025</v>
      </c>
    </row>
    <row r="1525" spans="1:18" hidden="1" x14ac:dyDescent="0.25">
      <c r="A1525" s="224"/>
      <c r="B1525" s="145">
        <v>45702</v>
      </c>
      <c r="C1525" s="52" t="s">
        <v>53</v>
      </c>
      <c r="D1525" s="52" t="s">
        <v>38</v>
      </c>
      <c r="E1525" s="53" t="s">
        <v>55</v>
      </c>
      <c r="F1525" s="53" t="s">
        <v>40</v>
      </c>
      <c r="G1525" s="43">
        <v>3.9</v>
      </c>
      <c r="H1525" s="53">
        <v>900</v>
      </c>
      <c r="I1525" s="72">
        <v>820</v>
      </c>
      <c r="J1525" s="53">
        <v>0</v>
      </c>
      <c r="K1525" s="157">
        <v>0.8</v>
      </c>
      <c r="L1525" s="53">
        <f t="shared" si="92"/>
        <v>656</v>
      </c>
      <c r="M1525" s="55">
        <v>0</v>
      </c>
      <c r="N1525" s="56">
        <f t="shared" si="83"/>
        <v>656</v>
      </c>
      <c r="O1525" s="156"/>
      <c r="P1525" s="145" t="str">
        <f t="shared" si="93"/>
        <v>Transition3,9</v>
      </c>
      <c r="Q1525" s="52">
        <f t="shared" si="90"/>
        <v>7</v>
      </c>
      <c r="R1525" s="8">
        <f t="shared" si="91"/>
        <v>2025</v>
      </c>
    </row>
    <row r="1526" spans="1:18" hidden="1" x14ac:dyDescent="0.25">
      <c r="A1526" s="224"/>
      <c r="B1526" s="148">
        <v>45703</v>
      </c>
      <c r="C1526" s="58" t="s">
        <v>57</v>
      </c>
      <c r="D1526" s="59" t="s">
        <v>38</v>
      </c>
      <c r="E1526" s="60" t="s">
        <v>55</v>
      </c>
      <c r="F1526" s="60" t="s">
        <v>40</v>
      </c>
      <c r="G1526" s="199">
        <v>3.9</v>
      </c>
      <c r="H1526" s="60">
        <v>900</v>
      </c>
      <c r="I1526" s="72">
        <v>820</v>
      </c>
      <c r="J1526" s="60">
        <v>0</v>
      </c>
      <c r="K1526" s="159">
        <v>0.8</v>
      </c>
      <c r="L1526" s="60">
        <f t="shared" si="92"/>
        <v>656</v>
      </c>
      <c r="M1526" s="62">
        <v>0</v>
      </c>
      <c r="N1526" s="63">
        <f t="shared" ref="N1526:N1589" si="94">+L1526*(1-M1526)</f>
        <v>656</v>
      </c>
      <c r="O1526" s="206"/>
      <c r="P1526" s="145" t="str">
        <f t="shared" si="93"/>
        <v>Transition3,9</v>
      </c>
      <c r="Q1526" s="52">
        <f t="shared" si="90"/>
        <v>7</v>
      </c>
      <c r="R1526" s="8">
        <f t="shared" si="91"/>
        <v>2025</v>
      </c>
    </row>
    <row r="1527" spans="1:18" ht="15.75" hidden="1" thickBot="1" x14ac:dyDescent="0.3">
      <c r="A1527" s="225"/>
      <c r="B1527" s="113">
        <v>45704</v>
      </c>
      <c r="C1527" s="66" t="s">
        <v>59</v>
      </c>
      <c r="D1527" s="67" t="s">
        <v>38</v>
      </c>
      <c r="E1527" s="67" t="s">
        <v>39</v>
      </c>
      <c r="F1527" s="67" t="s">
        <v>40</v>
      </c>
      <c r="G1527" s="68">
        <v>3.9</v>
      </c>
      <c r="H1527" s="67">
        <v>900</v>
      </c>
      <c r="I1527" s="72">
        <v>820</v>
      </c>
      <c r="J1527" s="67">
        <v>0</v>
      </c>
      <c r="K1527" s="161">
        <v>0.8</v>
      </c>
      <c r="L1527" s="67">
        <f t="shared" si="92"/>
        <v>656</v>
      </c>
      <c r="M1527" s="69">
        <v>0</v>
      </c>
      <c r="N1527" s="70">
        <f t="shared" si="94"/>
        <v>656</v>
      </c>
      <c r="O1527" s="207" t="s">
        <v>187</v>
      </c>
      <c r="P1527" s="145" t="str">
        <f t="shared" si="93"/>
        <v>PLC3,9</v>
      </c>
      <c r="Q1527" s="52">
        <f t="shared" si="90"/>
        <v>7</v>
      </c>
      <c r="R1527" s="8">
        <f t="shared" si="91"/>
        <v>2025</v>
      </c>
    </row>
    <row r="1528" spans="1:18" hidden="1" x14ac:dyDescent="0.25">
      <c r="A1528" s="223">
        <f>_xlfn.ISOWEEKNUM(B1528)</f>
        <v>8</v>
      </c>
      <c r="B1528" s="145">
        <v>45705</v>
      </c>
      <c r="C1528" s="40" t="s">
        <v>37</v>
      </c>
      <c r="D1528" s="72" t="s">
        <v>38</v>
      </c>
      <c r="E1528" s="53" t="s">
        <v>39</v>
      </c>
      <c r="F1528" s="41" t="s">
        <v>40</v>
      </c>
      <c r="G1528" s="43">
        <v>3.9</v>
      </c>
      <c r="H1528" s="41">
        <v>900</v>
      </c>
      <c r="I1528" s="72">
        <v>820</v>
      </c>
      <c r="J1528" s="41">
        <v>0</v>
      </c>
      <c r="K1528" s="157">
        <v>0.8</v>
      </c>
      <c r="L1528" s="41">
        <f t="shared" si="92"/>
        <v>656</v>
      </c>
      <c r="M1528" s="73">
        <v>0</v>
      </c>
      <c r="N1528" s="74">
        <f t="shared" si="94"/>
        <v>656</v>
      </c>
      <c r="O1528" s="208"/>
      <c r="P1528" s="145" t="str">
        <f t="shared" si="93"/>
        <v>PLC3,9</v>
      </c>
      <c r="Q1528" s="52">
        <f t="shared" si="90"/>
        <v>8</v>
      </c>
      <c r="R1528" s="8">
        <f t="shared" si="91"/>
        <v>2025</v>
      </c>
    </row>
    <row r="1529" spans="1:18" hidden="1" x14ac:dyDescent="0.25">
      <c r="A1529" s="224"/>
      <c r="B1529" s="145">
        <v>45706</v>
      </c>
      <c r="C1529" s="52" t="s">
        <v>42</v>
      </c>
      <c r="D1529" s="52" t="s">
        <v>38</v>
      </c>
      <c r="E1529" s="53" t="s">
        <v>39</v>
      </c>
      <c r="F1529" s="53" t="s">
        <v>40</v>
      </c>
      <c r="G1529" s="43">
        <v>4.9000000000000004</v>
      </c>
      <c r="H1529" s="53">
        <v>900</v>
      </c>
      <c r="I1529" s="72">
        <v>820</v>
      </c>
      <c r="J1529" s="53">
        <v>0</v>
      </c>
      <c r="K1529" s="157">
        <v>0.8</v>
      </c>
      <c r="L1529" s="53">
        <f t="shared" si="92"/>
        <v>656</v>
      </c>
      <c r="M1529" s="55">
        <v>0</v>
      </c>
      <c r="N1529" s="56">
        <f t="shared" si="94"/>
        <v>656</v>
      </c>
      <c r="O1529" s="156"/>
      <c r="P1529" s="145" t="str">
        <f t="shared" si="93"/>
        <v>PLC4,9</v>
      </c>
      <c r="Q1529" s="52">
        <f t="shared" si="90"/>
        <v>8</v>
      </c>
      <c r="R1529" s="8">
        <f t="shared" si="91"/>
        <v>2025</v>
      </c>
    </row>
    <row r="1530" spans="1:18" hidden="1" x14ac:dyDescent="0.25">
      <c r="A1530" s="224"/>
      <c r="B1530" s="145">
        <v>45707</v>
      </c>
      <c r="C1530" s="52" t="s">
        <v>46</v>
      </c>
      <c r="D1530" s="52" t="s">
        <v>38</v>
      </c>
      <c r="E1530" s="53" t="s">
        <v>39</v>
      </c>
      <c r="F1530" s="53" t="s">
        <v>40</v>
      </c>
      <c r="G1530" s="43">
        <v>5.9</v>
      </c>
      <c r="H1530" s="53">
        <v>900</v>
      </c>
      <c r="I1530" s="72">
        <v>820</v>
      </c>
      <c r="J1530" s="53">
        <v>0</v>
      </c>
      <c r="K1530" s="157">
        <v>0.8</v>
      </c>
      <c r="L1530" s="53">
        <f t="shared" si="92"/>
        <v>656</v>
      </c>
      <c r="M1530" s="55">
        <v>0</v>
      </c>
      <c r="N1530" s="56">
        <f t="shared" si="94"/>
        <v>656</v>
      </c>
      <c r="O1530" s="156"/>
      <c r="P1530" s="145" t="str">
        <f t="shared" si="93"/>
        <v>PLC5,9</v>
      </c>
      <c r="Q1530" s="52">
        <f t="shared" si="90"/>
        <v>8</v>
      </c>
      <c r="R1530" s="8">
        <f t="shared" si="91"/>
        <v>2025</v>
      </c>
    </row>
    <row r="1531" spans="1:18" hidden="1" x14ac:dyDescent="0.25">
      <c r="A1531" s="224"/>
      <c r="B1531" s="145">
        <v>45708</v>
      </c>
      <c r="C1531" s="52" t="s">
        <v>50</v>
      </c>
      <c r="D1531" s="52" t="s">
        <v>38</v>
      </c>
      <c r="E1531" s="53" t="s">
        <v>39</v>
      </c>
      <c r="F1531" s="53" t="s">
        <v>40</v>
      </c>
      <c r="G1531" s="43">
        <v>5.9</v>
      </c>
      <c r="H1531" s="53">
        <v>900</v>
      </c>
      <c r="I1531" s="72">
        <v>820</v>
      </c>
      <c r="J1531" s="53">
        <v>0</v>
      </c>
      <c r="K1531" s="157">
        <v>0.8</v>
      </c>
      <c r="L1531" s="53">
        <f t="shared" si="92"/>
        <v>656</v>
      </c>
      <c r="M1531" s="55">
        <v>0</v>
      </c>
      <c r="N1531" s="56">
        <f t="shared" si="94"/>
        <v>656</v>
      </c>
      <c r="O1531" s="156"/>
      <c r="P1531" s="145" t="str">
        <f t="shared" si="93"/>
        <v>PLC5,9</v>
      </c>
      <c r="Q1531" s="52">
        <f t="shared" si="90"/>
        <v>8</v>
      </c>
      <c r="R1531" s="8">
        <f t="shared" si="91"/>
        <v>2025</v>
      </c>
    </row>
    <row r="1532" spans="1:18" hidden="1" x14ac:dyDescent="0.25">
      <c r="A1532" s="224"/>
      <c r="B1532" s="145">
        <v>45709</v>
      </c>
      <c r="C1532" s="52" t="s">
        <v>53</v>
      </c>
      <c r="D1532" s="52" t="s">
        <v>38</v>
      </c>
      <c r="E1532" s="53" t="s">
        <v>39</v>
      </c>
      <c r="F1532" s="53" t="s">
        <v>40</v>
      </c>
      <c r="G1532" s="43">
        <v>8</v>
      </c>
      <c r="H1532" s="53">
        <v>900</v>
      </c>
      <c r="I1532" s="72">
        <v>820</v>
      </c>
      <c r="J1532" s="53">
        <v>0</v>
      </c>
      <c r="K1532" s="157">
        <v>0.8</v>
      </c>
      <c r="L1532" s="53">
        <f t="shared" si="92"/>
        <v>656</v>
      </c>
      <c r="M1532" s="55">
        <v>0</v>
      </c>
      <c r="N1532" s="56">
        <f t="shared" si="94"/>
        <v>656</v>
      </c>
      <c r="O1532" s="156"/>
      <c r="P1532" s="145" t="str">
        <f t="shared" si="93"/>
        <v>PLC8</v>
      </c>
      <c r="Q1532" s="52">
        <f t="shared" si="90"/>
        <v>8</v>
      </c>
      <c r="R1532" s="8">
        <f t="shared" si="91"/>
        <v>2025</v>
      </c>
    </row>
    <row r="1533" spans="1:18" hidden="1" x14ac:dyDescent="0.25">
      <c r="A1533" s="224"/>
      <c r="B1533" s="148">
        <v>45710</v>
      </c>
      <c r="C1533" s="58" t="s">
        <v>57</v>
      </c>
      <c r="D1533" s="59" t="s">
        <v>38</v>
      </c>
      <c r="E1533" s="60" t="s">
        <v>39</v>
      </c>
      <c r="F1533" s="60" t="s">
        <v>40</v>
      </c>
      <c r="G1533" s="43">
        <v>8</v>
      </c>
      <c r="H1533" s="60">
        <v>900</v>
      </c>
      <c r="I1533" s="72">
        <v>820</v>
      </c>
      <c r="J1533" s="60">
        <v>0</v>
      </c>
      <c r="K1533" s="159">
        <v>0.8</v>
      </c>
      <c r="L1533" s="60">
        <f t="shared" si="92"/>
        <v>656</v>
      </c>
      <c r="M1533" s="62">
        <v>0</v>
      </c>
      <c r="N1533" s="63">
        <f t="shared" si="94"/>
        <v>656</v>
      </c>
      <c r="O1533" s="206"/>
      <c r="P1533" s="145" t="str">
        <f t="shared" si="93"/>
        <v>PLC8</v>
      </c>
      <c r="Q1533" s="52">
        <f t="shared" si="90"/>
        <v>8</v>
      </c>
      <c r="R1533" s="8">
        <f t="shared" si="91"/>
        <v>2025</v>
      </c>
    </row>
    <row r="1534" spans="1:18" ht="15.75" hidden="1" thickBot="1" x14ac:dyDescent="0.3">
      <c r="A1534" s="225"/>
      <c r="B1534" s="113">
        <v>45711</v>
      </c>
      <c r="C1534" s="66" t="s">
        <v>59</v>
      </c>
      <c r="D1534" s="67" t="s">
        <v>38</v>
      </c>
      <c r="E1534" s="67" t="s">
        <v>39</v>
      </c>
      <c r="F1534" s="67" t="s">
        <v>40</v>
      </c>
      <c r="G1534" s="43">
        <v>8</v>
      </c>
      <c r="H1534" s="67">
        <v>900</v>
      </c>
      <c r="I1534" s="72">
        <v>820</v>
      </c>
      <c r="J1534" s="67">
        <v>0</v>
      </c>
      <c r="K1534" s="161">
        <v>0.8</v>
      </c>
      <c r="L1534" s="67">
        <f t="shared" si="92"/>
        <v>656</v>
      </c>
      <c r="M1534" s="69">
        <v>0</v>
      </c>
      <c r="N1534" s="70">
        <f t="shared" si="94"/>
        <v>656</v>
      </c>
      <c r="O1534" s="207"/>
      <c r="P1534" s="145" t="str">
        <f t="shared" si="93"/>
        <v>PLC8</v>
      </c>
      <c r="Q1534" s="52">
        <f t="shared" si="90"/>
        <v>8</v>
      </c>
      <c r="R1534" s="8">
        <f t="shared" si="91"/>
        <v>2025</v>
      </c>
    </row>
    <row r="1535" spans="1:18" hidden="1" x14ac:dyDescent="0.25">
      <c r="A1535" s="223">
        <f>_xlfn.ISOWEEKNUM(B1535)</f>
        <v>9</v>
      </c>
      <c r="B1535" s="145">
        <v>45712</v>
      </c>
      <c r="C1535" s="40" t="s">
        <v>37</v>
      </c>
      <c r="D1535" s="72" t="s">
        <v>38</v>
      </c>
      <c r="E1535" s="41" t="s">
        <v>39</v>
      </c>
      <c r="F1535" s="41" t="s">
        <v>40</v>
      </c>
      <c r="G1535" s="43">
        <v>10</v>
      </c>
      <c r="H1535" s="41">
        <v>900</v>
      </c>
      <c r="I1535" s="72">
        <v>820</v>
      </c>
      <c r="J1535" s="41">
        <v>0</v>
      </c>
      <c r="K1535" s="157">
        <v>0.8</v>
      </c>
      <c r="L1535" s="41">
        <f t="shared" si="92"/>
        <v>656</v>
      </c>
      <c r="M1535" s="73">
        <v>0</v>
      </c>
      <c r="N1535" s="74">
        <f t="shared" si="94"/>
        <v>656</v>
      </c>
      <c r="O1535" s="208"/>
      <c r="P1535" s="145" t="str">
        <f t="shared" si="93"/>
        <v>PLC10</v>
      </c>
      <c r="Q1535" s="52">
        <f t="shared" si="90"/>
        <v>9</v>
      </c>
      <c r="R1535" s="8">
        <f t="shared" si="91"/>
        <v>2025</v>
      </c>
    </row>
    <row r="1536" spans="1:18" hidden="1" x14ac:dyDescent="0.25">
      <c r="A1536" s="224"/>
      <c r="B1536" s="145">
        <v>45713</v>
      </c>
      <c r="C1536" s="52" t="s">
        <v>42</v>
      </c>
      <c r="D1536" s="52" t="s">
        <v>38</v>
      </c>
      <c r="E1536" s="53" t="s">
        <v>39</v>
      </c>
      <c r="F1536" s="53" t="s">
        <v>40</v>
      </c>
      <c r="G1536" s="43">
        <v>10</v>
      </c>
      <c r="H1536" s="53">
        <v>900</v>
      </c>
      <c r="I1536" s="72">
        <v>820</v>
      </c>
      <c r="J1536" s="53">
        <v>0</v>
      </c>
      <c r="K1536" s="157">
        <v>0.8</v>
      </c>
      <c r="L1536" s="53">
        <f t="shared" si="92"/>
        <v>656</v>
      </c>
      <c r="M1536" s="55">
        <v>0</v>
      </c>
      <c r="N1536" s="56">
        <f t="shared" si="94"/>
        <v>656</v>
      </c>
      <c r="O1536" s="156"/>
      <c r="P1536" s="145" t="str">
        <f t="shared" si="93"/>
        <v>PLC10</v>
      </c>
      <c r="Q1536" s="52">
        <f t="shared" si="90"/>
        <v>9</v>
      </c>
      <c r="R1536" s="8">
        <f t="shared" si="91"/>
        <v>2025</v>
      </c>
    </row>
    <row r="1537" spans="1:18" hidden="1" x14ac:dyDescent="0.25">
      <c r="A1537" s="224"/>
      <c r="B1537" s="145">
        <v>45714</v>
      </c>
      <c r="C1537" s="52" t="s">
        <v>46</v>
      </c>
      <c r="D1537" s="52" t="s">
        <v>38</v>
      </c>
      <c r="E1537" s="53" t="s">
        <v>39</v>
      </c>
      <c r="F1537" s="53" t="s">
        <v>40</v>
      </c>
      <c r="G1537" s="43">
        <v>5.9</v>
      </c>
      <c r="H1537" s="53">
        <v>900</v>
      </c>
      <c r="I1537" s="72">
        <v>820</v>
      </c>
      <c r="J1537" s="53">
        <v>0</v>
      </c>
      <c r="K1537" s="157">
        <v>0.8</v>
      </c>
      <c r="L1537" s="53">
        <f t="shared" si="92"/>
        <v>656</v>
      </c>
      <c r="M1537" s="55">
        <v>0</v>
      </c>
      <c r="N1537" s="56">
        <f t="shared" si="94"/>
        <v>656</v>
      </c>
      <c r="O1537" s="156" t="s">
        <v>188</v>
      </c>
      <c r="P1537" s="145" t="str">
        <f t="shared" si="93"/>
        <v>PLC5,9</v>
      </c>
      <c r="Q1537" s="52">
        <f t="shared" si="90"/>
        <v>9</v>
      </c>
      <c r="R1537" s="8">
        <f t="shared" si="91"/>
        <v>2025</v>
      </c>
    </row>
    <row r="1538" spans="1:18" hidden="1" x14ac:dyDescent="0.25">
      <c r="A1538" s="224"/>
      <c r="B1538" s="145">
        <v>45715</v>
      </c>
      <c r="C1538" s="52" t="s">
        <v>50</v>
      </c>
      <c r="D1538" s="52" t="s">
        <v>38</v>
      </c>
      <c r="E1538" s="53" t="s">
        <v>39</v>
      </c>
      <c r="F1538" s="53" t="s">
        <v>40</v>
      </c>
      <c r="G1538" s="43">
        <v>5.9</v>
      </c>
      <c r="H1538" s="53">
        <v>900</v>
      </c>
      <c r="I1538" s="72">
        <v>820</v>
      </c>
      <c r="J1538" s="53">
        <v>0</v>
      </c>
      <c r="K1538" s="157">
        <v>0.8</v>
      </c>
      <c r="L1538" s="53">
        <f t="shared" si="92"/>
        <v>656</v>
      </c>
      <c r="M1538" s="55">
        <v>0</v>
      </c>
      <c r="N1538" s="56">
        <f t="shared" si="94"/>
        <v>656</v>
      </c>
      <c r="O1538" s="156" t="s">
        <v>189</v>
      </c>
      <c r="P1538" s="145" t="str">
        <f t="shared" si="93"/>
        <v>PLC5,9</v>
      </c>
      <c r="Q1538" s="52">
        <f t="shared" si="90"/>
        <v>9</v>
      </c>
      <c r="R1538" s="8">
        <f t="shared" si="91"/>
        <v>2025</v>
      </c>
    </row>
    <row r="1539" spans="1:18" hidden="1" x14ac:dyDescent="0.25">
      <c r="A1539" s="224"/>
      <c r="B1539" s="145">
        <v>45716</v>
      </c>
      <c r="C1539" s="52" t="s">
        <v>53</v>
      </c>
      <c r="D1539" s="52" t="s">
        <v>38</v>
      </c>
      <c r="E1539" s="53" t="s">
        <v>39</v>
      </c>
      <c r="F1539" s="53" t="s">
        <v>40</v>
      </c>
      <c r="G1539" s="43">
        <v>5.9</v>
      </c>
      <c r="H1539" s="53">
        <v>900</v>
      </c>
      <c r="I1539" s="72">
        <v>820</v>
      </c>
      <c r="J1539" s="53">
        <v>0</v>
      </c>
      <c r="K1539" s="157">
        <v>0.8</v>
      </c>
      <c r="L1539" s="53">
        <f t="shared" si="92"/>
        <v>656</v>
      </c>
      <c r="M1539" s="55">
        <v>0</v>
      </c>
      <c r="N1539" s="56">
        <f t="shared" si="94"/>
        <v>656</v>
      </c>
      <c r="O1539" s="156" t="s">
        <v>190</v>
      </c>
      <c r="P1539" s="145" t="str">
        <f t="shared" si="93"/>
        <v>PLC5,9</v>
      </c>
      <c r="Q1539" s="52">
        <f t="shared" si="90"/>
        <v>9</v>
      </c>
      <c r="R1539" s="8">
        <f t="shared" si="91"/>
        <v>2025</v>
      </c>
    </row>
    <row r="1540" spans="1:18" hidden="1" x14ac:dyDescent="0.25">
      <c r="A1540" s="224"/>
      <c r="B1540" s="148">
        <v>45717</v>
      </c>
      <c r="C1540" s="58" t="s">
        <v>57</v>
      </c>
      <c r="D1540" s="59" t="s">
        <v>38</v>
      </c>
      <c r="E1540" s="60" t="s">
        <v>39</v>
      </c>
      <c r="F1540" s="60" t="s">
        <v>40</v>
      </c>
      <c r="G1540" s="43">
        <v>3.9</v>
      </c>
      <c r="H1540" s="60">
        <v>900</v>
      </c>
      <c r="I1540" s="72">
        <v>820</v>
      </c>
      <c r="J1540" s="60">
        <v>0</v>
      </c>
      <c r="K1540" s="159">
        <v>0.8</v>
      </c>
      <c r="L1540" s="60">
        <f t="shared" si="92"/>
        <v>656</v>
      </c>
      <c r="M1540" s="62">
        <v>0</v>
      </c>
      <c r="N1540" s="63">
        <f t="shared" si="94"/>
        <v>656</v>
      </c>
      <c r="O1540" s="206"/>
      <c r="P1540" s="145" t="str">
        <f t="shared" si="93"/>
        <v>PLC3,9</v>
      </c>
      <c r="Q1540" s="52">
        <f t="shared" si="90"/>
        <v>9</v>
      </c>
      <c r="R1540" s="8">
        <f t="shared" si="91"/>
        <v>2025</v>
      </c>
    </row>
    <row r="1541" spans="1:18" ht="15.75" hidden="1" thickBot="1" x14ac:dyDescent="0.3">
      <c r="A1541" s="225"/>
      <c r="B1541" s="113">
        <v>45718</v>
      </c>
      <c r="C1541" s="66" t="s">
        <v>59</v>
      </c>
      <c r="D1541" s="67" t="s">
        <v>38</v>
      </c>
      <c r="E1541" s="67" t="s">
        <v>39</v>
      </c>
      <c r="F1541" s="67" t="s">
        <v>40</v>
      </c>
      <c r="G1541" s="43">
        <v>3.9</v>
      </c>
      <c r="H1541" s="67">
        <v>900</v>
      </c>
      <c r="I1541" s="72">
        <v>820</v>
      </c>
      <c r="J1541" s="67">
        <v>0</v>
      </c>
      <c r="K1541" s="161">
        <v>0.8</v>
      </c>
      <c r="L1541" s="67">
        <f t="shared" si="92"/>
        <v>656</v>
      </c>
      <c r="M1541" s="69">
        <v>0</v>
      </c>
      <c r="N1541" s="70">
        <f t="shared" si="94"/>
        <v>656</v>
      </c>
      <c r="O1541" s="207"/>
      <c r="P1541" s="145" t="str">
        <f t="shared" si="93"/>
        <v>PLC3,9</v>
      </c>
      <c r="Q1541" s="52">
        <f t="shared" si="90"/>
        <v>9</v>
      </c>
      <c r="R1541" s="8">
        <f t="shared" si="91"/>
        <v>2025</v>
      </c>
    </row>
    <row r="1542" spans="1:18" hidden="1" x14ac:dyDescent="0.25">
      <c r="A1542" s="223">
        <f>_xlfn.ISOWEEKNUM(B1542)</f>
        <v>10</v>
      </c>
      <c r="B1542" s="145">
        <v>45719</v>
      </c>
      <c r="C1542" s="40" t="s">
        <v>37</v>
      </c>
      <c r="D1542" s="72" t="s">
        <v>38</v>
      </c>
      <c r="E1542" s="41" t="s">
        <v>39</v>
      </c>
      <c r="F1542" s="41" t="s">
        <v>40</v>
      </c>
      <c r="G1542" s="43">
        <v>3.9</v>
      </c>
      <c r="H1542" s="41">
        <v>900</v>
      </c>
      <c r="I1542" s="72">
        <v>820</v>
      </c>
      <c r="J1542" s="41">
        <v>0</v>
      </c>
      <c r="K1542" s="157">
        <v>0.8</v>
      </c>
      <c r="L1542" s="41">
        <f t="shared" si="92"/>
        <v>656</v>
      </c>
      <c r="M1542" s="73">
        <v>0</v>
      </c>
      <c r="N1542" s="74">
        <f t="shared" si="94"/>
        <v>656</v>
      </c>
      <c r="O1542" s="208"/>
      <c r="P1542" s="145" t="str">
        <f t="shared" si="93"/>
        <v>PLC3,9</v>
      </c>
      <c r="Q1542" s="52">
        <f t="shared" si="90"/>
        <v>10</v>
      </c>
      <c r="R1542" s="8">
        <f t="shared" si="91"/>
        <v>2025</v>
      </c>
    </row>
    <row r="1543" spans="1:18" hidden="1" x14ac:dyDescent="0.25">
      <c r="A1543" s="224"/>
      <c r="B1543" s="145">
        <v>45720</v>
      </c>
      <c r="C1543" s="52" t="s">
        <v>42</v>
      </c>
      <c r="D1543" s="52" t="s">
        <v>38</v>
      </c>
      <c r="E1543" s="53" t="s">
        <v>39</v>
      </c>
      <c r="F1543" s="53" t="s">
        <v>40</v>
      </c>
      <c r="G1543" s="43">
        <v>3.9</v>
      </c>
      <c r="H1543" s="41">
        <v>900</v>
      </c>
      <c r="I1543" s="72">
        <v>820</v>
      </c>
      <c r="J1543" s="53">
        <v>0</v>
      </c>
      <c r="K1543" s="157">
        <v>0.8</v>
      </c>
      <c r="L1543" s="53">
        <f t="shared" si="92"/>
        <v>656</v>
      </c>
      <c r="M1543" s="55">
        <v>0</v>
      </c>
      <c r="N1543" s="56">
        <f t="shared" si="94"/>
        <v>656</v>
      </c>
      <c r="O1543" s="156"/>
      <c r="P1543" s="145" t="str">
        <f t="shared" si="93"/>
        <v>PLC3,9</v>
      </c>
      <c r="Q1543" s="52">
        <f t="shared" si="90"/>
        <v>10</v>
      </c>
      <c r="R1543" s="8">
        <f t="shared" si="91"/>
        <v>2025</v>
      </c>
    </row>
    <row r="1544" spans="1:18" hidden="1" x14ac:dyDescent="0.25">
      <c r="A1544" s="224"/>
      <c r="B1544" s="145">
        <v>45721</v>
      </c>
      <c r="C1544" s="52" t="s">
        <v>46</v>
      </c>
      <c r="D1544" s="52" t="s">
        <v>38</v>
      </c>
      <c r="E1544" s="53" t="s">
        <v>39</v>
      </c>
      <c r="F1544" s="53" t="s">
        <v>40</v>
      </c>
      <c r="G1544" s="43">
        <v>3.9</v>
      </c>
      <c r="H1544" s="41">
        <v>900</v>
      </c>
      <c r="I1544" s="72">
        <v>820</v>
      </c>
      <c r="J1544" s="53">
        <v>0</v>
      </c>
      <c r="K1544" s="157">
        <v>0.8</v>
      </c>
      <c r="L1544" s="53">
        <f t="shared" si="92"/>
        <v>656</v>
      </c>
      <c r="M1544" s="55">
        <v>0</v>
      </c>
      <c r="N1544" s="56">
        <f t="shared" si="94"/>
        <v>656</v>
      </c>
      <c r="O1544" s="156"/>
      <c r="P1544" s="145" t="str">
        <f t="shared" si="93"/>
        <v>PLC3,9</v>
      </c>
      <c r="Q1544" s="52">
        <f t="shared" si="90"/>
        <v>10</v>
      </c>
      <c r="R1544" s="8">
        <f t="shared" si="91"/>
        <v>2025</v>
      </c>
    </row>
    <row r="1545" spans="1:18" hidden="1" x14ac:dyDescent="0.25">
      <c r="A1545" s="224"/>
      <c r="B1545" s="145">
        <v>45722</v>
      </c>
      <c r="C1545" s="52" t="s">
        <v>50</v>
      </c>
      <c r="D1545" s="52" t="s">
        <v>38</v>
      </c>
      <c r="E1545" s="53" t="s">
        <v>39</v>
      </c>
      <c r="F1545" s="53" t="s">
        <v>40</v>
      </c>
      <c r="G1545" s="43">
        <v>4.9000000000000004</v>
      </c>
      <c r="H1545" s="41">
        <v>900</v>
      </c>
      <c r="I1545" s="72">
        <v>820</v>
      </c>
      <c r="J1545" s="53">
        <v>0</v>
      </c>
      <c r="K1545" s="157">
        <v>0.8</v>
      </c>
      <c r="L1545" s="53">
        <f t="shared" si="92"/>
        <v>656</v>
      </c>
      <c r="M1545" s="55">
        <v>0</v>
      </c>
      <c r="N1545" s="56">
        <f t="shared" si="94"/>
        <v>656</v>
      </c>
      <c r="O1545" s="156"/>
      <c r="P1545" s="145" t="str">
        <f t="shared" si="93"/>
        <v>PLC4,9</v>
      </c>
      <c r="Q1545" s="52">
        <f t="shared" ref="Q1545:Q1608" si="95">_xlfn.ISOWEEKNUM(B1545)</f>
        <v>10</v>
      </c>
      <c r="R1545" s="8">
        <f t="shared" ref="R1545:R1608" si="96">YEAR(B1545)</f>
        <v>2025</v>
      </c>
    </row>
    <row r="1546" spans="1:18" hidden="1" x14ac:dyDescent="0.25">
      <c r="A1546" s="224"/>
      <c r="B1546" s="145">
        <v>45723</v>
      </c>
      <c r="C1546" s="52" t="s">
        <v>53</v>
      </c>
      <c r="D1546" s="52" t="s">
        <v>38</v>
      </c>
      <c r="E1546" s="53" t="s">
        <v>39</v>
      </c>
      <c r="F1546" s="53" t="s">
        <v>40</v>
      </c>
      <c r="G1546" s="43">
        <v>5.9</v>
      </c>
      <c r="H1546" s="41">
        <v>900</v>
      </c>
      <c r="I1546" s="72">
        <v>820</v>
      </c>
      <c r="J1546" s="53">
        <v>0</v>
      </c>
      <c r="K1546" s="157">
        <v>0.8</v>
      </c>
      <c r="L1546" s="53">
        <f t="shared" si="92"/>
        <v>656</v>
      </c>
      <c r="M1546" s="55">
        <v>0</v>
      </c>
      <c r="N1546" s="56">
        <f t="shared" si="94"/>
        <v>656</v>
      </c>
      <c r="O1546" s="156"/>
      <c r="P1546" s="145" t="str">
        <f t="shared" si="93"/>
        <v>PLC5,9</v>
      </c>
      <c r="Q1546" s="52">
        <f t="shared" si="95"/>
        <v>10</v>
      </c>
      <c r="R1546" s="8">
        <f t="shared" si="96"/>
        <v>2025</v>
      </c>
    </row>
    <row r="1547" spans="1:18" hidden="1" x14ac:dyDescent="0.25">
      <c r="A1547" s="224"/>
      <c r="B1547" s="148">
        <v>45724</v>
      </c>
      <c r="C1547" s="58" t="s">
        <v>57</v>
      </c>
      <c r="D1547" s="59" t="s">
        <v>38</v>
      </c>
      <c r="E1547" s="60" t="s">
        <v>39</v>
      </c>
      <c r="F1547" s="60" t="s">
        <v>40</v>
      </c>
      <c r="G1547" s="199">
        <v>5.9</v>
      </c>
      <c r="H1547" s="41">
        <v>900</v>
      </c>
      <c r="I1547" s="72">
        <v>820</v>
      </c>
      <c r="J1547" s="60">
        <v>0</v>
      </c>
      <c r="K1547" s="159">
        <v>0.8</v>
      </c>
      <c r="L1547" s="60">
        <f t="shared" si="92"/>
        <v>656</v>
      </c>
      <c r="M1547" s="62">
        <v>0</v>
      </c>
      <c r="N1547" s="63">
        <f t="shared" si="94"/>
        <v>656</v>
      </c>
      <c r="O1547" s="206"/>
      <c r="P1547" s="145" t="str">
        <f t="shared" si="93"/>
        <v>PLC5,9</v>
      </c>
      <c r="Q1547" s="52">
        <f t="shared" si="95"/>
        <v>10</v>
      </c>
      <c r="R1547" s="8">
        <f t="shared" si="96"/>
        <v>2025</v>
      </c>
    </row>
    <row r="1548" spans="1:18" ht="15.75" hidden="1" thickBot="1" x14ac:dyDescent="0.3">
      <c r="A1548" s="225"/>
      <c r="B1548" s="113">
        <v>45725</v>
      </c>
      <c r="C1548" s="66" t="s">
        <v>59</v>
      </c>
      <c r="D1548" s="67" t="s">
        <v>38</v>
      </c>
      <c r="E1548" s="67" t="s">
        <v>39</v>
      </c>
      <c r="F1548" s="67" t="s">
        <v>40</v>
      </c>
      <c r="G1548" s="68">
        <v>5.9</v>
      </c>
      <c r="H1548" s="41">
        <v>900</v>
      </c>
      <c r="I1548" s="72">
        <v>820</v>
      </c>
      <c r="J1548" s="67">
        <v>0</v>
      </c>
      <c r="K1548" s="161">
        <v>0.8</v>
      </c>
      <c r="L1548" s="67">
        <f t="shared" si="92"/>
        <v>656</v>
      </c>
      <c r="M1548" s="69">
        <v>0</v>
      </c>
      <c r="N1548" s="70">
        <f t="shared" si="94"/>
        <v>656</v>
      </c>
      <c r="O1548" s="207"/>
      <c r="P1548" s="145" t="str">
        <f t="shared" si="93"/>
        <v>PLC5,9</v>
      </c>
      <c r="Q1548" s="52">
        <f t="shared" si="95"/>
        <v>10</v>
      </c>
      <c r="R1548" s="8">
        <f t="shared" si="96"/>
        <v>2025</v>
      </c>
    </row>
    <row r="1549" spans="1:18" hidden="1" x14ac:dyDescent="0.25">
      <c r="A1549" s="223">
        <f>_xlfn.ISOWEEKNUM(B1549)</f>
        <v>11</v>
      </c>
      <c r="B1549" s="145">
        <v>45726</v>
      </c>
      <c r="C1549" s="40" t="s">
        <v>37</v>
      </c>
      <c r="D1549" s="72" t="s">
        <v>38</v>
      </c>
      <c r="E1549" s="41" t="s">
        <v>39</v>
      </c>
      <c r="F1549" s="41" t="s">
        <v>40</v>
      </c>
      <c r="G1549" s="43">
        <v>8</v>
      </c>
      <c r="H1549" s="41">
        <v>900</v>
      </c>
      <c r="I1549" s="72">
        <v>820</v>
      </c>
      <c r="J1549" s="41">
        <v>0</v>
      </c>
      <c r="K1549" s="157">
        <v>0.8</v>
      </c>
      <c r="L1549" s="41">
        <f t="shared" si="92"/>
        <v>656</v>
      </c>
      <c r="M1549" s="73">
        <v>0</v>
      </c>
      <c r="N1549" s="74">
        <f t="shared" si="94"/>
        <v>656</v>
      </c>
      <c r="O1549" s="208"/>
      <c r="P1549" s="145" t="str">
        <f t="shared" si="93"/>
        <v>PLC8</v>
      </c>
      <c r="Q1549" s="52">
        <f t="shared" si="95"/>
        <v>11</v>
      </c>
      <c r="R1549" s="8">
        <f t="shared" si="96"/>
        <v>2025</v>
      </c>
    </row>
    <row r="1550" spans="1:18" hidden="1" x14ac:dyDescent="0.25">
      <c r="A1550" s="224"/>
      <c r="B1550" s="145">
        <v>45727</v>
      </c>
      <c r="C1550" s="52" t="s">
        <v>42</v>
      </c>
      <c r="D1550" s="52" t="s">
        <v>38</v>
      </c>
      <c r="E1550" s="53" t="s">
        <v>39</v>
      </c>
      <c r="F1550" s="53" t="s">
        <v>40</v>
      </c>
      <c r="G1550" s="43">
        <v>8</v>
      </c>
      <c r="H1550" s="41">
        <v>900</v>
      </c>
      <c r="I1550" s="72">
        <v>820</v>
      </c>
      <c r="J1550" s="53">
        <v>0</v>
      </c>
      <c r="K1550" s="157">
        <v>0.8</v>
      </c>
      <c r="L1550" s="53">
        <f t="shared" si="92"/>
        <v>656</v>
      </c>
      <c r="M1550" s="55">
        <v>0</v>
      </c>
      <c r="N1550" s="56">
        <f t="shared" si="94"/>
        <v>656</v>
      </c>
      <c r="O1550" s="156"/>
      <c r="P1550" s="145" t="str">
        <f t="shared" si="93"/>
        <v>PLC8</v>
      </c>
      <c r="Q1550" s="52">
        <f t="shared" si="95"/>
        <v>11</v>
      </c>
      <c r="R1550" s="8">
        <f t="shared" si="96"/>
        <v>2025</v>
      </c>
    </row>
    <row r="1551" spans="1:18" hidden="1" x14ac:dyDescent="0.25">
      <c r="A1551" s="224"/>
      <c r="B1551" s="145">
        <v>45728</v>
      </c>
      <c r="C1551" s="52" t="s">
        <v>46</v>
      </c>
      <c r="D1551" s="52" t="s">
        <v>38</v>
      </c>
      <c r="E1551" s="53" t="s">
        <v>39</v>
      </c>
      <c r="F1551" s="53" t="s">
        <v>40</v>
      </c>
      <c r="G1551" s="43">
        <v>12</v>
      </c>
      <c r="H1551" s="41">
        <v>900</v>
      </c>
      <c r="I1551" s="72">
        <v>820</v>
      </c>
      <c r="J1551" s="53">
        <v>0</v>
      </c>
      <c r="K1551" s="157">
        <v>0.8</v>
      </c>
      <c r="L1551" s="53">
        <f t="shared" si="92"/>
        <v>656</v>
      </c>
      <c r="M1551" s="55">
        <v>0</v>
      </c>
      <c r="N1551" s="56">
        <f t="shared" si="94"/>
        <v>656</v>
      </c>
      <c r="O1551" s="156"/>
      <c r="P1551" s="145" t="str">
        <f t="shared" si="93"/>
        <v>PLC12</v>
      </c>
      <c r="Q1551" s="52">
        <f t="shared" si="95"/>
        <v>11</v>
      </c>
      <c r="R1551" s="8">
        <f t="shared" si="96"/>
        <v>2025</v>
      </c>
    </row>
    <row r="1552" spans="1:18" hidden="1" x14ac:dyDescent="0.25">
      <c r="A1552" s="224"/>
      <c r="B1552" s="145">
        <v>45729</v>
      </c>
      <c r="C1552" s="52" t="s">
        <v>50</v>
      </c>
      <c r="D1552" s="52" t="s">
        <v>38</v>
      </c>
      <c r="E1552" s="53" t="s">
        <v>39</v>
      </c>
      <c r="F1552" s="53" t="s">
        <v>40</v>
      </c>
      <c r="G1552" s="43">
        <v>10</v>
      </c>
      <c r="H1552" s="41">
        <v>900</v>
      </c>
      <c r="I1552" s="72">
        <v>820</v>
      </c>
      <c r="J1552" s="53">
        <v>0</v>
      </c>
      <c r="K1552" s="157">
        <v>0.8</v>
      </c>
      <c r="L1552" s="53">
        <f t="shared" si="92"/>
        <v>656</v>
      </c>
      <c r="M1552" s="55">
        <v>0</v>
      </c>
      <c r="N1552" s="56">
        <f t="shared" si="94"/>
        <v>656</v>
      </c>
      <c r="O1552" s="156"/>
      <c r="P1552" s="145" t="str">
        <f t="shared" si="93"/>
        <v>PLC10</v>
      </c>
      <c r="Q1552" s="52">
        <f t="shared" si="95"/>
        <v>11</v>
      </c>
      <c r="R1552" s="8">
        <f t="shared" si="96"/>
        <v>2025</v>
      </c>
    </row>
    <row r="1553" spans="1:18" hidden="1" x14ac:dyDescent="0.25">
      <c r="A1553" s="224"/>
      <c r="B1553" s="145">
        <v>45730</v>
      </c>
      <c r="C1553" s="52" t="s">
        <v>53</v>
      </c>
      <c r="D1553" s="52" t="s">
        <v>38</v>
      </c>
      <c r="E1553" s="53" t="s">
        <v>39</v>
      </c>
      <c r="F1553" s="53" t="s">
        <v>40</v>
      </c>
      <c r="G1553" s="43">
        <v>10</v>
      </c>
      <c r="H1553" s="41">
        <v>900</v>
      </c>
      <c r="I1553" s="72">
        <v>820</v>
      </c>
      <c r="J1553" s="53">
        <v>0</v>
      </c>
      <c r="K1553" s="157">
        <v>0.8</v>
      </c>
      <c r="L1553" s="53">
        <f t="shared" si="92"/>
        <v>656</v>
      </c>
      <c r="M1553" s="55">
        <v>0</v>
      </c>
      <c r="N1553" s="56">
        <f t="shared" si="94"/>
        <v>656</v>
      </c>
      <c r="O1553" s="156"/>
      <c r="P1553" s="145" t="str">
        <f t="shared" si="93"/>
        <v>PLC10</v>
      </c>
      <c r="Q1553" s="52">
        <f t="shared" si="95"/>
        <v>11</v>
      </c>
      <c r="R1553" s="8">
        <f t="shared" si="96"/>
        <v>2025</v>
      </c>
    </row>
    <row r="1554" spans="1:18" hidden="1" x14ac:dyDescent="0.25">
      <c r="A1554" s="224"/>
      <c r="B1554" s="148">
        <v>45731</v>
      </c>
      <c r="C1554" s="58" t="s">
        <v>57</v>
      </c>
      <c r="D1554" s="59" t="s">
        <v>38</v>
      </c>
      <c r="E1554" s="60" t="s">
        <v>39</v>
      </c>
      <c r="F1554" s="60" t="s">
        <v>40</v>
      </c>
      <c r="G1554" s="199">
        <v>8</v>
      </c>
      <c r="H1554" s="41">
        <v>900</v>
      </c>
      <c r="I1554" s="72">
        <v>820</v>
      </c>
      <c r="J1554" s="60">
        <v>0</v>
      </c>
      <c r="K1554" s="159">
        <v>0.8</v>
      </c>
      <c r="L1554" s="60">
        <f t="shared" si="92"/>
        <v>656</v>
      </c>
      <c r="M1554" s="62">
        <v>0</v>
      </c>
      <c r="N1554" s="63">
        <f t="shared" si="94"/>
        <v>656</v>
      </c>
      <c r="O1554" s="206"/>
      <c r="P1554" s="145" t="str">
        <f t="shared" si="93"/>
        <v>PLC8</v>
      </c>
      <c r="Q1554" s="52">
        <f t="shared" si="95"/>
        <v>11</v>
      </c>
      <c r="R1554" s="8">
        <f t="shared" si="96"/>
        <v>2025</v>
      </c>
    </row>
    <row r="1555" spans="1:18" ht="15.75" hidden="1" thickBot="1" x14ac:dyDescent="0.3">
      <c r="A1555" s="225"/>
      <c r="B1555" s="113">
        <v>45732</v>
      </c>
      <c r="C1555" s="66" t="s">
        <v>59</v>
      </c>
      <c r="D1555" s="67" t="s">
        <v>38</v>
      </c>
      <c r="E1555" s="67" t="s">
        <v>39</v>
      </c>
      <c r="F1555" s="67" t="s">
        <v>40</v>
      </c>
      <c r="G1555" s="68">
        <v>8</v>
      </c>
      <c r="H1555" s="41">
        <v>900</v>
      </c>
      <c r="I1555" s="72">
        <v>820</v>
      </c>
      <c r="J1555" s="67">
        <v>0</v>
      </c>
      <c r="K1555" s="161">
        <v>0.8</v>
      </c>
      <c r="L1555" s="67">
        <f t="shared" si="92"/>
        <v>656</v>
      </c>
      <c r="M1555" s="69">
        <v>0</v>
      </c>
      <c r="N1555" s="70">
        <f t="shared" si="94"/>
        <v>656</v>
      </c>
      <c r="O1555" s="207"/>
      <c r="P1555" s="145" t="str">
        <f t="shared" si="93"/>
        <v>PLC8</v>
      </c>
      <c r="Q1555" s="52">
        <f t="shared" si="95"/>
        <v>11</v>
      </c>
      <c r="R1555" s="8">
        <f t="shared" si="96"/>
        <v>2025</v>
      </c>
    </row>
    <row r="1556" spans="1:18" hidden="1" x14ac:dyDescent="0.25">
      <c r="A1556" s="223">
        <f>_xlfn.ISOWEEKNUM(B1556)</f>
        <v>12</v>
      </c>
      <c r="B1556" s="145">
        <v>45733</v>
      </c>
      <c r="C1556" s="40" t="s">
        <v>37</v>
      </c>
      <c r="D1556" s="72" t="s">
        <v>38</v>
      </c>
      <c r="E1556" s="41" t="s">
        <v>39</v>
      </c>
      <c r="F1556" s="41" t="s">
        <v>40</v>
      </c>
      <c r="G1556" s="43">
        <v>5.9</v>
      </c>
      <c r="H1556" s="41">
        <v>900</v>
      </c>
      <c r="I1556" s="72">
        <v>820</v>
      </c>
      <c r="J1556" s="41">
        <v>0</v>
      </c>
      <c r="K1556" s="157">
        <v>0.8</v>
      </c>
      <c r="L1556" s="41">
        <f t="shared" si="92"/>
        <v>656</v>
      </c>
      <c r="M1556" s="73">
        <v>0</v>
      </c>
      <c r="N1556" s="74">
        <f t="shared" si="94"/>
        <v>656</v>
      </c>
      <c r="O1556" s="208"/>
      <c r="P1556" s="145" t="str">
        <f t="shared" si="93"/>
        <v>PLC5,9</v>
      </c>
      <c r="Q1556" s="52">
        <f t="shared" si="95"/>
        <v>12</v>
      </c>
      <c r="R1556" s="8">
        <f t="shared" si="96"/>
        <v>2025</v>
      </c>
    </row>
    <row r="1557" spans="1:18" hidden="1" x14ac:dyDescent="0.25">
      <c r="A1557" s="224"/>
      <c r="B1557" s="145">
        <v>45734</v>
      </c>
      <c r="C1557" s="52" t="s">
        <v>42</v>
      </c>
      <c r="D1557" s="52" t="s">
        <v>38</v>
      </c>
      <c r="E1557" s="53" t="s">
        <v>39</v>
      </c>
      <c r="F1557" s="53" t="s">
        <v>40</v>
      </c>
      <c r="G1557" s="43">
        <v>5.9</v>
      </c>
      <c r="H1557" s="41">
        <v>900</v>
      </c>
      <c r="I1557" s="72">
        <v>820</v>
      </c>
      <c r="J1557" s="53">
        <v>0</v>
      </c>
      <c r="K1557" s="157">
        <v>0.8</v>
      </c>
      <c r="L1557" s="53">
        <f t="shared" si="92"/>
        <v>656</v>
      </c>
      <c r="M1557" s="55">
        <v>0</v>
      </c>
      <c r="N1557" s="56">
        <f t="shared" si="94"/>
        <v>656</v>
      </c>
      <c r="O1557" s="156"/>
      <c r="P1557" s="145" t="str">
        <f t="shared" si="93"/>
        <v>PLC5,9</v>
      </c>
      <c r="Q1557" s="52">
        <f t="shared" si="95"/>
        <v>12</v>
      </c>
      <c r="R1557" s="8">
        <f t="shared" si="96"/>
        <v>2025</v>
      </c>
    </row>
    <row r="1558" spans="1:18" hidden="1" x14ac:dyDescent="0.25">
      <c r="A1558" s="224"/>
      <c r="B1558" s="145">
        <v>45735</v>
      </c>
      <c r="C1558" s="52" t="s">
        <v>46</v>
      </c>
      <c r="D1558" s="52" t="s">
        <v>38</v>
      </c>
      <c r="E1558" s="53" t="s">
        <v>39</v>
      </c>
      <c r="F1558" s="53" t="s">
        <v>40</v>
      </c>
      <c r="G1558" s="43">
        <v>3.9</v>
      </c>
      <c r="H1558" s="41">
        <v>900</v>
      </c>
      <c r="I1558" s="72">
        <v>820</v>
      </c>
      <c r="J1558" s="53">
        <v>0</v>
      </c>
      <c r="K1558" s="157">
        <v>0.8</v>
      </c>
      <c r="L1558" s="53">
        <f t="shared" si="92"/>
        <v>656</v>
      </c>
      <c r="M1558" s="55">
        <v>0</v>
      </c>
      <c r="N1558" s="56">
        <f t="shared" si="94"/>
        <v>656</v>
      </c>
      <c r="O1558" s="156"/>
      <c r="P1558" s="145" t="str">
        <f t="shared" si="93"/>
        <v>PLC3,9</v>
      </c>
      <c r="Q1558" s="52">
        <f t="shared" si="95"/>
        <v>12</v>
      </c>
      <c r="R1558" s="8">
        <f t="shared" si="96"/>
        <v>2025</v>
      </c>
    </row>
    <row r="1559" spans="1:18" hidden="1" x14ac:dyDescent="0.25">
      <c r="A1559" s="224"/>
      <c r="B1559" s="145">
        <v>45736</v>
      </c>
      <c r="C1559" s="52" t="s">
        <v>50</v>
      </c>
      <c r="D1559" s="52" t="s">
        <v>38</v>
      </c>
      <c r="E1559" s="53" t="s">
        <v>39</v>
      </c>
      <c r="F1559" s="53" t="s">
        <v>40</v>
      </c>
      <c r="G1559" s="43">
        <v>3.9</v>
      </c>
      <c r="H1559" s="41">
        <v>900</v>
      </c>
      <c r="I1559" s="72">
        <v>820</v>
      </c>
      <c r="J1559" s="53">
        <v>0</v>
      </c>
      <c r="K1559" s="157">
        <v>0.8</v>
      </c>
      <c r="L1559" s="53">
        <f t="shared" si="92"/>
        <v>656</v>
      </c>
      <c r="M1559" s="55">
        <v>0</v>
      </c>
      <c r="N1559" s="56">
        <f t="shared" si="94"/>
        <v>656</v>
      </c>
      <c r="O1559" s="156"/>
      <c r="P1559" s="145" t="str">
        <f t="shared" si="93"/>
        <v>PLC3,9</v>
      </c>
      <c r="Q1559" s="52">
        <f t="shared" si="95"/>
        <v>12</v>
      </c>
      <c r="R1559" s="8">
        <f t="shared" si="96"/>
        <v>2025</v>
      </c>
    </row>
    <row r="1560" spans="1:18" hidden="1" x14ac:dyDescent="0.25">
      <c r="A1560" s="224"/>
      <c r="B1560" s="145">
        <v>45737</v>
      </c>
      <c r="C1560" s="52" t="s">
        <v>53</v>
      </c>
      <c r="D1560" s="52" t="s">
        <v>38</v>
      </c>
      <c r="E1560" s="53" t="s">
        <v>39</v>
      </c>
      <c r="F1560" s="53" t="s">
        <v>40</v>
      </c>
      <c r="G1560" s="43">
        <v>3.9</v>
      </c>
      <c r="H1560" s="41">
        <v>900</v>
      </c>
      <c r="I1560" s="72">
        <v>820</v>
      </c>
      <c r="J1560" s="53">
        <v>0</v>
      </c>
      <c r="K1560" s="157">
        <v>0.8</v>
      </c>
      <c r="L1560" s="53">
        <f t="shared" si="92"/>
        <v>656</v>
      </c>
      <c r="M1560" s="55">
        <v>0</v>
      </c>
      <c r="N1560" s="56">
        <f t="shared" si="94"/>
        <v>656</v>
      </c>
      <c r="O1560" s="156"/>
      <c r="P1560" s="145" t="str">
        <f t="shared" si="93"/>
        <v>PLC3,9</v>
      </c>
      <c r="Q1560" s="52">
        <f t="shared" si="95"/>
        <v>12</v>
      </c>
      <c r="R1560" s="8">
        <f t="shared" si="96"/>
        <v>2025</v>
      </c>
    </row>
    <row r="1561" spans="1:18" hidden="1" x14ac:dyDescent="0.25">
      <c r="A1561" s="224"/>
      <c r="B1561" s="148">
        <v>45738</v>
      </c>
      <c r="C1561" s="58" t="s">
        <v>57</v>
      </c>
      <c r="D1561" s="59" t="s">
        <v>38</v>
      </c>
      <c r="E1561" s="60" t="s">
        <v>39</v>
      </c>
      <c r="F1561" s="60" t="s">
        <v>40</v>
      </c>
      <c r="G1561" s="199">
        <v>3.9</v>
      </c>
      <c r="H1561" s="41">
        <v>900</v>
      </c>
      <c r="I1561" s="72">
        <v>820</v>
      </c>
      <c r="J1561" s="60">
        <v>0</v>
      </c>
      <c r="K1561" s="159">
        <v>0.8</v>
      </c>
      <c r="L1561" s="60">
        <f t="shared" si="92"/>
        <v>656</v>
      </c>
      <c r="M1561" s="62">
        <v>0</v>
      </c>
      <c r="N1561" s="63">
        <f t="shared" si="94"/>
        <v>656</v>
      </c>
      <c r="O1561" s="206"/>
      <c r="P1561" s="145" t="str">
        <f t="shared" si="93"/>
        <v>PLC3,9</v>
      </c>
      <c r="Q1561" s="52">
        <f t="shared" si="95"/>
        <v>12</v>
      </c>
      <c r="R1561" s="8">
        <f t="shared" si="96"/>
        <v>2025</v>
      </c>
    </row>
    <row r="1562" spans="1:18" ht="15.75" hidden="1" thickBot="1" x14ac:dyDescent="0.3">
      <c r="A1562" s="225"/>
      <c r="B1562" s="113">
        <v>45739</v>
      </c>
      <c r="C1562" s="66" t="s">
        <v>59</v>
      </c>
      <c r="D1562" s="67" t="s">
        <v>38</v>
      </c>
      <c r="E1562" s="67" t="s">
        <v>39</v>
      </c>
      <c r="F1562" s="67" t="s">
        <v>40</v>
      </c>
      <c r="G1562" s="68">
        <v>3.9</v>
      </c>
      <c r="H1562" s="41">
        <v>900</v>
      </c>
      <c r="I1562" s="72">
        <v>820</v>
      </c>
      <c r="J1562" s="67">
        <v>0</v>
      </c>
      <c r="K1562" s="161">
        <v>0.8</v>
      </c>
      <c r="L1562" s="67">
        <f t="shared" ref="L1562:L1625" si="97">IF(J1562&gt;0,J1562*K1562,I1562*K1562)</f>
        <v>656</v>
      </c>
      <c r="M1562" s="69">
        <v>0</v>
      </c>
      <c r="N1562" s="70">
        <f t="shared" si="94"/>
        <v>656</v>
      </c>
      <c r="O1562" s="207"/>
      <c r="P1562" s="145" t="str">
        <f t="shared" si="93"/>
        <v>PLC3,9</v>
      </c>
      <c r="Q1562" s="52">
        <f t="shared" si="95"/>
        <v>12</v>
      </c>
      <c r="R1562" s="8">
        <f t="shared" si="96"/>
        <v>2025</v>
      </c>
    </row>
    <row r="1563" spans="1:18" hidden="1" x14ac:dyDescent="0.25">
      <c r="A1563" s="223">
        <f>_xlfn.ISOWEEKNUM(B1563)</f>
        <v>13</v>
      </c>
      <c r="B1563" s="145">
        <v>45740</v>
      </c>
      <c r="C1563" s="40" t="s">
        <v>37</v>
      </c>
      <c r="D1563" s="72" t="s">
        <v>38</v>
      </c>
      <c r="E1563" s="41" t="s">
        <v>39</v>
      </c>
      <c r="F1563" s="41" t="s">
        <v>40</v>
      </c>
      <c r="G1563" s="43">
        <v>3.9</v>
      </c>
      <c r="H1563" s="41">
        <v>900</v>
      </c>
      <c r="I1563" s="72">
        <v>820</v>
      </c>
      <c r="J1563" s="41">
        <v>0</v>
      </c>
      <c r="K1563" s="157">
        <v>0.8</v>
      </c>
      <c r="L1563" s="41">
        <f t="shared" si="97"/>
        <v>656</v>
      </c>
      <c r="M1563" s="73">
        <v>0</v>
      </c>
      <c r="N1563" s="74">
        <f t="shared" si="94"/>
        <v>656</v>
      </c>
      <c r="O1563" s="208"/>
      <c r="P1563" s="145" t="str">
        <f t="shared" si="93"/>
        <v>PLC3,9</v>
      </c>
      <c r="Q1563" s="52">
        <f t="shared" si="95"/>
        <v>13</v>
      </c>
      <c r="R1563" s="8">
        <f t="shared" si="96"/>
        <v>2025</v>
      </c>
    </row>
    <row r="1564" spans="1:18" hidden="1" x14ac:dyDescent="0.25">
      <c r="A1564" s="224"/>
      <c r="B1564" s="145">
        <v>45741</v>
      </c>
      <c r="C1564" s="52" t="s">
        <v>42</v>
      </c>
      <c r="D1564" s="52" t="s">
        <v>38</v>
      </c>
      <c r="E1564" s="53" t="s">
        <v>39</v>
      </c>
      <c r="F1564" s="53" t="s">
        <v>40</v>
      </c>
      <c r="G1564" s="43">
        <v>3.9</v>
      </c>
      <c r="H1564" s="41">
        <v>900</v>
      </c>
      <c r="I1564" s="72">
        <v>820</v>
      </c>
      <c r="J1564" s="53">
        <v>0</v>
      </c>
      <c r="K1564" s="157">
        <v>0.8</v>
      </c>
      <c r="L1564" s="53">
        <f t="shared" si="97"/>
        <v>656</v>
      </c>
      <c r="M1564" s="55">
        <v>0</v>
      </c>
      <c r="N1564" s="56">
        <f t="shared" si="94"/>
        <v>656</v>
      </c>
      <c r="O1564" s="156"/>
      <c r="P1564" s="145" t="str">
        <f t="shared" si="93"/>
        <v>PLC3,9</v>
      </c>
      <c r="Q1564" s="52">
        <f t="shared" si="95"/>
        <v>13</v>
      </c>
      <c r="R1564" s="8">
        <f t="shared" si="96"/>
        <v>2025</v>
      </c>
    </row>
    <row r="1565" spans="1:18" hidden="1" x14ac:dyDescent="0.25">
      <c r="A1565" s="224"/>
      <c r="B1565" s="145">
        <v>45742</v>
      </c>
      <c r="C1565" s="52" t="s">
        <v>46</v>
      </c>
      <c r="D1565" s="52" t="s">
        <v>38</v>
      </c>
      <c r="E1565" s="53" t="s">
        <v>39</v>
      </c>
      <c r="F1565" s="53" t="s">
        <v>40</v>
      </c>
      <c r="G1565" s="43">
        <v>5.9</v>
      </c>
      <c r="H1565" s="41">
        <v>900</v>
      </c>
      <c r="I1565" s="72">
        <v>820</v>
      </c>
      <c r="J1565" s="53">
        <v>0</v>
      </c>
      <c r="K1565" s="157">
        <v>0.8</v>
      </c>
      <c r="L1565" s="53">
        <f t="shared" si="97"/>
        <v>656</v>
      </c>
      <c r="M1565" s="55">
        <v>0</v>
      </c>
      <c r="N1565" s="56">
        <f t="shared" si="94"/>
        <v>656</v>
      </c>
      <c r="O1565" s="156"/>
      <c r="P1565" s="145" t="str">
        <f t="shared" si="93"/>
        <v>PLC5,9</v>
      </c>
      <c r="Q1565" s="52">
        <f t="shared" si="95"/>
        <v>13</v>
      </c>
      <c r="R1565" s="8">
        <f t="shared" si="96"/>
        <v>2025</v>
      </c>
    </row>
    <row r="1566" spans="1:18" hidden="1" x14ac:dyDescent="0.25">
      <c r="A1566" s="224"/>
      <c r="B1566" s="145">
        <v>45743</v>
      </c>
      <c r="C1566" s="52" t="s">
        <v>50</v>
      </c>
      <c r="D1566" s="52" t="s">
        <v>38</v>
      </c>
      <c r="E1566" s="53" t="s">
        <v>39</v>
      </c>
      <c r="F1566" s="53" t="s">
        <v>40</v>
      </c>
      <c r="G1566" s="43">
        <v>5.9</v>
      </c>
      <c r="H1566" s="41">
        <v>900</v>
      </c>
      <c r="I1566" s="72">
        <v>820</v>
      </c>
      <c r="J1566" s="53">
        <v>0</v>
      </c>
      <c r="K1566" s="157">
        <v>0.8</v>
      </c>
      <c r="L1566" s="53">
        <f t="shared" si="97"/>
        <v>656</v>
      </c>
      <c r="M1566" s="55">
        <v>0</v>
      </c>
      <c r="N1566" s="56">
        <f t="shared" si="94"/>
        <v>656</v>
      </c>
      <c r="O1566" s="156"/>
      <c r="P1566" s="145" t="str">
        <f t="shared" si="93"/>
        <v>PLC5,9</v>
      </c>
      <c r="Q1566" s="52">
        <f t="shared" si="95"/>
        <v>13</v>
      </c>
      <c r="R1566" s="8">
        <f t="shared" si="96"/>
        <v>2025</v>
      </c>
    </row>
    <row r="1567" spans="1:18" hidden="1" x14ac:dyDescent="0.25">
      <c r="A1567" s="224"/>
      <c r="B1567" s="145">
        <v>45744</v>
      </c>
      <c r="C1567" s="52" t="s">
        <v>53</v>
      </c>
      <c r="D1567" s="52" t="s">
        <v>38</v>
      </c>
      <c r="E1567" s="53" t="s">
        <v>39</v>
      </c>
      <c r="F1567" s="53" t="s">
        <v>40</v>
      </c>
      <c r="G1567" s="43">
        <v>5.9</v>
      </c>
      <c r="H1567" s="41">
        <v>900</v>
      </c>
      <c r="I1567" s="72">
        <v>820</v>
      </c>
      <c r="J1567" s="53">
        <v>0</v>
      </c>
      <c r="K1567" s="157">
        <v>0.8</v>
      </c>
      <c r="L1567" s="53">
        <f t="shared" si="97"/>
        <v>656</v>
      </c>
      <c r="M1567" s="55">
        <v>0</v>
      </c>
      <c r="N1567" s="56">
        <f t="shared" si="94"/>
        <v>656</v>
      </c>
      <c r="O1567" s="156"/>
      <c r="P1567" s="145" t="str">
        <f t="shared" si="93"/>
        <v>PLC5,9</v>
      </c>
      <c r="Q1567" s="52">
        <f t="shared" si="95"/>
        <v>13</v>
      </c>
      <c r="R1567" s="8">
        <f t="shared" si="96"/>
        <v>2025</v>
      </c>
    </row>
    <row r="1568" spans="1:18" hidden="1" x14ac:dyDescent="0.25">
      <c r="A1568" s="224"/>
      <c r="B1568" s="148">
        <v>45745</v>
      </c>
      <c r="C1568" s="58" t="s">
        <v>57</v>
      </c>
      <c r="D1568" s="59" t="s">
        <v>38</v>
      </c>
      <c r="E1568" s="60" t="s">
        <v>39</v>
      </c>
      <c r="F1568" s="213" t="s">
        <v>40</v>
      </c>
      <c r="G1568" s="199">
        <v>5.9</v>
      </c>
      <c r="H1568" s="41">
        <v>900</v>
      </c>
      <c r="I1568" s="72">
        <v>820</v>
      </c>
      <c r="J1568" s="60">
        <v>0</v>
      </c>
      <c r="K1568" s="159">
        <v>0.8</v>
      </c>
      <c r="L1568" s="60">
        <f t="shared" si="97"/>
        <v>656</v>
      </c>
      <c r="M1568" s="62">
        <v>0</v>
      </c>
      <c r="N1568" s="63">
        <f t="shared" si="94"/>
        <v>656</v>
      </c>
      <c r="O1568" s="206"/>
      <c r="P1568" s="145" t="str">
        <f t="shared" si="93"/>
        <v>PLC5,9</v>
      </c>
      <c r="Q1568" s="52">
        <f t="shared" si="95"/>
        <v>13</v>
      </c>
      <c r="R1568" s="8">
        <f t="shared" si="96"/>
        <v>2025</v>
      </c>
    </row>
    <row r="1569" spans="1:18" ht="15.75" hidden="1" thickBot="1" x14ac:dyDescent="0.3">
      <c r="A1569" s="225"/>
      <c r="B1569" s="113">
        <v>45746</v>
      </c>
      <c r="C1569" s="66" t="s">
        <v>59</v>
      </c>
      <c r="D1569" s="67" t="s">
        <v>38</v>
      </c>
      <c r="E1569" s="67" t="s">
        <v>39</v>
      </c>
      <c r="F1569" s="67" t="s">
        <v>40</v>
      </c>
      <c r="G1569" s="68">
        <v>5.9</v>
      </c>
      <c r="H1569" s="41">
        <v>900</v>
      </c>
      <c r="I1569" s="72">
        <v>820</v>
      </c>
      <c r="J1569" s="67">
        <v>0</v>
      </c>
      <c r="K1569" s="161">
        <v>0.8</v>
      </c>
      <c r="L1569" s="67">
        <f t="shared" si="97"/>
        <v>656</v>
      </c>
      <c r="M1569" s="69">
        <v>0</v>
      </c>
      <c r="N1569" s="70">
        <f t="shared" si="94"/>
        <v>656</v>
      </c>
      <c r="O1569" s="207"/>
      <c r="P1569" s="145" t="str">
        <f t="shared" si="93"/>
        <v>PLC5,9</v>
      </c>
      <c r="Q1569" s="52">
        <f t="shared" si="95"/>
        <v>13</v>
      </c>
      <c r="R1569" s="8">
        <f t="shared" si="96"/>
        <v>2025</v>
      </c>
    </row>
    <row r="1570" spans="1:18" hidden="1" x14ac:dyDescent="0.25">
      <c r="A1570" s="223">
        <f>_xlfn.ISOWEEKNUM(B1570)</f>
        <v>14</v>
      </c>
      <c r="B1570" s="145">
        <v>45747</v>
      </c>
      <c r="C1570" s="40" t="s">
        <v>37</v>
      </c>
      <c r="D1570" s="72" t="s">
        <v>38</v>
      </c>
      <c r="E1570" s="41" t="s">
        <v>39</v>
      </c>
      <c r="F1570" s="41" t="s">
        <v>40</v>
      </c>
      <c r="G1570" s="43">
        <v>5.9</v>
      </c>
      <c r="H1570" s="41">
        <v>900</v>
      </c>
      <c r="I1570" s="72">
        <v>820</v>
      </c>
      <c r="J1570" s="41">
        <v>0</v>
      </c>
      <c r="K1570" s="157">
        <v>0.8</v>
      </c>
      <c r="L1570" s="41">
        <f t="shared" si="97"/>
        <v>656</v>
      </c>
      <c r="M1570" s="73">
        <v>0</v>
      </c>
      <c r="N1570" s="74">
        <f t="shared" si="94"/>
        <v>656</v>
      </c>
      <c r="O1570" s="208"/>
      <c r="P1570" s="145" t="str">
        <f t="shared" si="93"/>
        <v>PLC5,9</v>
      </c>
      <c r="Q1570" s="52">
        <f t="shared" si="95"/>
        <v>14</v>
      </c>
      <c r="R1570" s="8">
        <f t="shared" si="96"/>
        <v>2025</v>
      </c>
    </row>
    <row r="1571" spans="1:18" hidden="1" x14ac:dyDescent="0.25">
      <c r="A1571" s="224"/>
      <c r="B1571" s="145">
        <v>45748</v>
      </c>
      <c r="C1571" s="52" t="s">
        <v>42</v>
      </c>
      <c r="D1571" s="52" t="s">
        <v>38</v>
      </c>
      <c r="E1571" s="53" t="s">
        <v>39</v>
      </c>
      <c r="F1571" s="41" t="s">
        <v>40</v>
      </c>
      <c r="G1571" s="43">
        <v>3.9</v>
      </c>
      <c r="H1571" s="41">
        <v>900</v>
      </c>
      <c r="I1571" s="72">
        <v>820</v>
      </c>
      <c r="J1571" s="53">
        <v>0</v>
      </c>
      <c r="K1571" s="157">
        <v>0.8</v>
      </c>
      <c r="L1571" s="53">
        <f t="shared" si="97"/>
        <v>656</v>
      </c>
      <c r="M1571" s="55">
        <v>0</v>
      </c>
      <c r="N1571" s="56">
        <f t="shared" si="94"/>
        <v>656</v>
      </c>
      <c r="O1571" s="156"/>
      <c r="P1571" s="145" t="str">
        <f t="shared" si="93"/>
        <v>PLC3,9</v>
      </c>
      <c r="Q1571" s="52">
        <f t="shared" si="95"/>
        <v>14</v>
      </c>
      <c r="R1571" s="8">
        <f t="shared" si="96"/>
        <v>2025</v>
      </c>
    </row>
    <row r="1572" spans="1:18" hidden="1" x14ac:dyDescent="0.25">
      <c r="A1572" s="224"/>
      <c r="B1572" s="145">
        <v>45749</v>
      </c>
      <c r="C1572" s="52" t="s">
        <v>46</v>
      </c>
      <c r="D1572" s="52" t="s">
        <v>38</v>
      </c>
      <c r="E1572" s="53" t="s">
        <v>39</v>
      </c>
      <c r="F1572" s="41" t="s">
        <v>40</v>
      </c>
      <c r="G1572" s="43">
        <v>3.9</v>
      </c>
      <c r="H1572" s="41">
        <v>900</v>
      </c>
      <c r="I1572" s="72">
        <v>820</v>
      </c>
      <c r="J1572" s="53">
        <v>0</v>
      </c>
      <c r="K1572" s="157">
        <v>0.8</v>
      </c>
      <c r="L1572" s="53">
        <f t="shared" si="97"/>
        <v>656</v>
      </c>
      <c r="M1572" s="55">
        <v>0</v>
      </c>
      <c r="N1572" s="56">
        <f t="shared" si="94"/>
        <v>656</v>
      </c>
      <c r="O1572" s="156"/>
      <c r="P1572" s="145" t="str">
        <f t="shared" si="93"/>
        <v>PLC3,9</v>
      </c>
      <c r="Q1572" s="52">
        <f t="shared" si="95"/>
        <v>14</v>
      </c>
      <c r="R1572" s="8">
        <f t="shared" si="96"/>
        <v>2025</v>
      </c>
    </row>
    <row r="1573" spans="1:18" hidden="1" x14ac:dyDescent="0.25">
      <c r="A1573" s="224"/>
      <c r="B1573" s="145">
        <v>45750</v>
      </c>
      <c r="C1573" s="52" t="s">
        <v>50</v>
      </c>
      <c r="D1573" s="52" t="s">
        <v>38</v>
      </c>
      <c r="E1573" s="53" t="s">
        <v>39</v>
      </c>
      <c r="F1573" s="41" t="s">
        <v>40</v>
      </c>
      <c r="G1573" s="43">
        <v>3.9</v>
      </c>
      <c r="H1573" s="41">
        <v>900</v>
      </c>
      <c r="I1573" s="72">
        <v>820</v>
      </c>
      <c r="J1573" s="53">
        <v>0</v>
      </c>
      <c r="K1573" s="157">
        <v>0.8</v>
      </c>
      <c r="L1573" s="53">
        <f t="shared" si="97"/>
        <v>656</v>
      </c>
      <c r="M1573" s="55">
        <v>0</v>
      </c>
      <c r="N1573" s="56">
        <f t="shared" si="94"/>
        <v>656</v>
      </c>
      <c r="O1573" s="156"/>
      <c r="P1573" s="145" t="str">
        <f t="shared" si="93"/>
        <v>PLC3,9</v>
      </c>
      <c r="Q1573" s="52">
        <f t="shared" si="95"/>
        <v>14</v>
      </c>
      <c r="R1573" s="8">
        <f t="shared" si="96"/>
        <v>2025</v>
      </c>
    </row>
    <row r="1574" spans="1:18" hidden="1" x14ac:dyDescent="0.25">
      <c r="A1574" s="224"/>
      <c r="B1574" s="145">
        <v>45751</v>
      </c>
      <c r="C1574" s="52" t="s">
        <v>53</v>
      </c>
      <c r="D1574" s="52" t="s">
        <v>38</v>
      </c>
      <c r="E1574" s="53" t="s">
        <v>39</v>
      </c>
      <c r="F1574" s="41" t="s">
        <v>40</v>
      </c>
      <c r="G1574" s="43">
        <v>3.9</v>
      </c>
      <c r="H1574" s="41">
        <v>900</v>
      </c>
      <c r="I1574" s="72">
        <v>820</v>
      </c>
      <c r="J1574" s="53">
        <v>0</v>
      </c>
      <c r="K1574" s="157">
        <v>0.8</v>
      </c>
      <c r="L1574" s="53">
        <f t="shared" si="97"/>
        <v>656</v>
      </c>
      <c r="M1574" s="55">
        <v>0</v>
      </c>
      <c r="N1574" s="56">
        <f t="shared" si="94"/>
        <v>656</v>
      </c>
      <c r="O1574" s="156"/>
      <c r="P1574" s="145" t="str">
        <f t="shared" si="93"/>
        <v>PLC3,9</v>
      </c>
      <c r="Q1574" s="52">
        <f t="shared" si="95"/>
        <v>14</v>
      </c>
      <c r="R1574" s="8">
        <f t="shared" si="96"/>
        <v>2025</v>
      </c>
    </row>
    <row r="1575" spans="1:18" hidden="1" x14ac:dyDescent="0.25">
      <c r="A1575" s="224"/>
      <c r="B1575" s="148">
        <v>45752</v>
      </c>
      <c r="C1575" s="58" t="s">
        <v>57</v>
      </c>
      <c r="D1575" s="59" t="s">
        <v>38</v>
      </c>
      <c r="E1575" s="60" t="s">
        <v>39</v>
      </c>
      <c r="F1575" s="41" t="s">
        <v>40</v>
      </c>
      <c r="G1575" s="199">
        <v>5.9</v>
      </c>
      <c r="H1575" s="41">
        <v>900</v>
      </c>
      <c r="I1575" s="72">
        <v>820</v>
      </c>
      <c r="J1575" s="60">
        <v>0</v>
      </c>
      <c r="K1575" s="159">
        <v>0.8</v>
      </c>
      <c r="L1575" s="60">
        <f t="shared" si="97"/>
        <v>656</v>
      </c>
      <c r="M1575" s="62">
        <v>0</v>
      </c>
      <c r="N1575" s="63">
        <f t="shared" si="94"/>
        <v>656</v>
      </c>
      <c r="O1575" s="206" t="s">
        <v>191</v>
      </c>
      <c r="P1575" s="145" t="str">
        <f t="shared" si="93"/>
        <v>PLC5,9</v>
      </c>
      <c r="Q1575" s="52">
        <f t="shared" si="95"/>
        <v>14</v>
      </c>
      <c r="R1575" s="8">
        <f t="shared" si="96"/>
        <v>2025</v>
      </c>
    </row>
    <row r="1576" spans="1:18" ht="15.75" hidden="1" thickBot="1" x14ac:dyDescent="0.3">
      <c r="A1576" s="225"/>
      <c r="B1576" s="113">
        <v>45753</v>
      </c>
      <c r="C1576" s="66" t="s">
        <v>59</v>
      </c>
      <c r="D1576" s="67" t="s">
        <v>38</v>
      </c>
      <c r="E1576" s="67" t="s">
        <v>39</v>
      </c>
      <c r="F1576" s="41" t="s">
        <v>40</v>
      </c>
      <c r="G1576" s="68">
        <v>5.9</v>
      </c>
      <c r="H1576" s="41">
        <v>900</v>
      </c>
      <c r="I1576" s="72">
        <v>820</v>
      </c>
      <c r="J1576" s="67">
        <v>0</v>
      </c>
      <c r="K1576" s="161">
        <v>0.8</v>
      </c>
      <c r="L1576" s="67">
        <f t="shared" si="97"/>
        <v>656</v>
      </c>
      <c r="M1576" s="69">
        <v>0</v>
      </c>
      <c r="N1576" s="70">
        <f t="shared" si="94"/>
        <v>656</v>
      </c>
      <c r="O1576" s="207"/>
      <c r="P1576" s="145" t="str">
        <f t="shared" si="93"/>
        <v>PLC5,9</v>
      </c>
      <c r="Q1576" s="52">
        <f t="shared" si="95"/>
        <v>14</v>
      </c>
      <c r="R1576" s="8">
        <f t="shared" si="96"/>
        <v>2025</v>
      </c>
    </row>
    <row r="1577" spans="1:18" hidden="1" x14ac:dyDescent="0.25">
      <c r="A1577" s="223">
        <f>_xlfn.ISOWEEKNUM(B1577)</f>
        <v>15</v>
      </c>
      <c r="B1577" s="145">
        <v>45754</v>
      </c>
      <c r="C1577" s="40" t="s">
        <v>37</v>
      </c>
      <c r="D1577" s="72" t="s">
        <v>38</v>
      </c>
      <c r="E1577" s="41" t="s">
        <v>39</v>
      </c>
      <c r="F1577" s="41" t="s">
        <v>40</v>
      </c>
      <c r="G1577" s="43">
        <v>5.9</v>
      </c>
      <c r="H1577" s="41">
        <v>900</v>
      </c>
      <c r="I1577" s="72">
        <v>820</v>
      </c>
      <c r="J1577" s="41">
        <v>0</v>
      </c>
      <c r="K1577" s="157">
        <v>0.8</v>
      </c>
      <c r="L1577" s="41">
        <f t="shared" si="97"/>
        <v>656</v>
      </c>
      <c r="M1577" s="73">
        <v>0</v>
      </c>
      <c r="N1577" s="74">
        <f t="shared" si="94"/>
        <v>656</v>
      </c>
      <c r="O1577" s="208" t="s">
        <v>192</v>
      </c>
      <c r="P1577" s="145" t="str">
        <f t="shared" si="93"/>
        <v>PLC5,9</v>
      </c>
      <c r="Q1577" s="52">
        <f t="shared" si="95"/>
        <v>15</v>
      </c>
      <c r="R1577" s="8">
        <f t="shared" si="96"/>
        <v>2025</v>
      </c>
    </row>
    <row r="1578" spans="1:18" hidden="1" x14ac:dyDescent="0.25">
      <c r="A1578" s="224"/>
      <c r="B1578" s="145">
        <v>45755</v>
      </c>
      <c r="C1578" s="52" t="s">
        <v>42</v>
      </c>
      <c r="D1578" s="52" t="s">
        <v>38</v>
      </c>
      <c r="E1578" s="53" t="s">
        <v>39</v>
      </c>
      <c r="F1578" s="53" t="s">
        <v>40</v>
      </c>
      <c r="G1578" s="43">
        <v>5.9</v>
      </c>
      <c r="H1578" s="41">
        <v>900</v>
      </c>
      <c r="I1578" s="72">
        <v>820</v>
      </c>
      <c r="J1578" s="53">
        <v>0</v>
      </c>
      <c r="K1578" s="157">
        <v>0.8</v>
      </c>
      <c r="L1578" s="53">
        <f t="shared" si="97"/>
        <v>656</v>
      </c>
      <c r="M1578" s="55">
        <v>0</v>
      </c>
      <c r="N1578" s="56">
        <f t="shared" si="94"/>
        <v>656</v>
      </c>
      <c r="O1578" s="156" t="s">
        <v>192</v>
      </c>
      <c r="P1578" s="145" t="str">
        <f t="shared" si="93"/>
        <v>PLC5,9</v>
      </c>
      <c r="Q1578" s="52">
        <f t="shared" si="95"/>
        <v>15</v>
      </c>
      <c r="R1578" s="8">
        <f t="shared" si="96"/>
        <v>2025</v>
      </c>
    </row>
    <row r="1579" spans="1:18" hidden="1" x14ac:dyDescent="0.25">
      <c r="A1579" s="224"/>
      <c r="B1579" s="145">
        <v>45756</v>
      </c>
      <c r="C1579" s="52" t="s">
        <v>46</v>
      </c>
      <c r="D1579" s="52" t="s">
        <v>38</v>
      </c>
      <c r="E1579" s="53" t="s">
        <v>39</v>
      </c>
      <c r="F1579" s="53" t="s">
        <v>40</v>
      </c>
      <c r="G1579" s="43">
        <v>8</v>
      </c>
      <c r="H1579" s="41">
        <v>900</v>
      </c>
      <c r="I1579" s="72">
        <v>820</v>
      </c>
      <c r="J1579" s="53">
        <v>0</v>
      </c>
      <c r="K1579" s="157">
        <v>0.8</v>
      </c>
      <c r="L1579" s="53">
        <f t="shared" si="97"/>
        <v>656</v>
      </c>
      <c r="M1579" s="55">
        <v>0</v>
      </c>
      <c r="N1579" s="56">
        <f t="shared" si="94"/>
        <v>656</v>
      </c>
      <c r="O1579" s="156" t="s">
        <v>193</v>
      </c>
      <c r="P1579" s="145" t="str">
        <f t="shared" si="93"/>
        <v>PLC8</v>
      </c>
      <c r="Q1579" s="52">
        <f t="shared" si="95"/>
        <v>15</v>
      </c>
      <c r="R1579" s="8">
        <f t="shared" si="96"/>
        <v>2025</v>
      </c>
    </row>
    <row r="1580" spans="1:18" hidden="1" x14ac:dyDescent="0.25">
      <c r="A1580" s="224"/>
      <c r="B1580" s="145">
        <v>45757</v>
      </c>
      <c r="C1580" s="52" t="s">
        <v>50</v>
      </c>
      <c r="D1580" s="52" t="s">
        <v>38</v>
      </c>
      <c r="E1580" s="53" t="s">
        <v>39</v>
      </c>
      <c r="F1580" s="53" t="s">
        <v>40</v>
      </c>
      <c r="G1580" s="43">
        <v>8</v>
      </c>
      <c r="H1580" s="41">
        <v>900</v>
      </c>
      <c r="I1580" s="72">
        <v>820</v>
      </c>
      <c r="J1580" s="53">
        <v>0</v>
      </c>
      <c r="K1580" s="157">
        <v>0.8</v>
      </c>
      <c r="L1580" s="53">
        <f t="shared" si="97"/>
        <v>656</v>
      </c>
      <c r="M1580" s="55">
        <v>0</v>
      </c>
      <c r="N1580" s="56">
        <f t="shared" si="94"/>
        <v>656</v>
      </c>
      <c r="O1580" s="156"/>
      <c r="P1580" s="145" t="str">
        <f t="shared" si="93"/>
        <v>PLC8</v>
      </c>
      <c r="Q1580" s="52">
        <f t="shared" si="95"/>
        <v>15</v>
      </c>
      <c r="R1580" s="8">
        <f t="shared" si="96"/>
        <v>2025</v>
      </c>
    </row>
    <row r="1581" spans="1:18" hidden="1" x14ac:dyDescent="0.25">
      <c r="A1581" s="224"/>
      <c r="B1581" s="145">
        <v>45758</v>
      </c>
      <c r="C1581" s="52" t="s">
        <v>53</v>
      </c>
      <c r="D1581" s="52" t="s">
        <v>38</v>
      </c>
      <c r="E1581" s="53" t="s">
        <v>39</v>
      </c>
      <c r="F1581" s="53" t="s">
        <v>40</v>
      </c>
      <c r="G1581" s="43">
        <v>5.9</v>
      </c>
      <c r="H1581" s="41">
        <v>900</v>
      </c>
      <c r="I1581" s="72">
        <v>820</v>
      </c>
      <c r="J1581" s="53">
        <v>0</v>
      </c>
      <c r="K1581" s="157">
        <v>0.8</v>
      </c>
      <c r="L1581" s="53">
        <f t="shared" si="97"/>
        <v>656</v>
      </c>
      <c r="M1581" s="55">
        <v>0</v>
      </c>
      <c r="N1581" s="56">
        <f t="shared" si="94"/>
        <v>656</v>
      </c>
      <c r="O1581" s="156"/>
      <c r="P1581" s="145" t="str">
        <f t="shared" si="93"/>
        <v>PLC5,9</v>
      </c>
      <c r="Q1581" s="52">
        <f t="shared" si="95"/>
        <v>15</v>
      </c>
      <c r="R1581" s="8">
        <f t="shared" si="96"/>
        <v>2025</v>
      </c>
    </row>
    <row r="1582" spans="1:18" hidden="1" x14ac:dyDescent="0.25">
      <c r="A1582" s="224"/>
      <c r="B1582" s="148">
        <v>45759</v>
      </c>
      <c r="C1582" s="58" t="s">
        <v>57</v>
      </c>
      <c r="D1582" s="59" t="s">
        <v>38</v>
      </c>
      <c r="E1582" s="60" t="s">
        <v>39</v>
      </c>
      <c r="F1582" s="60" t="s">
        <v>40</v>
      </c>
      <c r="G1582" s="199">
        <v>5.9</v>
      </c>
      <c r="H1582" s="41">
        <v>900</v>
      </c>
      <c r="I1582" s="72">
        <v>820</v>
      </c>
      <c r="J1582" s="60">
        <v>0</v>
      </c>
      <c r="K1582" s="159">
        <v>0.8</v>
      </c>
      <c r="L1582" s="60">
        <f t="shared" si="97"/>
        <v>656</v>
      </c>
      <c r="M1582" s="62">
        <v>0</v>
      </c>
      <c r="N1582" s="63">
        <f t="shared" si="94"/>
        <v>656</v>
      </c>
      <c r="O1582" s="206"/>
      <c r="P1582" s="145" t="str">
        <f t="shared" si="93"/>
        <v>PLC5,9</v>
      </c>
      <c r="Q1582" s="52">
        <f t="shared" si="95"/>
        <v>15</v>
      </c>
      <c r="R1582" s="8">
        <f t="shared" si="96"/>
        <v>2025</v>
      </c>
    </row>
    <row r="1583" spans="1:18" ht="15.75" hidden="1" thickBot="1" x14ac:dyDescent="0.3">
      <c r="A1583" s="225"/>
      <c r="B1583" s="113">
        <v>45760</v>
      </c>
      <c r="C1583" s="66" t="s">
        <v>59</v>
      </c>
      <c r="D1583" s="67" t="s">
        <v>38</v>
      </c>
      <c r="E1583" s="67" t="s">
        <v>39</v>
      </c>
      <c r="F1583" s="67" t="s">
        <v>40</v>
      </c>
      <c r="G1583" s="68">
        <v>5.9</v>
      </c>
      <c r="H1583" s="41">
        <v>900</v>
      </c>
      <c r="I1583" s="72">
        <v>820</v>
      </c>
      <c r="J1583" s="67">
        <v>0</v>
      </c>
      <c r="K1583" s="161">
        <v>0.8</v>
      </c>
      <c r="L1583" s="67">
        <f t="shared" si="97"/>
        <v>656</v>
      </c>
      <c r="M1583" s="69">
        <v>0</v>
      </c>
      <c r="N1583" s="70">
        <f t="shared" si="94"/>
        <v>656</v>
      </c>
      <c r="O1583" s="207"/>
      <c r="P1583" s="145" t="str">
        <f t="shared" ref="P1583:P1646" si="98">E1583&amp;G1583</f>
        <v>PLC5,9</v>
      </c>
      <c r="Q1583" s="52">
        <f t="shared" si="95"/>
        <v>15</v>
      </c>
      <c r="R1583" s="8">
        <f t="shared" si="96"/>
        <v>2025</v>
      </c>
    </row>
    <row r="1584" spans="1:18" hidden="1" x14ac:dyDescent="0.25">
      <c r="A1584" s="223">
        <f>_xlfn.ISOWEEKNUM(B1584)</f>
        <v>16</v>
      </c>
      <c r="B1584" s="145">
        <v>45761</v>
      </c>
      <c r="C1584" s="40" t="s">
        <v>37</v>
      </c>
      <c r="D1584" s="72" t="s">
        <v>38</v>
      </c>
      <c r="E1584" s="41" t="s">
        <v>39</v>
      </c>
      <c r="F1584" s="41" t="s">
        <v>40</v>
      </c>
      <c r="G1584" s="43">
        <v>4.9000000000000004</v>
      </c>
      <c r="H1584" s="41">
        <v>900</v>
      </c>
      <c r="I1584" s="72">
        <v>820</v>
      </c>
      <c r="J1584" s="41">
        <v>0</v>
      </c>
      <c r="K1584" s="157">
        <v>0.8</v>
      </c>
      <c r="L1584" s="41">
        <f t="shared" si="97"/>
        <v>656</v>
      </c>
      <c r="M1584" s="73">
        <v>0</v>
      </c>
      <c r="N1584" s="74">
        <f t="shared" si="94"/>
        <v>656</v>
      </c>
      <c r="O1584" s="208"/>
      <c r="P1584" s="145" t="str">
        <f t="shared" si="98"/>
        <v>PLC4,9</v>
      </c>
      <c r="Q1584" s="52">
        <f t="shared" si="95"/>
        <v>16</v>
      </c>
      <c r="R1584" s="8">
        <f t="shared" si="96"/>
        <v>2025</v>
      </c>
    </row>
    <row r="1585" spans="1:18" hidden="1" x14ac:dyDescent="0.25">
      <c r="A1585" s="224"/>
      <c r="B1585" s="145">
        <v>45762</v>
      </c>
      <c r="C1585" s="52" t="s">
        <v>42</v>
      </c>
      <c r="D1585" s="52" t="s">
        <v>38</v>
      </c>
      <c r="E1585" s="53" t="s">
        <v>39</v>
      </c>
      <c r="F1585" s="53" t="s">
        <v>40</v>
      </c>
      <c r="G1585" s="43">
        <v>3.9</v>
      </c>
      <c r="H1585" s="41">
        <v>900</v>
      </c>
      <c r="I1585" s="72">
        <v>820</v>
      </c>
      <c r="J1585" s="53">
        <v>0</v>
      </c>
      <c r="K1585" s="157">
        <v>0.8</v>
      </c>
      <c r="L1585" s="53">
        <f t="shared" si="97"/>
        <v>656</v>
      </c>
      <c r="M1585" s="55">
        <v>0</v>
      </c>
      <c r="N1585" s="56">
        <f t="shared" si="94"/>
        <v>656</v>
      </c>
      <c r="O1585" s="156"/>
      <c r="P1585" s="145" t="str">
        <f t="shared" si="98"/>
        <v>PLC3,9</v>
      </c>
      <c r="Q1585" s="52">
        <f t="shared" si="95"/>
        <v>16</v>
      </c>
      <c r="R1585" s="8">
        <f t="shared" si="96"/>
        <v>2025</v>
      </c>
    </row>
    <row r="1586" spans="1:18" hidden="1" x14ac:dyDescent="0.25">
      <c r="A1586" s="224"/>
      <c r="B1586" s="145">
        <v>45763</v>
      </c>
      <c r="C1586" s="52" t="s">
        <v>46</v>
      </c>
      <c r="D1586" s="52" t="s">
        <v>38</v>
      </c>
      <c r="E1586" s="53" t="s">
        <v>39</v>
      </c>
      <c r="F1586" s="53" t="s">
        <v>40</v>
      </c>
      <c r="G1586" s="43">
        <v>3.9</v>
      </c>
      <c r="H1586" s="41">
        <v>900</v>
      </c>
      <c r="I1586" s="72">
        <v>820</v>
      </c>
      <c r="J1586" s="53">
        <v>0</v>
      </c>
      <c r="K1586" s="157">
        <v>0.8</v>
      </c>
      <c r="L1586" s="53">
        <f t="shared" si="97"/>
        <v>656</v>
      </c>
      <c r="M1586" s="55">
        <v>0</v>
      </c>
      <c r="N1586" s="56">
        <f t="shared" si="94"/>
        <v>656</v>
      </c>
      <c r="O1586" s="156"/>
      <c r="P1586" s="145" t="str">
        <f t="shared" si="98"/>
        <v>PLC3,9</v>
      </c>
      <c r="Q1586" s="52">
        <f t="shared" si="95"/>
        <v>16</v>
      </c>
      <c r="R1586" s="8">
        <f t="shared" si="96"/>
        <v>2025</v>
      </c>
    </row>
    <row r="1587" spans="1:18" hidden="1" x14ac:dyDescent="0.25">
      <c r="A1587" s="224"/>
      <c r="B1587" s="145">
        <v>45764</v>
      </c>
      <c r="C1587" s="52" t="s">
        <v>50</v>
      </c>
      <c r="D1587" s="52" t="s">
        <v>38</v>
      </c>
      <c r="E1587" s="53" t="s">
        <v>39</v>
      </c>
      <c r="F1587" s="53" t="s">
        <v>40</v>
      </c>
      <c r="G1587" s="43">
        <v>3.9</v>
      </c>
      <c r="H1587" s="41">
        <v>900</v>
      </c>
      <c r="I1587" s="72">
        <v>820</v>
      </c>
      <c r="J1587" s="53">
        <v>0</v>
      </c>
      <c r="K1587" s="157">
        <v>0.8</v>
      </c>
      <c r="L1587" s="53">
        <f t="shared" si="97"/>
        <v>656</v>
      </c>
      <c r="M1587" s="55">
        <v>0</v>
      </c>
      <c r="N1587" s="56">
        <f t="shared" si="94"/>
        <v>656</v>
      </c>
      <c r="O1587" s="156"/>
      <c r="P1587" s="145" t="str">
        <f t="shared" si="98"/>
        <v>PLC3,9</v>
      </c>
      <c r="Q1587" s="52">
        <f t="shared" si="95"/>
        <v>16</v>
      </c>
      <c r="R1587" s="8">
        <f t="shared" si="96"/>
        <v>2025</v>
      </c>
    </row>
    <row r="1588" spans="1:18" hidden="1" x14ac:dyDescent="0.25">
      <c r="A1588" s="224"/>
      <c r="B1588" s="187">
        <v>45765</v>
      </c>
      <c r="C1588" s="52" t="s">
        <v>53</v>
      </c>
      <c r="D1588" s="52" t="s">
        <v>38</v>
      </c>
      <c r="E1588" s="53" t="s">
        <v>39</v>
      </c>
      <c r="F1588" s="53" t="s">
        <v>40</v>
      </c>
      <c r="G1588" s="43">
        <v>3.9</v>
      </c>
      <c r="H1588" s="41">
        <v>900</v>
      </c>
      <c r="I1588" s="72">
        <v>820</v>
      </c>
      <c r="J1588" s="53">
        <v>0</v>
      </c>
      <c r="K1588" s="157">
        <v>0.8</v>
      </c>
      <c r="L1588" s="53">
        <f t="shared" si="97"/>
        <v>656</v>
      </c>
      <c r="M1588" s="55">
        <v>0</v>
      </c>
      <c r="N1588" s="56">
        <f t="shared" si="94"/>
        <v>656</v>
      </c>
      <c r="O1588" s="156"/>
      <c r="P1588" s="145" t="str">
        <f t="shared" si="98"/>
        <v>PLC3,9</v>
      </c>
      <c r="Q1588" s="52">
        <f t="shared" si="95"/>
        <v>16</v>
      </c>
      <c r="R1588" s="8">
        <f t="shared" si="96"/>
        <v>2025</v>
      </c>
    </row>
    <row r="1589" spans="1:18" hidden="1" x14ac:dyDescent="0.25">
      <c r="A1589" s="224"/>
      <c r="B1589" s="148">
        <v>45766</v>
      </c>
      <c r="C1589" s="58" t="s">
        <v>57</v>
      </c>
      <c r="D1589" s="59" t="s">
        <v>38</v>
      </c>
      <c r="E1589" s="60" t="s">
        <v>39</v>
      </c>
      <c r="F1589" s="60" t="s">
        <v>40</v>
      </c>
      <c r="G1589" s="199">
        <v>3.9</v>
      </c>
      <c r="H1589" s="41">
        <v>900</v>
      </c>
      <c r="I1589" s="72">
        <v>820</v>
      </c>
      <c r="J1589" s="60">
        <v>0</v>
      </c>
      <c r="K1589" s="159">
        <v>0.8</v>
      </c>
      <c r="L1589" s="60">
        <f t="shared" si="97"/>
        <v>656</v>
      </c>
      <c r="M1589" s="62">
        <v>0</v>
      </c>
      <c r="N1589" s="63">
        <f t="shared" si="94"/>
        <v>656</v>
      </c>
      <c r="O1589" s="206"/>
      <c r="P1589" s="145" t="str">
        <f t="shared" si="98"/>
        <v>PLC3,9</v>
      </c>
      <c r="Q1589" s="52">
        <f t="shared" si="95"/>
        <v>16</v>
      </c>
      <c r="R1589" s="8">
        <f t="shared" si="96"/>
        <v>2025</v>
      </c>
    </row>
    <row r="1590" spans="1:18" ht="15.75" hidden="1" thickBot="1" x14ac:dyDescent="0.3">
      <c r="A1590" s="225"/>
      <c r="B1590" s="113">
        <v>45767</v>
      </c>
      <c r="C1590" s="66" t="s">
        <v>59</v>
      </c>
      <c r="D1590" s="67" t="s">
        <v>38</v>
      </c>
      <c r="E1590" s="67" t="s">
        <v>39</v>
      </c>
      <c r="F1590" s="67" t="s">
        <v>40</v>
      </c>
      <c r="G1590" s="68">
        <v>3.9</v>
      </c>
      <c r="H1590" s="41">
        <v>900</v>
      </c>
      <c r="I1590" s="72">
        <v>820</v>
      </c>
      <c r="J1590" s="67">
        <v>0</v>
      </c>
      <c r="K1590" s="161">
        <v>0.8</v>
      </c>
      <c r="L1590" s="67">
        <f t="shared" si="97"/>
        <v>656</v>
      </c>
      <c r="M1590" s="69">
        <v>0</v>
      </c>
      <c r="N1590" s="70">
        <f t="shared" ref="N1590:N1653" si="99">+L1590*(1-M1590)</f>
        <v>656</v>
      </c>
      <c r="O1590" s="207"/>
      <c r="P1590" s="145" t="str">
        <f t="shared" si="98"/>
        <v>PLC3,9</v>
      </c>
      <c r="Q1590" s="52">
        <f t="shared" si="95"/>
        <v>16</v>
      </c>
      <c r="R1590" s="8">
        <f t="shared" si="96"/>
        <v>2025</v>
      </c>
    </row>
    <row r="1591" spans="1:18" hidden="1" x14ac:dyDescent="0.25">
      <c r="A1591" s="223">
        <f>_xlfn.ISOWEEKNUM(B1591)</f>
        <v>17</v>
      </c>
      <c r="B1591" s="187">
        <v>45768</v>
      </c>
      <c r="C1591" s="40" t="s">
        <v>37</v>
      </c>
      <c r="D1591" s="72" t="s">
        <v>38</v>
      </c>
      <c r="E1591" s="41" t="s">
        <v>39</v>
      </c>
      <c r="F1591" s="41" t="s">
        <v>40</v>
      </c>
      <c r="G1591" s="43">
        <v>3.9</v>
      </c>
      <c r="H1591" s="41">
        <v>900</v>
      </c>
      <c r="I1591" s="72">
        <v>820</v>
      </c>
      <c r="J1591" s="41">
        <v>0</v>
      </c>
      <c r="K1591" s="157">
        <v>0.8</v>
      </c>
      <c r="L1591" s="41">
        <f t="shared" si="97"/>
        <v>656</v>
      </c>
      <c r="M1591" s="73">
        <v>0</v>
      </c>
      <c r="N1591" s="74">
        <f t="shared" si="99"/>
        <v>656</v>
      </c>
      <c r="O1591" s="208"/>
      <c r="P1591" s="145" t="str">
        <f t="shared" si="98"/>
        <v>PLC3,9</v>
      </c>
      <c r="Q1591" s="52">
        <f t="shared" si="95"/>
        <v>17</v>
      </c>
      <c r="R1591" s="8">
        <f t="shared" si="96"/>
        <v>2025</v>
      </c>
    </row>
    <row r="1592" spans="1:18" hidden="1" x14ac:dyDescent="0.25">
      <c r="A1592" s="224"/>
      <c r="B1592" s="145">
        <v>45769</v>
      </c>
      <c r="C1592" s="52" t="s">
        <v>42</v>
      </c>
      <c r="D1592" s="52" t="s">
        <v>38</v>
      </c>
      <c r="E1592" s="53" t="s">
        <v>39</v>
      </c>
      <c r="F1592" s="53" t="s">
        <v>40</v>
      </c>
      <c r="G1592" s="43">
        <v>3.9</v>
      </c>
      <c r="H1592" s="41">
        <v>900</v>
      </c>
      <c r="I1592" s="72">
        <v>820</v>
      </c>
      <c r="J1592" s="53">
        <v>0</v>
      </c>
      <c r="K1592" s="157">
        <v>0.8</v>
      </c>
      <c r="L1592" s="53">
        <f t="shared" si="97"/>
        <v>656</v>
      </c>
      <c r="M1592" s="55">
        <v>0</v>
      </c>
      <c r="N1592" s="56">
        <f t="shared" si="99"/>
        <v>656</v>
      </c>
      <c r="O1592" s="156"/>
      <c r="P1592" s="145" t="str">
        <f t="shared" si="98"/>
        <v>PLC3,9</v>
      </c>
      <c r="Q1592" s="52">
        <f t="shared" si="95"/>
        <v>17</v>
      </c>
      <c r="R1592" s="8">
        <f t="shared" si="96"/>
        <v>2025</v>
      </c>
    </row>
    <row r="1593" spans="1:18" hidden="1" x14ac:dyDescent="0.25">
      <c r="A1593" s="224"/>
      <c r="B1593" s="145">
        <v>45770</v>
      </c>
      <c r="C1593" s="52" t="s">
        <v>46</v>
      </c>
      <c r="D1593" s="52" t="s">
        <v>38</v>
      </c>
      <c r="E1593" s="53" t="s">
        <v>39</v>
      </c>
      <c r="F1593" s="53" t="s">
        <v>40</v>
      </c>
      <c r="G1593" s="43">
        <v>3.9</v>
      </c>
      <c r="H1593" s="41">
        <v>900</v>
      </c>
      <c r="I1593" s="72">
        <v>820</v>
      </c>
      <c r="J1593" s="53">
        <v>0</v>
      </c>
      <c r="K1593" s="157">
        <v>0.8</v>
      </c>
      <c r="L1593" s="53">
        <f t="shared" si="97"/>
        <v>656</v>
      </c>
      <c r="M1593" s="55">
        <v>0</v>
      </c>
      <c r="N1593" s="56">
        <f t="shared" si="99"/>
        <v>656</v>
      </c>
      <c r="O1593" s="156"/>
      <c r="P1593" s="145" t="str">
        <f t="shared" si="98"/>
        <v>PLC3,9</v>
      </c>
      <c r="Q1593" s="52">
        <f t="shared" si="95"/>
        <v>17</v>
      </c>
      <c r="R1593" s="8">
        <f t="shared" si="96"/>
        <v>2025</v>
      </c>
    </row>
    <row r="1594" spans="1:18" hidden="1" x14ac:dyDescent="0.25">
      <c r="A1594" s="224"/>
      <c r="B1594" s="145">
        <v>45771</v>
      </c>
      <c r="C1594" s="52" t="s">
        <v>50</v>
      </c>
      <c r="D1594" s="52" t="s">
        <v>38</v>
      </c>
      <c r="E1594" s="53" t="s">
        <v>39</v>
      </c>
      <c r="F1594" s="53" t="s">
        <v>40</v>
      </c>
      <c r="G1594" s="43">
        <v>3.9</v>
      </c>
      <c r="H1594" s="41">
        <v>900</v>
      </c>
      <c r="I1594" s="72">
        <v>820</v>
      </c>
      <c r="J1594" s="53">
        <v>0</v>
      </c>
      <c r="K1594" s="157">
        <v>0.8</v>
      </c>
      <c r="L1594" s="53">
        <f t="shared" si="97"/>
        <v>656</v>
      </c>
      <c r="M1594" s="55">
        <v>0</v>
      </c>
      <c r="N1594" s="56">
        <f t="shared" si="99"/>
        <v>656</v>
      </c>
      <c r="O1594" s="156"/>
      <c r="P1594" s="145" t="str">
        <f t="shared" si="98"/>
        <v>PLC3,9</v>
      </c>
      <c r="Q1594" s="52">
        <f t="shared" si="95"/>
        <v>17</v>
      </c>
      <c r="R1594" s="8">
        <f t="shared" si="96"/>
        <v>2025</v>
      </c>
    </row>
    <row r="1595" spans="1:18" hidden="1" x14ac:dyDescent="0.25">
      <c r="A1595" s="224"/>
      <c r="B1595" s="145">
        <v>45772</v>
      </c>
      <c r="C1595" s="52" t="s">
        <v>53</v>
      </c>
      <c r="D1595" s="52" t="s">
        <v>38</v>
      </c>
      <c r="E1595" s="53" t="s">
        <v>39</v>
      </c>
      <c r="F1595" s="53" t="s">
        <v>40</v>
      </c>
      <c r="G1595" s="43">
        <v>3.9</v>
      </c>
      <c r="H1595" s="41">
        <v>900</v>
      </c>
      <c r="I1595" s="72">
        <v>820</v>
      </c>
      <c r="J1595" s="53">
        <v>0</v>
      </c>
      <c r="K1595" s="157">
        <v>0.8</v>
      </c>
      <c r="L1595" s="53">
        <f t="shared" si="97"/>
        <v>656</v>
      </c>
      <c r="M1595" s="55">
        <v>0</v>
      </c>
      <c r="N1595" s="56">
        <f t="shared" si="99"/>
        <v>656</v>
      </c>
      <c r="O1595" s="156"/>
      <c r="P1595" s="145" t="str">
        <f t="shared" si="98"/>
        <v>PLC3,9</v>
      </c>
      <c r="Q1595" s="52">
        <f t="shared" si="95"/>
        <v>17</v>
      </c>
      <c r="R1595" s="8">
        <f t="shared" si="96"/>
        <v>2025</v>
      </c>
    </row>
    <row r="1596" spans="1:18" hidden="1" x14ac:dyDescent="0.25">
      <c r="A1596" s="224"/>
      <c r="B1596" s="148">
        <v>45773</v>
      </c>
      <c r="C1596" s="58" t="s">
        <v>57</v>
      </c>
      <c r="D1596" s="59" t="s">
        <v>38</v>
      </c>
      <c r="E1596" s="60" t="s">
        <v>39</v>
      </c>
      <c r="F1596" s="60" t="s">
        <v>40</v>
      </c>
      <c r="G1596" s="199">
        <v>3.9</v>
      </c>
      <c r="H1596" s="41">
        <v>900</v>
      </c>
      <c r="I1596" s="72">
        <v>820</v>
      </c>
      <c r="J1596" s="60">
        <v>0</v>
      </c>
      <c r="K1596" s="159">
        <v>0.8</v>
      </c>
      <c r="L1596" s="60">
        <f t="shared" si="97"/>
        <v>656</v>
      </c>
      <c r="M1596" s="62">
        <v>0</v>
      </c>
      <c r="N1596" s="63">
        <f t="shared" si="99"/>
        <v>656</v>
      </c>
      <c r="O1596" s="206"/>
      <c r="P1596" s="145" t="str">
        <f t="shared" si="98"/>
        <v>PLC3,9</v>
      </c>
      <c r="Q1596" s="52">
        <f t="shared" si="95"/>
        <v>17</v>
      </c>
      <c r="R1596" s="8">
        <f t="shared" si="96"/>
        <v>2025</v>
      </c>
    </row>
    <row r="1597" spans="1:18" ht="15.75" hidden="1" thickBot="1" x14ac:dyDescent="0.3">
      <c r="A1597" s="225"/>
      <c r="B1597" s="113">
        <v>45774</v>
      </c>
      <c r="C1597" s="66" t="s">
        <v>59</v>
      </c>
      <c r="D1597" s="67" t="s">
        <v>38</v>
      </c>
      <c r="E1597" s="67" t="s">
        <v>39</v>
      </c>
      <c r="F1597" s="67" t="s">
        <v>40</v>
      </c>
      <c r="G1597" s="68">
        <v>3.9</v>
      </c>
      <c r="H1597" s="41">
        <v>900</v>
      </c>
      <c r="I1597" s="72">
        <v>820</v>
      </c>
      <c r="J1597" s="67">
        <v>0</v>
      </c>
      <c r="K1597" s="161">
        <v>0.8</v>
      </c>
      <c r="L1597" s="67">
        <f t="shared" si="97"/>
        <v>656</v>
      </c>
      <c r="M1597" s="69">
        <v>0</v>
      </c>
      <c r="N1597" s="70">
        <f t="shared" si="99"/>
        <v>656</v>
      </c>
      <c r="O1597" s="207"/>
      <c r="P1597" s="145" t="str">
        <f t="shared" si="98"/>
        <v>PLC3,9</v>
      </c>
      <c r="Q1597" s="52">
        <f t="shared" si="95"/>
        <v>17</v>
      </c>
      <c r="R1597" s="8">
        <f t="shared" si="96"/>
        <v>2025</v>
      </c>
    </row>
    <row r="1598" spans="1:18" hidden="1" x14ac:dyDescent="0.25">
      <c r="A1598" s="223">
        <f>_xlfn.ISOWEEKNUM(B1598)</f>
        <v>18</v>
      </c>
      <c r="B1598" s="145">
        <v>45775</v>
      </c>
      <c r="C1598" s="40" t="s">
        <v>37</v>
      </c>
      <c r="D1598" s="72" t="s">
        <v>38</v>
      </c>
      <c r="E1598" s="41" t="s">
        <v>39</v>
      </c>
      <c r="F1598" s="41" t="s">
        <v>40</v>
      </c>
      <c r="G1598" s="43">
        <v>4.9000000000000004</v>
      </c>
      <c r="H1598" s="41">
        <v>900</v>
      </c>
      <c r="I1598" s="72">
        <v>820</v>
      </c>
      <c r="J1598" s="41">
        <v>0</v>
      </c>
      <c r="K1598" s="157">
        <v>0.8</v>
      </c>
      <c r="L1598" s="41">
        <f t="shared" si="97"/>
        <v>656</v>
      </c>
      <c r="M1598" s="73">
        <v>0</v>
      </c>
      <c r="N1598" s="74">
        <f t="shared" si="99"/>
        <v>656</v>
      </c>
      <c r="O1598" s="208"/>
      <c r="P1598" s="145" t="str">
        <f t="shared" si="98"/>
        <v>PLC4,9</v>
      </c>
      <c r="Q1598" s="52">
        <f t="shared" si="95"/>
        <v>18</v>
      </c>
      <c r="R1598" s="8">
        <f t="shared" si="96"/>
        <v>2025</v>
      </c>
    </row>
    <row r="1599" spans="1:18" hidden="1" x14ac:dyDescent="0.25">
      <c r="A1599" s="224"/>
      <c r="B1599" s="145">
        <v>45776</v>
      </c>
      <c r="C1599" s="52" t="s">
        <v>42</v>
      </c>
      <c r="D1599" s="52" t="s">
        <v>38</v>
      </c>
      <c r="E1599" s="53" t="s">
        <v>39</v>
      </c>
      <c r="F1599" s="53" t="s">
        <v>40</v>
      </c>
      <c r="G1599" s="43">
        <v>4.9000000000000004</v>
      </c>
      <c r="H1599" s="41">
        <v>900</v>
      </c>
      <c r="I1599" s="72">
        <v>820</v>
      </c>
      <c r="J1599" s="41">
        <v>0</v>
      </c>
      <c r="K1599" s="157">
        <v>0.8</v>
      </c>
      <c r="L1599" s="53">
        <f t="shared" si="97"/>
        <v>656</v>
      </c>
      <c r="M1599" s="55">
        <v>0</v>
      </c>
      <c r="N1599" s="56">
        <f t="shared" si="99"/>
        <v>656</v>
      </c>
      <c r="O1599" s="156"/>
      <c r="P1599" s="145" t="str">
        <f t="shared" si="98"/>
        <v>PLC4,9</v>
      </c>
      <c r="Q1599" s="52">
        <f t="shared" si="95"/>
        <v>18</v>
      </c>
      <c r="R1599" s="8">
        <f t="shared" si="96"/>
        <v>2025</v>
      </c>
    </row>
    <row r="1600" spans="1:18" hidden="1" x14ac:dyDescent="0.25">
      <c r="A1600" s="224"/>
      <c r="B1600" s="145">
        <v>45777</v>
      </c>
      <c r="C1600" s="52" t="s">
        <v>46</v>
      </c>
      <c r="D1600" s="52" t="s">
        <v>38</v>
      </c>
      <c r="E1600" s="53" t="s">
        <v>39</v>
      </c>
      <c r="F1600" s="53" t="s">
        <v>40</v>
      </c>
      <c r="G1600" s="43">
        <v>5.9</v>
      </c>
      <c r="H1600" s="41">
        <v>900</v>
      </c>
      <c r="I1600" s="72">
        <v>820</v>
      </c>
      <c r="J1600" s="41">
        <v>0</v>
      </c>
      <c r="K1600" s="157">
        <v>0.8</v>
      </c>
      <c r="L1600" s="53">
        <f t="shared" si="97"/>
        <v>656</v>
      </c>
      <c r="M1600" s="55">
        <v>0</v>
      </c>
      <c r="N1600" s="56">
        <f t="shared" si="99"/>
        <v>656</v>
      </c>
      <c r="O1600" s="156"/>
      <c r="P1600" s="145" t="str">
        <f t="shared" si="98"/>
        <v>PLC5,9</v>
      </c>
      <c r="Q1600" s="52">
        <f t="shared" si="95"/>
        <v>18</v>
      </c>
      <c r="R1600" s="8">
        <f t="shared" si="96"/>
        <v>2025</v>
      </c>
    </row>
    <row r="1601" spans="1:33" hidden="1" x14ac:dyDescent="0.25">
      <c r="A1601" s="224"/>
      <c r="B1601" s="187">
        <v>45778</v>
      </c>
      <c r="C1601" s="52" t="s">
        <v>50</v>
      </c>
      <c r="D1601" s="52" t="s">
        <v>38</v>
      </c>
      <c r="E1601" s="53" t="s">
        <v>39</v>
      </c>
      <c r="F1601" s="53" t="s">
        <v>40</v>
      </c>
      <c r="G1601" s="43">
        <v>5.9</v>
      </c>
      <c r="H1601" s="41">
        <v>900</v>
      </c>
      <c r="I1601" s="72">
        <v>820</v>
      </c>
      <c r="J1601" s="41">
        <v>0</v>
      </c>
      <c r="K1601" s="157">
        <v>0.8</v>
      </c>
      <c r="L1601" s="53">
        <f t="shared" si="97"/>
        <v>656</v>
      </c>
      <c r="M1601" s="55">
        <v>0</v>
      </c>
      <c r="N1601" s="56">
        <f t="shared" si="99"/>
        <v>656</v>
      </c>
      <c r="O1601" s="156"/>
      <c r="P1601" s="145" t="str">
        <f t="shared" si="98"/>
        <v>PLC5,9</v>
      </c>
      <c r="Q1601" s="52">
        <f t="shared" si="95"/>
        <v>18</v>
      </c>
      <c r="R1601" s="8">
        <f t="shared" si="96"/>
        <v>2025</v>
      </c>
    </row>
    <row r="1602" spans="1:33" hidden="1" x14ac:dyDescent="0.25">
      <c r="A1602" s="224"/>
      <c r="B1602" s="145">
        <v>45779</v>
      </c>
      <c r="C1602" s="52" t="s">
        <v>53</v>
      </c>
      <c r="D1602" s="52" t="s">
        <v>38</v>
      </c>
      <c r="E1602" s="53" t="s">
        <v>39</v>
      </c>
      <c r="F1602" s="53" t="s">
        <v>40</v>
      </c>
      <c r="G1602" s="43">
        <v>5.9</v>
      </c>
      <c r="H1602" s="41">
        <v>900</v>
      </c>
      <c r="I1602" s="72">
        <v>825</v>
      </c>
      <c r="J1602" s="53">
        <v>0</v>
      </c>
      <c r="K1602" s="157">
        <v>0.8</v>
      </c>
      <c r="L1602" s="53">
        <f t="shared" si="97"/>
        <v>660</v>
      </c>
      <c r="M1602" s="55">
        <v>0</v>
      </c>
      <c r="N1602" s="56">
        <f t="shared" si="99"/>
        <v>660</v>
      </c>
      <c r="O1602" s="156"/>
      <c r="P1602" s="145" t="str">
        <f t="shared" si="98"/>
        <v>PLC5,9</v>
      </c>
      <c r="Q1602" s="52">
        <f t="shared" si="95"/>
        <v>18</v>
      </c>
      <c r="R1602" s="8">
        <f t="shared" si="96"/>
        <v>2025</v>
      </c>
    </row>
    <row r="1603" spans="1:33" hidden="1" x14ac:dyDescent="0.25">
      <c r="A1603" s="224"/>
      <c r="B1603" s="148">
        <v>45780</v>
      </c>
      <c r="C1603" s="58" t="s">
        <v>57</v>
      </c>
      <c r="D1603" s="59" t="s">
        <v>38</v>
      </c>
      <c r="E1603" s="60" t="s">
        <v>39</v>
      </c>
      <c r="F1603" s="60" t="s">
        <v>40</v>
      </c>
      <c r="G1603" s="199">
        <v>5.9</v>
      </c>
      <c r="H1603" s="41">
        <v>900</v>
      </c>
      <c r="I1603" s="72">
        <v>830</v>
      </c>
      <c r="J1603" s="60">
        <v>0</v>
      </c>
      <c r="K1603" s="159">
        <v>0.8</v>
      </c>
      <c r="L1603" s="60">
        <f t="shared" si="97"/>
        <v>664</v>
      </c>
      <c r="M1603" s="62">
        <v>0</v>
      </c>
      <c r="N1603" s="63">
        <f t="shared" si="99"/>
        <v>664</v>
      </c>
      <c r="O1603" s="206"/>
      <c r="P1603" s="145" t="str">
        <f t="shared" si="98"/>
        <v>PLC5,9</v>
      </c>
      <c r="Q1603" s="52">
        <f t="shared" si="95"/>
        <v>18</v>
      </c>
      <c r="R1603" s="8">
        <f t="shared" si="96"/>
        <v>2025</v>
      </c>
    </row>
    <row r="1604" spans="1:33" ht="15.75" hidden="1" thickBot="1" x14ac:dyDescent="0.3">
      <c r="A1604" s="225"/>
      <c r="B1604" s="113">
        <v>45781</v>
      </c>
      <c r="C1604" s="66" t="s">
        <v>59</v>
      </c>
      <c r="D1604" s="67" t="s">
        <v>38</v>
      </c>
      <c r="E1604" s="67" t="s">
        <v>39</v>
      </c>
      <c r="F1604" s="67" t="s">
        <v>40</v>
      </c>
      <c r="G1604" s="68">
        <v>5.9</v>
      </c>
      <c r="H1604" s="41">
        <v>900</v>
      </c>
      <c r="I1604" s="72">
        <v>830</v>
      </c>
      <c r="J1604" s="67">
        <v>0</v>
      </c>
      <c r="K1604" s="161">
        <v>0.8</v>
      </c>
      <c r="L1604" s="67">
        <f t="shared" si="97"/>
        <v>664</v>
      </c>
      <c r="M1604" s="69">
        <v>0</v>
      </c>
      <c r="N1604" s="70">
        <f t="shared" si="99"/>
        <v>664</v>
      </c>
      <c r="O1604" s="207"/>
      <c r="P1604" s="145" t="str">
        <f t="shared" si="98"/>
        <v>PLC5,9</v>
      </c>
      <c r="Q1604" s="52">
        <f t="shared" si="95"/>
        <v>18</v>
      </c>
      <c r="R1604" s="8">
        <f t="shared" si="96"/>
        <v>2025</v>
      </c>
    </row>
    <row r="1605" spans="1:33" hidden="1" x14ac:dyDescent="0.25">
      <c r="A1605" s="223">
        <f>_xlfn.ISOWEEKNUM(B1605)</f>
        <v>19</v>
      </c>
      <c r="B1605" s="145">
        <v>45782</v>
      </c>
      <c r="C1605" s="40" t="s">
        <v>37</v>
      </c>
      <c r="D1605" s="72" t="s">
        <v>38</v>
      </c>
      <c r="E1605" s="41" t="s">
        <v>39</v>
      </c>
      <c r="F1605" s="41" t="s">
        <v>40</v>
      </c>
      <c r="G1605" s="43">
        <v>8</v>
      </c>
      <c r="H1605" s="41">
        <v>900</v>
      </c>
      <c r="I1605" s="72">
        <v>835</v>
      </c>
      <c r="J1605" s="41">
        <v>0</v>
      </c>
      <c r="K1605" s="157">
        <v>0.8</v>
      </c>
      <c r="L1605" s="41">
        <f t="shared" si="97"/>
        <v>668</v>
      </c>
      <c r="M1605" s="73">
        <v>0</v>
      </c>
      <c r="N1605" s="74">
        <f t="shared" si="99"/>
        <v>668</v>
      </c>
      <c r="O1605" s="208"/>
      <c r="P1605" s="145" t="str">
        <f t="shared" si="98"/>
        <v>PLC8</v>
      </c>
      <c r="Q1605" s="52">
        <f t="shared" si="95"/>
        <v>19</v>
      </c>
      <c r="R1605" s="8">
        <f t="shared" si="96"/>
        <v>2025</v>
      </c>
    </row>
    <row r="1606" spans="1:33" hidden="1" x14ac:dyDescent="0.25">
      <c r="A1606" s="224"/>
      <c r="B1606" s="145">
        <v>45783</v>
      </c>
      <c r="C1606" s="52" t="s">
        <v>42</v>
      </c>
      <c r="D1606" s="52" t="s">
        <v>38</v>
      </c>
      <c r="E1606" s="53" t="s">
        <v>39</v>
      </c>
      <c r="F1606" s="53" t="s">
        <v>40</v>
      </c>
      <c r="G1606" s="43">
        <v>8</v>
      </c>
      <c r="H1606" s="41">
        <v>900</v>
      </c>
      <c r="I1606" s="72">
        <v>840</v>
      </c>
      <c r="J1606" s="53">
        <v>0</v>
      </c>
      <c r="K1606" s="157">
        <v>0.8</v>
      </c>
      <c r="L1606" s="53">
        <f t="shared" si="97"/>
        <v>672</v>
      </c>
      <c r="M1606" s="55">
        <v>0</v>
      </c>
      <c r="N1606" s="56">
        <f t="shared" si="99"/>
        <v>672</v>
      </c>
      <c r="O1606" s="156"/>
      <c r="P1606" s="145" t="str">
        <f t="shared" si="98"/>
        <v>PLC8</v>
      </c>
      <c r="Q1606" s="52">
        <f t="shared" si="95"/>
        <v>19</v>
      </c>
      <c r="R1606" s="8">
        <f t="shared" si="96"/>
        <v>2025</v>
      </c>
    </row>
    <row r="1607" spans="1:33" hidden="1" x14ac:dyDescent="0.25">
      <c r="A1607" s="224"/>
      <c r="B1607" s="145">
        <v>45784</v>
      </c>
      <c r="C1607" s="52" t="s">
        <v>46</v>
      </c>
      <c r="D1607" s="52" t="s">
        <v>38</v>
      </c>
      <c r="E1607" s="53" t="s">
        <v>39</v>
      </c>
      <c r="F1607" s="53" t="s">
        <v>40</v>
      </c>
      <c r="G1607" s="43">
        <v>8</v>
      </c>
      <c r="H1607" s="41">
        <v>900</v>
      </c>
      <c r="I1607" s="72">
        <v>820</v>
      </c>
      <c r="J1607" s="53">
        <v>0</v>
      </c>
      <c r="K1607" s="157">
        <v>0.8</v>
      </c>
      <c r="L1607" s="53">
        <f t="shared" si="97"/>
        <v>656</v>
      </c>
      <c r="M1607" s="55">
        <v>0</v>
      </c>
      <c r="N1607" s="56">
        <f t="shared" si="99"/>
        <v>656</v>
      </c>
      <c r="O1607" s="156" t="s">
        <v>194</v>
      </c>
      <c r="P1607" s="145" t="str">
        <f t="shared" si="98"/>
        <v>PLC8</v>
      </c>
      <c r="Q1607" s="52">
        <f t="shared" si="95"/>
        <v>19</v>
      </c>
      <c r="R1607" s="8">
        <f t="shared" si="96"/>
        <v>2025</v>
      </c>
    </row>
    <row r="1608" spans="1:33" hidden="1" x14ac:dyDescent="0.25">
      <c r="A1608" s="224"/>
      <c r="B1608" s="145">
        <v>45785</v>
      </c>
      <c r="C1608" s="52" t="s">
        <v>50</v>
      </c>
      <c r="D1608" s="52" t="s">
        <v>38</v>
      </c>
      <c r="E1608" s="53" t="s">
        <v>39</v>
      </c>
      <c r="F1608" s="53" t="s">
        <v>40</v>
      </c>
      <c r="G1608" s="43">
        <v>8</v>
      </c>
      <c r="H1608" s="41">
        <v>900</v>
      </c>
      <c r="I1608" s="72">
        <v>820</v>
      </c>
      <c r="J1608" s="53">
        <v>0</v>
      </c>
      <c r="K1608" s="157">
        <v>0.8</v>
      </c>
      <c r="L1608" s="53">
        <f t="shared" si="97"/>
        <v>656</v>
      </c>
      <c r="M1608" s="55">
        <v>0</v>
      </c>
      <c r="N1608" s="56">
        <f t="shared" si="99"/>
        <v>656</v>
      </c>
      <c r="O1608" s="156" t="s">
        <v>195</v>
      </c>
      <c r="P1608" s="145" t="str">
        <f t="shared" si="98"/>
        <v>PLC8</v>
      </c>
      <c r="Q1608" s="52">
        <f t="shared" si="95"/>
        <v>19</v>
      </c>
      <c r="R1608" s="8">
        <f t="shared" si="96"/>
        <v>2025</v>
      </c>
    </row>
    <row r="1609" spans="1:33" hidden="1" x14ac:dyDescent="0.25">
      <c r="A1609" s="224"/>
      <c r="B1609" s="145">
        <v>45786</v>
      </c>
      <c r="C1609" s="52" t="s">
        <v>53</v>
      </c>
      <c r="D1609" s="52" t="s">
        <v>38</v>
      </c>
      <c r="E1609" s="53" t="s">
        <v>39</v>
      </c>
      <c r="F1609" s="53" t="s">
        <v>40</v>
      </c>
      <c r="G1609" s="43">
        <v>10</v>
      </c>
      <c r="H1609" s="41">
        <v>900</v>
      </c>
      <c r="I1609" s="72">
        <v>820</v>
      </c>
      <c r="J1609" s="53">
        <v>0</v>
      </c>
      <c r="K1609" s="157">
        <v>0.8</v>
      </c>
      <c r="L1609" s="53">
        <f t="shared" si="97"/>
        <v>656</v>
      </c>
      <c r="M1609" s="55">
        <v>0</v>
      </c>
      <c r="N1609" s="56">
        <f t="shared" si="99"/>
        <v>656</v>
      </c>
      <c r="O1609" s="156"/>
      <c r="P1609" s="145" t="str">
        <f t="shared" si="98"/>
        <v>PLC10</v>
      </c>
      <c r="Q1609" s="52">
        <f t="shared" ref="Q1609:Q1672" si="100">_xlfn.ISOWEEKNUM(B1609)</f>
        <v>19</v>
      </c>
      <c r="R1609" s="8">
        <f t="shared" ref="R1609:R1672" si="101">YEAR(B1609)</f>
        <v>2025</v>
      </c>
    </row>
    <row r="1610" spans="1:33" hidden="1" x14ac:dyDescent="0.25">
      <c r="A1610" s="224"/>
      <c r="B1610" s="148">
        <v>45787</v>
      </c>
      <c r="C1610" s="58" t="s">
        <v>57</v>
      </c>
      <c r="D1610" s="59" t="s">
        <v>38</v>
      </c>
      <c r="E1610" s="60" t="s">
        <v>39</v>
      </c>
      <c r="F1610" s="60" t="s">
        <v>40</v>
      </c>
      <c r="G1610" s="199">
        <v>10</v>
      </c>
      <c r="H1610" s="41">
        <v>900</v>
      </c>
      <c r="I1610" s="72">
        <v>820</v>
      </c>
      <c r="J1610" s="60">
        <v>0</v>
      </c>
      <c r="K1610" s="159">
        <v>0.8</v>
      </c>
      <c r="L1610" s="60">
        <f t="shared" si="97"/>
        <v>656</v>
      </c>
      <c r="M1610" s="62">
        <v>0</v>
      </c>
      <c r="N1610" s="63">
        <f t="shared" si="99"/>
        <v>656</v>
      </c>
      <c r="O1610" s="206"/>
      <c r="P1610" s="145" t="str">
        <f t="shared" si="98"/>
        <v>PLC10</v>
      </c>
      <c r="Q1610" s="52">
        <f t="shared" si="100"/>
        <v>19</v>
      </c>
      <c r="R1610" s="8">
        <f t="shared" si="101"/>
        <v>2025</v>
      </c>
    </row>
    <row r="1611" spans="1:33" ht="15.75" hidden="1" thickBot="1" x14ac:dyDescent="0.3">
      <c r="A1611" s="225"/>
      <c r="B1611" s="113">
        <v>45788</v>
      </c>
      <c r="C1611" s="66" t="s">
        <v>59</v>
      </c>
      <c r="D1611" s="67" t="s">
        <v>38</v>
      </c>
      <c r="E1611" s="67" t="s">
        <v>39</v>
      </c>
      <c r="F1611" s="67" t="s">
        <v>40</v>
      </c>
      <c r="G1611" s="68">
        <v>10</v>
      </c>
      <c r="H1611" s="41">
        <v>900</v>
      </c>
      <c r="I1611" s="72">
        <v>820</v>
      </c>
      <c r="J1611" s="67">
        <v>0</v>
      </c>
      <c r="K1611" s="161">
        <v>0.8</v>
      </c>
      <c r="L1611" s="67">
        <f t="shared" si="97"/>
        <v>656</v>
      </c>
      <c r="M1611" s="69">
        <v>0</v>
      </c>
      <c r="N1611" s="70">
        <f t="shared" si="99"/>
        <v>656</v>
      </c>
      <c r="O1611" s="207"/>
      <c r="P1611" s="145" t="str">
        <f t="shared" si="98"/>
        <v>PLC10</v>
      </c>
      <c r="Q1611" s="52">
        <f t="shared" si="100"/>
        <v>19</v>
      </c>
      <c r="R1611" s="8">
        <f t="shared" si="101"/>
        <v>2025</v>
      </c>
      <c r="AG1611" s="214"/>
    </row>
    <row r="1612" spans="1:33" hidden="1" x14ac:dyDescent="0.25">
      <c r="A1612" s="223">
        <f>_xlfn.ISOWEEKNUM(B1612)</f>
        <v>20</v>
      </c>
      <c r="B1612" s="145">
        <v>45789</v>
      </c>
      <c r="C1612" s="40" t="s">
        <v>37</v>
      </c>
      <c r="D1612" s="72" t="s">
        <v>38</v>
      </c>
      <c r="E1612" s="41" t="s">
        <v>39</v>
      </c>
      <c r="F1612" s="41" t="s">
        <v>40</v>
      </c>
      <c r="G1612" s="43">
        <v>12</v>
      </c>
      <c r="H1612" s="41">
        <v>900</v>
      </c>
      <c r="I1612" s="72">
        <v>820</v>
      </c>
      <c r="J1612" s="41">
        <v>0</v>
      </c>
      <c r="K1612" s="157">
        <v>0.8</v>
      </c>
      <c r="L1612" s="41">
        <f t="shared" si="97"/>
        <v>656</v>
      </c>
      <c r="M1612" s="73">
        <v>0</v>
      </c>
      <c r="N1612" s="74">
        <f t="shared" si="99"/>
        <v>656</v>
      </c>
      <c r="O1612" s="208"/>
      <c r="P1612" s="145" t="str">
        <f t="shared" si="98"/>
        <v>PLC12</v>
      </c>
      <c r="Q1612" s="52">
        <f t="shared" si="100"/>
        <v>20</v>
      </c>
      <c r="R1612" s="8">
        <f t="shared" si="101"/>
        <v>2025</v>
      </c>
    </row>
    <row r="1613" spans="1:33" hidden="1" x14ac:dyDescent="0.25">
      <c r="A1613" s="224"/>
      <c r="B1613" s="145">
        <v>45790</v>
      </c>
      <c r="C1613" s="52" t="s">
        <v>42</v>
      </c>
      <c r="D1613" s="52" t="s">
        <v>38</v>
      </c>
      <c r="E1613" s="53" t="s">
        <v>39</v>
      </c>
      <c r="F1613" s="53" t="s">
        <v>40</v>
      </c>
      <c r="G1613" s="43">
        <v>12</v>
      </c>
      <c r="H1613" s="41">
        <v>900</v>
      </c>
      <c r="I1613" s="72">
        <v>820</v>
      </c>
      <c r="J1613" s="53">
        <v>0</v>
      </c>
      <c r="K1613" s="157">
        <v>0.8</v>
      </c>
      <c r="L1613" s="53">
        <f t="shared" si="97"/>
        <v>656</v>
      </c>
      <c r="M1613" s="55">
        <v>0</v>
      </c>
      <c r="N1613" s="56">
        <f t="shared" si="99"/>
        <v>656</v>
      </c>
      <c r="O1613" s="156"/>
      <c r="P1613" s="145" t="str">
        <f t="shared" si="98"/>
        <v>PLC12</v>
      </c>
      <c r="Q1613" s="52">
        <f t="shared" si="100"/>
        <v>20</v>
      </c>
      <c r="R1613" s="8">
        <f t="shared" si="101"/>
        <v>2025</v>
      </c>
    </row>
    <row r="1614" spans="1:33" hidden="1" x14ac:dyDescent="0.25">
      <c r="A1614" s="224"/>
      <c r="B1614" s="145">
        <v>45791</v>
      </c>
      <c r="C1614" s="52" t="s">
        <v>46</v>
      </c>
      <c r="D1614" s="52" t="s">
        <v>38</v>
      </c>
      <c r="E1614" s="53" t="s">
        <v>39</v>
      </c>
      <c r="F1614" s="53" t="s">
        <v>40</v>
      </c>
      <c r="G1614" s="43">
        <v>8</v>
      </c>
      <c r="H1614" s="41">
        <v>900</v>
      </c>
      <c r="I1614" s="72">
        <v>820</v>
      </c>
      <c r="J1614" s="53">
        <v>0</v>
      </c>
      <c r="K1614" s="157">
        <v>0.8</v>
      </c>
      <c r="L1614" s="53">
        <f t="shared" si="97"/>
        <v>656</v>
      </c>
      <c r="M1614" s="55">
        <v>0</v>
      </c>
      <c r="N1614" s="56">
        <f t="shared" si="99"/>
        <v>656</v>
      </c>
      <c r="O1614" s="156"/>
      <c r="P1614" s="145" t="str">
        <f t="shared" si="98"/>
        <v>PLC8</v>
      </c>
      <c r="Q1614" s="52">
        <f t="shared" si="100"/>
        <v>20</v>
      </c>
      <c r="R1614" s="8">
        <f t="shared" si="101"/>
        <v>2025</v>
      </c>
    </row>
    <row r="1615" spans="1:33" hidden="1" x14ac:dyDescent="0.25">
      <c r="A1615" s="224"/>
      <c r="B1615" s="145">
        <v>45792</v>
      </c>
      <c r="C1615" s="52" t="s">
        <v>50</v>
      </c>
      <c r="D1615" s="52" t="s">
        <v>38</v>
      </c>
      <c r="E1615" s="53" t="s">
        <v>39</v>
      </c>
      <c r="F1615" s="53" t="s">
        <v>40</v>
      </c>
      <c r="G1615" s="43">
        <v>8</v>
      </c>
      <c r="H1615" s="41">
        <v>900</v>
      </c>
      <c r="I1615" s="72">
        <v>820</v>
      </c>
      <c r="J1615" s="53">
        <v>0</v>
      </c>
      <c r="K1615" s="157">
        <v>0.8</v>
      </c>
      <c r="L1615" s="53">
        <f t="shared" si="97"/>
        <v>656</v>
      </c>
      <c r="M1615" s="55">
        <v>0</v>
      </c>
      <c r="N1615" s="56">
        <f t="shared" si="99"/>
        <v>656</v>
      </c>
      <c r="O1615" s="156"/>
      <c r="P1615" s="145" t="str">
        <f t="shared" si="98"/>
        <v>PLC8</v>
      </c>
      <c r="Q1615" s="52">
        <f t="shared" si="100"/>
        <v>20</v>
      </c>
      <c r="R1615" s="8">
        <f t="shared" si="101"/>
        <v>2025</v>
      </c>
    </row>
    <row r="1616" spans="1:33" hidden="1" x14ac:dyDescent="0.25">
      <c r="A1616" s="224"/>
      <c r="B1616" s="145">
        <v>45793</v>
      </c>
      <c r="C1616" s="52" t="s">
        <v>53</v>
      </c>
      <c r="D1616" s="52" t="s">
        <v>38</v>
      </c>
      <c r="E1616" s="53" t="s">
        <v>39</v>
      </c>
      <c r="F1616" s="53" t="s">
        <v>40</v>
      </c>
      <c r="G1616" s="43">
        <v>8</v>
      </c>
      <c r="H1616" s="41">
        <v>900</v>
      </c>
      <c r="I1616" s="72">
        <v>820</v>
      </c>
      <c r="J1616" s="53">
        <v>0</v>
      </c>
      <c r="K1616" s="157">
        <v>0.8</v>
      </c>
      <c r="L1616" s="53">
        <f t="shared" si="97"/>
        <v>656</v>
      </c>
      <c r="M1616" s="55">
        <v>0</v>
      </c>
      <c r="N1616" s="56">
        <f t="shared" si="99"/>
        <v>656</v>
      </c>
      <c r="O1616" s="156"/>
      <c r="P1616" s="145" t="str">
        <f t="shared" si="98"/>
        <v>PLC8</v>
      </c>
      <c r="Q1616" s="52">
        <f t="shared" si="100"/>
        <v>20</v>
      </c>
      <c r="R1616" s="8">
        <f t="shared" si="101"/>
        <v>2025</v>
      </c>
    </row>
    <row r="1617" spans="1:18" hidden="1" x14ac:dyDescent="0.25">
      <c r="A1617" s="224"/>
      <c r="B1617" s="148">
        <v>45794</v>
      </c>
      <c r="C1617" s="58" t="s">
        <v>57</v>
      </c>
      <c r="D1617" s="59" t="s">
        <v>38</v>
      </c>
      <c r="E1617" s="60" t="s">
        <v>39</v>
      </c>
      <c r="F1617" s="60" t="s">
        <v>40</v>
      </c>
      <c r="G1617" s="199">
        <v>5.9</v>
      </c>
      <c r="H1617" s="41">
        <v>900</v>
      </c>
      <c r="I1617" s="72">
        <v>820</v>
      </c>
      <c r="J1617" s="60">
        <v>0</v>
      </c>
      <c r="K1617" s="157">
        <v>0.8</v>
      </c>
      <c r="L1617" s="60">
        <f t="shared" si="97"/>
        <v>656</v>
      </c>
      <c r="M1617" s="62">
        <v>0</v>
      </c>
      <c r="N1617" s="63">
        <f t="shared" si="99"/>
        <v>656</v>
      </c>
      <c r="O1617" s="206"/>
      <c r="P1617" s="145" t="str">
        <f t="shared" si="98"/>
        <v>PLC5,9</v>
      </c>
      <c r="Q1617" s="52">
        <f t="shared" si="100"/>
        <v>20</v>
      </c>
      <c r="R1617" s="8">
        <f t="shared" si="101"/>
        <v>2025</v>
      </c>
    </row>
    <row r="1618" spans="1:18" ht="15.75" hidden="1" thickBot="1" x14ac:dyDescent="0.3">
      <c r="A1618" s="225"/>
      <c r="B1618" s="113">
        <v>45795</v>
      </c>
      <c r="C1618" s="66" t="s">
        <v>59</v>
      </c>
      <c r="D1618" s="67" t="s">
        <v>38</v>
      </c>
      <c r="E1618" s="67" t="s">
        <v>39</v>
      </c>
      <c r="F1618" s="67" t="s">
        <v>40</v>
      </c>
      <c r="G1618" s="68">
        <v>5.9</v>
      </c>
      <c r="H1618" s="41">
        <v>900</v>
      </c>
      <c r="I1618" s="72">
        <v>820</v>
      </c>
      <c r="J1618" s="67">
        <v>0</v>
      </c>
      <c r="K1618" s="157">
        <v>0.8</v>
      </c>
      <c r="L1618" s="67">
        <f t="shared" si="97"/>
        <v>656</v>
      </c>
      <c r="M1618" s="69">
        <v>0</v>
      </c>
      <c r="N1618" s="70">
        <f t="shared" si="99"/>
        <v>656</v>
      </c>
      <c r="O1618" s="207"/>
      <c r="P1618" s="145" t="str">
        <f t="shared" si="98"/>
        <v>PLC5,9</v>
      </c>
      <c r="Q1618" s="52">
        <f t="shared" si="100"/>
        <v>20</v>
      </c>
      <c r="R1618" s="8">
        <f t="shared" si="101"/>
        <v>2025</v>
      </c>
    </row>
    <row r="1619" spans="1:18" hidden="1" x14ac:dyDescent="0.25">
      <c r="A1619" s="223">
        <f>_xlfn.ISOWEEKNUM(B1619)</f>
        <v>21</v>
      </c>
      <c r="B1619" s="145">
        <v>45796</v>
      </c>
      <c r="C1619" s="40" t="s">
        <v>37</v>
      </c>
      <c r="D1619" s="72" t="s">
        <v>38</v>
      </c>
      <c r="E1619" s="41" t="s">
        <v>39</v>
      </c>
      <c r="F1619" s="41" t="s">
        <v>40</v>
      </c>
      <c r="G1619" s="43">
        <v>4.9000000000000004</v>
      </c>
      <c r="H1619" s="41">
        <v>900</v>
      </c>
      <c r="I1619" s="72">
        <v>820</v>
      </c>
      <c r="J1619" s="41">
        <v>0</v>
      </c>
      <c r="K1619" s="157">
        <v>0.8</v>
      </c>
      <c r="L1619" s="41">
        <f t="shared" si="97"/>
        <v>656</v>
      </c>
      <c r="M1619" s="73">
        <v>0</v>
      </c>
      <c r="N1619" s="74">
        <f t="shared" si="99"/>
        <v>656</v>
      </c>
      <c r="O1619" s="208"/>
      <c r="P1619" s="145" t="str">
        <f t="shared" si="98"/>
        <v>PLC4,9</v>
      </c>
      <c r="Q1619" s="52">
        <f t="shared" si="100"/>
        <v>21</v>
      </c>
      <c r="R1619" s="8">
        <f t="shared" si="101"/>
        <v>2025</v>
      </c>
    </row>
    <row r="1620" spans="1:18" hidden="1" x14ac:dyDescent="0.25">
      <c r="A1620" s="224"/>
      <c r="B1620" s="145">
        <v>45797</v>
      </c>
      <c r="C1620" s="52" t="s">
        <v>42</v>
      </c>
      <c r="D1620" s="52" t="s">
        <v>38</v>
      </c>
      <c r="E1620" s="53" t="s">
        <v>39</v>
      </c>
      <c r="F1620" s="53" t="s">
        <v>40</v>
      </c>
      <c r="G1620" s="43">
        <v>3.9</v>
      </c>
      <c r="H1620" s="53">
        <v>900</v>
      </c>
      <c r="I1620" s="72">
        <v>820</v>
      </c>
      <c r="J1620" s="53">
        <v>0</v>
      </c>
      <c r="K1620" s="157">
        <v>0.8</v>
      </c>
      <c r="L1620" s="53">
        <f t="shared" si="97"/>
        <v>656</v>
      </c>
      <c r="M1620" s="55">
        <v>0</v>
      </c>
      <c r="N1620" s="56">
        <f t="shared" si="99"/>
        <v>656</v>
      </c>
      <c r="O1620" s="156"/>
      <c r="P1620" s="145" t="str">
        <f t="shared" si="98"/>
        <v>PLC3,9</v>
      </c>
      <c r="Q1620" s="52">
        <f t="shared" si="100"/>
        <v>21</v>
      </c>
      <c r="R1620" s="8">
        <f t="shared" si="101"/>
        <v>2025</v>
      </c>
    </row>
    <row r="1621" spans="1:18" hidden="1" x14ac:dyDescent="0.25">
      <c r="A1621" s="224"/>
      <c r="B1621" s="145">
        <v>45798</v>
      </c>
      <c r="C1621" s="52" t="s">
        <v>46</v>
      </c>
      <c r="D1621" s="52" t="s">
        <v>38</v>
      </c>
      <c r="E1621" s="53" t="s">
        <v>39</v>
      </c>
      <c r="F1621" s="53" t="s">
        <v>40</v>
      </c>
      <c r="G1621" s="43">
        <v>3.9</v>
      </c>
      <c r="H1621" s="53">
        <v>900</v>
      </c>
      <c r="I1621" s="72">
        <v>820</v>
      </c>
      <c r="J1621" s="53">
        <v>0</v>
      </c>
      <c r="K1621" s="157">
        <v>0.8</v>
      </c>
      <c r="L1621" s="53">
        <f t="shared" si="97"/>
        <v>656</v>
      </c>
      <c r="M1621" s="55">
        <v>0</v>
      </c>
      <c r="N1621" s="56">
        <f t="shared" si="99"/>
        <v>656</v>
      </c>
      <c r="O1621" s="156"/>
      <c r="P1621" s="145" t="str">
        <f t="shared" si="98"/>
        <v>PLC3,9</v>
      </c>
      <c r="Q1621" s="52">
        <f t="shared" si="100"/>
        <v>21</v>
      </c>
      <c r="R1621" s="8">
        <f t="shared" si="101"/>
        <v>2025</v>
      </c>
    </row>
    <row r="1622" spans="1:18" hidden="1" x14ac:dyDescent="0.25">
      <c r="A1622" s="224"/>
      <c r="B1622" s="145">
        <v>45799</v>
      </c>
      <c r="C1622" s="52" t="s">
        <v>50</v>
      </c>
      <c r="D1622" s="52" t="s">
        <v>38</v>
      </c>
      <c r="E1622" s="53" t="s">
        <v>39</v>
      </c>
      <c r="F1622" s="53" t="s">
        <v>40</v>
      </c>
      <c r="G1622" s="43">
        <v>3.9</v>
      </c>
      <c r="H1622" s="53">
        <v>900</v>
      </c>
      <c r="I1622" s="72">
        <v>820</v>
      </c>
      <c r="J1622" s="53">
        <v>0</v>
      </c>
      <c r="K1622" s="157">
        <v>0.8</v>
      </c>
      <c r="L1622" s="53">
        <f t="shared" si="97"/>
        <v>656</v>
      </c>
      <c r="M1622" s="55">
        <v>0</v>
      </c>
      <c r="N1622" s="56">
        <f t="shared" si="99"/>
        <v>656</v>
      </c>
      <c r="O1622" s="156"/>
      <c r="P1622" s="145" t="str">
        <f t="shared" si="98"/>
        <v>PLC3,9</v>
      </c>
      <c r="Q1622" s="52">
        <f t="shared" si="100"/>
        <v>21</v>
      </c>
      <c r="R1622" s="8">
        <f t="shared" si="101"/>
        <v>2025</v>
      </c>
    </row>
    <row r="1623" spans="1:18" hidden="1" x14ac:dyDescent="0.25">
      <c r="A1623" s="224"/>
      <c r="B1623" s="145">
        <v>45800</v>
      </c>
      <c r="C1623" s="52" t="s">
        <v>53</v>
      </c>
      <c r="D1623" s="52" t="s">
        <v>38</v>
      </c>
      <c r="E1623" s="53" t="s">
        <v>39</v>
      </c>
      <c r="F1623" s="53" t="s">
        <v>40</v>
      </c>
      <c r="G1623" s="43">
        <v>3.9</v>
      </c>
      <c r="H1623" s="53">
        <v>900</v>
      </c>
      <c r="I1623" s="72">
        <v>820</v>
      </c>
      <c r="J1623" s="53">
        <v>0</v>
      </c>
      <c r="K1623" s="157">
        <v>0.8</v>
      </c>
      <c r="L1623" s="53">
        <f t="shared" si="97"/>
        <v>656</v>
      </c>
      <c r="M1623" s="55">
        <v>0</v>
      </c>
      <c r="N1623" s="56">
        <f t="shared" si="99"/>
        <v>656</v>
      </c>
      <c r="O1623" s="156"/>
      <c r="P1623" s="145" t="str">
        <f t="shared" si="98"/>
        <v>PLC3,9</v>
      </c>
      <c r="Q1623" s="52">
        <f t="shared" si="100"/>
        <v>21</v>
      </c>
      <c r="R1623" s="8">
        <f t="shared" si="101"/>
        <v>2025</v>
      </c>
    </row>
    <row r="1624" spans="1:18" hidden="1" x14ac:dyDescent="0.25">
      <c r="A1624" s="224"/>
      <c r="B1624" s="148">
        <v>45801</v>
      </c>
      <c r="C1624" s="58" t="s">
        <v>57</v>
      </c>
      <c r="D1624" s="59" t="s">
        <v>38</v>
      </c>
      <c r="E1624" s="60" t="s">
        <v>39</v>
      </c>
      <c r="F1624" s="60" t="s">
        <v>40</v>
      </c>
      <c r="G1624" s="199">
        <v>3.9</v>
      </c>
      <c r="H1624" s="60">
        <v>900</v>
      </c>
      <c r="I1624" s="72">
        <v>820</v>
      </c>
      <c r="J1624" s="60">
        <v>0</v>
      </c>
      <c r="K1624" s="159">
        <v>0.8</v>
      </c>
      <c r="L1624" s="60">
        <f t="shared" si="97"/>
        <v>656</v>
      </c>
      <c r="M1624" s="62">
        <v>0</v>
      </c>
      <c r="N1624" s="63">
        <f t="shared" si="99"/>
        <v>656</v>
      </c>
      <c r="O1624" s="206"/>
      <c r="P1624" s="145" t="str">
        <f t="shared" si="98"/>
        <v>PLC3,9</v>
      </c>
      <c r="Q1624" s="52">
        <f t="shared" si="100"/>
        <v>21</v>
      </c>
      <c r="R1624" s="8">
        <f t="shared" si="101"/>
        <v>2025</v>
      </c>
    </row>
    <row r="1625" spans="1:18" ht="15.75" hidden="1" thickBot="1" x14ac:dyDescent="0.3">
      <c r="A1625" s="225"/>
      <c r="B1625" s="113">
        <v>45802</v>
      </c>
      <c r="C1625" s="66" t="s">
        <v>59</v>
      </c>
      <c r="D1625" s="67" t="s">
        <v>38</v>
      </c>
      <c r="E1625" s="67" t="s">
        <v>39</v>
      </c>
      <c r="F1625" s="67" t="s">
        <v>40</v>
      </c>
      <c r="G1625" s="68">
        <v>5.9</v>
      </c>
      <c r="H1625" s="67">
        <v>900</v>
      </c>
      <c r="I1625" s="72">
        <v>820</v>
      </c>
      <c r="J1625" s="67">
        <v>0</v>
      </c>
      <c r="K1625" s="161">
        <v>0.8</v>
      </c>
      <c r="L1625" s="67">
        <f t="shared" si="97"/>
        <v>656</v>
      </c>
      <c r="M1625" s="69">
        <v>0</v>
      </c>
      <c r="N1625" s="70">
        <f t="shared" si="99"/>
        <v>656</v>
      </c>
      <c r="O1625" s="207"/>
      <c r="P1625" s="145" t="str">
        <f t="shared" si="98"/>
        <v>PLC5,9</v>
      </c>
      <c r="Q1625" s="52">
        <f t="shared" si="100"/>
        <v>21</v>
      </c>
      <c r="R1625" s="8">
        <f t="shared" si="101"/>
        <v>2025</v>
      </c>
    </row>
    <row r="1626" spans="1:18" hidden="1" x14ac:dyDescent="0.25">
      <c r="A1626" s="223">
        <f>_xlfn.ISOWEEKNUM(B1626)</f>
        <v>22</v>
      </c>
      <c r="B1626" s="145">
        <v>45803</v>
      </c>
      <c r="C1626" s="40" t="s">
        <v>37</v>
      </c>
      <c r="D1626" s="72" t="s">
        <v>38</v>
      </c>
      <c r="E1626" s="41" t="s">
        <v>39</v>
      </c>
      <c r="F1626" s="41" t="s">
        <v>40</v>
      </c>
      <c r="G1626" s="43">
        <v>5.9</v>
      </c>
      <c r="H1626" s="41">
        <v>900</v>
      </c>
      <c r="I1626" s="72">
        <v>820</v>
      </c>
      <c r="J1626" s="41">
        <v>0</v>
      </c>
      <c r="K1626" s="157">
        <v>0.8</v>
      </c>
      <c r="L1626" s="41">
        <f t="shared" ref="L1626:L1689" si="102">IF(J1626&gt;0,J1626*K1626,I1626*K1626)</f>
        <v>656</v>
      </c>
      <c r="M1626" s="73">
        <v>0</v>
      </c>
      <c r="N1626" s="74">
        <f t="shared" si="99"/>
        <v>656</v>
      </c>
      <c r="O1626" s="208"/>
      <c r="P1626" s="145" t="str">
        <f t="shared" si="98"/>
        <v>PLC5,9</v>
      </c>
      <c r="Q1626" s="52">
        <f t="shared" si="100"/>
        <v>22</v>
      </c>
      <c r="R1626" s="8">
        <f t="shared" si="101"/>
        <v>2025</v>
      </c>
    </row>
    <row r="1627" spans="1:18" hidden="1" x14ac:dyDescent="0.25">
      <c r="A1627" s="224"/>
      <c r="B1627" s="145">
        <v>45804</v>
      </c>
      <c r="C1627" s="52" t="s">
        <v>42</v>
      </c>
      <c r="D1627" s="52" t="s">
        <v>38</v>
      </c>
      <c r="E1627" s="53" t="s">
        <v>39</v>
      </c>
      <c r="F1627" s="53" t="s">
        <v>40</v>
      </c>
      <c r="G1627" s="43">
        <v>5.9</v>
      </c>
      <c r="H1627" s="53">
        <v>900</v>
      </c>
      <c r="I1627" s="72">
        <v>820</v>
      </c>
      <c r="J1627" s="53">
        <v>0</v>
      </c>
      <c r="K1627" s="157">
        <v>0.8</v>
      </c>
      <c r="L1627" s="53">
        <f t="shared" si="102"/>
        <v>656</v>
      </c>
      <c r="M1627" s="55">
        <v>0</v>
      </c>
      <c r="N1627" s="56">
        <f t="shared" si="99"/>
        <v>656</v>
      </c>
      <c r="O1627" s="156"/>
      <c r="P1627" s="145" t="str">
        <f t="shared" si="98"/>
        <v>PLC5,9</v>
      </c>
      <c r="Q1627" s="52">
        <f t="shared" si="100"/>
        <v>22</v>
      </c>
      <c r="R1627" s="8">
        <f t="shared" si="101"/>
        <v>2025</v>
      </c>
    </row>
    <row r="1628" spans="1:18" hidden="1" x14ac:dyDescent="0.25">
      <c r="A1628" s="224"/>
      <c r="B1628" s="145">
        <v>45805</v>
      </c>
      <c r="C1628" s="52" t="s">
        <v>46</v>
      </c>
      <c r="D1628" s="52" t="s">
        <v>38</v>
      </c>
      <c r="E1628" s="53" t="s">
        <v>39</v>
      </c>
      <c r="F1628" s="53" t="s">
        <v>40</v>
      </c>
      <c r="G1628" s="43">
        <v>5.9</v>
      </c>
      <c r="H1628" s="53">
        <v>900</v>
      </c>
      <c r="I1628" s="72">
        <v>820</v>
      </c>
      <c r="J1628" s="53">
        <v>0</v>
      </c>
      <c r="K1628" s="157">
        <v>0.8</v>
      </c>
      <c r="L1628" s="53">
        <f t="shared" si="102"/>
        <v>656</v>
      </c>
      <c r="M1628" s="55">
        <v>0</v>
      </c>
      <c r="N1628" s="56">
        <f t="shared" si="99"/>
        <v>656</v>
      </c>
      <c r="O1628" s="156"/>
      <c r="P1628" s="145" t="str">
        <f t="shared" si="98"/>
        <v>PLC5,9</v>
      </c>
      <c r="Q1628" s="52">
        <f t="shared" si="100"/>
        <v>22</v>
      </c>
      <c r="R1628" s="8">
        <f t="shared" si="101"/>
        <v>2025</v>
      </c>
    </row>
    <row r="1629" spans="1:18" hidden="1" x14ac:dyDescent="0.25">
      <c r="A1629" s="224"/>
      <c r="B1629" s="187">
        <v>45806</v>
      </c>
      <c r="C1629" s="52" t="s">
        <v>50</v>
      </c>
      <c r="D1629" s="52" t="s">
        <v>38</v>
      </c>
      <c r="E1629" s="53" t="s">
        <v>39</v>
      </c>
      <c r="F1629" s="53" t="s">
        <v>40</v>
      </c>
      <c r="G1629" s="43">
        <v>5.9</v>
      </c>
      <c r="H1629" s="53">
        <v>900</v>
      </c>
      <c r="I1629" s="72">
        <v>820</v>
      </c>
      <c r="J1629" s="53">
        <v>0</v>
      </c>
      <c r="K1629" s="157">
        <v>0.8</v>
      </c>
      <c r="L1629" s="53">
        <f t="shared" si="102"/>
        <v>656</v>
      </c>
      <c r="M1629" s="55">
        <v>0</v>
      </c>
      <c r="N1629" s="56">
        <f t="shared" si="99"/>
        <v>656</v>
      </c>
      <c r="O1629" s="156"/>
      <c r="P1629" s="145" t="str">
        <f t="shared" si="98"/>
        <v>PLC5,9</v>
      </c>
      <c r="Q1629" s="52">
        <f t="shared" si="100"/>
        <v>22</v>
      </c>
      <c r="R1629" s="8">
        <f t="shared" si="101"/>
        <v>2025</v>
      </c>
    </row>
    <row r="1630" spans="1:18" hidden="1" x14ac:dyDescent="0.25">
      <c r="A1630" s="224"/>
      <c r="B1630" s="145">
        <v>45807</v>
      </c>
      <c r="C1630" s="52" t="s">
        <v>53</v>
      </c>
      <c r="D1630" s="52" t="s">
        <v>38</v>
      </c>
      <c r="E1630" s="53" t="s">
        <v>39</v>
      </c>
      <c r="F1630" s="53" t="s">
        <v>40</v>
      </c>
      <c r="G1630" s="43">
        <v>8</v>
      </c>
      <c r="H1630" s="53">
        <v>900</v>
      </c>
      <c r="I1630" s="72">
        <v>820</v>
      </c>
      <c r="J1630" s="53">
        <v>0</v>
      </c>
      <c r="K1630" s="157">
        <v>0.8</v>
      </c>
      <c r="L1630" s="53">
        <f t="shared" si="102"/>
        <v>656</v>
      </c>
      <c r="M1630" s="55">
        <v>0</v>
      </c>
      <c r="N1630" s="56">
        <f t="shared" si="99"/>
        <v>656</v>
      </c>
      <c r="O1630" s="156"/>
      <c r="P1630" s="145" t="str">
        <f t="shared" si="98"/>
        <v>PLC8</v>
      </c>
      <c r="Q1630" s="52">
        <f t="shared" si="100"/>
        <v>22</v>
      </c>
      <c r="R1630" s="8">
        <f t="shared" si="101"/>
        <v>2025</v>
      </c>
    </row>
    <row r="1631" spans="1:18" hidden="1" x14ac:dyDescent="0.25">
      <c r="A1631" s="224"/>
      <c r="B1631" s="148">
        <v>45808</v>
      </c>
      <c r="C1631" s="58" t="s">
        <v>57</v>
      </c>
      <c r="D1631" s="59" t="s">
        <v>38</v>
      </c>
      <c r="E1631" s="60" t="s">
        <v>39</v>
      </c>
      <c r="F1631" s="60" t="s">
        <v>40</v>
      </c>
      <c r="G1631" s="199">
        <v>8</v>
      </c>
      <c r="H1631" s="60">
        <v>900</v>
      </c>
      <c r="I1631" s="72">
        <v>820</v>
      </c>
      <c r="J1631" s="60">
        <v>0</v>
      </c>
      <c r="K1631" s="159">
        <v>0.8</v>
      </c>
      <c r="L1631" s="60">
        <f t="shared" si="102"/>
        <v>656</v>
      </c>
      <c r="M1631" s="62">
        <v>0</v>
      </c>
      <c r="N1631" s="63">
        <f t="shared" si="99"/>
        <v>656</v>
      </c>
      <c r="O1631" s="206"/>
      <c r="P1631" s="145" t="str">
        <f t="shared" si="98"/>
        <v>PLC8</v>
      </c>
      <c r="Q1631" s="52">
        <f t="shared" si="100"/>
        <v>22</v>
      </c>
      <c r="R1631" s="8">
        <f t="shared" si="101"/>
        <v>2025</v>
      </c>
    </row>
    <row r="1632" spans="1:18" ht="15.75" hidden="1" thickBot="1" x14ac:dyDescent="0.3">
      <c r="A1632" s="225"/>
      <c r="B1632" s="113">
        <v>45809</v>
      </c>
      <c r="C1632" s="66" t="s">
        <v>59</v>
      </c>
      <c r="D1632" s="67" t="s">
        <v>38</v>
      </c>
      <c r="E1632" s="67" t="s">
        <v>39</v>
      </c>
      <c r="F1632" s="67" t="s">
        <v>40</v>
      </c>
      <c r="G1632" s="68">
        <v>8</v>
      </c>
      <c r="H1632" s="67">
        <v>900</v>
      </c>
      <c r="I1632" s="72">
        <v>820</v>
      </c>
      <c r="J1632" s="67">
        <v>0</v>
      </c>
      <c r="K1632" s="161">
        <v>0.8</v>
      </c>
      <c r="L1632" s="67">
        <f t="shared" si="102"/>
        <v>656</v>
      </c>
      <c r="M1632" s="69">
        <v>0</v>
      </c>
      <c r="N1632" s="70">
        <f t="shared" si="99"/>
        <v>656</v>
      </c>
      <c r="O1632" s="207"/>
      <c r="P1632" s="145" t="str">
        <f t="shared" si="98"/>
        <v>PLC8</v>
      </c>
      <c r="Q1632" s="52">
        <f t="shared" si="100"/>
        <v>22</v>
      </c>
      <c r="R1632" s="8">
        <f t="shared" si="101"/>
        <v>2025</v>
      </c>
    </row>
    <row r="1633" spans="1:18" hidden="1" x14ac:dyDescent="0.25">
      <c r="A1633" s="223">
        <f>_xlfn.ISOWEEKNUM(B1633)</f>
        <v>23</v>
      </c>
      <c r="B1633" s="145">
        <v>45810</v>
      </c>
      <c r="C1633" s="40" t="s">
        <v>37</v>
      </c>
      <c r="D1633" s="72" t="s">
        <v>38</v>
      </c>
      <c r="E1633" s="41" t="s">
        <v>39</v>
      </c>
      <c r="F1633" s="41" t="s">
        <v>40</v>
      </c>
      <c r="G1633" s="43">
        <v>8</v>
      </c>
      <c r="H1633" s="41">
        <v>900</v>
      </c>
      <c r="I1633" s="72">
        <v>830</v>
      </c>
      <c r="J1633" s="41">
        <v>0</v>
      </c>
      <c r="K1633" s="157">
        <v>0.8</v>
      </c>
      <c r="L1633" s="41">
        <f t="shared" si="102"/>
        <v>664</v>
      </c>
      <c r="M1633" s="73">
        <v>0</v>
      </c>
      <c r="N1633" s="74">
        <f t="shared" si="99"/>
        <v>664</v>
      </c>
      <c r="O1633" s="208"/>
      <c r="P1633" s="145" t="str">
        <f t="shared" si="98"/>
        <v>PLC8</v>
      </c>
      <c r="Q1633" s="52">
        <f t="shared" si="100"/>
        <v>23</v>
      </c>
      <c r="R1633" s="8">
        <f t="shared" si="101"/>
        <v>2025</v>
      </c>
    </row>
    <row r="1634" spans="1:18" hidden="1" x14ac:dyDescent="0.25">
      <c r="A1634" s="224"/>
      <c r="B1634" s="145">
        <v>45811</v>
      </c>
      <c r="C1634" s="52" t="s">
        <v>42</v>
      </c>
      <c r="D1634" s="52" t="s">
        <v>38</v>
      </c>
      <c r="E1634" s="53" t="s">
        <v>39</v>
      </c>
      <c r="F1634" s="53" t="s">
        <v>40</v>
      </c>
      <c r="G1634" s="43">
        <v>8</v>
      </c>
      <c r="H1634" s="53">
        <v>900</v>
      </c>
      <c r="I1634" s="72">
        <v>820</v>
      </c>
      <c r="J1634" s="53">
        <v>0</v>
      </c>
      <c r="K1634" s="157">
        <v>0.8</v>
      </c>
      <c r="L1634" s="53">
        <f t="shared" si="102"/>
        <v>656</v>
      </c>
      <c r="M1634" s="55">
        <v>0</v>
      </c>
      <c r="N1634" s="56">
        <f t="shared" si="99"/>
        <v>656</v>
      </c>
      <c r="O1634" s="156"/>
      <c r="P1634" s="145" t="str">
        <f t="shared" si="98"/>
        <v>PLC8</v>
      </c>
      <c r="Q1634" s="52">
        <f t="shared" si="100"/>
        <v>23</v>
      </c>
      <c r="R1634" s="8">
        <f t="shared" si="101"/>
        <v>2025</v>
      </c>
    </row>
    <row r="1635" spans="1:18" hidden="1" x14ac:dyDescent="0.25">
      <c r="A1635" s="224"/>
      <c r="B1635" s="145">
        <v>45812</v>
      </c>
      <c r="C1635" s="52" t="s">
        <v>46</v>
      </c>
      <c r="D1635" s="52" t="s">
        <v>38</v>
      </c>
      <c r="E1635" s="53" t="s">
        <v>39</v>
      </c>
      <c r="F1635" s="53" t="s">
        <v>40</v>
      </c>
      <c r="G1635" s="43">
        <v>10</v>
      </c>
      <c r="H1635" s="53">
        <v>900</v>
      </c>
      <c r="I1635" s="72">
        <v>820</v>
      </c>
      <c r="J1635" s="53">
        <v>0</v>
      </c>
      <c r="K1635" s="157">
        <v>0.8</v>
      </c>
      <c r="L1635" s="53">
        <f t="shared" si="102"/>
        <v>656</v>
      </c>
      <c r="M1635" s="55">
        <v>0</v>
      </c>
      <c r="N1635" s="56">
        <f t="shared" si="99"/>
        <v>656</v>
      </c>
      <c r="O1635" s="156"/>
      <c r="P1635" s="145" t="str">
        <f t="shared" si="98"/>
        <v>PLC10</v>
      </c>
      <c r="Q1635" s="52">
        <f t="shared" si="100"/>
        <v>23</v>
      </c>
      <c r="R1635" s="8">
        <f t="shared" si="101"/>
        <v>2025</v>
      </c>
    </row>
    <row r="1636" spans="1:18" hidden="1" x14ac:dyDescent="0.25">
      <c r="A1636" s="224"/>
      <c r="B1636" s="145">
        <v>45813</v>
      </c>
      <c r="C1636" s="52" t="s">
        <v>50</v>
      </c>
      <c r="D1636" s="52" t="s">
        <v>38</v>
      </c>
      <c r="E1636" s="53" t="s">
        <v>39</v>
      </c>
      <c r="F1636" s="53" t="s">
        <v>40</v>
      </c>
      <c r="G1636" s="43">
        <v>5.9</v>
      </c>
      <c r="H1636" s="53">
        <v>900</v>
      </c>
      <c r="I1636" s="72">
        <v>820</v>
      </c>
      <c r="J1636" s="53">
        <v>0</v>
      </c>
      <c r="K1636" s="157">
        <v>0.8</v>
      </c>
      <c r="L1636" s="53">
        <f t="shared" si="102"/>
        <v>656</v>
      </c>
      <c r="M1636" s="55">
        <v>0</v>
      </c>
      <c r="N1636" s="56">
        <f t="shared" si="99"/>
        <v>656</v>
      </c>
      <c r="O1636" s="156"/>
      <c r="P1636" s="145" t="str">
        <f t="shared" si="98"/>
        <v>PLC5,9</v>
      </c>
      <c r="Q1636" s="52">
        <f t="shared" si="100"/>
        <v>23</v>
      </c>
      <c r="R1636" s="8">
        <f t="shared" si="101"/>
        <v>2025</v>
      </c>
    </row>
    <row r="1637" spans="1:18" hidden="1" x14ac:dyDescent="0.25">
      <c r="A1637" s="224"/>
      <c r="B1637" s="145">
        <v>45814</v>
      </c>
      <c r="C1637" s="52" t="s">
        <v>53</v>
      </c>
      <c r="D1637" s="52" t="s">
        <v>38</v>
      </c>
      <c r="E1637" s="53" t="s">
        <v>39</v>
      </c>
      <c r="F1637" s="53" t="s">
        <v>40</v>
      </c>
      <c r="G1637" s="43">
        <v>5.9</v>
      </c>
      <c r="H1637" s="53">
        <v>900</v>
      </c>
      <c r="I1637" s="72">
        <v>820</v>
      </c>
      <c r="J1637" s="53">
        <v>0</v>
      </c>
      <c r="K1637" s="157">
        <v>0.8</v>
      </c>
      <c r="L1637" s="53">
        <f t="shared" si="102"/>
        <v>656</v>
      </c>
      <c r="M1637" s="55">
        <v>0</v>
      </c>
      <c r="N1637" s="56">
        <f t="shared" si="99"/>
        <v>656</v>
      </c>
      <c r="O1637" s="156"/>
      <c r="P1637" s="145" t="str">
        <f t="shared" si="98"/>
        <v>PLC5,9</v>
      </c>
      <c r="Q1637" s="52">
        <f t="shared" si="100"/>
        <v>23</v>
      </c>
      <c r="R1637" s="8">
        <f t="shared" si="101"/>
        <v>2025</v>
      </c>
    </row>
    <row r="1638" spans="1:18" hidden="1" x14ac:dyDescent="0.25">
      <c r="A1638" s="224"/>
      <c r="B1638" s="148">
        <v>45815</v>
      </c>
      <c r="C1638" s="58" t="s">
        <v>57</v>
      </c>
      <c r="D1638" s="59" t="s">
        <v>38</v>
      </c>
      <c r="E1638" s="60" t="s">
        <v>39</v>
      </c>
      <c r="F1638" s="60" t="s">
        <v>40</v>
      </c>
      <c r="G1638" s="199">
        <v>5.9</v>
      </c>
      <c r="H1638" s="60">
        <v>900</v>
      </c>
      <c r="I1638" s="72">
        <v>820</v>
      </c>
      <c r="J1638" s="60">
        <v>0</v>
      </c>
      <c r="K1638" s="159">
        <v>0.8</v>
      </c>
      <c r="L1638" s="60">
        <f t="shared" si="102"/>
        <v>656</v>
      </c>
      <c r="M1638" s="62">
        <v>0</v>
      </c>
      <c r="N1638" s="63">
        <f t="shared" si="99"/>
        <v>656</v>
      </c>
      <c r="O1638" s="206"/>
      <c r="P1638" s="145" t="str">
        <f t="shared" si="98"/>
        <v>PLC5,9</v>
      </c>
      <c r="Q1638" s="52">
        <f t="shared" si="100"/>
        <v>23</v>
      </c>
      <c r="R1638" s="8">
        <f t="shared" si="101"/>
        <v>2025</v>
      </c>
    </row>
    <row r="1639" spans="1:18" ht="15.75" hidden="1" thickBot="1" x14ac:dyDescent="0.3">
      <c r="A1639" s="225"/>
      <c r="B1639" s="113">
        <v>45816</v>
      </c>
      <c r="C1639" s="66" t="s">
        <v>59</v>
      </c>
      <c r="D1639" s="67" t="s">
        <v>38</v>
      </c>
      <c r="E1639" s="67" t="s">
        <v>39</v>
      </c>
      <c r="F1639" s="67" t="s">
        <v>40</v>
      </c>
      <c r="G1639" s="68">
        <v>5.9</v>
      </c>
      <c r="H1639" s="67">
        <v>900</v>
      </c>
      <c r="I1639" s="72">
        <v>820</v>
      </c>
      <c r="J1639" s="67">
        <v>0</v>
      </c>
      <c r="K1639" s="161">
        <v>0.8</v>
      </c>
      <c r="L1639" s="67">
        <f t="shared" si="102"/>
        <v>656</v>
      </c>
      <c r="M1639" s="69">
        <v>0</v>
      </c>
      <c r="N1639" s="70">
        <f t="shared" si="99"/>
        <v>656</v>
      </c>
      <c r="O1639" s="207"/>
      <c r="P1639" s="145" t="str">
        <f t="shared" si="98"/>
        <v>PLC5,9</v>
      </c>
      <c r="Q1639" s="52">
        <f t="shared" si="100"/>
        <v>23</v>
      </c>
      <c r="R1639" s="8">
        <f t="shared" si="101"/>
        <v>2025</v>
      </c>
    </row>
    <row r="1640" spans="1:18" hidden="1" x14ac:dyDescent="0.25">
      <c r="A1640" s="223">
        <f>_xlfn.ISOWEEKNUM(B1640)</f>
        <v>24</v>
      </c>
      <c r="B1640" s="145">
        <v>45817</v>
      </c>
      <c r="C1640" s="40" t="s">
        <v>37</v>
      </c>
      <c r="D1640" s="72" t="s">
        <v>38</v>
      </c>
      <c r="E1640" s="41" t="s">
        <v>39</v>
      </c>
      <c r="F1640" s="41" t="s">
        <v>40</v>
      </c>
      <c r="G1640" s="43">
        <v>4.9000000000000004</v>
      </c>
      <c r="H1640" s="41">
        <v>900</v>
      </c>
      <c r="I1640" s="72">
        <v>820</v>
      </c>
      <c r="J1640" s="41">
        <v>0</v>
      </c>
      <c r="K1640" s="157">
        <v>0.8</v>
      </c>
      <c r="L1640" s="41">
        <f t="shared" si="102"/>
        <v>656</v>
      </c>
      <c r="M1640" s="73">
        <v>0</v>
      </c>
      <c r="N1640" s="74">
        <f t="shared" si="99"/>
        <v>656</v>
      </c>
      <c r="O1640" s="208"/>
      <c r="P1640" s="145" t="str">
        <f t="shared" si="98"/>
        <v>PLC4,9</v>
      </c>
      <c r="Q1640" s="52">
        <f t="shared" si="100"/>
        <v>24</v>
      </c>
      <c r="R1640" s="8">
        <f t="shared" si="101"/>
        <v>2025</v>
      </c>
    </row>
    <row r="1641" spans="1:18" hidden="1" x14ac:dyDescent="0.25">
      <c r="A1641" s="224"/>
      <c r="B1641" s="145">
        <v>45818</v>
      </c>
      <c r="C1641" s="52" t="s">
        <v>42</v>
      </c>
      <c r="D1641" s="52" t="s">
        <v>38</v>
      </c>
      <c r="E1641" s="53" t="s">
        <v>39</v>
      </c>
      <c r="F1641" s="53" t="s">
        <v>40</v>
      </c>
      <c r="G1641" s="43">
        <v>4.9000000000000004</v>
      </c>
      <c r="H1641" s="53">
        <v>900</v>
      </c>
      <c r="I1641" s="72">
        <v>820</v>
      </c>
      <c r="J1641" s="53">
        <v>0</v>
      </c>
      <c r="K1641" s="157">
        <v>0.8</v>
      </c>
      <c r="L1641" s="53">
        <f t="shared" si="102"/>
        <v>656</v>
      </c>
      <c r="M1641" s="55">
        <v>0</v>
      </c>
      <c r="N1641" s="56">
        <f t="shared" si="99"/>
        <v>656</v>
      </c>
      <c r="O1641" s="156"/>
      <c r="P1641" s="145" t="str">
        <f t="shared" si="98"/>
        <v>PLC4,9</v>
      </c>
      <c r="Q1641" s="52">
        <f t="shared" si="100"/>
        <v>24</v>
      </c>
      <c r="R1641" s="8">
        <f t="shared" si="101"/>
        <v>2025</v>
      </c>
    </row>
    <row r="1642" spans="1:18" hidden="1" x14ac:dyDescent="0.25">
      <c r="A1642" s="224"/>
      <c r="B1642" s="145">
        <v>45819</v>
      </c>
      <c r="C1642" s="52" t="s">
        <v>46</v>
      </c>
      <c r="D1642" s="52" t="s">
        <v>38</v>
      </c>
      <c r="E1642" s="53" t="s">
        <v>39</v>
      </c>
      <c r="F1642" s="53" t="s">
        <v>40</v>
      </c>
      <c r="G1642" s="43">
        <v>3.9</v>
      </c>
      <c r="H1642" s="53">
        <v>900</v>
      </c>
      <c r="I1642" s="72">
        <v>820</v>
      </c>
      <c r="J1642" s="53">
        <v>0</v>
      </c>
      <c r="K1642" s="157">
        <v>0.8</v>
      </c>
      <c r="L1642" s="53">
        <f t="shared" si="102"/>
        <v>656</v>
      </c>
      <c r="M1642" s="55">
        <v>0</v>
      </c>
      <c r="N1642" s="56">
        <f t="shared" si="99"/>
        <v>656</v>
      </c>
      <c r="O1642" s="156"/>
      <c r="P1642" s="145" t="str">
        <f t="shared" si="98"/>
        <v>PLC3,9</v>
      </c>
      <c r="Q1642" s="52">
        <f t="shared" si="100"/>
        <v>24</v>
      </c>
      <c r="R1642" s="8">
        <f t="shared" si="101"/>
        <v>2025</v>
      </c>
    </row>
    <row r="1643" spans="1:18" hidden="1" x14ac:dyDescent="0.25">
      <c r="A1643" s="224"/>
      <c r="B1643" s="145">
        <v>45820</v>
      </c>
      <c r="C1643" s="52" t="s">
        <v>50</v>
      </c>
      <c r="D1643" s="52" t="s">
        <v>38</v>
      </c>
      <c r="E1643" s="53" t="s">
        <v>39</v>
      </c>
      <c r="F1643" s="53" t="s">
        <v>40</v>
      </c>
      <c r="G1643" s="43">
        <v>3.9</v>
      </c>
      <c r="H1643" s="53">
        <v>900</v>
      </c>
      <c r="I1643" s="72">
        <v>820</v>
      </c>
      <c r="J1643" s="53">
        <v>0</v>
      </c>
      <c r="K1643" s="157">
        <v>0.8</v>
      </c>
      <c r="L1643" s="53">
        <f t="shared" si="102"/>
        <v>656</v>
      </c>
      <c r="M1643" s="55">
        <v>0</v>
      </c>
      <c r="N1643" s="56">
        <f t="shared" si="99"/>
        <v>656</v>
      </c>
      <c r="O1643" s="156"/>
      <c r="P1643" s="145" t="str">
        <f t="shared" si="98"/>
        <v>PLC3,9</v>
      </c>
      <c r="Q1643" s="52">
        <f t="shared" si="100"/>
        <v>24</v>
      </c>
      <c r="R1643" s="8">
        <f t="shared" si="101"/>
        <v>2025</v>
      </c>
    </row>
    <row r="1644" spans="1:18" hidden="1" x14ac:dyDescent="0.25">
      <c r="A1644" s="224"/>
      <c r="B1644" s="145">
        <v>45821</v>
      </c>
      <c r="C1644" s="52" t="s">
        <v>53</v>
      </c>
      <c r="D1644" s="52" t="s">
        <v>38</v>
      </c>
      <c r="E1644" s="53" t="s">
        <v>39</v>
      </c>
      <c r="F1644" s="53" t="s">
        <v>40</v>
      </c>
      <c r="G1644" s="43">
        <v>3.9</v>
      </c>
      <c r="H1644" s="53">
        <v>900</v>
      </c>
      <c r="I1644" s="72">
        <v>820</v>
      </c>
      <c r="J1644" s="53">
        <v>0</v>
      </c>
      <c r="K1644" s="157">
        <v>0.8</v>
      </c>
      <c r="L1644" s="53">
        <f t="shared" si="102"/>
        <v>656</v>
      </c>
      <c r="M1644" s="55">
        <v>0</v>
      </c>
      <c r="N1644" s="56">
        <f t="shared" si="99"/>
        <v>656</v>
      </c>
      <c r="O1644" s="156"/>
      <c r="P1644" s="145" t="str">
        <f t="shared" si="98"/>
        <v>PLC3,9</v>
      </c>
      <c r="Q1644" s="52">
        <f t="shared" si="100"/>
        <v>24</v>
      </c>
      <c r="R1644" s="8">
        <f t="shared" si="101"/>
        <v>2025</v>
      </c>
    </row>
    <row r="1645" spans="1:18" hidden="1" x14ac:dyDescent="0.25">
      <c r="A1645" s="224"/>
      <c r="B1645" s="148">
        <v>45822</v>
      </c>
      <c r="C1645" s="58" t="s">
        <v>57</v>
      </c>
      <c r="D1645" s="59" t="s">
        <v>38</v>
      </c>
      <c r="E1645" s="60" t="s">
        <v>39</v>
      </c>
      <c r="F1645" s="60" t="s">
        <v>40</v>
      </c>
      <c r="G1645" s="199">
        <v>3.9</v>
      </c>
      <c r="H1645" s="60">
        <v>900</v>
      </c>
      <c r="I1645" s="72">
        <v>820</v>
      </c>
      <c r="J1645" s="60">
        <v>0</v>
      </c>
      <c r="K1645" s="159">
        <v>0.8</v>
      </c>
      <c r="L1645" s="60">
        <f t="shared" si="102"/>
        <v>656</v>
      </c>
      <c r="M1645" s="62">
        <v>0</v>
      </c>
      <c r="N1645" s="63">
        <f t="shared" si="99"/>
        <v>656</v>
      </c>
      <c r="O1645" s="206"/>
      <c r="P1645" s="145" t="str">
        <f t="shared" si="98"/>
        <v>PLC3,9</v>
      </c>
      <c r="Q1645" s="52">
        <f t="shared" si="100"/>
        <v>24</v>
      </c>
      <c r="R1645" s="8">
        <f t="shared" si="101"/>
        <v>2025</v>
      </c>
    </row>
    <row r="1646" spans="1:18" ht="15.75" hidden="1" thickBot="1" x14ac:dyDescent="0.3">
      <c r="A1646" s="225"/>
      <c r="B1646" s="113">
        <v>45823</v>
      </c>
      <c r="C1646" s="66" t="s">
        <v>59</v>
      </c>
      <c r="D1646" s="67" t="s">
        <v>38</v>
      </c>
      <c r="E1646" s="67" t="s">
        <v>39</v>
      </c>
      <c r="F1646" s="67" t="s">
        <v>40</v>
      </c>
      <c r="G1646" s="68">
        <v>3.9</v>
      </c>
      <c r="H1646" s="67">
        <v>900</v>
      </c>
      <c r="I1646" s="72">
        <v>820</v>
      </c>
      <c r="J1646" s="67">
        <v>0</v>
      </c>
      <c r="K1646" s="161">
        <v>0.8</v>
      </c>
      <c r="L1646" s="67">
        <f t="shared" si="102"/>
        <v>656</v>
      </c>
      <c r="M1646" s="69">
        <v>0</v>
      </c>
      <c r="N1646" s="70">
        <f t="shared" si="99"/>
        <v>656</v>
      </c>
      <c r="O1646" s="207" t="s">
        <v>196</v>
      </c>
      <c r="P1646" s="145" t="str">
        <f t="shared" si="98"/>
        <v>PLC3,9</v>
      </c>
      <c r="Q1646" s="52">
        <f t="shared" si="100"/>
        <v>24</v>
      </c>
      <c r="R1646" s="8">
        <f t="shared" si="101"/>
        <v>2025</v>
      </c>
    </row>
    <row r="1647" spans="1:18" hidden="1" x14ac:dyDescent="0.25">
      <c r="A1647" s="223">
        <f>_xlfn.ISOWEEKNUM(B1647)</f>
        <v>25</v>
      </c>
      <c r="B1647" s="145">
        <v>45824</v>
      </c>
      <c r="C1647" s="40" t="s">
        <v>37</v>
      </c>
      <c r="D1647" s="72" t="s">
        <v>38</v>
      </c>
      <c r="E1647" s="41" t="s">
        <v>39</v>
      </c>
      <c r="F1647" s="41" t="s">
        <v>40</v>
      </c>
      <c r="G1647" s="43">
        <v>3.9</v>
      </c>
      <c r="H1647" s="41">
        <v>900</v>
      </c>
      <c r="I1647" s="72">
        <v>820</v>
      </c>
      <c r="J1647" s="41">
        <v>0</v>
      </c>
      <c r="K1647" s="157">
        <v>0.8</v>
      </c>
      <c r="L1647" s="41">
        <f t="shared" si="102"/>
        <v>656</v>
      </c>
      <c r="M1647" s="73">
        <v>0</v>
      </c>
      <c r="N1647" s="74">
        <f t="shared" si="99"/>
        <v>656</v>
      </c>
      <c r="O1647" s="208"/>
      <c r="P1647" s="145" t="str">
        <f t="shared" ref="P1647:P1710" si="103">E1647&amp;G1647</f>
        <v>PLC3,9</v>
      </c>
      <c r="Q1647" s="52">
        <f t="shared" si="100"/>
        <v>25</v>
      </c>
      <c r="R1647" s="8">
        <f t="shared" si="101"/>
        <v>2025</v>
      </c>
    </row>
    <row r="1648" spans="1:18" hidden="1" x14ac:dyDescent="0.25">
      <c r="A1648" s="224"/>
      <c r="B1648" s="145">
        <v>45825</v>
      </c>
      <c r="C1648" s="52" t="s">
        <v>42</v>
      </c>
      <c r="D1648" s="52" t="s">
        <v>38</v>
      </c>
      <c r="E1648" s="53" t="s">
        <v>55</v>
      </c>
      <c r="F1648" s="53" t="s">
        <v>40</v>
      </c>
      <c r="G1648" s="43">
        <v>3.9</v>
      </c>
      <c r="H1648" s="53">
        <v>900</v>
      </c>
      <c r="I1648" s="72">
        <v>820</v>
      </c>
      <c r="J1648" s="53">
        <v>0</v>
      </c>
      <c r="K1648" s="157">
        <v>0.8</v>
      </c>
      <c r="L1648" s="53">
        <f t="shared" si="102"/>
        <v>656</v>
      </c>
      <c r="M1648" s="55">
        <v>0</v>
      </c>
      <c r="N1648" s="56">
        <f t="shared" si="99"/>
        <v>656</v>
      </c>
      <c r="O1648" s="156" t="s">
        <v>197</v>
      </c>
      <c r="P1648" s="145" t="str">
        <f t="shared" si="103"/>
        <v>Transition3,9</v>
      </c>
      <c r="Q1648" s="52">
        <f t="shared" si="100"/>
        <v>25</v>
      </c>
      <c r="R1648" s="8">
        <f t="shared" si="101"/>
        <v>2025</v>
      </c>
    </row>
    <row r="1649" spans="1:18" hidden="1" x14ac:dyDescent="0.25">
      <c r="A1649" s="224"/>
      <c r="B1649" s="145">
        <v>45826</v>
      </c>
      <c r="C1649" s="52" t="s">
        <v>46</v>
      </c>
      <c r="D1649" s="52" t="s">
        <v>38</v>
      </c>
      <c r="E1649" s="53" t="s">
        <v>55</v>
      </c>
      <c r="F1649" s="53" t="s">
        <v>40</v>
      </c>
      <c r="G1649" s="43">
        <v>3.9</v>
      </c>
      <c r="H1649" s="53">
        <v>900</v>
      </c>
      <c r="I1649" s="72">
        <v>820</v>
      </c>
      <c r="J1649" s="53">
        <v>0</v>
      </c>
      <c r="K1649" s="157">
        <v>0.8</v>
      </c>
      <c r="L1649" s="53">
        <f t="shared" si="102"/>
        <v>656</v>
      </c>
      <c r="M1649" s="55">
        <v>0</v>
      </c>
      <c r="N1649" s="56">
        <f t="shared" si="99"/>
        <v>656</v>
      </c>
      <c r="O1649" s="156"/>
      <c r="P1649" s="145" t="str">
        <f t="shared" si="103"/>
        <v>Transition3,9</v>
      </c>
      <c r="Q1649" s="52">
        <f t="shared" si="100"/>
        <v>25</v>
      </c>
      <c r="R1649" s="8">
        <f t="shared" si="101"/>
        <v>2025</v>
      </c>
    </row>
    <row r="1650" spans="1:18" hidden="1" x14ac:dyDescent="0.25">
      <c r="A1650" s="224"/>
      <c r="B1650" s="145">
        <v>45827</v>
      </c>
      <c r="C1650" s="52" t="s">
        <v>50</v>
      </c>
      <c r="D1650" s="52" t="s">
        <v>38</v>
      </c>
      <c r="E1650" s="53" t="s">
        <v>55</v>
      </c>
      <c r="F1650" s="53" t="s">
        <v>40</v>
      </c>
      <c r="G1650" s="43">
        <v>3.9</v>
      </c>
      <c r="H1650" s="53">
        <v>900</v>
      </c>
      <c r="I1650" s="72">
        <v>820</v>
      </c>
      <c r="J1650" s="53">
        <v>0</v>
      </c>
      <c r="K1650" s="157">
        <v>0.8</v>
      </c>
      <c r="L1650" s="53">
        <f t="shared" si="102"/>
        <v>656</v>
      </c>
      <c r="M1650" s="55">
        <v>0</v>
      </c>
      <c r="N1650" s="56">
        <f t="shared" si="99"/>
        <v>656</v>
      </c>
      <c r="O1650" s="156"/>
      <c r="P1650" s="145" t="str">
        <f t="shared" si="103"/>
        <v>Transition3,9</v>
      </c>
      <c r="Q1650" s="52">
        <f t="shared" si="100"/>
        <v>25</v>
      </c>
      <c r="R1650" s="8">
        <f t="shared" si="101"/>
        <v>2025</v>
      </c>
    </row>
    <row r="1651" spans="1:18" hidden="1" x14ac:dyDescent="0.25">
      <c r="A1651" s="224"/>
      <c r="B1651" s="145">
        <v>45828</v>
      </c>
      <c r="C1651" s="52" t="s">
        <v>53</v>
      </c>
      <c r="D1651" s="52" t="s">
        <v>38</v>
      </c>
      <c r="E1651" s="215" t="s">
        <v>45</v>
      </c>
      <c r="F1651" s="53" t="s">
        <v>40</v>
      </c>
      <c r="G1651" s="43">
        <v>3.9</v>
      </c>
      <c r="H1651" s="53">
        <v>900</v>
      </c>
      <c r="I1651" s="72">
        <v>820</v>
      </c>
      <c r="J1651" s="53">
        <v>0</v>
      </c>
      <c r="K1651" s="157">
        <v>0.8</v>
      </c>
      <c r="L1651" s="53">
        <f t="shared" si="102"/>
        <v>656</v>
      </c>
      <c r="M1651" s="55">
        <v>0</v>
      </c>
      <c r="N1651" s="56">
        <f t="shared" si="99"/>
        <v>656</v>
      </c>
      <c r="O1651" s="156"/>
      <c r="P1651" s="145" t="str">
        <f t="shared" si="103"/>
        <v>Diamant3,9</v>
      </c>
      <c r="Q1651" s="52">
        <f t="shared" si="100"/>
        <v>25</v>
      </c>
      <c r="R1651" s="8">
        <f t="shared" si="101"/>
        <v>2025</v>
      </c>
    </row>
    <row r="1652" spans="1:18" hidden="1" x14ac:dyDescent="0.25">
      <c r="A1652" s="224"/>
      <c r="B1652" s="148">
        <v>45829</v>
      </c>
      <c r="C1652" s="58" t="s">
        <v>57</v>
      </c>
      <c r="D1652" s="59" t="s">
        <v>38</v>
      </c>
      <c r="E1652" s="216" t="s">
        <v>45</v>
      </c>
      <c r="F1652" s="60" t="s">
        <v>40</v>
      </c>
      <c r="G1652" s="199">
        <v>3.9</v>
      </c>
      <c r="H1652" s="60">
        <v>900</v>
      </c>
      <c r="I1652" s="72">
        <v>820</v>
      </c>
      <c r="J1652" s="60">
        <v>0</v>
      </c>
      <c r="K1652" s="159">
        <v>0.8</v>
      </c>
      <c r="L1652" s="60">
        <f t="shared" si="102"/>
        <v>656</v>
      </c>
      <c r="M1652" s="62">
        <v>0</v>
      </c>
      <c r="N1652" s="63">
        <f t="shared" si="99"/>
        <v>656</v>
      </c>
      <c r="O1652" s="206"/>
      <c r="P1652" s="145" t="str">
        <f t="shared" si="103"/>
        <v>Diamant3,9</v>
      </c>
      <c r="Q1652" s="52">
        <f t="shared" si="100"/>
        <v>25</v>
      </c>
      <c r="R1652" s="8">
        <f t="shared" si="101"/>
        <v>2025</v>
      </c>
    </row>
    <row r="1653" spans="1:18" ht="15.75" hidden="1" thickBot="1" x14ac:dyDescent="0.3">
      <c r="A1653" s="225"/>
      <c r="B1653" s="113">
        <v>45830</v>
      </c>
      <c r="C1653" s="66" t="s">
        <v>59</v>
      </c>
      <c r="D1653" s="67" t="s">
        <v>38</v>
      </c>
      <c r="E1653" s="217" t="s">
        <v>45</v>
      </c>
      <c r="F1653" s="67" t="s">
        <v>40</v>
      </c>
      <c r="G1653" s="68">
        <v>4.9000000000000004</v>
      </c>
      <c r="H1653" s="67">
        <v>900</v>
      </c>
      <c r="I1653" s="72">
        <v>820</v>
      </c>
      <c r="J1653" s="67">
        <v>0</v>
      </c>
      <c r="K1653" s="161">
        <v>0.8</v>
      </c>
      <c r="L1653" s="67">
        <f t="shared" si="102"/>
        <v>656</v>
      </c>
      <c r="M1653" s="69">
        <v>0</v>
      </c>
      <c r="N1653" s="70">
        <f t="shared" si="99"/>
        <v>656</v>
      </c>
      <c r="O1653" s="207"/>
      <c r="P1653" s="145" t="str">
        <f t="shared" si="103"/>
        <v>Diamant4,9</v>
      </c>
      <c r="Q1653" s="52">
        <f t="shared" si="100"/>
        <v>25</v>
      </c>
      <c r="R1653" s="8">
        <f t="shared" si="101"/>
        <v>2025</v>
      </c>
    </row>
    <row r="1654" spans="1:18" hidden="1" x14ac:dyDescent="0.25">
      <c r="A1654" s="223">
        <f>_xlfn.ISOWEEKNUM(B1654)</f>
        <v>26</v>
      </c>
      <c r="B1654" s="145">
        <v>45831</v>
      </c>
      <c r="C1654" s="40" t="s">
        <v>37</v>
      </c>
      <c r="D1654" s="72" t="s">
        <v>38</v>
      </c>
      <c r="E1654" s="218" t="s">
        <v>45</v>
      </c>
      <c r="F1654" s="41" t="s">
        <v>40</v>
      </c>
      <c r="G1654" s="43">
        <v>5.9</v>
      </c>
      <c r="H1654" s="41">
        <v>900</v>
      </c>
      <c r="I1654" s="72">
        <v>820</v>
      </c>
      <c r="J1654" s="41">
        <v>0</v>
      </c>
      <c r="K1654" s="157">
        <v>0.8</v>
      </c>
      <c r="L1654" s="41">
        <f t="shared" si="102"/>
        <v>656</v>
      </c>
      <c r="M1654" s="73">
        <v>0</v>
      </c>
      <c r="N1654" s="74">
        <f t="shared" ref="N1654:N1717" si="104">+L1654*(1-M1654)</f>
        <v>656</v>
      </c>
      <c r="O1654" s="208"/>
      <c r="P1654" s="145" t="str">
        <f t="shared" si="103"/>
        <v>Diamant5,9</v>
      </c>
      <c r="Q1654" s="52">
        <f t="shared" si="100"/>
        <v>26</v>
      </c>
      <c r="R1654" s="8">
        <f t="shared" si="101"/>
        <v>2025</v>
      </c>
    </row>
    <row r="1655" spans="1:18" hidden="1" x14ac:dyDescent="0.25">
      <c r="A1655" s="224"/>
      <c r="B1655" s="145">
        <v>45832</v>
      </c>
      <c r="C1655" s="52" t="s">
        <v>42</v>
      </c>
      <c r="D1655" s="52" t="s">
        <v>38</v>
      </c>
      <c r="E1655" s="215" t="s">
        <v>45</v>
      </c>
      <c r="F1655" s="53" t="s">
        <v>40</v>
      </c>
      <c r="G1655" s="43">
        <v>5.9</v>
      </c>
      <c r="H1655" s="53">
        <v>900</v>
      </c>
      <c r="I1655" s="72">
        <v>820</v>
      </c>
      <c r="J1655" s="53">
        <v>0</v>
      </c>
      <c r="K1655" s="157">
        <v>0.8</v>
      </c>
      <c r="L1655" s="53">
        <f t="shared" si="102"/>
        <v>656</v>
      </c>
      <c r="M1655" s="55">
        <v>0</v>
      </c>
      <c r="N1655" s="56">
        <f t="shared" si="104"/>
        <v>656</v>
      </c>
      <c r="O1655" s="156"/>
      <c r="P1655" s="145" t="str">
        <f t="shared" si="103"/>
        <v>Diamant5,9</v>
      </c>
      <c r="Q1655" s="52">
        <f t="shared" si="100"/>
        <v>26</v>
      </c>
      <c r="R1655" s="8">
        <f t="shared" si="101"/>
        <v>2025</v>
      </c>
    </row>
    <row r="1656" spans="1:18" hidden="1" x14ac:dyDescent="0.25">
      <c r="A1656" s="224"/>
      <c r="B1656" s="145">
        <v>45833</v>
      </c>
      <c r="C1656" s="52" t="s">
        <v>46</v>
      </c>
      <c r="D1656" s="52" t="s">
        <v>38</v>
      </c>
      <c r="E1656" s="215" t="s">
        <v>45</v>
      </c>
      <c r="F1656" s="53" t="s">
        <v>40</v>
      </c>
      <c r="G1656" s="43">
        <v>5.9</v>
      </c>
      <c r="H1656" s="53">
        <v>900</v>
      </c>
      <c r="I1656" s="72">
        <v>820</v>
      </c>
      <c r="J1656" s="53">
        <v>0</v>
      </c>
      <c r="K1656" s="157">
        <v>0.8</v>
      </c>
      <c r="L1656" s="53">
        <f t="shared" si="102"/>
        <v>656</v>
      </c>
      <c r="M1656" s="55">
        <v>0</v>
      </c>
      <c r="N1656" s="56">
        <f t="shared" si="104"/>
        <v>656</v>
      </c>
      <c r="O1656" s="156"/>
      <c r="P1656" s="145" t="str">
        <f t="shared" si="103"/>
        <v>Diamant5,9</v>
      </c>
      <c r="Q1656" s="52">
        <f t="shared" si="100"/>
        <v>26</v>
      </c>
      <c r="R1656" s="8">
        <f t="shared" si="101"/>
        <v>2025</v>
      </c>
    </row>
    <row r="1657" spans="1:18" hidden="1" x14ac:dyDescent="0.25">
      <c r="A1657" s="224"/>
      <c r="B1657" s="145">
        <v>45834</v>
      </c>
      <c r="C1657" s="52" t="s">
        <v>50</v>
      </c>
      <c r="D1657" s="52" t="s">
        <v>38</v>
      </c>
      <c r="E1657" s="215" t="s">
        <v>45</v>
      </c>
      <c r="F1657" s="53" t="s">
        <v>40</v>
      </c>
      <c r="G1657" s="205" t="s">
        <v>198</v>
      </c>
      <c r="H1657" s="53">
        <v>900</v>
      </c>
      <c r="I1657" s="72">
        <v>820</v>
      </c>
      <c r="J1657" s="53">
        <v>0</v>
      </c>
      <c r="K1657" s="157">
        <v>0.8</v>
      </c>
      <c r="L1657" s="53">
        <f t="shared" si="102"/>
        <v>656</v>
      </c>
      <c r="M1657" s="55">
        <v>0</v>
      </c>
      <c r="N1657" s="56">
        <f t="shared" si="104"/>
        <v>656</v>
      </c>
      <c r="O1657" s="43" t="s">
        <v>199</v>
      </c>
      <c r="P1657" s="145" t="str">
        <f t="shared" si="103"/>
        <v>Diamant5,9 / 8</v>
      </c>
      <c r="Q1657" s="52">
        <f t="shared" si="100"/>
        <v>26</v>
      </c>
      <c r="R1657" s="8">
        <f t="shared" si="101"/>
        <v>2025</v>
      </c>
    </row>
    <row r="1658" spans="1:18" hidden="1" x14ac:dyDescent="0.25">
      <c r="A1658" s="224"/>
      <c r="B1658" s="145">
        <v>45835</v>
      </c>
      <c r="C1658" s="52" t="s">
        <v>53</v>
      </c>
      <c r="D1658" s="52" t="s">
        <v>38</v>
      </c>
      <c r="E1658" s="215" t="s">
        <v>45</v>
      </c>
      <c r="F1658" s="53" t="s">
        <v>40</v>
      </c>
      <c r="G1658" s="43">
        <v>8</v>
      </c>
      <c r="H1658" s="53">
        <v>900</v>
      </c>
      <c r="I1658" s="72">
        <v>820</v>
      </c>
      <c r="J1658" s="53">
        <v>0</v>
      </c>
      <c r="K1658" s="157">
        <v>0.8</v>
      </c>
      <c r="L1658" s="53">
        <f t="shared" si="102"/>
        <v>656</v>
      </c>
      <c r="M1658" s="55">
        <v>0</v>
      </c>
      <c r="N1658" s="56">
        <f t="shared" si="104"/>
        <v>656</v>
      </c>
      <c r="O1658" s="156"/>
      <c r="P1658" s="145" t="str">
        <f t="shared" si="103"/>
        <v>Diamant8</v>
      </c>
      <c r="Q1658" s="52">
        <f t="shared" si="100"/>
        <v>26</v>
      </c>
      <c r="R1658" s="8">
        <f t="shared" si="101"/>
        <v>2025</v>
      </c>
    </row>
    <row r="1659" spans="1:18" hidden="1" x14ac:dyDescent="0.25">
      <c r="A1659" s="224"/>
      <c r="B1659" s="148">
        <v>45836</v>
      </c>
      <c r="C1659" s="58" t="s">
        <v>57</v>
      </c>
      <c r="D1659" s="59" t="s">
        <v>38</v>
      </c>
      <c r="E1659" s="216" t="s">
        <v>45</v>
      </c>
      <c r="F1659" s="60" t="s">
        <v>40</v>
      </c>
      <c r="G1659" s="199">
        <v>8</v>
      </c>
      <c r="H1659" s="60">
        <v>900</v>
      </c>
      <c r="I1659" s="72">
        <v>820</v>
      </c>
      <c r="J1659" s="60">
        <v>0</v>
      </c>
      <c r="K1659" s="159">
        <v>0.8</v>
      </c>
      <c r="L1659" s="60">
        <f t="shared" si="102"/>
        <v>656</v>
      </c>
      <c r="M1659" s="62">
        <v>0</v>
      </c>
      <c r="N1659" s="63">
        <f t="shared" si="104"/>
        <v>656</v>
      </c>
      <c r="O1659" s="199"/>
      <c r="P1659" s="145" t="str">
        <f t="shared" si="103"/>
        <v>Diamant8</v>
      </c>
      <c r="Q1659" s="52">
        <f t="shared" si="100"/>
        <v>26</v>
      </c>
      <c r="R1659" s="8">
        <f t="shared" si="101"/>
        <v>2025</v>
      </c>
    </row>
    <row r="1660" spans="1:18" ht="15.75" hidden="1" thickBot="1" x14ac:dyDescent="0.3">
      <c r="A1660" s="225"/>
      <c r="B1660" s="113">
        <v>45837</v>
      </c>
      <c r="C1660" s="66" t="s">
        <v>59</v>
      </c>
      <c r="D1660" s="67" t="s">
        <v>38</v>
      </c>
      <c r="E1660" s="217" t="s">
        <v>45</v>
      </c>
      <c r="F1660" s="67" t="s">
        <v>40</v>
      </c>
      <c r="G1660" s="68">
        <v>10</v>
      </c>
      <c r="H1660" s="67">
        <v>900</v>
      </c>
      <c r="I1660" s="72">
        <v>820</v>
      </c>
      <c r="J1660" s="67">
        <v>0</v>
      </c>
      <c r="K1660" s="161">
        <v>0.8</v>
      </c>
      <c r="L1660" s="67">
        <f t="shared" si="102"/>
        <v>656</v>
      </c>
      <c r="M1660" s="69">
        <v>0</v>
      </c>
      <c r="N1660" s="70">
        <f t="shared" si="104"/>
        <v>656</v>
      </c>
      <c r="O1660" s="200" t="s">
        <v>200</v>
      </c>
      <c r="P1660" s="145" t="str">
        <f t="shared" si="103"/>
        <v>Diamant10</v>
      </c>
      <c r="Q1660" s="52">
        <f t="shared" si="100"/>
        <v>26</v>
      </c>
      <c r="R1660" s="8">
        <f t="shared" si="101"/>
        <v>2025</v>
      </c>
    </row>
    <row r="1661" spans="1:18" hidden="1" x14ac:dyDescent="0.25">
      <c r="A1661" s="223">
        <f>_xlfn.ISOWEEKNUM(B1661)</f>
        <v>27</v>
      </c>
      <c r="B1661" s="145">
        <v>45838</v>
      </c>
      <c r="C1661" s="40" t="s">
        <v>37</v>
      </c>
      <c r="D1661" s="72" t="s">
        <v>38</v>
      </c>
      <c r="E1661" s="218" t="s">
        <v>45</v>
      </c>
      <c r="F1661" s="41" t="s">
        <v>40</v>
      </c>
      <c r="G1661" s="43">
        <v>10</v>
      </c>
      <c r="H1661" s="41">
        <v>900</v>
      </c>
      <c r="I1661" s="72">
        <v>820</v>
      </c>
      <c r="J1661" s="41">
        <v>0</v>
      </c>
      <c r="K1661" s="157">
        <v>0.8</v>
      </c>
      <c r="L1661" s="41">
        <f t="shared" si="102"/>
        <v>656</v>
      </c>
      <c r="M1661" s="73">
        <v>0</v>
      </c>
      <c r="N1661" s="74">
        <f t="shared" si="104"/>
        <v>656</v>
      </c>
      <c r="O1661" s="208"/>
      <c r="P1661" s="145" t="str">
        <f t="shared" si="103"/>
        <v>Diamant10</v>
      </c>
      <c r="Q1661" s="52">
        <f t="shared" si="100"/>
        <v>27</v>
      </c>
      <c r="R1661" s="8">
        <f t="shared" si="101"/>
        <v>2025</v>
      </c>
    </row>
    <row r="1662" spans="1:18" hidden="1" x14ac:dyDescent="0.25">
      <c r="A1662" s="224"/>
      <c r="B1662" s="145">
        <v>45839</v>
      </c>
      <c r="C1662" s="52" t="s">
        <v>42</v>
      </c>
      <c r="D1662" s="52" t="s">
        <v>38</v>
      </c>
      <c r="E1662" s="215" t="s">
        <v>45</v>
      </c>
      <c r="F1662" s="53" t="s">
        <v>40</v>
      </c>
      <c r="G1662" s="43">
        <v>15</v>
      </c>
      <c r="H1662" s="53">
        <v>900</v>
      </c>
      <c r="I1662" s="72">
        <v>820</v>
      </c>
      <c r="J1662" s="53">
        <v>0</v>
      </c>
      <c r="K1662" s="157">
        <v>0.8</v>
      </c>
      <c r="L1662" s="53">
        <f t="shared" si="102"/>
        <v>656</v>
      </c>
      <c r="M1662" s="55">
        <v>0</v>
      </c>
      <c r="N1662" s="56">
        <f t="shared" si="104"/>
        <v>656</v>
      </c>
      <c r="O1662" s="156"/>
      <c r="P1662" s="145" t="str">
        <f t="shared" si="103"/>
        <v>Diamant15</v>
      </c>
      <c r="Q1662" s="52">
        <f t="shared" si="100"/>
        <v>27</v>
      </c>
      <c r="R1662" s="8">
        <f t="shared" si="101"/>
        <v>2025</v>
      </c>
    </row>
    <row r="1663" spans="1:18" hidden="1" x14ac:dyDescent="0.25">
      <c r="A1663" s="224"/>
      <c r="B1663" s="145">
        <v>45840</v>
      </c>
      <c r="C1663" s="52" t="s">
        <v>46</v>
      </c>
      <c r="D1663" s="52" t="s">
        <v>38</v>
      </c>
      <c r="E1663" s="215" t="s">
        <v>45</v>
      </c>
      <c r="F1663" s="53" t="s">
        <v>40</v>
      </c>
      <c r="G1663" s="43">
        <v>15</v>
      </c>
      <c r="H1663" s="53">
        <v>900</v>
      </c>
      <c r="I1663" s="72">
        <v>820</v>
      </c>
      <c r="J1663" s="53">
        <v>0</v>
      </c>
      <c r="K1663" s="157">
        <v>0.8</v>
      </c>
      <c r="L1663" s="53">
        <f t="shared" si="102"/>
        <v>656</v>
      </c>
      <c r="M1663" s="55">
        <v>0</v>
      </c>
      <c r="N1663" s="56">
        <f t="shared" si="104"/>
        <v>656</v>
      </c>
      <c r="O1663" s="156"/>
      <c r="P1663" s="145" t="str">
        <f t="shared" si="103"/>
        <v>Diamant15</v>
      </c>
      <c r="Q1663" s="52">
        <f t="shared" si="100"/>
        <v>27</v>
      </c>
      <c r="R1663" s="8">
        <f t="shared" si="101"/>
        <v>2025</v>
      </c>
    </row>
    <row r="1664" spans="1:18" hidden="1" x14ac:dyDescent="0.25">
      <c r="A1664" s="224"/>
      <c r="B1664" s="145">
        <v>45841</v>
      </c>
      <c r="C1664" s="52" t="s">
        <v>50</v>
      </c>
      <c r="D1664" s="52" t="s">
        <v>38</v>
      </c>
      <c r="E1664" s="215" t="s">
        <v>45</v>
      </c>
      <c r="F1664" s="53" t="s">
        <v>40</v>
      </c>
      <c r="G1664" s="43">
        <v>12</v>
      </c>
      <c r="H1664" s="53">
        <v>900</v>
      </c>
      <c r="I1664" s="72">
        <v>820</v>
      </c>
      <c r="J1664" s="53">
        <v>0</v>
      </c>
      <c r="K1664" s="157">
        <v>0.8</v>
      </c>
      <c r="L1664" s="53">
        <f t="shared" si="102"/>
        <v>656</v>
      </c>
      <c r="M1664" s="55">
        <v>0</v>
      </c>
      <c r="N1664" s="56">
        <f t="shared" si="104"/>
        <v>656</v>
      </c>
      <c r="O1664" s="43" t="s">
        <v>201</v>
      </c>
      <c r="P1664" s="145" t="str">
        <f t="shared" si="103"/>
        <v>Diamant12</v>
      </c>
      <c r="Q1664" s="52">
        <f t="shared" si="100"/>
        <v>27</v>
      </c>
      <c r="R1664" s="8">
        <f t="shared" si="101"/>
        <v>2025</v>
      </c>
    </row>
    <row r="1665" spans="1:52" hidden="1" x14ac:dyDescent="0.25">
      <c r="A1665" s="224"/>
      <c r="B1665" s="145">
        <v>45842</v>
      </c>
      <c r="C1665" s="52" t="s">
        <v>53</v>
      </c>
      <c r="D1665" s="52" t="s">
        <v>38</v>
      </c>
      <c r="E1665" s="215" t="s">
        <v>45</v>
      </c>
      <c r="F1665" s="53" t="s">
        <v>40</v>
      </c>
      <c r="G1665" s="43">
        <v>12</v>
      </c>
      <c r="H1665" s="53">
        <v>900</v>
      </c>
      <c r="I1665" s="72">
        <v>820</v>
      </c>
      <c r="J1665" s="53">
        <v>0</v>
      </c>
      <c r="K1665" s="157">
        <v>0.8</v>
      </c>
      <c r="L1665" s="53">
        <f t="shared" si="102"/>
        <v>656</v>
      </c>
      <c r="M1665" s="55">
        <v>0</v>
      </c>
      <c r="N1665" s="56">
        <f t="shared" si="104"/>
        <v>656</v>
      </c>
      <c r="O1665" s="156"/>
      <c r="P1665" s="145" t="str">
        <f t="shared" si="103"/>
        <v>Diamant12</v>
      </c>
      <c r="Q1665" s="52">
        <f t="shared" si="100"/>
        <v>27</v>
      </c>
      <c r="R1665" s="8">
        <f t="shared" si="101"/>
        <v>2025</v>
      </c>
    </row>
    <row r="1666" spans="1:52" hidden="1" x14ac:dyDescent="0.25">
      <c r="A1666" s="224"/>
      <c r="B1666" s="148">
        <v>45843</v>
      </c>
      <c r="C1666" s="58" t="s">
        <v>57</v>
      </c>
      <c r="D1666" s="59" t="s">
        <v>38</v>
      </c>
      <c r="E1666" s="215" t="s">
        <v>45</v>
      </c>
      <c r="F1666" s="60" t="s">
        <v>40</v>
      </c>
      <c r="G1666" s="199">
        <v>8</v>
      </c>
      <c r="H1666" s="60">
        <v>900</v>
      </c>
      <c r="I1666" s="72">
        <v>820</v>
      </c>
      <c r="J1666" s="60">
        <v>0</v>
      </c>
      <c r="K1666" s="159">
        <v>0.8</v>
      </c>
      <c r="L1666" s="60">
        <f t="shared" si="102"/>
        <v>656</v>
      </c>
      <c r="M1666" s="62">
        <v>0</v>
      </c>
      <c r="N1666" s="63">
        <f t="shared" si="104"/>
        <v>656</v>
      </c>
      <c r="O1666" s="206"/>
      <c r="P1666" s="145" t="str">
        <f t="shared" si="103"/>
        <v>Diamant8</v>
      </c>
      <c r="Q1666" s="52">
        <f t="shared" si="100"/>
        <v>27</v>
      </c>
      <c r="R1666" s="8">
        <f t="shared" si="101"/>
        <v>2025</v>
      </c>
    </row>
    <row r="1667" spans="1:52" ht="15.75" hidden="1" thickBot="1" x14ac:dyDescent="0.3">
      <c r="A1667" s="225"/>
      <c r="B1667" s="113">
        <v>45844</v>
      </c>
      <c r="C1667" s="66" t="s">
        <v>59</v>
      </c>
      <c r="D1667" s="67" t="s">
        <v>38</v>
      </c>
      <c r="E1667" s="215" t="s">
        <v>45</v>
      </c>
      <c r="F1667" s="67" t="s">
        <v>40</v>
      </c>
      <c r="G1667" s="68">
        <v>5.9</v>
      </c>
      <c r="H1667" s="67">
        <v>900</v>
      </c>
      <c r="I1667" s="72">
        <v>820</v>
      </c>
      <c r="J1667" s="67">
        <v>0</v>
      </c>
      <c r="K1667" s="161">
        <v>0.8</v>
      </c>
      <c r="L1667" s="67">
        <f t="shared" si="102"/>
        <v>656</v>
      </c>
      <c r="M1667" s="69">
        <v>0</v>
      </c>
      <c r="N1667" s="70">
        <f t="shared" si="104"/>
        <v>656</v>
      </c>
      <c r="O1667" s="200"/>
      <c r="P1667" s="145" t="str">
        <f t="shared" si="103"/>
        <v>Diamant5,9</v>
      </c>
      <c r="Q1667" s="52">
        <f t="shared" si="100"/>
        <v>27</v>
      </c>
      <c r="R1667" s="8">
        <f t="shared" si="101"/>
        <v>2025</v>
      </c>
    </row>
    <row r="1668" spans="1:52" hidden="1" x14ac:dyDescent="0.25">
      <c r="A1668" s="223">
        <f>_xlfn.ISOWEEKNUM(B1668)</f>
        <v>28</v>
      </c>
      <c r="B1668" s="145">
        <v>45845</v>
      </c>
      <c r="C1668" s="40" t="s">
        <v>37</v>
      </c>
      <c r="D1668" s="72" t="s">
        <v>38</v>
      </c>
      <c r="E1668" s="215" t="s">
        <v>45</v>
      </c>
      <c r="F1668" s="41" t="s">
        <v>40</v>
      </c>
      <c r="G1668" s="43">
        <v>3.9</v>
      </c>
      <c r="H1668" s="41">
        <v>900</v>
      </c>
      <c r="I1668" s="72">
        <v>820</v>
      </c>
      <c r="J1668" s="41">
        <v>0</v>
      </c>
      <c r="K1668" s="157">
        <v>0.8</v>
      </c>
      <c r="L1668" s="41">
        <f t="shared" si="102"/>
        <v>656</v>
      </c>
      <c r="M1668" s="73">
        <v>0</v>
      </c>
      <c r="N1668" s="74">
        <f t="shared" si="104"/>
        <v>656</v>
      </c>
      <c r="O1668" s="43" t="s">
        <v>202</v>
      </c>
      <c r="P1668" s="145" t="str">
        <f t="shared" si="103"/>
        <v>Diamant3,9</v>
      </c>
      <c r="Q1668" s="52">
        <f t="shared" si="100"/>
        <v>28</v>
      </c>
      <c r="R1668" s="8">
        <f t="shared" si="101"/>
        <v>2025</v>
      </c>
    </row>
    <row r="1669" spans="1:52" hidden="1" x14ac:dyDescent="0.25">
      <c r="A1669" s="224"/>
      <c r="B1669" s="145">
        <v>45846</v>
      </c>
      <c r="C1669" s="52" t="s">
        <v>42</v>
      </c>
      <c r="D1669" s="52" t="s">
        <v>38</v>
      </c>
      <c r="E1669" s="53" t="s">
        <v>55</v>
      </c>
      <c r="F1669" s="53" t="s">
        <v>40</v>
      </c>
      <c r="G1669" s="43">
        <v>3.9</v>
      </c>
      <c r="H1669" s="53">
        <v>900</v>
      </c>
      <c r="I1669" s="72">
        <v>820</v>
      </c>
      <c r="J1669" s="53">
        <v>0</v>
      </c>
      <c r="K1669" s="157">
        <v>0.8</v>
      </c>
      <c r="L1669" s="53">
        <f t="shared" si="102"/>
        <v>656</v>
      </c>
      <c r="M1669" s="55">
        <v>0</v>
      </c>
      <c r="N1669" s="56">
        <f t="shared" si="104"/>
        <v>656</v>
      </c>
      <c r="O1669" s="43" t="s">
        <v>203</v>
      </c>
      <c r="P1669" s="145" t="str">
        <f t="shared" si="103"/>
        <v>Transition3,9</v>
      </c>
      <c r="Q1669" s="52">
        <f t="shared" si="100"/>
        <v>28</v>
      </c>
      <c r="R1669" s="8">
        <f t="shared" si="101"/>
        <v>2025</v>
      </c>
    </row>
    <row r="1670" spans="1:52" hidden="1" x14ac:dyDescent="0.25">
      <c r="A1670" s="224"/>
      <c r="B1670" s="145">
        <v>45847</v>
      </c>
      <c r="C1670" s="52" t="s">
        <v>46</v>
      </c>
      <c r="D1670" s="52" t="s">
        <v>38</v>
      </c>
      <c r="E1670" s="53" t="s">
        <v>55</v>
      </c>
      <c r="F1670" s="53" t="s">
        <v>40</v>
      </c>
      <c r="G1670" s="43">
        <v>3.9</v>
      </c>
      <c r="H1670" s="53">
        <v>900</v>
      </c>
      <c r="I1670" s="72">
        <v>820</v>
      </c>
      <c r="J1670" s="53">
        <v>0</v>
      </c>
      <c r="K1670" s="157">
        <v>0.8</v>
      </c>
      <c r="L1670" s="53">
        <f t="shared" si="102"/>
        <v>656</v>
      </c>
      <c r="M1670" s="55">
        <v>0</v>
      </c>
      <c r="N1670" s="56">
        <f t="shared" si="104"/>
        <v>656</v>
      </c>
      <c r="O1670" s="43" t="s">
        <v>204</v>
      </c>
      <c r="P1670" s="145" t="str">
        <f t="shared" si="103"/>
        <v>Transition3,9</v>
      </c>
      <c r="Q1670" s="52">
        <f t="shared" si="100"/>
        <v>28</v>
      </c>
      <c r="R1670" s="8">
        <f t="shared" si="101"/>
        <v>2025</v>
      </c>
    </row>
    <row r="1671" spans="1:52" hidden="1" x14ac:dyDescent="0.25">
      <c r="A1671" s="224"/>
      <c r="B1671" s="145">
        <v>45848</v>
      </c>
      <c r="C1671" s="52" t="s">
        <v>50</v>
      </c>
      <c r="D1671" s="52" t="s">
        <v>38</v>
      </c>
      <c r="E1671" s="53" t="s">
        <v>55</v>
      </c>
      <c r="F1671" s="53" t="s">
        <v>40</v>
      </c>
      <c r="G1671" s="43">
        <v>3.9</v>
      </c>
      <c r="H1671" s="53">
        <v>900</v>
      </c>
      <c r="I1671" s="72">
        <v>820</v>
      </c>
      <c r="J1671" s="53">
        <v>0</v>
      </c>
      <c r="K1671" s="157">
        <v>0.8</v>
      </c>
      <c r="L1671" s="53">
        <f t="shared" si="102"/>
        <v>656</v>
      </c>
      <c r="M1671" s="55">
        <v>0</v>
      </c>
      <c r="N1671" s="56">
        <f t="shared" si="104"/>
        <v>656</v>
      </c>
      <c r="O1671" s="43" t="s">
        <v>205</v>
      </c>
      <c r="P1671" s="145" t="str">
        <f t="shared" si="103"/>
        <v>Transition3,9</v>
      </c>
      <c r="Q1671" s="52">
        <f t="shared" si="100"/>
        <v>28</v>
      </c>
      <c r="R1671" s="8">
        <f t="shared" si="101"/>
        <v>2025</v>
      </c>
      <c r="AH1671">
        <f>490*31</f>
        <v>15190</v>
      </c>
      <c r="AT1671" s="43"/>
      <c r="AZ1671" s="210"/>
    </row>
    <row r="1672" spans="1:52" hidden="1" x14ac:dyDescent="0.25">
      <c r="A1672" s="224"/>
      <c r="B1672" s="145">
        <v>45849</v>
      </c>
      <c r="C1672" s="52" t="s">
        <v>53</v>
      </c>
      <c r="D1672" s="52" t="s">
        <v>38</v>
      </c>
      <c r="E1672" s="53" t="s">
        <v>39</v>
      </c>
      <c r="F1672" s="53" t="s">
        <v>40</v>
      </c>
      <c r="G1672" s="43">
        <v>3.9</v>
      </c>
      <c r="H1672" s="53">
        <v>900</v>
      </c>
      <c r="I1672" s="72">
        <v>820</v>
      </c>
      <c r="J1672" s="53">
        <v>0</v>
      </c>
      <c r="K1672" s="157">
        <v>0.6</v>
      </c>
      <c r="L1672" s="53">
        <f t="shared" si="102"/>
        <v>492</v>
      </c>
      <c r="M1672" s="55">
        <v>0</v>
      </c>
      <c r="N1672" s="56">
        <f t="shared" si="104"/>
        <v>492</v>
      </c>
      <c r="O1672" s="156"/>
      <c r="P1672" s="145" t="str">
        <f t="shared" si="103"/>
        <v>PLC3,9</v>
      </c>
      <c r="Q1672" s="52">
        <f t="shared" si="100"/>
        <v>28</v>
      </c>
      <c r="R1672" s="8">
        <f t="shared" si="101"/>
        <v>2025</v>
      </c>
    </row>
    <row r="1673" spans="1:52" hidden="1" x14ac:dyDescent="0.25">
      <c r="A1673" s="224"/>
      <c r="B1673" s="148">
        <v>45850</v>
      </c>
      <c r="C1673" s="58" t="s">
        <v>57</v>
      </c>
      <c r="D1673" s="59" t="s">
        <v>38</v>
      </c>
      <c r="E1673" s="60" t="s">
        <v>39</v>
      </c>
      <c r="F1673" s="60" t="s">
        <v>40</v>
      </c>
      <c r="G1673" s="199">
        <v>3.9</v>
      </c>
      <c r="H1673" s="60">
        <v>900</v>
      </c>
      <c r="I1673" s="72">
        <v>820</v>
      </c>
      <c r="J1673" s="60">
        <v>0</v>
      </c>
      <c r="K1673" s="159">
        <v>0.6</v>
      </c>
      <c r="L1673" s="60">
        <f t="shared" si="102"/>
        <v>492</v>
      </c>
      <c r="M1673" s="62">
        <v>0</v>
      </c>
      <c r="N1673" s="63">
        <f t="shared" si="104"/>
        <v>492</v>
      </c>
      <c r="O1673" s="206"/>
      <c r="P1673" s="145" t="str">
        <f t="shared" si="103"/>
        <v>PLC3,9</v>
      </c>
      <c r="Q1673" s="52">
        <f t="shared" ref="Q1673:Q1736" si="105">_xlfn.ISOWEEKNUM(B1673)</f>
        <v>28</v>
      </c>
      <c r="R1673" s="8">
        <f t="shared" ref="R1673:R1736" si="106">YEAR(B1673)</f>
        <v>2025</v>
      </c>
    </row>
    <row r="1674" spans="1:52" ht="15.75" hidden="1" thickBot="1" x14ac:dyDescent="0.3">
      <c r="A1674" s="225"/>
      <c r="B1674" s="113">
        <v>45851</v>
      </c>
      <c r="C1674" s="66" t="s">
        <v>59</v>
      </c>
      <c r="D1674" s="67" t="s">
        <v>38</v>
      </c>
      <c r="E1674" s="67" t="s">
        <v>39</v>
      </c>
      <c r="F1674" s="67" t="s">
        <v>40</v>
      </c>
      <c r="G1674" s="68">
        <v>3.9</v>
      </c>
      <c r="H1674" s="67">
        <v>900</v>
      </c>
      <c r="I1674" s="72">
        <v>820</v>
      </c>
      <c r="J1674" s="67">
        <v>0</v>
      </c>
      <c r="K1674" s="161">
        <v>0.6</v>
      </c>
      <c r="L1674" s="67">
        <f t="shared" si="102"/>
        <v>492</v>
      </c>
      <c r="M1674" s="69">
        <v>0</v>
      </c>
      <c r="N1674" s="70">
        <f t="shared" si="104"/>
        <v>492</v>
      </c>
      <c r="O1674" s="207"/>
      <c r="P1674" s="145" t="str">
        <f t="shared" si="103"/>
        <v>PLC3,9</v>
      </c>
      <c r="Q1674" s="52">
        <f t="shared" si="105"/>
        <v>28</v>
      </c>
      <c r="R1674" s="8">
        <f t="shared" si="106"/>
        <v>2025</v>
      </c>
    </row>
    <row r="1675" spans="1:52" hidden="1" x14ac:dyDescent="0.25">
      <c r="A1675" s="223">
        <f>_xlfn.ISOWEEKNUM(B1675)</f>
        <v>29</v>
      </c>
      <c r="B1675" s="145">
        <v>45852</v>
      </c>
      <c r="C1675" s="40" t="s">
        <v>37</v>
      </c>
      <c r="D1675" s="72" t="s">
        <v>38</v>
      </c>
      <c r="E1675" s="41" t="s">
        <v>39</v>
      </c>
      <c r="F1675" s="41" t="s">
        <v>40</v>
      </c>
      <c r="G1675" s="43">
        <v>3.9</v>
      </c>
      <c r="H1675" s="41">
        <v>900</v>
      </c>
      <c r="I1675" s="72">
        <v>820</v>
      </c>
      <c r="J1675" s="41">
        <v>0</v>
      </c>
      <c r="K1675" s="157">
        <v>0.6</v>
      </c>
      <c r="L1675" s="41">
        <f t="shared" si="102"/>
        <v>492</v>
      </c>
      <c r="M1675" s="73">
        <v>0</v>
      </c>
      <c r="N1675" s="74">
        <f t="shared" si="104"/>
        <v>492</v>
      </c>
      <c r="O1675" s="219"/>
      <c r="P1675" s="145" t="str">
        <f t="shared" si="103"/>
        <v>PLC3,9</v>
      </c>
      <c r="Q1675" s="52">
        <f t="shared" si="105"/>
        <v>29</v>
      </c>
      <c r="R1675" s="8">
        <f t="shared" si="106"/>
        <v>2025</v>
      </c>
    </row>
    <row r="1676" spans="1:52" hidden="1" x14ac:dyDescent="0.25">
      <c r="A1676" s="224"/>
      <c r="B1676" s="145">
        <v>45853</v>
      </c>
      <c r="C1676" s="52" t="s">
        <v>42</v>
      </c>
      <c r="D1676" s="52" t="s">
        <v>38</v>
      </c>
      <c r="E1676" s="53" t="s">
        <v>39</v>
      </c>
      <c r="F1676" s="53" t="s">
        <v>40</v>
      </c>
      <c r="G1676" s="43">
        <v>3.9</v>
      </c>
      <c r="H1676" s="53">
        <v>900</v>
      </c>
      <c r="I1676" s="72">
        <v>820</v>
      </c>
      <c r="J1676" s="53">
        <v>0</v>
      </c>
      <c r="K1676" s="157">
        <v>0.6</v>
      </c>
      <c r="L1676" s="53">
        <f t="shared" si="102"/>
        <v>492</v>
      </c>
      <c r="M1676" s="55">
        <v>0</v>
      </c>
      <c r="N1676" s="56">
        <f t="shared" si="104"/>
        <v>492</v>
      </c>
      <c r="O1676" s="220"/>
      <c r="P1676" s="145" t="str">
        <f t="shared" si="103"/>
        <v>PLC3,9</v>
      </c>
      <c r="Q1676" s="52">
        <f t="shared" si="105"/>
        <v>29</v>
      </c>
      <c r="R1676" s="8">
        <f t="shared" si="106"/>
        <v>2025</v>
      </c>
    </row>
    <row r="1677" spans="1:52" hidden="1" x14ac:dyDescent="0.25">
      <c r="A1677" s="224"/>
      <c r="B1677" s="145">
        <v>45854</v>
      </c>
      <c r="C1677" s="52" t="s">
        <v>46</v>
      </c>
      <c r="D1677" s="52" t="s">
        <v>38</v>
      </c>
      <c r="E1677" s="53" t="s">
        <v>39</v>
      </c>
      <c r="F1677" s="53" t="s">
        <v>40</v>
      </c>
      <c r="G1677" s="43">
        <v>3.9</v>
      </c>
      <c r="H1677" s="53">
        <v>900</v>
      </c>
      <c r="I1677" s="72">
        <v>820</v>
      </c>
      <c r="J1677" s="53">
        <v>0</v>
      </c>
      <c r="K1677" s="157">
        <v>0.6</v>
      </c>
      <c r="L1677" s="53">
        <f t="shared" si="102"/>
        <v>492</v>
      </c>
      <c r="M1677" s="55">
        <v>0</v>
      </c>
      <c r="N1677" s="56">
        <f t="shared" si="104"/>
        <v>492</v>
      </c>
      <c r="O1677" s="220"/>
      <c r="P1677" s="145" t="str">
        <f t="shared" si="103"/>
        <v>PLC3,9</v>
      </c>
      <c r="Q1677" s="52">
        <f t="shared" si="105"/>
        <v>29</v>
      </c>
      <c r="R1677" s="8">
        <f t="shared" si="106"/>
        <v>2025</v>
      </c>
    </row>
    <row r="1678" spans="1:52" hidden="1" x14ac:dyDescent="0.25">
      <c r="A1678" s="224"/>
      <c r="B1678" s="145">
        <v>45855</v>
      </c>
      <c r="C1678" s="52" t="s">
        <v>50</v>
      </c>
      <c r="D1678" s="52" t="s">
        <v>38</v>
      </c>
      <c r="E1678" s="53" t="s">
        <v>39</v>
      </c>
      <c r="F1678" s="53" t="s">
        <v>40</v>
      </c>
      <c r="G1678" s="43">
        <v>4.9000000000000004</v>
      </c>
      <c r="H1678" s="53">
        <v>900</v>
      </c>
      <c r="I1678" s="72">
        <v>820</v>
      </c>
      <c r="J1678" s="53">
        <v>0</v>
      </c>
      <c r="K1678" s="157">
        <v>0.6</v>
      </c>
      <c r="L1678" s="53">
        <f t="shared" si="102"/>
        <v>492</v>
      </c>
      <c r="M1678" s="55">
        <v>0</v>
      </c>
      <c r="N1678" s="56">
        <f t="shared" si="104"/>
        <v>492</v>
      </c>
      <c r="O1678" s="220"/>
      <c r="P1678" s="145" t="str">
        <f t="shared" si="103"/>
        <v>PLC4,9</v>
      </c>
      <c r="Q1678" s="52">
        <f t="shared" si="105"/>
        <v>29</v>
      </c>
      <c r="R1678" s="8">
        <f t="shared" si="106"/>
        <v>2025</v>
      </c>
    </row>
    <row r="1679" spans="1:52" hidden="1" x14ac:dyDescent="0.25">
      <c r="A1679" s="224"/>
      <c r="B1679" s="145">
        <v>45856</v>
      </c>
      <c r="C1679" s="52" t="s">
        <v>53</v>
      </c>
      <c r="D1679" s="52" t="s">
        <v>38</v>
      </c>
      <c r="E1679" s="53" t="s">
        <v>39</v>
      </c>
      <c r="F1679" s="53" t="s">
        <v>40</v>
      </c>
      <c r="G1679" s="43">
        <v>5.9</v>
      </c>
      <c r="H1679" s="53">
        <v>900</v>
      </c>
      <c r="I1679" s="72">
        <v>820</v>
      </c>
      <c r="J1679" s="53">
        <v>0</v>
      </c>
      <c r="K1679" s="157">
        <v>0.6</v>
      </c>
      <c r="L1679" s="53">
        <f t="shared" si="102"/>
        <v>492</v>
      </c>
      <c r="M1679" s="55">
        <v>0</v>
      </c>
      <c r="N1679" s="56">
        <f t="shared" si="104"/>
        <v>492</v>
      </c>
      <c r="O1679" s="220"/>
      <c r="P1679" s="145" t="str">
        <f t="shared" si="103"/>
        <v>PLC5,9</v>
      </c>
      <c r="Q1679" s="52">
        <f t="shared" si="105"/>
        <v>29</v>
      </c>
      <c r="R1679" s="8">
        <f t="shared" si="106"/>
        <v>2025</v>
      </c>
    </row>
    <row r="1680" spans="1:52" hidden="1" x14ac:dyDescent="0.25">
      <c r="A1680" s="224"/>
      <c r="B1680" s="148">
        <v>45857</v>
      </c>
      <c r="C1680" s="58" t="s">
        <v>57</v>
      </c>
      <c r="D1680" s="59" t="s">
        <v>38</v>
      </c>
      <c r="E1680" s="60" t="s">
        <v>39</v>
      </c>
      <c r="F1680" s="60" t="s">
        <v>40</v>
      </c>
      <c r="G1680" s="199">
        <v>5.9</v>
      </c>
      <c r="H1680" s="60">
        <v>900</v>
      </c>
      <c r="I1680" s="72">
        <v>820</v>
      </c>
      <c r="J1680" s="60">
        <v>0</v>
      </c>
      <c r="K1680" s="159">
        <v>0.6</v>
      </c>
      <c r="L1680" s="60">
        <f t="shared" si="102"/>
        <v>492</v>
      </c>
      <c r="M1680" s="62">
        <v>0</v>
      </c>
      <c r="N1680" s="63">
        <f t="shared" si="104"/>
        <v>492</v>
      </c>
      <c r="O1680" s="221"/>
      <c r="P1680" s="145" t="str">
        <f t="shared" si="103"/>
        <v>PLC5,9</v>
      </c>
      <c r="Q1680" s="52">
        <f t="shared" si="105"/>
        <v>29</v>
      </c>
      <c r="R1680" s="8">
        <f t="shared" si="106"/>
        <v>2025</v>
      </c>
    </row>
    <row r="1681" spans="1:18" ht="15.75" hidden="1" thickBot="1" x14ac:dyDescent="0.3">
      <c r="A1681" s="225"/>
      <c r="B1681" s="113">
        <v>45858</v>
      </c>
      <c r="C1681" s="66" t="s">
        <v>59</v>
      </c>
      <c r="D1681" s="67" t="s">
        <v>38</v>
      </c>
      <c r="E1681" s="67" t="s">
        <v>39</v>
      </c>
      <c r="F1681" s="67" t="s">
        <v>40</v>
      </c>
      <c r="G1681" s="68">
        <v>5.9</v>
      </c>
      <c r="H1681" s="67">
        <v>900</v>
      </c>
      <c r="I1681" s="72">
        <v>820</v>
      </c>
      <c r="J1681" s="67">
        <v>0</v>
      </c>
      <c r="K1681" s="161">
        <v>0.6</v>
      </c>
      <c r="L1681" s="67">
        <f t="shared" si="102"/>
        <v>492</v>
      </c>
      <c r="M1681" s="69">
        <v>0</v>
      </c>
      <c r="N1681" s="70">
        <f t="shared" si="104"/>
        <v>492</v>
      </c>
      <c r="O1681" s="222"/>
      <c r="P1681" s="145" t="str">
        <f t="shared" si="103"/>
        <v>PLC5,9</v>
      </c>
      <c r="Q1681" s="52">
        <f t="shared" si="105"/>
        <v>29</v>
      </c>
      <c r="R1681" s="8">
        <f t="shared" si="106"/>
        <v>2025</v>
      </c>
    </row>
    <row r="1682" spans="1:18" hidden="1" x14ac:dyDescent="0.25">
      <c r="A1682" s="223">
        <f>_xlfn.ISOWEEKNUM(B1682)</f>
        <v>30</v>
      </c>
      <c r="B1682" s="145">
        <v>45859</v>
      </c>
      <c r="C1682" s="40" t="s">
        <v>37</v>
      </c>
      <c r="D1682" s="72" t="s">
        <v>38</v>
      </c>
      <c r="E1682" s="41" t="s">
        <v>39</v>
      </c>
      <c r="F1682" s="41" t="s">
        <v>40</v>
      </c>
      <c r="G1682" s="43">
        <v>10</v>
      </c>
      <c r="H1682" s="41">
        <v>900</v>
      </c>
      <c r="I1682" s="72">
        <v>820</v>
      </c>
      <c r="J1682" s="41">
        <v>0</v>
      </c>
      <c r="K1682" s="157">
        <v>0.6</v>
      </c>
      <c r="L1682" s="41">
        <f t="shared" si="102"/>
        <v>492</v>
      </c>
      <c r="M1682" s="73">
        <v>0</v>
      </c>
      <c r="N1682" s="74">
        <f t="shared" si="104"/>
        <v>492</v>
      </c>
      <c r="O1682" s="219"/>
      <c r="P1682" s="145" t="str">
        <f t="shared" si="103"/>
        <v>PLC10</v>
      </c>
      <c r="Q1682" s="52">
        <f t="shared" si="105"/>
        <v>30</v>
      </c>
      <c r="R1682" s="8">
        <f t="shared" si="106"/>
        <v>2025</v>
      </c>
    </row>
    <row r="1683" spans="1:18" hidden="1" x14ac:dyDescent="0.25">
      <c r="A1683" s="224"/>
      <c r="B1683" s="145">
        <v>45860</v>
      </c>
      <c r="C1683" s="52" t="s">
        <v>42</v>
      </c>
      <c r="D1683" s="52" t="s">
        <v>38</v>
      </c>
      <c r="E1683" s="53" t="s">
        <v>39</v>
      </c>
      <c r="F1683" s="53" t="s">
        <v>40</v>
      </c>
      <c r="G1683" s="43">
        <v>10</v>
      </c>
      <c r="H1683" s="53">
        <v>900</v>
      </c>
      <c r="I1683" s="72">
        <v>820</v>
      </c>
      <c r="J1683" s="53">
        <v>0</v>
      </c>
      <c r="K1683" s="157">
        <v>0.6</v>
      </c>
      <c r="L1683" s="53">
        <f t="shared" si="102"/>
        <v>492</v>
      </c>
      <c r="M1683" s="55">
        <v>0</v>
      </c>
      <c r="N1683" s="56">
        <f t="shared" si="104"/>
        <v>492</v>
      </c>
      <c r="O1683" s="220"/>
      <c r="P1683" s="145" t="str">
        <f t="shared" si="103"/>
        <v>PLC10</v>
      </c>
      <c r="Q1683" s="52">
        <f t="shared" si="105"/>
        <v>30</v>
      </c>
      <c r="R1683" s="8">
        <f t="shared" si="106"/>
        <v>2025</v>
      </c>
    </row>
    <row r="1684" spans="1:18" hidden="1" x14ac:dyDescent="0.25">
      <c r="A1684" s="224"/>
      <c r="B1684" s="145">
        <v>45861</v>
      </c>
      <c r="C1684" s="52" t="s">
        <v>46</v>
      </c>
      <c r="D1684" s="52" t="s">
        <v>38</v>
      </c>
      <c r="E1684" s="53" t="s">
        <v>39</v>
      </c>
      <c r="F1684" s="53" t="s">
        <v>40</v>
      </c>
      <c r="G1684" s="43">
        <v>10</v>
      </c>
      <c r="H1684" s="53">
        <v>900</v>
      </c>
      <c r="I1684" s="72">
        <v>820</v>
      </c>
      <c r="J1684" s="53">
        <v>0</v>
      </c>
      <c r="K1684" s="157">
        <v>0.6</v>
      </c>
      <c r="L1684" s="53">
        <f t="shared" si="102"/>
        <v>492</v>
      </c>
      <c r="M1684" s="55">
        <v>0</v>
      </c>
      <c r="N1684" s="56">
        <f t="shared" si="104"/>
        <v>492</v>
      </c>
      <c r="O1684" s="220"/>
      <c r="P1684" s="145" t="str">
        <f t="shared" si="103"/>
        <v>PLC10</v>
      </c>
      <c r="Q1684" s="52">
        <f t="shared" si="105"/>
        <v>30</v>
      </c>
      <c r="R1684" s="8">
        <f t="shared" si="106"/>
        <v>2025</v>
      </c>
    </row>
    <row r="1685" spans="1:18" hidden="1" x14ac:dyDescent="0.25">
      <c r="A1685" s="224"/>
      <c r="B1685" s="145">
        <v>45862</v>
      </c>
      <c r="C1685" s="52" t="s">
        <v>50</v>
      </c>
      <c r="D1685" s="52" t="s">
        <v>38</v>
      </c>
      <c r="E1685" s="53" t="s">
        <v>39</v>
      </c>
      <c r="F1685" s="53" t="s">
        <v>40</v>
      </c>
      <c r="G1685" s="43">
        <v>10</v>
      </c>
      <c r="H1685" s="53">
        <v>900</v>
      </c>
      <c r="I1685" s="72">
        <v>820</v>
      </c>
      <c r="J1685" s="53">
        <v>0</v>
      </c>
      <c r="K1685" s="157">
        <v>0.6</v>
      </c>
      <c r="L1685" s="53">
        <f t="shared" si="102"/>
        <v>492</v>
      </c>
      <c r="M1685" s="55">
        <v>0</v>
      </c>
      <c r="N1685" s="56">
        <f t="shared" si="104"/>
        <v>492</v>
      </c>
      <c r="O1685" s="220"/>
      <c r="P1685" s="145" t="str">
        <f t="shared" si="103"/>
        <v>PLC10</v>
      </c>
      <c r="Q1685" s="52">
        <f t="shared" si="105"/>
        <v>30</v>
      </c>
      <c r="R1685" s="8">
        <f t="shared" si="106"/>
        <v>2025</v>
      </c>
    </row>
    <row r="1686" spans="1:18" hidden="1" x14ac:dyDescent="0.25">
      <c r="A1686" s="224"/>
      <c r="B1686" s="145">
        <v>45863</v>
      </c>
      <c r="C1686" s="52" t="s">
        <v>53</v>
      </c>
      <c r="D1686" s="52" t="s">
        <v>38</v>
      </c>
      <c r="E1686" s="53" t="s">
        <v>39</v>
      </c>
      <c r="F1686" s="53" t="s">
        <v>40</v>
      </c>
      <c r="G1686" s="43">
        <v>12</v>
      </c>
      <c r="H1686" s="53">
        <v>900</v>
      </c>
      <c r="I1686" s="72">
        <v>820</v>
      </c>
      <c r="J1686" s="53">
        <v>0</v>
      </c>
      <c r="K1686" s="157">
        <v>0.6</v>
      </c>
      <c r="L1686" s="53">
        <f t="shared" si="102"/>
        <v>492</v>
      </c>
      <c r="M1686" s="55">
        <v>0</v>
      </c>
      <c r="N1686" s="56">
        <f t="shared" si="104"/>
        <v>492</v>
      </c>
      <c r="O1686" s="220"/>
      <c r="P1686" s="145" t="str">
        <f t="shared" si="103"/>
        <v>PLC12</v>
      </c>
      <c r="Q1686" s="52">
        <f t="shared" si="105"/>
        <v>30</v>
      </c>
      <c r="R1686" s="8">
        <f t="shared" si="106"/>
        <v>2025</v>
      </c>
    </row>
    <row r="1687" spans="1:18" hidden="1" x14ac:dyDescent="0.25">
      <c r="A1687" s="224"/>
      <c r="B1687" s="148">
        <v>45864</v>
      </c>
      <c r="C1687" s="58" t="s">
        <v>57</v>
      </c>
      <c r="D1687" s="59" t="s">
        <v>38</v>
      </c>
      <c r="E1687" s="60" t="s">
        <v>39</v>
      </c>
      <c r="F1687" s="60" t="s">
        <v>40</v>
      </c>
      <c r="G1687" s="199">
        <v>8</v>
      </c>
      <c r="H1687" s="60">
        <v>900</v>
      </c>
      <c r="I1687" s="72">
        <v>820</v>
      </c>
      <c r="J1687" s="60">
        <v>0</v>
      </c>
      <c r="K1687" s="159">
        <v>0.6</v>
      </c>
      <c r="L1687" s="60">
        <f t="shared" si="102"/>
        <v>492</v>
      </c>
      <c r="M1687" s="62">
        <v>0</v>
      </c>
      <c r="N1687" s="63">
        <f t="shared" si="104"/>
        <v>492</v>
      </c>
      <c r="O1687" s="221"/>
      <c r="P1687" s="145" t="str">
        <f t="shared" si="103"/>
        <v>PLC8</v>
      </c>
      <c r="Q1687" s="52">
        <f t="shared" si="105"/>
        <v>30</v>
      </c>
      <c r="R1687" s="8">
        <f t="shared" si="106"/>
        <v>2025</v>
      </c>
    </row>
    <row r="1688" spans="1:18" ht="15.75" hidden="1" thickBot="1" x14ac:dyDescent="0.3">
      <c r="A1688" s="225"/>
      <c r="B1688" s="113">
        <v>45865</v>
      </c>
      <c r="C1688" s="66" t="s">
        <v>59</v>
      </c>
      <c r="D1688" s="67" t="s">
        <v>38</v>
      </c>
      <c r="E1688" s="67" t="s">
        <v>39</v>
      </c>
      <c r="F1688" s="67" t="s">
        <v>40</v>
      </c>
      <c r="G1688" s="68">
        <v>8</v>
      </c>
      <c r="H1688" s="67">
        <v>900</v>
      </c>
      <c r="I1688" s="72">
        <v>820</v>
      </c>
      <c r="J1688" s="67">
        <v>0</v>
      </c>
      <c r="K1688" s="161">
        <v>0.6</v>
      </c>
      <c r="L1688" s="67">
        <f t="shared" si="102"/>
        <v>492</v>
      </c>
      <c r="M1688" s="69">
        <v>0</v>
      </c>
      <c r="N1688" s="70">
        <f t="shared" si="104"/>
        <v>492</v>
      </c>
      <c r="O1688" s="222"/>
      <c r="P1688" s="145" t="str">
        <f t="shared" si="103"/>
        <v>PLC8</v>
      </c>
      <c r="Q1688" s="52">
        <f t="shared" si="105"/>
        <v>30</v>
      </c>
      <c r="R1688" s="8">
        <f t="shared" si="106"/>
        <v>2025</v>
      </c>
    </row>
    <row r="1689" spans="1:18" hidden="1" x14ac:dyDescent="0.25">
      <c r="A1689" s="223">
        <f>_xlfn.ISOWEEKNUM(B1689)</f>
        <v>31</v>
      </c>
      <c r="B1689" s="145">
        <v>45866</v>
      </c>
      <c r="C1689" s="40" t="s">
        <v>37</v>
      </c>
      <c r="D1689" s="72" t="s">
        <v>38</v>
      </c>
      <c r="E1689" s="41" t="s">
        <v>39</v>
      </c>
      <c r="F1689" s="41" t="s">
        <v>40</v>
      </c>
      <c r="G1689" s="43">
        <v>8</v>
      </c>
      <c r="H1689" s="41">
        <v>900</v>
      </c>
      <c r="I1689" s="72">
        <v>820</v>
      </c>
      <c r="J1689" s="41">
        <v>0</v>
      </c>
      <c r="K1689" s="157">
        <v>0.6</v>
      </c>
      <c r="L1689" s="41">
        <f t="shared" si="102"/>
        <v>492</v>
      </c>
      <c r="M1689" s="73">
        <v>0</v>
      </c>
      <c r="N1689" s="74">
        <f t="shared" si="104"/>
        <v>492</v>
      </c>
      <c r="O1689" s="219"/>
      <c r="P1689" s="145" t="str">
        <f t="shared" si="103"/>
        <v>PLC8</v>
      </c>
      <c r="Q1689" s="52">
        <f t="shared" si="105"/>
        <v>31</v>
      </c>
      <c r="R1689" s="8">
        <f t="shared" si="106"/>
        <v>2025</v>
      </c>
    </row>
    <row r="1690" spans="1:18" hidden="1" x14ac:dyDescent="0.25">
      <c r="A1690" s="224"/>
      <c r="B1690" s="145">
        <v>45867</v>
      </c>
      <c r="C1690" s="52" t="s">
        <v>42</v>
      </c>
      <c r="D1690" s="52" t="s">
        <v>38</v>
      </c>
      <c r="E1690" s="53" t="s">
        <v>39</v>
      </c>
      <c r="F1690" s="53" t="s">
        <v>40</v>
      </c>
      <c r="G1690" s="43">
        <v>8</v>
      </c>
      <c r="H1690" s="53">
        <v>900</v>
      </c>
      <c r="I1690" s="72">
        <v>820</v>
      </c>
      <c r="J1690" s="53">
        <v>0</v>
      </c>
      <c r="K1690" s="157">
        <v>0.6</v>
      </c>
      <c r="L1690" s="53">
        <f t="shared" ref="L1690:L1753" si="107">IF(J1690&gt;0,J1690*K1690,I1690*K1690)</f>
        <v>492</v>
      </c>
      <c r="M1690" s="55">
        <v>0</v>
      </c>
      <c r="N1690" s="56">
        <f t="shared" si="104"/>
        <v>492</v>
      </c>
      <c r="O1690" s="220"/>
      <c r="P1690" s="145" t="str">
        <f t="shared" si="103"/>
        <v>PLC8</v>
      </c>
      <c r="Q1690" s="52">
        <f t="shared" si="105"/>
        <v>31</v>
      </c>
      <c r="R1690" s="8">
        <f t="shared" si="106"/>
        <v>2025</v>
      </c>
    </row>
    <row r="1691" spans="1:18" hidden="1" x14ac:dyDescent="0.25">
      <c r="A1691" s="224"/>
      <c r="B1691" s="145">
        <v>45868</v>
      </c>
      <c r="C1691" s="52" t="s">
        <v>46</v>
      </c>
      <c r="D1691" s="52" t="s">
        <v>38</v>
      </c>
      <c r="E1691" s="53" t="s">
        <v>39</v>
      </c>
      <c r="F1691" s="53" t="s">
        <v>40</v>
      </c>
      <c r="G1691" s="43">
        <v>5.9</v>
      </c>
      <c r="H1691" s="53">
        <v>900</v>
      </c>
      <c r="I1691" s="72">
        <v>820</v>
      </c>
      <c r="J1691" s="53">
        <v>0</v>
      </c>
      <c r="K1691" s="157">
        <v>0.6</v>
      </c>
      <c r="L1691" s="53">
        <f t="shared" si="107"/>
        <v>492</v>
      </c>
      <c r="M1691" s="55">
        <v>0</v>
      </c>
      <c r="N1691" s="56">
        <f t="shared" si="104"/>
        <v>492</v>
      </c>
      <c r="O1691" s="220"/>
      <c r="P1691" s="145" t="str">
        <f t="shared" si="103"/>
        <v>PLC5,9</v>
      </c>
      <c r="Q1691" s="52">
        <f t="shared" si="105"/>
        <v>31</v>
      </c>
      <c r="R1691" s="8">
        <f t="shared" si="106"/>
        <v>2025</v>
      </c>
    </row>
    <row r="1692" spans="1:18" hidden="1" x14ac:dyDescent="0.25">
      <c r="A1692" s="224"/>
      <c r="B1692" s="145">
        <v>45869</v>
      </c>
      <c r="C1692" s="52" t="s">
        <v>50</v>
      </c>
      <c r="D1692" s="52" t="s">
        <v>38</v>
      </c>
      <c r="E1692" s="53" t="s">
        <v>39</v>
      </c>
      <c r="F1692" s="53" t="s">
        <v>40</v>
      </c>
      <c r="G1692" s="43">
        <v>5.9</v>
      </c>
      <c r="H1692" s="53">
        <v>900</v>
      </c>
      <c r="I1692" s="72">
        <v>820</v>
      </c>
      <c r="J1692" s="53">
        <v>0</v>
      </c>
      <c r="K1692" s="157">
        <v>0.6</v>
      </c>
      <c r="L1692" s="53">
        <f t="shared" si="107"/>
        <v>492</v>
      </c>
      <c r="M1692" s="55">
        <v>0</v>
      </c>
      <c r="N1692" s="56">
        <f t="shared" si="104"/>
        <v>492</v>
      </c>
      <c r="O1692" s="220"/>
      <c r="P1692" s="145" t="str">
        <f t="shared" si="103"/>
        <v>PLC5,9</v>
      </c>
      <c r="Q1692" s="52">
        <f t="shared" si="105"/>
        <v>31</v>
      </c>
      <c r="R1692" s="8">
        <f t="shared" si="106"/>
        <v>2025</v>
      </c>
    </row>
    <row r="1693" spans="1:18" hidden="1" x14ac:dyDescent="0.25">
      <c r="A1693" s="224"/>
      <c r="B1693" s="145">
        <v>45870</v>
      </c>
      <c r="C1693" s="52" t="s">
        <v>53</v>
      </c>
      <c r="D1693" s="52" t="s">
        <v>38</v>
      </c>
      <c r="E1693" s="53" t="s">
        <v>39</v>
      </c>
      <c r="F1693" s="53" t="s">
        <v>40</v>
      </c>
      <c r="G1693" s="43">
        <v>5.9</v>
      </c>
      <c r="H1693" s="53">
        <v>900</v>
      </c>
      <c r="I1693" s="72">
        <v>820</v>
      </c>
      <c r="J1693" s="53">
        <v>0</v>
      </c>
      <c r="K1693" s="157">
        <v>0.7</v>
      </c>
      <c r="L1693" s="53">
        <f t="shared" si="107"/>
        <v>574</v>
      </c>
      <c r="M1693" s="55">
        <v>0</v>
      </c>
      <c r="N1693" s="56">
        <f t="shared" si="104"/>
        <v>574</v>
      </c>
      <c r="O1693" s="220"/>
      <c r="P1693" s="145" t="str">
        <f t="shared" si="103"/>
        <v>PLC5,9</v>
      </c>
      <c r="Q1693" s="52">
        <f t="shared" si="105"/>
        <v>31</v>
      </c>
      <c r="R1693" s="8">
        <f t="shared" si="106"/>
        <v>2025</v>
      </c>
    </row>
    <row r="1694" spans="1:18" hidden="1" x14ac:dyDescent="0.25">
      <c r="A1694" s="224"/>
      <c r="B1694" s="148">
        <v>45871</v>
      </c>
      <c r="C1694" s="58" t="s">
        <v>57</v>
      </c>
      <c r="D1694" s="59" t="s">
        <v>38</v>
      </c>
      <c r="E1694" s="60" t="s">
        <v>39</v>
      </c>
      <c r="F1694" s="53" t="s">
        <v>40</v>
      </c>
      <c r="G1694" s="199">
        <v>4.9000000000000004</v>
      </c>
      <c r="H1694" s="60">
        <v>900</v>
      </c>
      <c r="I1694" s="72">
        <v>820</v>
      </c>
      <c r="J1694" s="60">
        <v>0</v>
      </c>
      <c r="K1694" s="159">
        <v>0.7</v>
      </c>
      <c r="L1694" s="60">
        <f t="shared" si="107"/>
        <v>574</v>
      </c>
      <c r="M1694" s="62">
        <v>0</v>
      </c>
      <c r="N1694" s="63">
        <f t="shared" si="104"/>
        <v>574</v>
      </c>
      <c r="O1694" s="221"/>
      <c r="P1694" s="145" t="str">
        <f t="shared" si="103"/>
        <v>PLC4,9</v>
      </c>
      <c r="Q1694" s="52">
        <f t="shared" si="105"/>
        <v>31</v>
      </c>
      <c r="R1694" s="8">
        <f t="shared" si="106"/>
        <v>2025</v>
      </c>
    </row>
    <row r="1695" spans="1:18" ht="15.75" hidden="1" thickBot="1" x14ac:dyDescent="0.3">
      <c r="A1695" s="225"/>
      <c r="B1695" s="113">
        <v>45872</v>
      </c>
      <c r="C1695" s="66" t="s">
        <v>59</v>
      </c>
      <c r="D1695" s="67" t="s">
        <v>38</v>
      </c>
      <c r="E1695" s="67" t="s">
        <v>39</v>
      </c>
      <c r="F1695" s="53" t="s">
        <v>40</v>
      </c>
      <c r="G1695" s="68">
        <v>4.9000000000000004</v>
      </c>
      <c r="H1695" s="67">
        <v>900</v>
      </c>
      <c r="I1695" s="72">
        <v>820</v>
      </c>
      <c r="J1695" s="67">
        <v>0</v>
      </c>
      <c r="K1695" s="161">
        <v>0.7</v>
      </c>
      <c r="L1695" s="67">
        <f t="shared" si="107"/>
        <v>574</v>
      </c>
      <c r="M1695" s="69">
        <v>0</v>
      </c>
      <c r="N1695" s="70">
        <f t="shared" si="104"/>
        <v>574</v>
      </c>
      <c r="O1695" s="207"/>
      <c r="P1695" s="145" t="str">
        <f t="shared" si="103"/>
        <v>PLC4,9</v>
      </c>
      <c r="Q1695" s="52">
        <f t="shared" si="105"/>
        <v>31</v>
      </c>
      <c r="R1695" s="8">
        <f t="shared" si="106"/>
        <v>2025</v>
      </c>
    </row>
    <row r="1696" spans="1:18" hidden="1" x14ac:dyDescent="0.25">
      <c r="A1696" s="223">
        <f>_xlfn.ISOWEEKNUM(B1696)</f>
        <v>32</v>
      </c>
      <c r="B1696" s="145">
        <v>45873</v>
      </c>
      <c r="C1696" s="40" t="s">
        <v>37</v>
      </c>
      <c r="D1696" s="72" t="s">
        <v>38</v>
      </c>
      <c r="E1696" s="41" t="s">
        <v>39</v>
      </c>
      <c r="F1696" s="41" t="s">
        <v>40</v>
      </c>
      <c r="G1696" s="43">
        <v>3.9</v>
      </c>
      <c r="H1696" s="41">
        <v>900</v>
      </c>
      <c r="I1696" s="72">
        <v>820</v>
      </c>
      <c r="J1696" s="41">
        <v>0</v>
      </c>
      <c r="K1696" s="157">
        <v>0.7</v>
      </c>
      <c r="L1696" s="41">
        <f t="shared" si="107"/>
        <v>574</v>
      </c>
      <c r="M1696" s="73">
        <v>0</v>
      </c>
      <c r="N1696" s="74">
        <f t="shared" si="104"/>
        <v>574</v>
      </c>
      <c r="O1696" s="208"/>
      <c r="P1696" s="145" t="str">
        <f t="shared" si="103"/>
        <v>PLC3,9</v>
      </c>
      <c r="Q1696" s="52">
        <f t="shared" si="105"/>
        <v>32</v>
      </c>
      <c r="R1696" s="8">
        <f t="shared" si="106"/>
        <v>2025</v>
      </c>
    </row>
    <row r="1697" spans="1:18" hidden="1" x14ac:dyDescent="0.25">
      <c r="A1697" s="224"/>
      <c r="B1697" s="145">
        <v>45874</v>
      </c>
      <c r="C1697" s="52" t="s">
        <v>42</v>
      </c>
      <c r="D1697" s="52" t="s">
        <v>38</v>
      </c>
      <c r="E1697" s="53" t="s">
        <v>39</v>
      </c>
      <c r="F1697" s="53" t="s">
        <v>40</v>
      </c>
      <c r="G1697" s="43">
        <v>3.9</v>
      </c>
      <c r="H1697" s="53">
        <v>900</v>
      </c>
      <c r="I1697" s="72">
        <v>820</v>
      </c>
      <c r="J1697" s="53">
        <v>0</v>
      </c>
      <c r="K1697" s="157">
        <v>0.7</v>
      </c>
      <c r="L1697" s="53">
        <f t="shared" si="107"/>
        <v>574</v>
      </c>
      <c r="M1697" s="55">
        <v>0</v>
      </c>
      <c r="N1697" s="56">
        <f t="shared" si="104"/>
        <v>574</v>
      </c>
      <c r="O1697" s="156"/>
      <c r="P1697" s="145" t="str">
        <f t="shared" si="103"/>
        <v>PLC3,9</v>
      </c>
      <c r="Q1697" s="52">
        <f t="shared" si="105"/>
        <v>32</v>
      </c>
      <c r="R1697" s="8">
        <f t="shared" si="106"/>
        <v>2025</v>
      </c>
    </row>
    <row r="1698" spans="1:18" hidden="1" x14ac:dyDescent="0.25">
      <c r="A1698" s="224"/>
      <c r="B1698" s="145">
        <v>45875</v>
      </c>
      <c r="C1698" s="52" t="s">
        <v>46</v>
      </c>
      <c r="D1698" s="52" t="s">
        <v>38</v>
      </c>
      <c r="E1698" s="53" t="s">
        <v>39</v>
      </c>
      <c r="F1698" s="53" t="s">
        <v>40</v>
      </c>
      <c r="G1698" s="43">
        <v>3.9</v>
      </c>
      <c r="H1698" s="53">
        <v>900</v>
      </c>
      <c r="I1698" s="72">
        <v>820</v>
      </c>
      <c r="J1698" s="53">
        <v>0</v>
      </c>
      <c r="K1698" s="157">
        <v>0.7</v>
      </c>
      <c r="L1698" s="53">
        <f t="shared" si="107"/>
        <v>574</v>
      </c>
      <c r="M1698" s="55">
        <v>0</v>
      </c>
      <c r="N1698" s="56">
        <f t="shared" si="104"/>
        <v>574</v>
      </c>
      <c r="O1698" s="156"/>
      <c r="P1698" s="145" t="str">
        <f t="shared" si="103"/>
        <v>PLC3,9</v>
      </c>
      <c r="Q1698" s="52">
        <f t="shared" si="105"/>
        <v>32</v>
      </c>
      <c r="R1698" s="8">
        <f t="shared" si="106"/>
        <v>2025</v>
      </c>
    </row>
    <row r="1699" spans="1:18" hidden="1" x14ac:dyDescent="0.25">
      <c r="A1699" s="224"/>
      <c r="B1699" s="145">
        <v>45876</v>
      </c>
      <c r="C1699" s="52" t="s">
        <v>50</v>
      </c>
      <c r="D1699" s="52" t="s">
        <v>38</v>
      </c>
      <c r="E1699" s="53" t="s">
        <v>39</v>
      </c>
      <c r="F1699" s="53" t="s">
        <v>40</v>
      </c>
      <c r="G1699" s="43">
        <v>3.9</v>
      </c>
      <c r="H1699" s="53">
        <v>900</v>
      </c>
      <c r="I1699" s="72">
        <v>820</v>
      </c>
      <c r="J1699" s="53">
        <v>0</v>
      </c>
      <c r="K1699" s="157">
        <v>0.7</v>
      </c>
      <c r="L1699" s="53">
        <f t="shared" si="107"/>
        <v>574</v>
      </c>
      <c r="M1699" s="55">
        <v>0</v>
      </c>
      <c r="N1699" s="56">
        <f t="shared" si="104"/>
        <v>574</v>
      </c>
      <c r="O1699" s="156"/>
      <c r="P1699" s="145" t="str">
        <f t="shared" si="103"/>
        <v>PLC3,9</v>
      </c>
      <c r="Q1699" s="52">
        <f t="shared" si="105"/>
        <v>32</v>
      </c>
      <c r="R1699" s="8">
        <f t="shared" si="106"/>
        <v>2025</v>
      </c>
    </row>
    <row r="1700" spans="1:18" hidden="1" x14ac:dyDescent="0.25">
      <c r="A1700" s="224"/>
      <c r="B1700" s="145">
        <v>45877</v>
      </c>
      <c r="C1700" s="52" t="s">
        <v>53</v>
      </c>
      <c r="D1700" s="52" t="s">
        <v>38</v>
      </c>
      <c r="E1700" s="53" t="s">
        <v>39</v>
      </c>
      <c r="F1700" s="53" t="s">
        <v>40</v>
      </c>
      <c r="G1700" s="43">
        <v>3.9</v>
      </c>
      <c r="H1700" s="53">
        <v>900</v>
      </c>
      <c r="I1700" s="72">
        <v>825</v>
      </c>
      <c r="J1700" s="53">
        <v>0</v>
      </c>
      <c r="K1700" s="157">
        <v>0.7</v>
      </c>
      <c r="L1700" s="53">
        <f t="shared" si="107"/>
        <v>577.5</v>
      </c>
      <c r="M1700" s="55">
        <v>0</v>
      </c>
      <c r="N1700" s="56">
        <f t="shared" si="104"/>
        <v>577.5</v>
      </c>
      <c r="O1700" s="156"/>
      <c r="P1700" s="145" t="str">
        <f t="shared" si="103"/>
        <v>PLC3,9</v>
      </c>
      <c r="Q1700" s="52">
        <f t="shared" si="105"/>
        <v>32</v>
      </c>
      <c r="R1700" s="8">
        <f t="shared" si="106"/>
        <v>2025</v>
      </c>
    </row>
    <row r="1701" spans="1:18" hidden="1" x14ac:dyDescent="0.25">
      <c r="A1701" s="224"/>
      <c r="B1701" s="148">
        <v>45878</v>
      </c>
      <c r="C1701" s="58" t="s">
        <v>57</v>
      </c>
      <c r="D1701" s="59" t="s">
        <v>38</v>
      </c>
      <c r="E1701" s="60" t="s">
        <v>39</v>
      </c>
      <c r="F1701" s="53" t="s">
        <v>40</v>
      </c>
      <c r="G1701" s="199">
        <v>3.9</v>
      </c>
      <c r="H1701" s="60">
        <v>900</v>
      </c>
      <c r="I1701" s="72">
        <v>825</v>
      </c>
      <c r="J1701" s="60">
        <v>0</v>
      </c>
      <c r="K1701" s="159">
        <v>0.7</v>
      </c>
      <c r="L1701" s="60">
        <f t="shared" si="107"/>
        <v>577.5</v>
      </c>
      <c r="M1701" s="62">
        <v>0</v>
      </c>
      <c r="N1701" s="63">
        <f t="shared" si="104"/>
        <v>577.5</v>
      </c>
      <c r="O1701" s="206"/>
      <c r="P1701" s="145" t="str">
        <f t="shared" si="103"/>
        <v>PLC3,9</v>
      </c>
      <c r="Q1701" s="52">
        <f t="shared" si="105"/>
        <v>32</v>
      </c>
      <c r="R1701" s="8">
        <f t="shared" si="106"/>
        <v>2025</v>
      </c>
    </row>
    <row r="1702" spans="1:18" ht="15.75" hidden="1" thickBot="1" x14ac:dyDescent="0.3">
      <c r="A1702" s="225"/>
      <c r="B1702" s="113">
        <v>45879</v>
      </c>
      <c r="C1702" s="66" t="s">
        <v>59</v>
      </c>
      <c r="D1702" s="67" t="s">
        <v>38</v>
      </c>
      <c r="E1702" s="67" t="s">
        <v>39</v>
      </c>
      <c r="F1702" s="53" t="s">
        <v>40</v>
      </c>
      <c r="G1702" s="68">
        <v>3.9</v>
      </c>
      <c r="H1702" s="67">
        <v>900</v>
      </c>
      <c r="I1702" s="72">
        <v>825</v>
      </c>
      <c r="J1702" s="67">
        <v>0</v>
      </c>
      <c r="K1702" s="161">
        <v>0.7</v>
      </c>
      <c r="L1702" s="67">
        <f t="shared" si="107"/>
        <v>577.5</v>
      </c>
      <c r="M1702" s="69">
        <v>0</v>
      </c>
      <c r="N1702" s="70">
        <f t="shared" si="104"/>
        <v>577.5</v>
      </c>
      <c r="O1702" s="207"/>
      <c r="P1702" s="145" t="str">
        <f t="shared" si="103"/>
        <v>PLC3,9</v>
      </c>
      <c r="Q1702" s="52">
        <f t="shared" si="105"/>
        <v>32</v>
      </c>
      <c r="R1702" s="8">
        <f t="shared" si="106"/>
        <v>2025</v>
      </c>
    </row>
    <row r="1703" spans="1:18" hidden="1" x14ac:dyDescent="0.25">
      <c r="A1703" s="223">
        <f>_xlfn.ISOWEEKNUM(B1703)</f>
        <v>33</v>
      </c>
      <c r="B1703" s="145">
        <v>45880</v>
      </c>
      <c r="C1703" s="40" t="s">
        <v>37</v>
      </c>
      <c r="D1703" s="72" t="s">
        <v>38</v>
      </c>
      <c r="E1703" s="41" t="s">
        <v>39</v>
      </c>
      <c r="F1703" s="53" t="s">
        <v>40</v>
      </c>
      <c r="G1703" s="43">
        <v>3.9</v>
      </c>
      <c r="H1703" s="41">
        <v>900</v>
      </c>
      <c r="I1703" s="72">
        <v>830</v>
      </c>
      <c r="J1703" s="41">
        <v>0</v>
      </c>
      <c r="K1703" s="157">
        <v>0.7</v>
      </c>
      <c r="L1703" s="41">
        <f t="shared" si="107"/>
        <v>581</v>
      </c>
      <c r="M1703" s="73">
        <v>0</v>
      </c>
      <c r="N1703" s="74">
        <f t="shared" si="104"/>
        <v>581</v>
      </c>
      <c r="O1703" s="208"/>
      <c r="P1703" s="145" t="str">
        <f t="shared" si="103"/>
        <v>PLC3,9</v>
      </c>
      <c r="Q1703" s="52">
        <f t="shared" si="105"/>
        <v>33</v>
      </c>
      <c r="R1703" s="8">
        <f t="shared" si="106"/>
        <v>2025</v>
      </c>
    </row>
    <row r="1704" spans="1:18" hidden="1" x14ac:dyDescent="0.25">
      <c r="A1704" s="224"/>
      <c r="B1704" s="145">
        <v>45881</v>
      </c>
      <c r="C1704" s="52" t="s">
        <v>42</v>
      </c>
      <c r="D1704" s="52" t="s">
        <v>38</v>
      </c>
      <c r="E1704" s="53" t="s">
        <v>39</v>
      </c>
      <c r="F1704" s="53" t="s">
        <v>40</v>
      </c>
      <c r="G1704" s="43">
        <v>3.9</v>
      </c>
      <c r="H1704" s="53">
        <v>900</v>
      </c>
      <c r="I1704" s="72">
        <v>830</v>
      </c>
      <c r="J1704" s="53">
        <v>0</v>
      </c>
      <c r="K1704" s="157">
        <v>0.7</v>
      </c>
      <c r="L1704" s="53">
        <f t="shared" si="107"/>
        <v>581</v>
      </c>
      <c r="M1704" s="55">
        <v>0</v>
      </c>
      <c r="N1704" s="56">
        <f t="shared" si="104"/>
        <v>581</v>
      </c>
      <c r="O1704" s="156"/>
      <c r="P1704" s="145" t="str">
        <f t="shared" si="103"/>
        <v>PLC3,9</v>
      </c>
      <c r="Q1704" s="52">
        <f t="shared" si="105"/>
        <v>33</v>
      </c>
      <c r="R1704" s="8">
        <f t="shared" si="106"/>
        <v>2025</v>
      </c>
    </row>
    <row r="1705" spans="1:18" hidden="1" x14ac:dyDescent="0.25">
      <c r="A1705" s="224"/>
      <c r="B1705" s="145">
        <v>45882</v>
      </c>
      <c r="C1705" s="52" t="s">
        <v>46</v>
      </c>
      <c r="D1705" s="52" t="s">
        <v>38</v>
      </c>
      <c r="E1705" s="53" t="s">
        <v>39</v>
      </c>
      <c r="F1705" s="53" t="s">
        <v>40</v>
      </c>
      <c r="G1705" s="205">
        <v>3.9</v>
      </c>
      <c r="H1705" s="53">
        <v>900</v>
      </c>
      <c r="I1705" s="72">
        <v>830</v>
      </c>
      <c r="J1705" s="53">
        <v>0</v>
      </c>
      <c r="K1705" s="157">
        <v>0.7</v>
      </c>
      <c r="L1705" s="53">
        <f t="shared" si="107"/>
        <v>581</v>
      </c>
      <c r="M1705" s="55">
        <v>0</v>
      </c>
      <c r="N1705" s="56">
        <f t="shared" si="104"/>
        <v>581</v>
      </c>
      <c r="O1705" s="156"/>
      <c r="P1705" s="145" t="str">
        <f t="shared" si="103"/>
        <v>PLC3,9</v>
      </c>
      <c r="Q1705" s="52">
        <f t="shared" si="105"/>
        <v>33</v>
      </c>
      <c r="R1705" s="8">
        <f t="shared" si="106"/>
        <v>2025</v>
      </c>
    </row>
    <row r="1706" spans="1:18" hidden="1" x14ac:dyDescent="0.25">
      <c r="A1706" s="224"/>
      <c r="B1706" s="145">
        <v>45883</v>
      </c>
      <c r="C1706" s="52" t="s">
        <v>50</v>
      </c>
      <c r="D1706" s="52" t="s">
        <v>38</v>
      </c>
      <c r="E1706" s="53" t="s">
        <v>39</v>
      </c>
      <c r="F1706" s="53" t="s">
        <v>40</v>
      </c>
      <c r="G1706" s="43">
        <v>5.9</v>
      </c>
      <c r="H1706" s="53">
        <v>900</v>
      </c>
      <c r="I1706" s="72">
        <v>835</v>
      </c>
      <c r="J1706" s="53">
        <v>0</v>
      </c>
      <c r="K1706" s="157">
        <v>0.7</v>
      </c>
      <c r="L1706" s="53">
        <f t="shared" si="107"/>
        <v>584.5</v>
      </c>
      <c r="M1706" s="55">
        <v>0</v>
      </c>
      <c r="N1706" s="56">
        <f t="shared" si="104"/>
        <v>584.5</v>
      </c>
      <c r="O1706" s="156"/>
      <c r="P1706" s="145" t="str">
        <f t="shared" si="103"/>
        <v>PLC5,9</v>
      </c>
      <c r="Q1706" s="52">
        <f t="shared" si="105"/>
        <v>33</v>
      </c>
      <c r="R1706" s="8">
        <f t="shared" si="106"/>
        <v>2025</v>
      </c>
    </row>
    <row r="1707" spans="1:18" hidden="1" x14ac:dyDescent="0.25">
      <c r="A1707" s="224"/>
      <c r="B1707" s="145">
        <v>45884</v>
      </c>
      <c r="C1707" s="52" t="s">
        <v>53</v>
      </c>
      <c r="D1707" s="52" t="s">
        <v>38</v>
      </c>
      <c r="E1707" s="53" t="s">
        <v>39</v>
      </c>
      <c r="F1707" s="53" t="s">
        <v>40</v>
      </c>
      <c r="G1707" s="43">
        <v>5.9</v>
      </c>
      <c r="H1707" s="53">
        <v>900</v>
      </c>
      <c r="I1707" s="72">
        <v>835</v>
      </c>
      <c r="J1707" s="53">
        <v>0</v>
      </c>
      <c r="K1707" s="157">
        <v>0.7</v>
      </c>
      <c r="L1707" s="53">
        <f t="shared" si="107"/>
        <v>584.5</v>
      </c>
      <c r="M1707" s="55">
        <v>0</v>
      </c>
      <c r="N1707" s="56">
        <f t="shared" si="104"/>
        <v>584.5</v>
      </c>
      <c r="O1707" s="156"/>
      <c r="P1707" s="145" t="str">
        <f t="shared" si="103"/>
        <v>PLC5,9</v>
      </c>
      <c r="Q1707" s="52">
        <f t="shared" si="105"/>
        <v>33</v>
      </c>
      <c r="R1707" s="8">
        <f t="shared" si="106"/>
        <v>2025</v>
      </c>
    </row>
    <row r="1708" spans="1:18" hidden="1" x14ac:dyDescent="0.25">
      <c r="A1708" s="224"/>
      <c r="B1708" s="148">
        <v>45885</v>
      </c>
      <c r="C1708" s="58" t="s">
        <v>57</v>
      </c>
      <c r="D1708" s="59" t="s">
        <v>38</v>
      </c>
      <c r="E1708" s="60" t="s">
        <v>39</v>
      </c>
      <c r="F1708" s="53" t="s">
        <v>40</v>
      </c>
      <c r="G1708" s="199">
        <v>5.9</v>
      </c>
      <c r="H1708" s="60">
        <v>900</v>
      </c>
      <c r="I1708" s="72">
        <v>835</v>
      </c>
      <c r="J1708" s="60">
        <v>0</v>
      </c>
      <c r="K1708" s="159">
        <v>0.7</v>
      </c>
      <c r="L1708" s="60">
        <f t="shared" si="107"/>
        <v>584.5</v>
      </c>
      <c r="M1708" s="62">
        <v>0</v>
      </c>
      <c r="N1708" s="63">
        <f t="shared" si="104"/>
        <v>584.5</v>
      </c>
      <c r="O1708" s="206"/>
      <c r="P1708" s="145" t="str">
        <f t="shared" si="103"/>
        <v>PLC5,9</v>
      </c>
      <c r="Q1708" s="52">
        <f t="shared" si="105"/>
        <v>33</v>
      </c>
      <c r="R1708" s="8">
        <f t="shared" si="106"/>
        <v>2025</v>
      </c>
    </row>
    <row r="1709" spans="1:18" ht="15.75" hidden="1" thickBot="1" x14ac:dyDescent="0.3">
      <c r="A1709" s="225"/>
      <c r="B1709" s="113">
        <v>45886</v>
      </c>
      <c r="C1709" s="66" t="s">
        <v>59</v>
      </c>
      <c r="D1709" s="67" t="s">
        <v>38</v>
      </c>
      <c r="E1709" s="67" t="s">
        <v>39</v>
      </c>
      <c r="F1709" s="53" t="s">
        <v>40</v>
      </c>
      <c r="G1709" s="68">
        <v>5.9</v>
      </c>
      <c r="H1709" s="67">
        <v>900</v>
      </c>
      <c r="I1709" s="72">
        <v>835</v>
      </c>
      <c r="J1709" s="67">
        <v>0</v>
      </c>
      <c r="K1709" s="161">
        <v>0.7</v>
      </c>
      <c r="L1709" s="67">
        <f t="shared" si="107"/>
        <v>584.5</v>
      </c>
      <c r="M1709" s="69">
        <v>0</v>
      </c>
      <c r="N1709" s="70">
        <f t="shared" si="104"/>
        <v>584.5</v>
      </c>
      <c r="O1709" s="207"/>
      <c r="P1709" s="145" t="str">
        <f t="shared" si="103"/>
        <v>PLC5,9</v>
      </c>
      <c r="Q1709" s="52">
        <f t="shared" si="105"/>
        <v>33</v>
      </c>
      <c r="R1709" s="8">
        <f t="shared" si="106"/>
        <v>2025</v>
      </c>
    </row>
    <row r="1710" spans="1:18" hidden="1" x14ac:dyDescent="0.25">
      <c r="A1710" s="223">
        <f>_xlfn.ISOWEEKNUM(B1710)</f>
        <v>34</v>
      </c>
      <c r="B1710" s="145">
        <v>45887</v>
      </c>
      <c r="C1710" s="40" t="s">
        <v>37</v>
      </c>
      <c r="D1710" s="72" t="s">
        <v>38</v>
      </c>
      <c r="E1710" s="41" t="s">
        <v>39</v>
      </c>
      <c r="F1710" s="53" t="s">
        <v>40</v>
      </c>
      <c r="G1710" s="43">
        <v>8</v>
      </c>
      <c r="H1710" s="41">
        <v>900</v>
      </c>
      <c r="I1710" s="72">
        <v>840</v>
      </c>
      <c r="J1710" s="41">
        <v>0</v>
      </c>
      <c r="K1710" s="157">
        <v>0.7</v>
      </c>
      <c r="L1710" s="41">
        <f t="shared" si="107"/>
        <v>588</v>
      </c>
      <c r="M1710" s="73">
        <v>0</v>
      </c>
      <c r="N1710" s="74">
        <f t="shared" si="104"/>
        <v>588</v>
      </c>
      <c r="O1710" s="208"/>
      <c r="P1710" s="145" t="str">
        <f t="shared" si="103"/>
        <v>PLC8</v>
      </c>
      <c r="Q1710" s="52">
        <f t="shared" si="105"/>
        <v>34</v>
      </c>
      <c r="R1710" s="8">
        <f t="shared" si="106"/>
        <v>2025</v>
      </c>
    </row>
    <row r="1711" spans="1:18" hidden="1" x14ac:dyDescent="0.25">
      <c r="A1711" s="224"/>
      <c r="B1711" s="145">
        <v>45888</v>
      </c>
      <c r="C1711" s="52" t="s">
        <v>42</v>
      </c>
      <c r="D1711" s="52" t="s">
        <v>38</v>
      </c>
      <c r="E1711" s="53" t="s">
        <v>39</v>
      </c>
      <c r="F1711" s="53" t="s">
        <v>40</v>
      </c>
      <c r="G1711" s="43">
        <v>8</v>
      </c>
      <c r="H1711" s="53">
        <v>900</v>
      </c>
      <c r="I1711" s="72">
        <v>840</v>
      </c>
      <c r="J1711" s="53">
        <v>0</v>
      </c>
      <c r="K1711" s="157">
        <v>0.7</v>
      </c>
      <c r="L1711" s="53">
        <f t="shared" si="107"/>
        <v>588</v>
      </c>
      <c r="M1711" s="55">
        <v>0</v>
      </c>
      <c r="N1711" s="56">
        <f t="shared" si="104"/>
        <v>588</v>
      </c>
      <c r="O1711" s="156"/>
      <c r="P1711" s="145" t="str">
        <f t="shared" ref="P1711:P1774" si="108">E1711&amp;G1711</f>
        <v>PLC8</v>
      </c>
      <c r="Q1711" s="52">
        <f t="shared" si="105"/>
        <v>34</v>
      </c>
      <c r="R1711" s="8">
        <f t="shared" si="106"/>
        <v>2025</v>
      </c>
    </row>
    <row r="1712" spans="1:18" hidden="1" x14ac:dyDescent="0.25">
      <c r="A1712" s="224"/>
      <c r="B1712" s="145">
        <v>45889</v>
      </c>
      <c r="C1712" s="52" t="s">
        <v>46</v>
      </c>
      <c r="D1712" s="52" t="s">
        <v>38</v>
      </c>
      <c r="E1712" s="53" t="s">
        <v>39</v>
      </c>
      <c r="F1712" s="53" t="s">
        <v>40</v>
      </c>
      <c r="G1712" s="43">
        <v>8</v>
      </c>
      <c r="H1712" s="53">
        <v>900</v>
      </c>
      <c r="I1712" s="72">
        <v>840</v>
      </c>
      <c r="J1712" s="53">
        <v>0</v>
      </c>
      <c r="K1712" s="157">
        <v>0.7</v>
      </c>
      <c r="L1712" s="53">
        <f t="shared" si="107"/>
        <v>588</v>
      </c>
      <c r="M1712" s="55">
        <v>0</v>
      </c>
      <c r="N1712" s="56">
        <f t="shared" si="104"/>
        <v>588</v>
      </c>
      <c r="O1712" s="156"/>
      <c r="P1712" s="145" t="str">
        <f t="shared" si="108"/>
        <v>PLC8</v>
      </c>
      <c r="Q1712" s="52">
        <f t="shared" si="105"/>
        <v>34</v>
      </c>
      <c r="R1712" s="8">
        <f t="shared" si="106"/>
        <v>2025</v>
      </c>
    </row>
    <row r="1713" spans="1:18" hidden="1" x14ac:dyDescent="0.25">
      <c r="A1713" s="224"/>
      <c r="B1713" s="145">
        <v>45890</v>
      </c>
      <c r="C1713" s="52" t="s">
        <v>50</v>
      </c>
      <c r="D1713" s="52" t="s">
        <v>38</v>
      </c>
      <c r="E1713" s="53" t="s">
        <v>39</v>
      </c>
      <c r="F1713" s="53" t="s">
        <v>40</v>
      </c>
      <c r="G1713" s="43">
        <v>8</v>
      </c>
      <c r="H1713" s="53">
        <v>900</v>
      </c>
      <c r="I1713" s="72">
        <v>845</v>
      </c>
      <c r="J1713" s="53">
        <v>0</v>
      </c>
      <c r="K1713" s="157">
        <v>0.7</v>
      </c>
      <c r="L1713" s="53">
        <f t="shared" si="107"/>
        <v>591.5</v>
      </c>
      <c r="M1713" s="55">
        <v>0</v>
      </c>
      <c r="N1713" s="56">
        <f t="shared" si="104"/>
        <v>591.5</v>
      </c>
      <c r="O1713" s="156"/>
      <c r="P1713" s="145" t="str">
        <f t="shared" si="108"/>
        <v>PLC8</v>
      </c>
      <c r="Q1713" s="52">
        <f t="shared" si="105"/>
        <v>34</v>
      </c>
      <c r="R1713" s="8">
        <f t="shared" si="106"/>
        <v>2025</v>
      </c>
    </row>
    <row r="1714" spans="1:18" hidden="1" x14ac:dyDescent="0.25">
      <c r="A1714" s="224"/>
      <c r="B1714" s="145">
        <v>45891</v>
      </c>
      <c r="C1714" s="52" t="s">
        <v>53</v>
      </c>
      <c r="D1714" s="52" t="s">
        <v>38</v>
      </c>
      <c r="E1714" s="53" t="s">
        <v>39</v>
      </c>
      <c r="F1714" s="53" t="s">
        <v>40</v>
      </c>
      <c r="G1714" s="43">
        <v>10</v>
      </c>
      <c r="H1714" s="53">
        <v>900</v>
      </c>
      <c r="I1714" s="72">
        <v>845</v>
      </c>
      <c r="J1714" s="53">
        <v>0</v>
      </c>
      <c r="K1714" s="157">
        <v>0.7</v>
      </c>
      <c r="L1714" s="53">
        <f t="shared" si="107"/>
        <v>591.5</v>
      </c>
      <c r="M1714" s="55">
        <v>0</v>
      </c>
      <c r="N1714" s="56">
        <f t="shared" si="104"/>
        <v>591.5</v>
      </c>
      <c r="O1714" s="156" t="s">
        <v>206</v>
      </c>
      <c r="P1714" s="145" t="str">
        <f t="shared" si="108"/>
        <v>PLC10</v>
      </c>
      <c r="Q1714" s="52">
        <f t="shared" si="105"/>
        <v>34</v>
      </c>
      <c r="R1714" s="8">
        <f t="shared" si="106"/>
        <v>2025</v>
      </c>
    </row>
    <row r="1715" spans="1:18" hidden="1" x14ac:dyDescent="0.25">
      <c r="A1715" s="224"/>
      <c r="B1715" s="148">
        <v>45892</v>
      </c>
      <c r="C1715" s="58" t="s">
        <v>57</v>
      </c>
      <c r="D1715" s="59" t="s">
        <v>38</v>
      </c>
      <c r="E1715" s="60" t="s">
        <v>39</v>
      </c>
      <c r="F1715" s="53" t="s">
        <v>40</v>
      </c>
      <c r="G1715" s="199">
        <v>10</v>
      </c>
      <c r="H1715" s="60">
        <v>900</v>
      </c>
      <c r="I1715" s="72">
        <v>845</v>
      </c>
      <c r="J1715" s="60">
        <v>0</v>
      </c>
      <c r="K1715" s="159">
        <v>0.7</v>
      </c>
      <c r="L1715" s="60">
        <f t="shared" si="107"/>
        <v>591.5</v>
      </c>
      <c r="M1715" s="62">
        <v>0</v>
      </c>
      <c r="N1715" s="63">
        <f t="shared" si="104"/>
        <v>591.5</v>
      </c>
      <c r="O1715" s="206"/>
      <c r="P1715" s="145" t="str">
        <f t="shared" si="108"/>
        <v>PLC10</v>
      </c>
      <c r="Q1715" s="52">
        <f t="shared" si="105"/>
        <v>34</v>
      </c>
      <c r="R1715" s="8">
        <f t="shared" si="106"/>
        <v>2025</v>
      </c>
    </row>
    <row r="1716" spans="1:18" ht="15.75" hidden="1" thickBot="1" x14ac:dyDescent="0.3">
      <c r="A1716" s="225"/>
      <c r="B1716" s="113">
        <v>45893</v>
      </c>
      <c r="C1716" s="66" t="s">
        <v>59</v>
      </c>
      <c r="D1716" s="67" t="s">
        <v>38</v>
      </c>
      <c r="E1716" s="67" t="s">
        <v>39</v>
      </c>
      <c r="F1716" s="53" t="s">
        <v>40</v>
      </c>
      <c r="G1716" s="68">
        <v>10</v>
      </c>
      <c r="H1716" s="67">
        <v>900</v>
      </c>
      <c r="I1716" s="72">
        <v>845</v>
      </c>
      <c r="J1716" s="67">
        <v>0</v>
      </c>
      <c r="K1716" s="161">
        <v>0.7</v>
      </c>
      <c r="L1716" s="67">
        <f t="shared" si="107"/>
        <v>591.5</v>
      </c>
      <c r="M1716" s="69">
        <v>0</v>
      </c>
      <c r="N1716" s="70">
        <f t="shared" si="104"/>
        <v>591.5</v>
      </c>
      <c r="O1716" s="207"/>
      <c r="P1716" s="145" t="str">
        <f t="shared" si="108"/>
        <v>PLC10</v>
      </c>
      <c r="Q1716" s="52">
        <f t="shared" si="105"/>
        <v>34</v>
      </c>
      <c r="R1716" s="8">
        <f t="shared" si="106"/>
        <v>2025</v>
      </c>
    </row>
    <row r="1717" spans="1:18" hidden="1" x14ac:dyDescent="0.25">
      <c r="A1717" s="223">
        <f>_xlfn.ISOWEEKNUM(B1717)</f>
        <v>35</v>
      </c>
      <c r="B1717" s="145">
        <v>45894</v>
      </c>
      <c r="C1717" s="40" t="s">
        <v>37</v>
      </c>
      <c r="D1717" s="72" t="s">
        <v>38</v>
      </c>
      <c r="E1717" s="41" t="s">
        <v>39</v>
      </c>
      <c r="F1717" s="53" t="s">
        <v>40</v>
      </c>
      <c r="G1717" s="43">
        <v>12</v>
      </c>
      <c r="H1717" s="41">
        <v>900</v>
      </c>
      <c r="I1717" s="72">
        <v>845</v>
      </c>
      <c r="J1717" s="41">
        <v>0</v>
      </c>
      <c r="K1717" s="157">
        <v>0.7</v>
      </c>
      <c r="L1717" s="41">
        <f t="shared" si="107"/>
        <v>591.5</v>
      </c>
      <c r="M1717" s="73">
        <v>0</v>
      </c>
      <c r="N1717" s="74">
        <f t="shared" si="104"/>
        <v>591.5</v>
      </c>
      <c r="O1717" s="208"/>
      <c r="P1717" s="145" t="str">
        <f t="shared" si="108"/>
        <v>PLC12</v>
      </c>
      <c r="Q1717" s="52">
        <f t="shared" si="105"/>
        <v>35</v>
      </c>
      <c r="R1717" s="8">
        <f t="shared" si="106"/>
        <v>2025</v>
      </c>
    </row>
    <row r="1718" spans="1:18" hidden="1" x14ac:dyDescent="0.25">
      <c r="A1718" s="224"/>
      <c r="B1718" s="145">
        <v>45895</v>
      </c>
      <c r="C1718" s="52" t="s">
        <v>42</v>
      </c>
      <c r="D1718" s="52" t="s">
        <v>38</v>
      </c>
      <c r="E1718" s="53" t="s">
        <v>39</v>
      </c>
      <c r="F1718" s="53" t="s">
        <v>40</v>
      </c>
      <c r="G1718" s="43">
        <v>12</v>
      </c>
      <c r="H1718" s="53">
        <v>900</v>
      </c>
      <c r="I1718" s="72">
        <v>845</v>
      </c>
      <c r="J1718" s="53">
        <v>0</v>
      </c>
      <c r="K1718" s="157">
        <v>0.7</v>
      </c>
      <c r="L1718" s="53">
        <f t="shared" si="107"/>
        <v>591.5</v>
      </c>
      <c r="M1718" s="55">
        <v>0</v>
      </c>
      <c r="N1718" s="56">
        <f t="shared" ref="N1718:N1781" si="109">+L1718*(1-M1718)</f>
        <v>591.5</v>
      </c>
      <c r="O1718" s="156"/>
      <c r="P1718" s="145" t="str">
        <f t="shared" si="108"/>
        <v>PLC12</v>
      </c>
      <c r="Q1718" s="52">
        <f t="shared" si="105"/>
        <v>35</v>
      </c>
      <c r="R1718" s="8">
        <f t="shared" si="106"/>
        <v>2025</v>
      </c>
    </row>
    <row r="1719" spans="1:18" hidden="1" x14ac:dyDescent="0.25">
      <c r="A1719" s="224"/>
      <c r="B1719" s="145">
        <v>45896</v>
      </c>
      <c r="C1719" s="52" t="s">
        <v>46</v>
      </c>
      <c r="D1719" s="52" t="s">
        <v>38</v>
      </c>
      <c r="E1719" s="53" t="s">
        <v>39</v>
      </c>
      <c r="F1719" s="53" t="s">
        <v>40</v>
      </c>
      <c r="G1719" s="43">
        <v>5.9</v>
      </c>
      <c r="H1719" s="53">
        <v>900</v>
      </c>
      <c r="I1719" s="72">
        <v>845</v>
      </c>
      <c r="J1719" s="53">
        <v>0</v>
      </c>
      <c r="K1719" s="157">
        <v>0.7</v>
      </c>
      <c r="L1719" s="53">
        <f t="shared" si="107"/>
        <v>591.5</v>
      </c>
      <c r="M1719" s="55">
        <v>0</v>
      </c>
      <c r="N1719" s="56">
        <f t="shared" si="109"/>
        <v>591.5</v>
      </c>
      <c r="O1719" s="156"/>
      <c r="P1719" s="145" t="str">
        <f t="shared" si="108"/>
        <v>PLC5,9</v>
      </c>
      <c r="Q1719" s="52">
        <f t="shared" si="105"/>
        <v>35</v>
      </c>
      <c r="R1719" s="8">
        <f t="shared" si="106"/>
        <v>2025</v>
      </c>
    </row>
    <row r="1720" spans="1:18" hidden="1" x14ac:dyDescent="0.25">
      <c r="A1720" s="224"/>
      <c r="B1720" s="145">
        <v>45897</v>
      </c>
      <c r="C1720" s="52" t="s">
        <v>50</v>
      </c>
      <c r="D1720" s="52" t="s">
        <v>38</v>
      </c>
      <c r="E1720" s="53" t="s">
        <v>39</v>
      </c>
      <c r="F1720" s="53" t="s">
        <v>40</v>
      </c>
      <c r="G1720" s="43">
        <v>5.9</v>
      </c>
      <c r="H1720" s="53">
        <v>900</v>
      </c>
      <c r="I1720" s="72">
        <v>845</v>
      </c>
      <c r="J1720" s="53">
        <v>0</v>
      </c>
      <c r="K1720" s="157">
        <v>0.7</v>
      </c>
      <c r="L1720" s="53">
        <f t="shared" si="107"/>
        <v>591.5</v>
      </c>
      <c r="M1720" s="55">
        <v>0</v>
      </c>
      <c r="N1720" s="56">
        <f t="shared" si="109"/>
        <v>591.5</v>
      </c>
      <c r="O1720" s="156"/>
      <c r="P1720" s="145" t="str">
        <f t="shared" si="108"/>
        <v>PLC5,9</v>
      </c>
      <c r="Q1720" s="52">
        <f t="shared" si="105"/>
        <v>35</v>
      </c>
      <c r="R1720" s="8">
        <f t="shared" si="106"/>
        <v>2025</v>
      </c>
    </row>
    <row r="1721" spans="1:18" hidden="1" x14ac:dyDescent="0.25">
      <c r="A1721" s="224"/>
      <c r="B1721" s="145">
        <v>45898</v>
      </c>
      <c r="C1721" s="52" t="s">
        <v>53</v>
      </c>
      <c r="D1721" s="52" t="s">
        <v>38</v>
      </c>
      <c r="E1721" s="53" t="s">
        <v>39</v>
      </c>
      <c r="F1721" s="53" t="s">
        <v>40</v>
      </c>
      <c r="G1721" s="43">
        <v>5.9</v>
      </c>
      <c r="H1721" s="53">
        <v>900</v>
      </c>
      <c r="I1721" s="72">
        <v>845</v>
      </c>
      <c r="J1721" s="53">
        <v>0</v>
      </c>
      <c r="K1721" s="157">
        <v>0.7</v>
      </c>
      <c r="L1721" s="53">
        <f t="shared" si="107"/>
        <v>591.5</v>
      </c>
      <c r="M1721" s="55">
        <v>0</v>
      </c>
      <c r="N1721" s="56">
        <f t="shared" si="109"/>
        <v>591.5</v>
      </c>
      <c r="O1721" s="156"/>
      <c r="P1721" s="145" t="str">
        <f t="shared" si="108"/>
        <v>PLC5,9</v>
      </c>
      <c r="Q1721" s="52">
        <f t="shared" si="105"/>
        <v>35</v>
      </c>
      <c r="R1721" s="8">
        <f t="shared" si="106"/>
        <v>2025</v>
      </c>
    </row>
    <row r="1722" spans="1:18" hidden="1" x14ac:dyDescent="0.25">
      <c r="A1722" s="224"/>
      <c r="B1722" s="148">
        <v>45899</v>
      </c>
      <c r="C1722" s="58" t="s">
        <v>57</v>
      </c>
      <c r="D1722" s="59" t="s">
        <v>38</v>
      </c>
      <c r="E1722" s="60" t="s">
        <v>39</v>
      </c>
      <c r="F1722" s="53" t="s">
        <v>40</v>
      </c>
      <c r="G1722" s="199">
        <v>5.9</v>
      </c>
      <c r="H1722" s="60">
        <v>900</v>
      </c>
      <c r="I1722" s="72">
        <v>845</v>
      </c>
      <c r="J1722" s="60">
        <v>0</v>
      </c>
      <c r="K1722" s="159">
        <v>0.7</v>
      </c>
      <c r="L1722" s="60">
        <f t="shared" si="107"/>
        <v>591.5</v>
      </c>
      <c r="M1722" s="62">
        <v>0</v>
      </c>
      <c r="N1722" s="63">
        <f t="shared" si="109"/>
        <v>591.5</v>
      </c>
      <c r="O1722" s="206"/>
      <c r="P1722" s="145" t="str">
        <f t="shared" si="108"/>
        <v>PLC5,9</v>
      </c>
      <c r="Q1722" s="52">
        <f t="shared" si="105"/>
        <v>35</v>
      </c>
      <c r="R1722" s="8">
        <f t="shared" si="106"/>
        <v>2025</v>
      </c>
    </row>
    <row r="1723" spans="1:18" ht="15.75" hidden="1" thickBot="1" x14ac:dyDescent="0.3">
      <c r="A1723" s="225"/>
      <c r="B1723" s="113">
        <v>45900</v>
      </c>
      <c r="C1723" s="66" t="s">
        <v>59</v>
      </c>
      <c r="D1723" s="67" t="s">
        <v>38</v>
      </c>
      <c r="E1723" s="67" t="s">
        <v>39</v>
      </c>
      <c r="F1723" s="53" t="s">
        <v>40</v>
      </c>
      <c r="G1723" s="68">
        <v>5.9</v>
      </c>
      <c r="H1723" s="67">
        <v>900</v>
      </c>
      <c r="I1723" s="72">
        <v>845</v>
      </c>
      <c r="J1723" s="67">
        <v>0</v>
      </c>
      <c r="K1723" s="161">
        <v>0.7</v>
      </c>
      <c r="L1723" s="67">
        <f t="shared" si="107"/>
        <v>591.5</v>
      </c>
      <c r="M1723" s="69">
        <v>0</v>
      </c>
      <c r="N1723" s="70">
        <f t="shared" si="109"/>
        <v>591.5</v>
      </c>
      <c r="O1723" s="207"/>
      <c r="P1723" s="145" t="str">
        <f t="shared" si="108"/>
        <v>PLC5,9</v>
      </c>
      <c r="Q1723" s="52">
        <f t="shared" si="105"/>
        <v>35</v>
      </c>
      <c r="R1723" s="8">
        <f t="shared" si="106"/>
        <v>2025</v>
      </c>
    </row>
    <row r="1724" spans="1:18" hidden="1" x14ac:dyDescent="0.25">
      <c r="A1724" s="223">
        <f>_xlfn.ISOWEEKNUM(B1724)</f>
        <v>36</v>
      </c>
      <c r="B1724" s="145">
        <v>45901</v>
      </c>
      <c r="C1724" s="40" t="s">
        <v>37</v>
      </c>
      <c r="D1724" s="72" t="s">
        <v>38</v>
      </c>
      <c r="E1724" s="41" t="s">
        <v>39</v>
      </c>
      <c r="F1724" s="41" t="s">
        <v>40</v>
      </c>
      <c r="G1724" s="43">
        <v>5.9</v>
      </c>
      <c r="H1724" s="41">
        <v>900</v>
      </c>
      <c r="I1724" s="72">
        <v>850</v>
      </c>
      <c r="J1724" s="41">
        <v>0</v>
      </c>
      <c r="K1724" s="157">
        <v>0.7</v>
      </c>
      <c r="L1724" s="41">
        <f t="shared" si="107"/>
        <v>595</v>
      </c>
      <c r="M1724" s="73">
        <v>0</v>
      </c>
      <c r="N1724" s="74">
        <f t="shared" si="109"/>
        <v>595</v>
      </c>
      <c r="O1724" s="208"/>
      <c r="P1724" s="145" t="str">
        <f t="shared" si="108"/>
        <v>PLC5,9</v>
      </c>
      <c r="Q1724" s="52">
        <f t="shared" si="105"/>
        <v>36</v>
      </c>
      <c r="R1724" s="8">
        <f t="shared" si="106"/>
        <v>2025</v>
      </c>
    </row>
    <row r="1725" spans="1:18" hidden="1" x14ac:dyDescent="0.25">
      <c r="A1725" s="224"/>
      <c r="B1725" s="145">
        <v>45902</v>
      </c>
      <c r="C1725" s="52" t="s">
        <v>42</v>
      </c>
      <c r="D1725" s="52" t="s">
        <v>38</v>
      </c>
      <c r="E1725" s="53" t="s">
        <v>39</v>
      </c>
      <c r="F1725" s="53" t="s">
        <v>40</v>
      </c>
      <c r="G1725" s="43">
        <v>4.9000000000000004</v>
      </c>
      <c r="H1725" s="53">
        <v>900</v>
      </c>
      <c r="I1725" s="72">
        <v>850</v>
      </c>
      <c r="J1725" s="53">
        <v>0</v>
      </c>
      <c r="K1725" s="157">
        <v>0.7</v>
      </c>
      <c r="L1725" s="53">
        <f t="shared" si="107"/>
        <v>595</v>
      </c>
      <c r="M1725" s="55">
        <v>0</v>
      </c>
      <c r="N1725" s="56">
        <f t="shared" si="109"/>
        <v>595</v>
      </c>
      <c r="O1725" s="156"/>
      <c r="P1725" s="145" t="str">
        <f t="shared" si="108"/>
        <v>PLC4,9</v>
      </c>
      <c r="Q1725" s="52">
        <f t="shared" si="105"/>
        <v>36</v>
      </c>
      <c r="R1725" s="8">
        <f t="shared" si="106"/>
        <v>2025</v>
      </c>
    </row>
    <row r="1726" spans="1:18" hidden="1" x14ac:dyDescent="0.25">
      <c r="A1726" s="224"/>
      <c r="B1726" s="145">
        <v>45903</v>
      </c>
      <c r="C1726" s="52" t="s">
        <v>46</v>
      </c>
      <c r="D1726" s="52" t="s">
        <v>38</v>
      </c>
      <c r="E1726" s="53" t="s">
        <v>39</v>
      </c>
      <c r="F1726" s="53" t="s">
        <v>40</v>
      </c>
      <c r="G1726" s="43">
        <v>3.9</v>
      </c>
      <c r="H1726" s="53">
        <v>900</v>
      </c>
      <c r="I1726" s="72">
        <v>850</v>
      </c>
      <c r="J1726" s="53">
        <v>0</v>
      </c>
      <c r="K1726" s="157">
        <v>0.7</v>
      </c>
      <c r="L1726" s="53">
        <f t="shared" si="107"/>
        <v>595</v>
      </c>
      <c r="M1726" s="55">
        <v>0</v>
      </c>
      <c r="N1726" s="56">
        <f t="shared" si="109"/>
        <v>595</v>
      </c>
      <c r="O1726" s="156"/>
      <c r="P1726" s="145" t="str">
        <f t="shared" si="108"/>
        <v>PLC3,9</v>
      </c>
      <c r="Q1726" s="52">
        <f t="shared" si="105"/>
        <v>36</v>
      </c>
      <c r="R1726" s="8">
        <f t="shared" si="106"/>
        <v>2025</v>
      </c>
    </row>
    <row r="1727" spans="1:18" hidden="1" x14ac:dyDescent="0.25">
      <c r="A1727" s="224"/>
      <c r="B1727" s="145">
        <v>45904</v>
      </c>
      <c r="C1727" s="52" t="s">
        <v>50</v>
      </c>
      <c r="D1727" s="52" t="s">
        <v>38</v>
      </c>
      <c r="E1727" s="53" t="s">
        <v>39</v>
      </c>
      <c r="F1727" s="53" t="s">
        <v>40</v>
      </c>
      <c r="G1727" s="43">
        <v>3.9</v>
      </c>
      <c r="H1727" s="53">
        <v>900</v>
      </c>
      <c r="I1727" s="72">
        <v>850</v>
      </c>
      <c r="J1727" s="53">
        <v>0</v>
      </c>
      <c r="K1727" s="157">
        <v>0.7</v>
      </c>
      <c r="L1727" s="53">
        <f t="shared" si="107"/>
        <v>595</v>
      </c>
      <c r="M1727" s="55">
        <v>0</v>
      </c>
      <c r="N1727" s="56">
        <f t="shared" si="109"/>
        <v>595</v>
      </c>
      <c r="O1727" s="156"/>
      <c r="P1727" s="145" t="str">
        <f t="shared" si="108"/>
        <v>PLC3,9</v>
      </c>
      <c r="Q1727" s="52">
        <f t="shared" si="105"/>
        <v>36</v>
      </c>
      <c r="R1727" s="8">
        <f t="shared" si="106"/>
        <v>2025</v>
      </c>
    </row>
    <row r="1728" spans="1:18" hidden="1" x14ac:dyDescent="0.25">
      <c r="A1728" s="224"/>
      <c r="B1728" s="145">
        <v>45905</v>
      </c>
      <c r="C1728" s="52" t="s">
        <v>53</v>
      </c>
      <c r="D1728" s="52" t="s">
        <v>38</v>
      </c>
      <c r="E1728" s="53" t="s">
        <v>39</v>
      </c>
      <c r="F1728" s="53" t="s">
        <v>40</v>
      </c>
      <c r="G1728" s="43">
        <v>3.9</v>
      </c>
      <c r="H1728" s="53">
        <v>900</v>
      </c>
      <c r="I1728" s="72">
        <v>850</v>
      </c>
      <c r="J1728" s="53">
        <v>0</v>
      </c>
      <c r="K1728" s="157">
        <v>0.7</v>
      </c>
      <c r="L1728" s="53">
        <f t="shared" si="107"/>
        <v>595</v>
      </c>
      <c r="M1728" s="55">
        <v>0</v>
      </c>
      <c r="N1728" s="56">
        <f t="shared" si="109"/>
        <v>595</v>
      </c>
      <c r="O1728" s="156"/>
      <c r="P1728" s="145" t="str">
        <f t="shared" si="108"/>
        <v>PLC3,9</v>
      </c>
      <c r="Q1728" s="52">
        <f t="shared" si="105"/>
        <v>36</v>
      </c>
      <c r="R1728" s="8">
        <f t="shared" si="106"/>
        <v>2025</v>
      </c>
    </row>
    <row r="1729" spans="1:33" hidden="1" x14ac:dyDescent="0.25">
      <c r="A1729" s="224"/>
      <c r="B1729" s="148">
        <v>45906</v>
      </c>
      <c r="C1729" s="58" t="s">
        <v>57</v>
      </c>
      <c r="D1729" s="59" t="s">
        <v>38</v>
      </c>
      <c r="E1729" s="60" t="s">
        <v>39</v>
      </c>
      <c r="F1729" s="60" t="s">
        <v>40</v>
      </c>
      <c r="G1729" s="199">
        <v>3.9</v>
      </c>
      <c r="H1729" s="60">
        <v>900</v>
      </c>
      <c r="I1729" s="72">
        <v>850</v>
      </c>
      <c r="J1729" s="60">
        <v>0</v>
      </c>
      <c r="K1729" s="159">
        <v>0.7</v>
      </c>
      <c r="L1729" s="60">
        <f t="shared" si="107"/>
        <v>595</v>
      </c>
      <c r="M1729" s="62">
        <v>0</v>
      </c>
      <c r="N1729" s="63">
        <f t="shared" si="109"/>
        <v>595</v>
      </c>
      <c r="O1729" s="206"/>
      <c r="P1729" s="145" t="str">
        <f t="shared" si="108"/>
        <v>PLC3,9</v>
      </c>
      <c r="Q1729" s="52">
        <f t="shared" si="105"/>
        <v>36</v>
      </c>
      <c r="R1729" s="8">
        <f t="shared" si="106"/>
        <v>2025</v>
      </c>
    </row>
    <row r="1730" spans="1:33" ht="15.75" hidden="1" thickBot="1" x14ac:dyDescent="0.3">
      <c r="A1730" s="225"/>
      <c r="B1730" s="113">
        <v>45907</v>
      </c>
      <c r="C1730" s="66" t="s">
        <v>59</v>
      </c>
      <c r="D1730" s="67" t="s">
        <v>38</v>
      </c>
      <c r="E1730" s="67" t="s">
        <v>39</v>
      </c>
      <c r="F1730" s="67" t="s">
        <v>40</v>
      </c>
      <c r="G1730" s="68">
        <v>3.9</v>
      </c>
      <c r="H1730" s="67">
        <v>900</v>
      </c>
      <c r="I1730" s="72">
        <v>850</v>
      </c>
      <c r="J1730" s="67">
        <v>0</v>
      </c>
      <c r="K1730" s="161">
        <v>0.7</v>
      </c>
      <c r="L1730" s="67">
        <f t="shared" si="107"/>
        <v>595</v>
      </c>
      <c r="M1730" s="69">
        <v>0</v>
      </c>
      <c r="N1730" s="70">
        <f t="shared" si="109"/>
        <v>595</v>
      </c>
      <c r="O1730" s="207"/>
      <c r="P1730" s="145" t="str">
        <f t="shared" si="108"/>
        <v>PLC3,9</v>
      </c>
      <c r="Q1730" s="52">
        <f t="shared" si="105"/>
        <v>36</v>
      </c>
      <c r="R1730" s="8">
        <f t="shared" si="106"/>
        <v>2025</v>
      </c>
    </row>
    <row r="1731" spans="1:33" hidden="1" x14ac:dyDescent="0.25">
      <c r="A1731" s="223">
        <f>_xlfn.ISOWEEKNUM(B1731)</f>
        <v>37</v>
      </c>
      <c r="B1731" s="145">
        <v>45908</v>
      </c>
      <c r="C1731" s="40" t="s">
        <v>37</v>
      </c>
      <c r="D1731" s="72" t="s">
        <v>38</v>
      </c>
      <c r="E1731" s="41" t="s">
        <v>39</v>
      </c>
      <c r="F1731" s="41" t="s">
        <v>40</v>
      </c>
      <c r="G1731" s="43">
        <v>3.9</v>
      </c>
      <c r="H1731" s="41">
        <v>900</v>
      </c>
      <c r="I1731" s="72">
        <v>850</v>
      </c>
      <c r="J1731" s="41">
        <v>0</v>
      </c>
      <c r="K1731" s="157">
        <v>0.7</v>
      </c>
      <c r="L1731" s="41">
        <f t="shared" si="107"/>
        <v>595</v>
      </c>
      <c r="M1731" s="73">
        <v>0</v>
      </c>
      <c r="N1731" s="74">
        <f t="shared" si="109"/>
        <v>595</v>
      </c>
      <c r="O1731" s="208"/>
      <c r="P1731" s="145" t="str">
        <f t="shared" si="108"/>
        <v>PLC3,9</v>
      </c>
      <c r="Q1731" s="52">
        <f t="shared" si="105"/>
        <v>37</v>
      </c>
      <c r="R1731" s="8">
        <f t="shared" si="106"/>
        <v>2025</v>
      </c>
    </row>
    <row r="1732" spans="1:33" hidden="1" x14ac:dyDescent="0.25">
      <c r="A1732" s="224"/>
      <c r="B1732" s="145">
        <v>45909</v>
      </c>
      <c r="C1732" s="52" t="s">
        <v>42</v>
      </c>
      <c r="D1732" s="52" t="s">
        <v>38</v>
      </c>
      <c r="E1732" s="53" t="s">
        <v>39</v>
      </c>
      <c r="F1732" s="53" t="s">
        <v>40</v>
      </c>
      <c r="G1732" s="43">
        <v>3.9</v>
      </c>
      <c r="H1732" s="53">
        <v>900</v>
      </c>
      <c r="I1732" s="72">
        <v>850</v>
      </c>
      <c r="J1732" s="53">
        <v>0</v>
      </c>
      <c r="K1732" s="157">
        <v>0.7</v>
      </c>
      <c r="L1732" s="53">
        <f t="shared" si="107"/>
        <v>595</v>
      </c>
      <c r="M1732" s="55">
        <v>0</v>
      </c>
      <c r="N1732" s="56">
        <f t="shared" si="109"/>
        <v>595</v>
      </c>
      <c r="O1732" s="156"/>
      <c r="P1732" s="145" t="str">
        <f t="shared" si="108"/>
        <v>PLC3,9</v>
      </c>
      <c r="Q1732" s="52">
        <f t="shared" si="105"/>
        <v>37</v>
      </c>
      <c r="R1732" s="8">
        <f t="shared" si="106"/>
        <v>2025</v>
      </c>
    </row>
    <row r="1733" spans="1:33" hidden="1" x14ac:dyDescent="0.25">
      <c r="A1733" s="224"/>
      <c r="B1733" s="145">
        <v>45910</v>
      </c>
      <c r="C1733" s="52" t="s">
        <v>46</v>
      </c>
      <c r="D1733" s="52" t="s">
        <v>38</v>
      </c>
      <c r="E1733" s="53" t="s">
        <v>39</v>
      </c>
      <c r="F1733" s="53" t="s">
        <v>40</v>
      </c>
      <c r="G1733" s="43">
        <v>3.9</v>
      </c>
      <c r="H1733" s="53">
        <v>900</v>
      </c>
      <c r="I1733" s="72">
        <v>850</v>
      </c>
      <c r="J1733" s="53">
        <v>0</v>
      </c>
      <c r="K1733" s="157">
        <v>0.7</v>
      </c>
      <c r="L1733" s="53">
        <f t="shared" si="107"/>
        <v>595</v>
      </c>
      <c r="M1733" s="55">
        <v>0</v>
      </c>
      <c r="N1733" s="56">
        <f t="shared" si="109"/>
        <v>595</v>
      </c>
      <c r="O1733" s="156"/>
      <c r="P1733" s="145" t="str">
        <f t="shared" si="108"/>
        <v>PLC3,9</v>
      </c>
      <c r="Q1733" s="52">
        <f t="shared" si="105"/>
        <v>37</v>
      </c>
      <c r="R1733" s="8">
        <f t="shared" si="106"/>
        <v>2025</v>
      </c>
    </row>
    <row r="1734" spans="1:33" hidden="1" x14ac:dyDescent="0.25">
      <c r="A1734" s="224"/>
      <c r="B1734" s="145">
        <v>45911</v>
      </c>
      <c r="C1734" s="52" t="s">
        <v>50</v>
      </c>
      <c r="D1734" s="52" t="s">
        <v>38</v>
      </c>
      <c r="E1734" s="53" t="s">
        <v>39</v>
      </c>
      <c r="F1734" s="53" t="s">
        <v>40</v>
      </c>
      <c r="G1734" s="43">
        <v>3.9</v>
      </c>
      <c r="H1734" s="53">
        <v>900</v>
      </c>
      <c r="I1734" s="72">
        <v>850</v>
      </c>
      <c r="J1734" s="53">
        <v>0</v>
      </c>
      <c r="K1734" s="157">
        <v>0.7</v>
      </c>
      <c r="L1734" s="53">
        <f t="shared" si="107"/>
        <v>595</v>
      </c>
      <c r="M1734" s="55">
        <v>0</v>
      </c>
      <c r="N1734" s="56">
        <f t="shared" si="109"/>
        <v>595</v>
      </c>
      <c r="O1734" s="156"/>
      <c r="P1734" s="145" t="str">
        <f t="shared" si="108"/>
        <v>PLC3,9</v>
      </c>
      <c r="Q1734" s="52">
        <f t="shared" si="105"/>
        <v>37</v>
      </c>
      <c r="R1734" s="8">
        <f t="shared" si="106"/>
        <v>2025</v>
      </c>
    </row>
    <row r="1735" spans="1:33" hidden="1" x14ac:dyDescent="0.25">
      <c r="A1735" s="224"/>
      <c r="B1735" s="145">
        <v>45912</v>
      </c>
      <c r="C1735" s="52" t="s">
        <v>53</v>
      </c>
      <c r="D1735" s="52" t="s">
        <v>38</v>
      </c>
      <c r="E1735" s="53" t="s">
        <v>39</v>
      </c>
      <c r="F1735" s="53" t="s">
        <v>40</v>
      </c>
      <c r="G1735" s="43">
        <v>5.9</v>
      </c>
      <c r="H1735" s="53">
        <v>900</v>
      </c>
      <c r="I1735" s="72">
        <v>850</v>
      </c>
      <c r="J1735" s="53">
        <v>0</v>
      </c>
      <c r="K1735" s="157">
        <v>0.7</v>
      </c>
      <c r="L1735" s="53">
        <f t="shared" si="107"/>
        <v>595</v>
      </c>
      <c r="M1735" s="55">
        <v>0</v>
      </c>
      <c r="N1735" s="56">
        <f t="shared" si="109"/>
        <v>595</v>
      </c>
      <c r="O1735" s="156"/>
      <c r="P1735" s="145" t="str">
        <f t="shared" si="108"/>
        <v>PLC5,9</v>
      </c>
      <c r="Q1735" s="52">
        <f t="shared" si="105"/>
        <v>37</v>
      </c>
      <c r="R1735" s="8">
        <f t="shared" si="106"/>
        <v>2025</v>
      </c>
    </row>
    <row r="1736" spans="1:33" hidden="1" x14ac:dyDescent="0.25">
      <c r="A1736" s="224"/>
      <c r="B1736" s="148">
        <v>45913</v>
      </c>
      <c r="C1736" s="58" t="s">
        <v>57</v>
      </c>
      <c r="D1736" s="59" t="s">
        <v>38</v>
      </c>
      <c r="E1736" s="60" t="s">
        <v>39</v>
      </c>
      <c r="F1736" s="60" t="s">
        <v>40</v>
      </c>
      <c r="G1736" s="199">
        <v>5.9</v>
      </c>
      <c r="H1736" s="60">
        <v>900</v>
      </c>
      <c r="I1736" s="72">
        <v>850</v>
      </c>
      <c r="J1736" s="60">
        <v>0</v>
      </c>
      <c r="K1736" s="159">
        <v>0.7</v>
      </c>
      <c r="L1736" s="60">
        <f t="shared" si="107"/>
        <v>595</v>
      </c>
      <c r="M1736" s="62">
        <v>0</v>
      </c>
      <c r="N1736" s="63">
        <f t="shared" si="109"/>
        <v>595</v>
      </c>
      <c r="O1736" s="206"/>
      <c r="P1736" s="145" t="str">
        <f t="shared" si="108"/>
        <v>PLC5,9</v>
      </c>
      <c r="Q1736" s="52">
        <f t="shared" si="105"/>
        <v>37</v>
      </c>
      <c r="R1736" s="8">
        <f t="shared" si="106"/>
        <v>2025</v>
      </c>
    </row>
    <row r="1737" spans="1:33" ht="15.75" hidden="1" thickBot="1" x14ac:dyDescent="0.3">
      <c r="A1737" s="225"/>
      <c r="B1737" s="113">
        <v>45914</v>
      </c>
      <c r="C1737" s="66" t="s">
        <v>59</v>
      </c>
      <c r="D1737" s="67" t="s">
        <v>38</v>
      </c>
      <c r="E1737" s="67" t="s">
        <v>39</v>
      </c>
      <c r="F1737" s="67" t="s">
        <v>40</v>
      </c>
      <c r="G1737" s="68">
        <v>5.9</v>
      </c>
      <c r="H1737" s="67">
        <v>900</v>
      </c>
      <c r="I1737" s="72">
        <v>850</v>
      </c>
      <c r="J1737" s="67">
        <v>0</v>
      </c>
      <c r="K1737" s="161">
        <v>0.7</v>
      </c>
      <c r="L1737" s="67">
        <f t="shared" si="107"/>
        <v>595</v>
      </c>
      <c r="M1737" s="69">
        <v>0</v>
      </c>
      <c r="N1737" s="70">
        <f t="shared" si="109"/>
        <v>595</v>
      </c>
      <c r="O1737" s="207"/>
      <c r="P1737" s="145" t="str">
        <f t="shared" si="108"/>
        <v>PLC5,9</v>
      </c>
      <c r="Q1737" s="52">
        <f t="shared" ref="Q1737:Q1800" si="110">_xlfn.ISOWEEKNUM(B1737)</f>
        <v>37</v>
      </c>
      <c r="R1737" s="8">
        <f t="shared" ref="R1737:R1800" si="111">YEAR(B1737)</f>
        <v>2025</v>
      </c>
    </row>
    <row r="1738" spans="1:33" hidden="1" x14ac:dyDescent="0.25">
      <c r="A1738" s="223">
        <f>_xlfn.ISOWEEKNUM(B1738)</f>
        <v>38</v>
      </c>
      <c r="B1738" s="145">
        <v>45915</v>
      </c>
      <c r="C1738" s="40" t="s">
        <v>37</v>
      </c>
      <c r="D1738" s="72" t="s">
        <v>38</v>
      </c>
      <c r="E1738" s="41" t="s">
        <v>39</v>
      </c>
      <c r="F1738" s="41" t="s">
        <v>40</v>
      </c>
      <c r="G1738" s="43">
        <v>5.9</v>
      </c>
      <c r="H1738" s="41">
        <v>900</v>
      </c>
      <c r="I1738" s="72">
        <v>850</v>
      </c>
      <c r="J1738" s="41">
        <v>0</v>
      </c>
      <c r="K1738" s="157">
        <v>0.75</v>
      </c>
      <c r="L1738" s="41">
        <f t="shared" si="107"/>
        <v>637.5</v>
      </c>
      <c r="M1738" s="73">
        <v>0</v>
      </c>
      <c r="N1738" s="74">
        <f t="shared" si="109"/>
        <v>637.5</v>
      </c>
      <c r="O1738" s="208"/>
      <c r="P1738" s="145" t="str">
        <f t="shared" si="108"/>
        <v>PLC5,9</v>
      </c>
      <c r="Q1738" s="52">
        <f t="shared" si="110"/>
        <v>38</v>
      </c>
      <c r="R1738" s="8">
        <f t="shared" si="111"/>
        <v>2025</v>
      </c>
      <c r="AG1738" s="108" t="s">
        <v>179</v>
      </c>
    </row>
    <row r="1739" spans="1:33" hidden="1" x14ac:dyDescent="0.25">
      <c r="A1739" s="224"/>
      <c r="B1739" s="145">
        <v>45916</v>
      </c>
      <c r="C1739" s="52" t="s">
        <v>42</v>
      </c>
      <c r="D1739" s="52" t="s">
        <v>38</v>
      </c>
      <c r="E1739" s="53" t="s">
        <v>39</v>
      </c>
      <c r="F1739" s="53" t="s">
        <v>40</v>
      </c>
      <c r="G1739" s="43">
        <v>5.9</v>
      </c>
      <c r="H1739" s="53">
        <v>900</v>
      </c>
      <c r="I1739" s="72">
        <v>850</v>
      </c>
      <c r="J1739" s="53">
        <v>0</v>
      </c>
      <c r="K1739" s="157">
        <v>0.75</v>
      </c>
      <c r="L1739" s="53">
        <f t="shared" si="107"/>
        <v>637.5</v>
      </c>
      <c r="M1739" s="55">
        <v>0</v>
      </c>
      <c r="N1739" s="56">
        <f t="shared" si="109"/>
        <v>637.5</v>
      </c>
      <c r="O1739" s="156"/>
      <c r="P1739" s="145" t="str">
        <f t="shared" si="108"/>
        <v>PLC5,9</v>
      </c>
      <c r="Q1739" s="52">
        <f t="shared" si="110"/>
        <v>38</v>
      </c>
      <c r="R1739" s="8">
        <f t="shared" si="111"/>
        <v>2025</v>
      </c>
    </row>
    <row r="1740" spans="1:33" hidden="1" x14ac:dyDescent="0.25">
      <c r="A1740" s="224"/>
      <c r="B1740" s="145">
        <v>45917</v>
      </c>
      <c r="C1740" s="52" t="s">
        <v>46</v>
      </c>
      <c r="D1740" s="52" t="s">
        <v>38</v>
      </c>
      <c r="E1740" s="53" t="s">
        <v>39</v>
      </c>
      <c r="F1740" s="53" t="s">
        <v>40</v>
      </c>
      <c r="G1740" s="43">
        <v>5.9</v>
      </c>
      <c r="H1740" s="53">
        <v>900</v>
      </c>
      <c r="I1740" s="72">
        <v>850</v>
      </c>
      <c r="J1740" s="53">
        <v>0</v>
      </c>
      <c r="K1740" s="157">
        <v>0.75</v>
      </c>
      <c r="L1740" s="53">
        <f t="shared" si="107"/>
        <v>637.5</v>
      </c>
      <c r="M1740" s="55">
        <v>0</v>
      </c>
      <c r="N1740" s="56">
        <f t="shared" si="109"/>
        <v>637.5</v>
      </c>
      <c r="O1740" s="156"/>
      <c r="P1740" s="145" t="str">
        <f t="shared" si="108"/>
        <v>PLC5,9</v>
      </c>
      <c r="Q1740" s="52">
        <f t="shared" si="110"/>
        <v>38</v>
      </c>
      <c r="R1740" s="8">
        <f t="shared" si="111"/>
        <v>2025</v>
      </c>
    </row>
    <row r="1741" spans="1:33" hidden="1" x14ac:dyDescent="0.25">
      <c r="A1741" s="224"/>
      <c r="B1741" s="145">
        <v>45918</v>
      </c>
      <c r="C1741" s="52" t="s">
        <v>50</v>
      </c>
      <c r="D1741" s="52" t="s">
        <v>38</v>
      </c>
      <c r="E1741" s="53" t="s">
        <v>39</v>
      </c>
      <c r="F1741" s="53" t="s">
        <v>40</v>
      </c>
      <c r="G1741" s="43">
        <v>5.9</v>
      </c>
      <c r="H1741" s="53">
        <v>900</v>
      </c>
      <c r="I1741" s="72">
        <v>850</v>
      </c>
      <c r="J1741" s="53">
        <v>0</v>
      </c>
      <c r="K1741" s="157">
        <v>0.75</v>
      </c>
      <c r="L1741" s="53">
        <f t="shared" si="107"/>
        <v>637.5</v>
      </c>
      <c r="M1741" s="55">
        <v>0</v>
      </c>
      <c r="N1741" s="56">
        <f t="shared" si="109"/>
        <v>637.5</v>
      </c>
      <c r="O1741" s="156"/>
      <c r="P1741" s="145" t="str">
        <f t="shared" si="108"/>
        <v>PLC5,9</v>
      </c>
      <c r="Q1741" s="52">
        <f t="shared" si="110"/>
        <v>38</v>
      </c>
      <c r="R1741" s="8">
        <f t="shared" si="111"/>
        <v>2025</v>
      </c>
    </row>
    <row r="1742" spans="1:33" hidden="1" x14ac:dyDescent="0.25">
      <c r="A1742" s="224"/>
      <c r="B1742" s="145">
        <v>45919</v>
      </c>
      <c r="C1742" s="52" t="s">
        <v>53</v>
      </c>
      <c r="D1742" s="52" t="s">
        <v>38</v>
      </c>
      <c r="E1742" s="53" t="s">
        <v>39</v>
      </c>
      <c r="F1742" s="53" t="s">
        <v>40</v>
      </c>
      <c r="G1742" s="43">
        <v>8</v>
      </c>
      <c r="H1742" s="53">
        <v>900</v>
      </c>
      <c r="I1742" s="72">
        <v>850</v>
      </c>
      <c r="J1742" s="53">
        <v>0</v>
      </c>
      <c r="K1742" s="157">
        <v>0.75</v>
      </c>
      <c r="L1742" s="53">
        <f t="shared" si="107"/>
        <v>637.5</v>
      </c>
      <c r="M1742" s="55">
        <v>0</v>
      </c>
      <c r="N1742" s="56">
        <f t="shared" si="109"/>
        <v>637.5</v>
      </c>
      <c r="O1742" s="156"/>
      <c r="P1742" s="145" t="str">
        <f t="shared" si="108"/>
        <v>PLC8</v>
      </c>
      <c r="Q1742" s="52">
        <f t="shared" si="110"/>
        <v>38</v>
      </c>
      <c r="R1742" s="8">
        <f t="shared" si="111"/>
        <v>2025</v>
      </c>
    </row>
    <row r="1743" spans="1:33" hidden="1" x14ac:dyDescent="0.25">
      <c r="A1743" s="224"/>
      <c r="B1743" s="148">
        <v>45920</v>
      </c>
      <c r="C1743" s="58" t="s">
        <v>57</v>
      </c>
      <c r="D1743" s="59" t="s">
        <v>38</v>
      </c>
      <c r="E1743" s="60" t="s">
        <v>39</v>
      </c>
      <c r="F1743" s="60" t="s">
        <v>40</v>
      </c>
      <c r="G1743" s="199">
        <v>8</v>
      </c>
      <c r="H1743" s="60">
        <v>900</v>
      </c>
      <c r="I1743" s="72">
        <v>850</v>
      </c>
      <c r="J1743" s="60">
        <v>0</v>
      </c>
      <c r="K1743" s="159">
        <v>0.75</v>
      </c>
      <c r="L1743" s="60">
        <f t="shared" si="107"/>
        <v>637.5</v>
      </c>
      <c r="M1743" s="62">
        <v>0</v>
      </c>
      <c r="N1743" s="63">
        <f t="shared" si="109"/>
        <v>637.5</v>
      </c>
      <c r="O1743" s="206"/>
      <c r="P1743" s="145" t="str">
        <f t="shared" si="108"/>
        <v>PLC8</v>
      </c>
      <c r="Q1743" s="52">
        <f t="shared" si="110"/>
        <v>38</v>
      </c>
      <c r="R1743" s="8">
        <f t="shared" si="111"/>
        <v>2025</v>
      </c>
    </row>
    <row r="1744" spans="1:33" ht="15.75" hidden="1" thickBot="1" x14ac:dyDescent="0.3">
      <c r="A1744" s="225"/>
      <c r="B1744" s="113">
        <v>45921</v>
      </c>
      <c r="C1744" s="66" t="s">
        <v>59</v>
      </c>
      <c r="D1744" s="67" t="s">
        <v>38</v>
      </c>
      <c r="E1744" s="67" t="s">
        <v>39</v>
      </c>
      <c r="F1744" s="67" t="s">
        <v>40</v>
      </c>
      <c r="G1744" s="68">
        <v>8</v>
      </c>
      <c r="H1744" s="67">
        <v>900</v>
      </c>
      <c r="I1744" s="72">
        <v>850</v>
      </c>
      <c r="J1744" s="67">
        <v>0</v>
      </c>
      <c r="K1744" s="161">
        <v>0.75</v>
      </c>
      <c r="L1744" s="67">
        <f t="shared" si="107"/>
        <v>637.5</v>
      </c>
      <c r="M1744" s="69">
        <v>0</v>
      </c>
      <c r="N1744" s="70">
        <f t="shared" si="109"/>
        <v>637.5</v>
      </c>
      <c r="O1744" s="207"/>
      <c r="P1744" s="145" t="str">
        <f t="shared" si="108"/>
        <v>PLC8</v>
      </c>
      <c r="Q1744" s="52">
        <f t="shared" si="110"/>
        <v>38</v>
      </c>
      <c r="R1744" s="8">
        <f t="shared" si="111"/>
        <v>2025</v>
      </c>
    </row>
    <row r="1745" spans="1:18" hidden="1" x14ac:dyDescent="0.25">
      <c r="A1745" s="223">
        <f>_xlfn.ISOWEEKNUM(B1745)</f>
        <v>39</v>
      </c>
      <c r="B1745" s="145">
        <v>45922</v>
      </c>
      <c r="C1745" s="40" t="s">
        <v>37</v>
      </c>
      <c r="D1745" s="72" t="s">
        <v>38</v>
      </c>
      <c r="E1745" s="41" t="s">
        <v>39</v>
      </c>
      <c r="F1745" s="41" t="s">
        <v>40</v>
      </c>
      <c r="G1745" s="43">
        <v>8</v>
      </c>
      <c r="H1745" s="41">
        <v>900</v>
      </c>
      <c r="I1745" s="72">
        <v>850</v>
      </c>
      <c r="J1745" s="41">
        <v>0</v>
      </c>
      <c r="K1745" s="157">
        <v>0.75</v>
      </c>
      <c r="L1745" s="41">
        <f t="shared" si="107"/>
        <v>637.5</v>
      </c>
      <c r="M1745" s="73">
        <v>0</v>
      </c>
      <c r="N1745" s="74">
        <f t="shared" si="109"/>
        <v>637.5</v>
      </c>
      <c r="O1745" s="208" t="s">
        <v>296</v>
      </c>
      <c r="P1745" s="145" t="str">
        <f t="shared" si="108"/>
        <v>PLC8</v>
      </c>
      <c r="Q1745" s="52">
        <f t="shared" si="110"/>
        <v>39</v>
      </c>
      <c r="R1745" s="8">
        <f t="shared" si="111"/>
        <v>2025</v>
      </c>
    </row>
    <row r="1746" spans="1:18" hidden="1" x14ac:dyDescent="0.25">
      <c r="A1746" s="224"/>
      <c r="B1746" s="145">
        <v>45923</v>
      </c>
      <c r="C1746" s="52" t="s">
        <v>42</v>
      </c>
      <c r="D1746" s="52" t="s">
        <v>38</v>
      </c>
      <c r="E1746" s="53" t="s">
        <v>39</v>
      </c>
      <c r="F1746" s="53" t="s">
        <v>40</v>
      </c>
      <c r="G1746" s="43">
        <v>10</v>
      </c>
      <c r="H1746" s="53">
        <v>900</v>
      </c>
      <c r="I1746" s="72">
        <v>850</v>
      </c>
      <c r="J1746" s="53">
        <v>0</v>
      </c>
      <c r="K1746" s="157">
        <v>0.75</v>
      </c>
      <c r="L1746" s="53">
        <f t="shared" si="107"/>
        <v>637.5</v>
      </c>
      <c r="M1746" s="55">
        <v>0</v>
      </c>
      <c r="N1746" s="56">
        <f t="shared" si="109"/>
        <v>637.5</v>
      </c>
      <c r="O1746" s="156"/>
      <c r="P1746" s="145" t="str">
        <f t="shared" si="108"/>
        <v>PLC10</v>
      </c>
      <c r="Q1746" s="52">
        <f t="shared" si="110"/>
        <v>39</v>
      </c>
      <c r="R1746" s="8">
        <f t="shared" si="111"/>
        <v>2025</v>
      </c>
    </row>
    <row r="1747" spans="1:18" hidden="1" x14ac:dyDescent="0.25">
      <c r="A1747" s="224"/>
      <c r="B1747" s="145">
        <v>45924</v>
      </c>
      <c r="C1747" s="52" t="s">
        <v>46</v>
      </c>
      <c r="D1747" s="52" t="s">
        <v>38</v>
      </c>
      <c r="E1747" s="53" t="s">
        <v>39</v>
      </c>
      <c r="F1747" s="53" t="s">
        <v>40</v>
      </c>
      <c r="G1747" s="43">
        <v>10</v>
      </c>
      <c r="H1747" s="53">
        <v>900</v>
      </c>
      <c r="I1747" s="72">
        <v>850</v>
      </c>
      <c r="J1747" s="53">
        <v>0</v>
      </c>
      <c r="K1747" s="157">
        <v>0.75</v>
      </c>
      <c r="L1747" s="53">
        <f t="shared" si="107"/>
        <v>637.5</v>
      </c>
      <c r="M1747" s="55">
        <v>0</v>
      </c>
      <c r="N1747" s="56">
        <f t="shared" si="109"/>
        <v>637.5</v>
      </c>
      <c r="O1747" s="156"/>
      <c r="P1747" s="145" t="str">
        <f t="shared" si="108"/>
        <v>PLC10</v>
      </c>
      <c r="Q1747" s="52">
        <f t="shared" si="110"/>
        <v>39</v>
      </c>
      <c r="R1747" s="8">
        <f t="shared" si="111"/>
        <v>2025</v>
      </c>
    </row>
    <row r="1748" spans="1:18" hidden="1" x14ac:dyDescent="0.25">
      <c r="A1748" s="224"/>
      <c r="B1748" s="145">
        <v>45925</v>
      </c>
      <c r="C1748" s="52" t="s">
        <v>50</v>
      </c>
      <c r="D1748" s="52" t="s">
        <v>38</v>
      </c>
      <c r="E1748" s="53" t="s">
        <v>39</v>
      </c>
      <c r="F1748" s="53" t="s">
        <v>40</v>
      </c>
      <c r="G1748" s="43">
        <v>5.9</v>
      </c>
      <c r="H1748" s="53">
        <v>900</v>
      </c>
      <c r="I1748" s="72">
        <v>850</v>
      </c>
      <c r="J1748" s="53">
        <v>0</v>
      </c>
      <c r="K1748" s="157">
        <v>0.75</v>
      </c>
      <c r="L1748" s="53">
        <f t="shared" si="107"/>
        <v>637.5</v>
      </c>
      <c r="M1748" s="55">
        <v>0</v>
      </c>
      <c r="N1748" s="56">
        <f t="shared" si="109"/>
        <v>637.5</v>
      </c>
      <c r="O1748" s="156"/>
      <c r="P1748" s="145" t="str">
        <f t="shared" si="108"/>
        <v>PLC5,9</v>
      </c>
      <c r="Q1748" s="52">
        <f t="shared" si="110"/>
        <v>39</v>
      </c>
      <c r="R1748" s="8">
        <f t="shared" si="111"/>
        <v>2025</v>
      </c>
    </row>
    <row r="1749" spans="1:18" hidden="1" x14ac:dyDescent="0.25">
      <c r="A1749" s="224"/>
      <c r="B1749" s="145">
        <v>45926</v>
      </c>
      <c r="C1749" s="52" t="s">
        <v>53</v>
      </c>
      <c r="D1749" s="52" t="s">
        <v>38</v>
      </c>
      <c r="E1749" s="53" t="s">
        <v>39</v>
      </c>
      <c r="F1749" s="53" t="s">
        <v>40</v>
      </c>
      <c r="G1749" s="43">
        <v>5.9</v>
      </c>
      <c r="H1749" s="53">
        <v>900</v>
      </c>
      <c r="I1749" s="72">
        <v>850</v>
      </c>
      <c r="J1749" s="53">
        <v>0</v>
      </c>
      <c r="K1749" s="157">
        <v>0.75</v>
      </c>
      <c r="L1749" s="53">
        <f t="shared" si="107"/>
        <v>637.5</v>
      </c>
      <c r="M1749" s="55">
        <v>0</v>
      </c>
      <c r="N1749" s="56">
        <f t="shared" si="109"/>
        <v>637.5</v>
      </c>
      <c r="O1749" s="156"/>
      <c r="P1749" s="145" t="str">
        <f t="shared" si="108"/>
        <v>PLC5,9</v>
      </c>
      <c r="Q1749" s="52">
        <f t="shared" si="110"/>
        <v>39</v>
      </c>
      <c r="R1749" s="8">
        <f t="shared" si="111"/>
        <v>2025</v>
      </c>
    </row>
    <row r="1750" spans="1:18" hidden="1" x14ac:dyDescent="0.25">
      <c r="A1750" s="224"/>
      <c r="B1750" s="148">
        <v>45927</v>
      </c>
      <c r="C1750" s="58" t="s">
        <v>57</v>
      </c>
      <c r="D1750" s="59" t="s">
        <v>38</v>
      </c>
      <c r="E1750" s="60" t="s">
        <v>39</v>
      </c>
      <c r="F1750" s="60" t="s">
        <v>40</v>
      </c>
      <c r="G1750" s="199">
        <v>5.9</v>
      </c>
      <c r="H1750" s="60">
        <v>900</v>
      </c>
      <c r="I1750" s="72">
        <v>850</v>
      </c>
      <c r="J1750" s="60">
        <v>0</v>
      </c>
      <c r="K1750" s="159">
        <v>0.75</v>
      </c>
      <c r="L1750" s="60">
        <f t="shared" si="107"/>
        <v>637.5</v>
      </c>
      <c r="M1750" s="62">
        <v>0</v>
      </c>
      <c r="N1750" s="63">
        <f t="shared" si="109"/>
        <v>637.5</v>
      </c>
      <c r="O1750" s="206"/>
      <c r="P1750" s="145" t="str">
        <f t="shared" si="108"/>
        <v>PLC5,9</v>
      </c>
      <c r="Q1750" s="52">
        <f t="shared" si="110"/>
        <v>39</v>
      </c>
      <c r="R1750" s="8">
        <f t="shared" si="111"/>
        <v>2025</v>
      </c>
    </row>
    <row r="1751" spans="1:18" ht="15.75" hidden="1" thickBot="1" x14ac:dyDescent="0.3">
      <c r="A1751" s="225"/>
      <c r="B1751" s="113">
        <v>45928</v>
      </c>
      <c r="C1751" s="66" t="s">
        <v>59</v>
      </c>
      <c r="D1751" s="67" t="s">
        <v>38</v>
      </c>
      <c r="E1751" s="67" t="s">
        <v>39</v>
      </c>
      <c r="F1751" s="67" t="s">
        <v>40</v>
      </c>
      <c r="G1751" s="68">
        <v>5.9</v>
      </c>
      <c r="H1751" s="67">
        <v>900</v>
      </c>
      <c r="I1751" s="72">
        <v>850</v>
      </c>
      <c r="J1751" s="67">
        <v>0</v>
      </c>
      <c r="K1751" s="161">
        <v>0.75</v>
      </c>
      <c r="L1751" s="67">
        <f t="shared" si="107"/>
        <v>637.5</v>
      </c>
      <c r="M1751" s="69">
        <v>0</v>
      </c>
      <c r="N1751" s="70">
        <f t="shared" si="109"/>
        <v>637.5</v>
      </c>
      <c r="O1751" s="207"/>
      <c r="P1751" s="145" t="str">
        <f t="shared" si="108"/>
        <v>PLC5,9</v>
      </c>
      <c r="Q1751" s="52">
        <f t="shared" si="110"/>
        <v>39</v>
      </c>
      <c r="R1751" s="8">
        <f t="shared" si="111"/>
        <v>2025</v>
      </c>
    </row>
    <row r="1752" spans="1:18" hidden="1" x14ac:dyDescent="0.25">
      <c r="A1752" s="223">
        <f>_xlfn.ISOWEEKNUM(B1752)</f>
        <v>40</v>
      </c>
      <c r="B1752" s="145">
        <v>45929</v>
      </c>
      <c r="C1752" s="40" t="s">
        <v>37</v>
      </c>
      <c r="D1752" s="72" t="s">
        <v>38</v>
      </c>
      <c r="E1752" s="41" t="s">
        <v>39</v>
      </c>
      <c r="F1752" s="41" t="s">
        <v>40</v>
      </c>
      <c r="G1752" s="43">
        <v>3.9</v>
      </c>
      <c r="H1752" s="41">
        <v>900</v>
      </c>
      <c r="I1752" s="72">
        <v>850</v>
      </c>
      <c r="J1752" s="41">
        <v>0</v>
      </c>
      <c r="K1752" s="157">
        <v>0.75</v>
      </c>
      <c r="L1752" s="41">
        <f t="shared" si="107"/>
        <v>637.5</v>
      </c>
      <c r="M1752" s="73">
        <v>0</v>
      </c>
      <c r="N1752" s="74">
        <f t="shared" si="109"/>
        <v>637.5</v>
      </c>
      <c r="O1752" s="208" t="s">
        <v>207</v>
      </c>
      <c r="P1752" s="145" t="str">
        <f t="shared" si="108"/>
        <v>PLC3,9</v>
      </c>
      <c r="Q1752" s="52">
        <f t="shared" si="110"/>
        <v>40</v>
      </c>
      <c r="R1752" s="8">
        <f t="shared" si="111"/>
        <v>2025</v>
      </c>
    </row>
    <row r="1753" spans="1:18" hidden="1" x14ac:dyDescent="0.25">
      <c r="A1753" s="224"/>
      <c r="B1753" s="145">
        <v>45930</v>
      </c>
      <c r="C1753" s="52" t="s">
        <v>42</v>
      </c>
      <c r="D1753" s="52" t="s">
        <v>38</v>
      </c>
      <c r="E1753" s="53" t="s">
        <v>39</v>
      </c>
      <c r="F1753" s="53" t="s">
        <v>40</v>
      </c>
      <c r="G1753" s="43">
        <v>3.9</v>
      </c>
      <c r="H1753" s="53">
        <v>900</v>
      </c>
      <c r="I1753" s="72">
        <v>850</v>
      </c>
      <c r="J1753" s="53">
        <v>820</v>
      </c>
      <c r="K1753" s="157">
        <v>0.75</v>
      </c>
      <c r="L1753" s="53">
        <f t="shared" si="107"/>
        <v>615</v>
      </c>
      <c r="M1753" s="55">
        <v>0</v>
      </c>
      <c r="N1753" s="56">
        <f t="shared" si="109"/>
        <v>615</v>
      </c>
      <c r="O1753" s="156" t="s">
        <v>207</v>
      </c>
      <c r="P1753" s="145" t="str">
        <f t="shared" si="108"/>
        <v>PLC3,9</v>
      </c>
      <c r="Q1753" s="52">
        <f t="shared" si="110"/>
        <v>40</v>
      </c>
      <c r="R1753" s="8">
        <f t="shared" si="111"/>
        <v>2025</v>
      </c>
    </row>
    <row r="1754" spans="1:18" x14ac:dyDescent="0.25">
      <c r="A1754" s="224"/>
      <c r="B1754" s="145">
        <v>45931</v>
      </c>
      <c r="C1754" s="52" t="s">
        <v>46</v>
      </c>
      <c r="D1754" s="52" t="s">
        <v>38</v>
      </c>
      <c r="E1754" s="53" t="s">
        <v>39</v>
      </c>
      <c r="F1754" s="53" t="s">
        <v>40</v>
      </c>
      <c r="G1754" s="43">
        <v>3.9</v>
      </c>
      <c r="H1754" s="53">
        <v>900</v>
      </c>
      <c r="I1754" s="72">
        <v>850</v>
      </c>
      <c r="J1754" s="53">
        <v>820</v>
      </c>
      <c r="K1754" s="157">
        <v>0.75</v>
      </c>
      <c r="L1754" s="53">
        <f t="shared" ref="L1754:L1817" si="112">IF(J1754&gt;0,J1754*K1754,I1754*K1754)</f>
        <v>615</v>
      </c>
      <c r="M1754" s="55">
        <v>0</v>
      </c>
      <c r="N1754" s="56">
        <f t="shared" si="109"/>
        <v>615</v>
      </c>
      <c r="O1754" s="156" t="s">
        <v>207</v>
      </c>
      <c r="P1754" s="145" t="str">
        <f t="shared" si="108"/>
        <v>PLC3,9</v>
      </c>
      <c r="Q1754" s="52">
        <f t="shared" si="110"/>
        <v>40</v>
      </c>
      <c r="R1754" s="8">
        <f t="shared" si="111"/>
        <v>2025</v>
      </c>
    </row>
    <row r="1755" spans="1:18" x14ac:dyDescent="0.25">
      <c r="A1755" s="224"/>
      <c r="B1755" s="145">
        <v>45932</v>
      </c>
      <c r="C1755" s="52" t="s">
        <v>50</v>
      </c>
      <c r="D1755" s="52" t="s">
        <v>38</v>
      </c>
      <c r="E1755" s="53" t="s">
        <v>39</v>
      </c>
      <c r="F1755" s="53" t="s">
        <v>40</v>
      </c>
      <c r="G1755" s="43">
        <v>3.9</v>
      </c>
      <c r="H1755" s="53">
        <v>900</v>
      </c>
      <c r="I1755" s="72">
        <v>850</v>
      </c>
      <c r="J1755" s="53">
        <v>820</v>
      </c>
      <c r="K1755" s="157">
        <v>0.75</v>
      </c>
      <c r="L1755" s="53">
        <f t="shared" si="112"/>
        <v>615</v>
      </c>
      <c r="M1755" s="55">
        <v>0</v>
      </c>
      <c r="N1755" s="56">
        <f t="shared" si="109"/>
        <v>615</v>
      </c>
      <c r="O1755" s="156" t="s">
        <v>207</v>
      </c>
      <c r="P1755" s="145" t="str">
        <f t="shared" si="108"/>
        <v>PLC3,9</v>
      </c>
      <c r="Q1755" s="52">
        <f t="shared" si="110"/>
        <v>40</v>
      </c>
      <c r="R1755" s="8">
        <f t="shared" si="111"/>
        <v>2025</v>
      </c>
    </row>
    <row r="1756" spans="1:18" x14ac:dyDescent="0.25">
      <c r="A1756" s="224"/>
      <c r="B1756" s="145">
        <v>45933</v>
      </c>
      <c r="C1756" s="52" t="s">
        <v>53</v>
      </c>
      <c r="D1756" s="52" t="s">
        <v>38</v>
      </c>
      <c r="E1756" s="53" t="s">
        <v>39</v>
      </c>
      <c r="F1756" s="53" t="s">
        <v>40</v>
      </c>
      <c r="G1756" s="43">
        <v>3.9</v>
      </c>
      <c r="H1756" s="53">
        <v>900</v>
      </c>
      <c r="I1756" s="72">
        <v>850</v>
      </c>
      <c r="J1756" s="53">
        <v>820</v>
      </c>
      <c r="K1756" s="157">
        <v>0.75</v>
      </c>
      <c r="L1756" s="53">
        <f t="shared" si="112"/>
        <v>615</v>
      </c>
      <c r="M1756" s="55">
        <v>0</v>
      </c>
      <c r="N1756" s="56">
        <f t="shared" si="109"/>
        <v>615</v>
      </c>
      <c r="O1756" s="156" t="s">
        <v>207</v>
      </c>
      <c r="P1756" s="145" t="str">
        <f t="shared" si="108"/>
        <v>PLC3,9</v>
      </c>
      <c r="Q1756" s="52">
        <f t="shared" si="110"/>
        <v>40</v>
      </c>
      <c r="R1756" s="8">
        <f t="shared" si="111"/>
        <v>2025</v>
      </c>
    </row>
    <row r="1757" spans="1:18" x14ac:dyDescent="0.25">
      <c r="A1757" s="224"/>
      <c r="B1757" s="148">
        <v>45934</v>
      </c>
      <c r="C1757" s="58" t="s">
        <v>57</v>
      </c>
      <c r="D1757" s="59" t="s">
        <v>38</v>
      </c>
      <c r="E1757" s="60" t="s">
        <v>39</v>
      </c>
      <c r="F1757" s="60" t="s">
        <v>40</v>
      </c>
      <c r="G1757" s="199">
        <v>3.9</v>
      </c>
      <c r="H1757" s="60">
        <v>900</v>
      </c>
      <c r="I1757" s="72">
        <v>850</v>
      </c>
      <c r="J1757" s="60">
        <v>820</v>
      </c>
      <c r="K1757" s="159">
        <v>0.75</v>
      </c>
      <c r="L1757" s="60">
        <f t="shared" si="112"/>
        <v>615</v>
      </c>
      <c r="M1757" s="62">
        <v>0</v>
      </c>
      <c r="N1757" s="63">
        <f t="shared" si="109"/>
        <v>615</v>
      </c>
      <c r="O1757" s="206" t="s">
        <v>207</v>
      </c>
      <c r="P1757" s="145" t="str">
        <f t="shared" si="108"/>
        <v>PLC3,9</v>
      </c>
      <c r="Q1757" s="52">
        <f t="shared" si="110"/>
        <v>40</v>
      </c>
      <c r="R1757" s="8">
        <f t="shared" si="111"/>
        <v>2025</v>
      </c>
    </row>
    <row r="1758" spans="1:18" ht="15.75" thickBot="1" x14ac:dyDescent="0.3">
      <c r="A1758" s="225"/>
      <c r="B1758" s="113">
        <v>45935</v>
      </c>
      <c r="C1758" s="66" t="s">
        <v>59</v>
      </c>
      <c r="D1758" s="67" t="s">
        <v>38</v>
      </c>
      <c r="E1758" s="67" t="s">
        <v>39</v>
      </c>
      <c r="F1758" s="67" t="s">
        <v>40</v>
      </c>
      <c r="G1758" s="68">
        <v>3.9</v>
      </c>
      <c r="H1758" s="67">
        <v>900</v>
      </c>
      <c r="I1758" s="72">
        <v>850</v>
      </c>
      <c r="J1758" s="67">
        <v>820</v>
      </c>
      <c r="K1758" s="161">
        <v>0.75</v>
      </c>
      <c r="L1758" s="67">
        <f t="shared" si="112"/>
        <v>615</v>
      </c>
      <c r="M1758" s="69">
        <v>0</v>
      </c>
      <c r="N1758" s="70">
        <f t="shared" si="109"/>
        <v>615</v>
      </c>
      <c r="O1758" s="207" t="s">
        <v>207</v>
      </c>
      <c r="P1758" s="145" t="str">
        <f t="shared" si="108"/>
        <v>PLC3,9</v>
      </c>
      <c r="Q1758" s="52">
        <f t="shared" si="110"/>
        <v>40</v>
      </c>
      <c r="R1758" s="8">
        <f t="shared" si="111"/>
        <v>2025</v>
      </c>
    </row>
    <row r="1759" spans="1:18" x14ac:dyDescent="0.25">
      <c r="A1759" s="223">
        <f>_xlfn.ISOWEEKNUM(B1759)</f>
        <v>41</v>
      </c>
      <c r="B1759" s="145">
        <v>45936</v>
      </c>
      <c r="C1759" s="40" t="s">
        <v>37</v>
      </c>
      <c r="D1759" s="72" t="s">
        <v>38</v>
      </c>
      <c r="E1759" s="41" t="s">
        <v>39</v>
      </c>
      <c r="F1759" s="41" t="s">
        <v>40</v>
      </c>
      <c r="G1759" s="43">
        <v>3.9</v>
      </c>
      <c r="H1759" s="41">
        <v>900</v>
      </c>
      <c r="I1759" s="72">
        <v>850</v>
      </c>
      <c r="J1759" s="41">
        <v>820</v>
      </c>
      <c r="K1759" s="157">
        <v>0.75</v>
      </c>
      <c r="L1759" s="41">
        <f t="shared" si="112"/>
        <v>615</v>
      </c>
      <c r="M1759" s="73">
        <v>0</v>
      </c>
      <c r="N1759" s="74">
        <f t="shared" si="109"/>
        <v>615</v>
      </c>
      <c r="O1759" s="208" t="s">
        <v>207</v>
      </c>
      <c r="P1759" s="145" t="str">
        <f t="shared" si="108"/>
        <v>PLC3,9</v>
      </c>
      <c r="Q1759" s="52">
        <f t="shared" si="110"/>
        <v>41</v>
      </c>
      <c r="R1759" s="8">
        <f t="shared" si="111"/>
        <v>2025</v>
      </c>
    </row>
    <row r="1760" spans="1:18" x14ac:dyDescent="0.25">
      <c r="A1760" s="224"/>
      <c r="B1760" s="145">
        <v>45937</v>
      </c>
      <c r="C1760" s="52" t="s">
        <v>42</v>
      </c>
      <c r="D1760" s="52" t="s">
        <v>38</v>
      </c>
      <c r="E1760" s="53" t="s">
        <v>39</v>
      </c>
      <c r="F1760" s="53" t="s">
        <v>40</v>
      </c>
      <c r="G1760" s="43">
        <v>3.9</v>
      </c>
      <c r="H1760" s="53">
        <v>900</v>
      </c>
      <c r="I1760" s="72">
        <v>850</v>
      </c>
      <c r="J1760" s="53">
        <v>820</v>
      </c>
      <c r="K1760" s="157">
        <v>0.75</v>
      </c>
      <c r="L1760" s="53">
        <f t="shared" si="112"/>
        <v>615</v>
      </c>
      <c r="M1760" s="55">
        <v>0</v>
      </c>
      <c r="N1760" s="56">
        <f t="shared" si="109"/>
        <v>615</v>
      </c>
      <c r="O1760" s="156"/>
      <c r="P1760" s="145" t="str">
        <f t="shared" si="108"/>
        <v>PLC3,9</v>
      </c>
      <c r="Q1760" s="52">
        <f t="shared" si="110"/>
        <v>41</v>
      </c>
      <c r="R1760" s="8">
        <f t="shared" si="111"/>
        <v>2025</v>
      </c>
    </row>
    <row r="1761" spans="1:18" x14ac:dyDescent="0.25">
      <c r="A1761" s="224"/>
      <c r="B1761" s="145">
        <v>45938</v>
      </c>
      <c r="C1761" s="52" t="s">
        <v>46</v>
      </c>
      <c r="D1761" s="52" t="s">
        <v>38</v>
      </c>
      <c r="E1761" s="53" t="s">
        <v>39</v>
      </c>
      <c r="F1761" s="53" t="s">
        <v>40</v>
      </c>
      <c r="G1761" s="43">
        <v>5.9</v>
      </c>
      <c r="H1761" s="53">
        <v>900</v>
      </c>
      <c r="I1761" s="72">
        <v>850</v>
      </c>
      <c r="J1761" s="53">
        <v>820</v>
      </c>
      <c r="K1761" s="157">
        <v>0.75</v>
      </c>
      <c r="L1761" s="53">
        <f t="shared" si="112"/>
        <v>615</v>
      </c>
      <c r="M1761" s="55">
        <v>0</v>
      </c>
      <c r="N1761" s="56">
        <f t="shared" si="109"/>
        <v>615</v>
      </c>
      <c r="O1761" s="156"/>
      <c r="P1761" s="145" t="str">
        <f t="shared" si="108"/>
        <v>PLC5,9</v>
      </c>
      <c r="Q1761" s="52">
        <f t="shared" si="110"/>
        <v>41</v>
      </c>
      <c r="R1761" s="8">
        <f t="shared" si="111"/>
        <v>2025</v>
      </c>
    </row>
    <row r="1762" spans="1:18" x14ac:dyDescent="0.25">
      <c r="A1762" s="224"/>
      <c r="B1762" s="145">
        <v>45939</v>
      </c>
      <c r="C1762" s="52" t="s">
        <v>50</v>
      </c>
      <c r="D1762" s="52" t="s">
        <v>38</v>
      </c>
      <c r="E1762" s="53" t="s">
        <v>39</v>
      </c>
      <c r="F1762" s="53" t="s">
        <v>40</v>
      </c>
      <c r="G1762" s="43">
        <v>5.9</v>
      </c>
      <c r="H1762" s="53">
        <v>900</v>
      </c>
      <c r="I1762" s="72">
        <v>850</v>
      </c>
      <c r="J1762" s="53">
        <v>820</v>
      </c>
      <c r="K1762" s="157">
        <v>0.75</v>
      </c>
      <c r="L1762" s="53">
        <f t="shared" si="112"/>
        <v>615</v>
      </c>
      <c r="M1762" s="55">
        <v>0</v>
      </c>
      <c r="N1762" s="56">
        <f t="shared" si="109"/>
        <v>615</v>
      </c>
      <c r="O1762" s="156" t="s">
        <v>298</v>
      </c>
      <c r="P1762" s="145" t="str">
        <f t="shared" si="108"/>
        <v>PLC5,9</v>
      </c>
      <c r="Q1762" s="52">
        <f t="shared" si="110"/>
        <v>41</v>
      </c>
      <c r="R1762" s="8">
        <f t="shared" si="111"/>
        <v>2025</v>
      </c>
    </row>
    <row r="1763" spans="1:18" x14ac:dyDescent="0.25">
      <c r="A1763" s="224"/>
      <c r="B1763" s="145">
        <v>45940</v>
      </c>
      <c r="C1763" s="52" t="s">
        <v>53</v>
      </c>
      <c r="D1763" s="52" t="s">
        <v>38</v>
      </c>
      <c r="E1763" s="53" t="s">
        <v>39</v>
      </c>
      <c r="F1763" s="53" t="s">
        <v>40</v>
      </c>
      <c r="G1763" s="43">
        <v>5.9</v>
      </c>
      <c r="H1763" s="53">
        <v>900</v>
      </c>
      <c r="I1763" s="72">
        <v>850</v>
      </c>
      <c r="J1763" s="53">
        <v>820</v>
      </c>
      <c r="K1763" s="157">
        <v>0.75</v>
      </c>
      <c r="L1763" s="53">
        <f t="shared" si="112"/>
        <v>615</v>
      </c>
      <c r="M1763" s="55">
        <v>0</v>
      </c>
      <c r="N1763" s="56">
        <f t="shared" si="109"/>
        <v>615</v>
      </c>
      <c r="O1763" s="156"/>
      <c r="P1763" s="145" t="str">
        <f t="shared" si="108"/>
        <v>PLC5,9</v>
      </c>
      <c r="Q1763" s="52">
        <f t="shared" si="110"/>
        <v>41</v>
      </c>
      <c r="R1763" s="8">
        <f t="shared" si="111"/>
        <v>2025</v>
      </c>
    </row>
    <row r="1764" spans="1:18" x14ac:dyDescent="0.25">
      <c r="A1764" s="224"/>
      <c r="B1764" s="148">
        <v>45941</v>
      </c>
      <c r="C1764" s="58" t="s">
        <v>57</v>
      </c>
      <c r="D1764" s="59" t="s">
        <v>38</v>
      </c>
      <c r="E1764" s="60" t="s">
        <v>39</v>
      </c>
      <c r="F1764" s="60" t="s">
        <v>40</v>
      </c>
      <c r="G1764" s="199">
        <v>5.9</v>
      </c>
      <c r="H1764" s="60">
        <v>900</v>
      </c>
      <c r="I1764" s="72">
        <v>850</v>
      </c>
      <c r="J1764" s="60">
        <v>820</v>
      </c>
      <c r="K1764" s="159">
        <v>0.75</v>
      </c>
      <c r="L1764" s="60">
        <f t="shared" si="112"/>
        <v>615</v>
      </c>
      <c r="M1764" s="62">
        <v>0</v>
      </c>
      <c r="N1764" s="63">
        <f t="shared" si="109"/>
        <v>615</v>
      </c>
      <c r="O1764" s="206"/>
      <c r="P1764" s="145" t="str">
        <f t="shared" si="108"/>
        <v>PLC5,9</v>
      </c>
      <c r="Q1764" s="52">
        <f t="shared" si="110"/>
        <v>41</v>
      </c>
      <c r="R1764" s="8">
        <f t="shared" si="111"/>
        <v>2025</v>
      </c>
    </row>
    <row r="1765" spans="1:18" ht="15.75" thickBot="1" x14ac:dyDescent="0.3">
      <c r="A1765" s="225"/>
      <c r="B1765" s="113">
        <v>45942</v>
      </c>
      <c r="C1765" s="66" t="s">
        <v>59</v>
      </c>
      <c r="D1765" s="67" t="s">
        <v>38</v>
      </c>
      <c r="E1765" s="67" t="s">
        <v>39</v>
      </c>
      <c r="F1765" s="67" t="s">
        <v>40</v>
      </c>
      <c r="G1765" s="68">
        <v>5.9</v>
      </c>
      <c r="H1765" s="67">
        <v>900</v>
      </c>
      <c r="I1765" s="72">
        <v>850</v>
      </c>
      <c r="J1765" s="67">
        <v>820</v>
      </c>
      <c r="K1765" s="161">
        <v>0.75</v>
      </c>
      <c r="L1765" s="67">
        <f t="shared" si="112"/>
        <v>615</v>
      </c>
      <c r="M1765" s="69">
        <v>0</v>
      </c>
      <c r="N1765" s="70">
        <f t="shared" si="109"/>
        <v>615</v>
      </c>
      <c r="O1765" s="207"/>
      <c r="P1765" s="145" t="str">
        <f t="shared" si="108"/>
        <v>PLC5,9</v>
      </c>
      <c r="Q1765" s="52">
        <f t="shared" si="110"/>
        <v>41</v>
      </c>
      <c r="R1765" s="8">
        <f t="shared" si="111"/>
        <v>2025</v>
      </c>
    </row>
    <row r="1766" spans="1:18" x14ac:dyDescent="0.25">
      <c r="A1766" s="223">
        <f>_xlfn.ISOWEEKNUM(B1766)</f>
        <v>42</v>
      </c>
      <c r="B1766" s="145">
        <v>45943</v>
      </c>
      <c r="C1766" s="40" t="s">
        <v>37</v>
      </c>
      <c r="D1766" s="72" t="s">
        <v>38</v>
      </c>
      <c r="E1766" s="41" t="s">
        <v>39</v>
      </c>
      <c r="F1766" s="41" t="s">
        <v>40</v>
      </c>
      <c r="G1766" s="43">
        <v>5.9</v>
      </c>
      <c r="H1766" s="41">
        <v>900</v>
      </c>
      <c r="I1766" s="72">
        <v>850</v>
      </c>
      <c r="J1766" s="41"/>
      <c r="K1766" s="157">
        <v>0.7</v>
      </c>
      <c r="L1766" s="41">
        <f t="shared" si="112"/>
        <v>595</v>
      </c>
      <c r="M1766" s="73">
        <v>0</v>
      </c>
      <c r="N1766" s="74">
        <f t="shared" si="109"/>
        <v>595</v>
      </c>
      <c r="O1766" s="208"/>
      <c r="P1766" s="145" t="str">
        <f t="shared" si="108"/>
        <v>PLC5,9</v>
      </c>
      <c r="Q1766" s="52">
        <f t="shared" si="110"/>
        <v>42</v>
      </c>
      <c r="R1766" s="8">
        <f t="shared" si="111"/>
        <v>2025</v>
      </c>
    </row>
    <row r="1767" spans="1:18" x14ac:dyDescent="0.25">
      <c r="A1767" s="224"/>
      <c r="B1767" s="145">
        <v>45944</v>
      </c>
      <c r="C1767" s="52" t="s">
        <v>42</v>
      </c>
      <c r="D1767" s="52" t="s">
        <v>38</v>
      </c>
      <c r="E1767" s="53" t="s">
        <v>39</v>
      </c>
      <c r="F1767" s="53" t="s">
        <v>40</v>
      </c>
      <c r="G1767" s="43">
        <v>5.9</v>
      </c>
      <c r="H1767" s="53">
        <v>900</v>
      </c>
      <c r="I1767" s="72">
        <v>850</v>
      </c>
      <c r="J1767" s="53"/>
      <c r="K1767" s="157">
        <v>0.7</v>
      </c>
      <c r="L1767" s="53">
        <f t="shared" si="112"/>
        <v>595</v>
      </c>
      <c r="M1767" s="55">
        <v>0</v>
      </c>
      <c r="N1767" s="56">
        <f t="shared" si="109"/>
        <v>595</v>
      </c>
      <c r="O1767" s="156"/>
      <c r="P1767" s="145" t="str">
        <f t="shared" si="108"/>
        <v>PLC5,9</v>
      </c>
      <c r="Q1767" s="52">
        <f t="shared" si="110"/>
        <v>42</v>
      </c>
      <c r="R1767" s="8">
        <f t="shared" si="111"/>
        <v>2025</v>
      </c>
    </row>
    <row r="1768" spans="1:18" x14ac:dyDescent="0.25">
      <c r="A1768" s="224"/>
      <c r="B1768" s="145">
        <v>45945</v>
      </c>
      <c r="C1768" s="52" t="s">
        <v>46</v>
      </c>
      <c r="D1768" s="52" t="s">
        <v>38</v>
      </c>
      <c r="E1768" s="53" t="s">
        <v>39</v>
      </c>
      <c r="F1768" s="53" t="s">
        <v>40</v>
      </c>
      <c r="G1768" s="43">
        <v>8</v>
      </c>
      <c r="H1768" s="53">
        <v>900</v>
      </c>
      <c r="I1768" s="72">
        <v>850</v>
      </c>
      <c r="J1768" s="53"/>
      <c r="K1768" s="157">
        <v>0.7</v>
      </c>
      <c r="L1768" s="53">
        <f t="shared" si="112"/>
        <v>595</v>
      </c>
      <c r="M1768" s="55">
        <v>0</v>
      </c>
      <c r="N1768" s="56">
        <f t="shared" si="109"/>
        <v>595</v>
      </c>
      <c r="O1768" s="220" t="s">
        <v>297</v>
      </c>
      <c r="P1768" s="145" t="str">
        <f t="shared" si="108"/>
        <v>PLC8</v>
      </c>
      <c r="Q1768" s="52">
        <f t="shared" si="110"/>
        <v>42</v>
      </c>
      <c r="R1768" s="8">
        <f t="shared" si="111"/>
        <v>2025</v>
      </c>
    </row>
    <row r="1769" spans="1:18" x14ac:dyDescent="0.25">
      <c r="A1769" s="224"/>
      <c r="B1769" s="145">
        <v>45946</v>
      </c>
      <c r="C1769" s="52" t="s">
        <v>50</v>
      </c>
      <c r="D1769" s="52" t="s">
        <v>38</v>
      </c>
      <c r="E1769" s="53" t="s">
        <v>39</v>
      </c>
      <c r="F1769" s="53" t="s">
        <v>40</v>
      </c>
      <c r="G1769" s="43">
        <v>8</v>
      </c>
      <c r="H1769" s="53">
        <v>900</v>
      </c>
      <c r="I1769" s="72">
        <v>850</v>
      </c>
      <c r="J1769" s="53"/>
      <c r="K1769" s="157">
        <v>0.7</v>
      </c>
      <c r="L1769" s="53">
        <f t="shared" si="112"/>
        <v>595</v>
      </c>
      <c r="M1769" s="55">
        <v>0</v>
      </c>
      <c r="N1769" s="56">
        <f t="shared" si="109"/>
        <v>595</v>
      </c>
      <c r="O1769" s="156"/>
      <c r="P1769" s="145" t="str">
        <f t="shared" si="108"/>
        <v>PLC8</v>
      </c>
      <c r="Q1769" s="52">
        <f t="shared" si="110"/>
        <v>42</v>
      </c>
      <c r="R1769" s="8">
        <f t="shared" si="111"/>
        <v>2025</v>
      </c>
    </row>
    <row r="1770" spans="1:18" x14ac:dyDescent="0.25">
      <c r="A1770" s="224"/>
      <c r="B1770" s="145">
        <v>45947</v>
      </c>
      <c r="C1770" s="52" t="s">
        <v>53</v>
      </c>
      <c r="D1770" s="52" t="s">
        <v>38</v>
      </c>
      <c r="E1770" s="53" t="s">
        <v>39</v>
      </c>
      <c r="F1770" s="53" t="s">
        <v>40</v>
      </c>
      <c r="G1770" s="43">
        <v>8</v>
      </c>
      <c r="H1770" s="53">
        <v>900</v>
      </c>
      <c r="I1770" s="72">
        <v>850</v>
      </c>
      <c r="J1770" s="53"/>
      <c r="K1770" s="157">
        <v>0.7</v>
      </c>
      <c r="L1770" s="53">
        <f t="shared" si="112"/>
        <v>595</v>
      </c>
      <c r="M1770" s="55">
        <v>0</v>
      </c>
      <c r="N1770" s="56">
        <f t="shared" si="109"/>
        <v>595</v>
      </c>
      <c r="O1770" s="156"/>
      <c r="P1770" s="145" t="str">
        <f t="shared" si="108"/>
        <v>PLC8</v>
      </c>
      <c r="Q1770" s="52">
        <f t="shared" si="110"/>
        <v>42</v>
      </c>
      <c r="R1770" s="8">
        <f t="shared" si="111"/>
        <v>2025</v>
      </c>
    </row>
    <row r="1771" spans="1:18" x14ac:dyDescent="0.25">
      <c r="A1771" s="224"/>
      <c r="B1771" s="148">
        <v>45948</v>
      </c>
      <c r="C1771" s="58" t="s">
        <v>57</v>
      </c>
      <c r="D1771" s="59" t="s">
        <v>38</v>
      </c>
      <c r="E1771" s="60" t="s">
        <v>39</v>
      </c>
      <c r="F1771" s="60" t="s">
        <v>40</v>
      </c>
      <c r="G1771" s="199">
        <v>5.9</v>
      </c>
      <c r="H1771" s="60">
        <v>900</v>
      </c>
      <c r="I1771" s="72">
        <v>850</v>
      </c>
      <c r="J1771" s="60"/>
      <c r="K1771" s="159">
        <v>0.7</v>
      </c>
      <c r="L1771" s="60">
        <f t="shared" si="112"/>
        <v>595</v>
      </c>
      <c r="M1771" s="62">
        <v>0</v>
      </c>
      <c r="N1771" s="63">
        <f t="shared" si="109"/>
        <v>595</v>
      </c>
      <c r="O1771" s="206"/>
      <c r="P1771" s="145" t="str">
        <f t="shared" si="108"/>
        <v>PLC5,9</v>
      </c>
      <c r="Q1771" s="52">
        <f t="shared" si="110"/>
        <v>42</v>
      </c>
      <c r="R1771" s="8">
        <f t="shared" si="111"/>
        <v>2025</v>
      </c>
    </row>
    <row r="1772" spans="1:18" ht="15.75" thickBot="1" x14ac:dyDescent="0.3">
      <c r="A1772" s="225"/>
      <c r="B1772" s="113">
        <v>45949</v>
      </c>
      <c r="C1772" s="66" t="s">
        <v>59</v>
      </c>
      <c r="D1772" s="67" t="s">
        <v>38</v>
      </c>
      <c r="E1772" s="67" t="s">
        <v>39</v>
      </c>
      <c r="F1772" s="67" t="s">
        <v>40</v>
      </c>
      <c r="G1772" s="68">
        <v>5.9</v>
      </c>
      <c r="H1772" s="67">
        <v>900</v>
      </c>
      <c r="I1772" s="72">
        <v>850</v>
      </c>
      <c r="J1772" s="67"/>
      <c r="K1772" s="161">
        <v>0.7</v>
      </c>
      <c r="L1772" s="67">
        <f t="shared" si="112"/>
        <v>595</v>
      </c>
      <c r="M1772" s="69">
        <v>0</v>
      </c>
      <c r="N1772" s="70">
        <f t="shared" si="109"/>
        <v>595</v>
      </c>
      <c r="O1772" s="207"/>
      <c r="P1772" s="145" t="str">
        <f t="shared" si="108"/>
        <v>PLC5,9</v>
      </c>
      <c r="Q1772" s="52">
        <f t="shared" si="110"/>
        <v>42</v>
      </c>
      <c r="R1772" s="8">
        <f t="shared" si="111"/>
        <v>2025</v>
      </c>
    </row>
    <row r="1773" spans="1:18" x14ac:dyDescent="0.25">
      <c r="A1773" s="223">
        <f>_xlfn.ISOWEEKNUM(B1773)</f>
        <v>43</v>
      </c>
      <c r="B1773" s="145">
        <v>45950</v>
      </c>
      <c r="C1773" s="40" t="s">
        <v>37</v>
      </c>
      <c r="D1773" s="72" t="s">
        <v>38</v>
      </c>
      <c r="E1773" s="41" t="s">
        <v>39</v>
      </c>
      <c r="F1773" s="41" t="s">
        <v>40</v>
      </c>
      <c r="G1773" s="43">
        <v>5.9</v>
      </c>
      <c r="H1773" s="41">
        <v>0</v>
      </c>
      <c r="I1773" s="72">
        <v>850</v>
      </c>
      <c r="J1773" s="41"/>
      <c r="K1773" s="157">
        <v>0.7</v>
      </c>
      <c r="L1773" s="41">
        <f t="shared" si="112"/>
        <v>595</v>
      </c>
      <c r="M1773" s="73">
        <v>0</v>
      </c>
      <c r="N1773" s="74">
        <f t="shared" si="109"/>
        <v>595</v>
      </c>
      <c r="O1773" s="208"/>
      <c r="P1773" s="145" t="str">
        <f t="shared" si="108"/>
        <v>PLC5,9</v>
      </c>
      <c r="Q1773" s="52">
        <f t="shared" si="110"/>
        <v>43</v>
      </c>
      <c r="R1773" s="8">
        <f t="shared" si="111"/>
        <v>2025</v>
      </c>
    </row>
    <row r="1774" spans="1:18" x14ac:dyDescent="0.25">
      <c r="A1774" s="224"/>
      <c r="B1774" s="145">
        <v>45951</v>
      </c>
      <c r="C1774" s="52" t="s">
        <v>42</v>
      </c>
      <c r="D1774" s="52" t="s">
        <v>38</v>
      </c>
      <c r="E1774" s="53" t="s">
        <v>39</v>
      </c>
      <c r="F1774" s="53" t="s">
        <v>40</v>
      </c>
      <c r="G1774" s="43">
        <v>4.9000000000000004</v>
      </c>
      <c r="H1774" s="53">
        <v>0</v>
      </c>
      <c r="I1774" s="72">
        <v>850</v>
      </c>
      <c r="J1774" s="53"/>
      <c r="K1774" s="157">
        <v>0.7</v>
      </c>
      <c r="L1774" s="53">
        <f t="shared" si="112"/>
        <v>595</v>
      </c>
      <c r="M1774" s="55">
        <v>0</v>
      </c>
      <c r="N1774" s="56">
        <f t="shared" si="109"/>
        <v>595</v>
      </c>
      <c r="O1774" s="156"/>
      <c r="P1774" s="145" t="str">
        <f t="shared" si="108"/>
        <v>PLC4,9</v>
      </c>
      <c r="Q1774" s="52">
        <f t="shared" si="110"/>
        <v>43</v>
      </c>
      <c r="R1774" s="8">
        <f t="shared" si="111"/>
        <v>2025</v>
      </c>
    </row>
    <row r="1775" spans="1:18" x14ac:dyDescent="0.25">
      <c r="A1775" s="224"/>
      <c r="B1775" s="145">
        <v>45952</v>
      </c>
      <c r="C1775" s="52" t="s">
        <v>46</v>
      </c>
      <c r="D1775" s="52" t="s">
        <v>38</v>
      </c>
      <c r="E1775" s="53" t="s">
        <v>39</v>
      </c>
      <c r="F1775" s="53" t="s">
        <v>40</v>
      </c>
      <c r="G1775" s="43">
        <v>4.9000000000000004</v>
      </c>
      <c r="H1775" s="53">
        <v>0</v>
      </c>
      <c r="I1775" s="72">
        <v>850</v>
      </c>
      <c r="J1775" s="53"/>
      <c r="K1775" s="157">
        <v>0.7</v>
      </c>
      <c r="L1775" s="53">
        <f t="shared" si="112"/>
        <v>595</v>
      </c>
      <c r="M1775" s="55">
        <v>0</v>
      </c>
      <c r="N1775" s="56">
        <f t="shared" si="109"/>
        <v>595</v>
      </c>
      <c r="O1775" s="156"/>
      <c r="P1775" s="145" t="str">
        <f t="shared" ref="P1775:P1838" si="113">E1775&amp;G1775</f>
        <v>PLC4,9</v>
      </c>
      <c r="Q1775" s="52">
        <f t="shared" si="110"/>
        <v>43</v>
      </c>
      <c r="R1775" s="8">
        <f t="shared" si="111"/>
        <v>2025</v>
      </c>
    </row>
    <row r="1776" spans="1:18" x14ac:dyDescent="0.25">
      <c r="A1776" s="224"/>
      <c r="B1776" s="145">
        <v>45953</v>
      </c>
      <c r="C1776" s="52" t="s">
        <v>50</v>
      </c>
      <c r="D1776" s="52" t="s">
        <v>38</v>
      </c>
      <c r="E1776" s="53" t="s">
        <v>39</v>
      </c>
      <c r="F1776" s="53" t="s">
        <v>40</v>
      </c>
      <c r="G1776" s="43">
        <v>3.9</v>
      </c>
      <c r="H1776" s="53">
        <v>0</v>
      </c>
      <c r="I1776" s="72">
        <v>850</v>
      </c>
      <c r="J1776" s="53"/>
      <c r="K1776" s="157">
        <v>0.7</v>
      </c>
      <c r="L1776" s="53">
        <f t="shared" si="112"/>
        <v>595</v>
      </c>
      <c r="M1776" s="55">
        <v>0</v>
      </c>
      <c r="N1776" s="56">
        <f t="shared" si="109"/>
        <v>595</v>
      </c>
      <c r="O1776" s="156"/>
      <c r="P1776" s="145" t="str">
        <f t="shared" si="113"/>
        <v>PLC3,9</v>
      </c>
      <c r="Q1776" s="52">
        <f t="shared" si="110"/>
        <v>43</v>
      </c>
      <c r="R1776" s="8">
        <f t="shared" si="111"/>
        <v>2025</v>
      </c>
    </row>
    <row r="1777" spans="1:18" x14ac:dyDescent="0.25">
      <c r="A1777" s="224"/>
      <c r="B1777" s="145">
        <v>45954</v>
      </c>
      <c r="C1777" s="52" t="s">
        <v>53</v>
      </c>
      <c r="D1777" s="52" t="s">
        <v>38</v>
      </c>
      <c r="E1777" s="53" t="s">
        <v>39</v>
      </c>
      <c r="F1777" s="53" t="s">
        <v>40</v>
      </c>
      <c r="G1777" s="43">
        <v>3.9</v>
      </c>
      <c r="H1777" s="53">
        <v>0</v>
      </c>
      <c r="I1777" s="72">
        <v>850</v>
      </c>
      <c r="J1777" s="53"/>
      <c r="K1777" s="157">
        <v>0.7</v>
      </c>
      <c r="L1777" s="53">
        <f t="shared" si="112"/>
        <v>595</v>
      </c>
      <c r="M1777" s="55">
        <v>0</v>
      </c>
      <c r="N1777" s="56">
        <f t="shared" si="109"/>
        <v>595</v>
      </c>
      <c r="O1777" s="156"/>
      <c r="P1777" s="145" t="str">
        <f t="shared" si="113"/>
        <v>PLC3,9</v>
      </c>
      <c r="Q1777" s="52">
        <f t="shared" si="110"/>
        <v>43</v>
      </c>
      <c r="R1777" s="8">
        <f t="shared" si="111"/>
        <v>2025</v>
      </c>
    </row>
    <row r="1778" spans="1:18" x14ac:dyDescent="0.25">
      <c r="A1778" s="224"/>
      <c r="B1778" s="148">
        <v>45955</v>
      </c>
      <c r="C1778" s="58" t="s">
        <v>57</v>
      </c>
      <c r="D1778" s="59" t="s">
        <v>38</v>
      </c>
      <c r="E1778" s="60" t="s">
        <v>39</v>
      </c>
      <c r="F1778" s="60" t="s">
        <v>40</v>
      </c>
      <c r="G1778" s="199">
        <v>3.9</v>
      </c>
      <c r="H1778" s="60">
        <v>0</v>
      </c>
      <c r="I1778" s="72">
        <v>850</v>
      </c>
      <c r="J1778" s="60"/>
      <c r="K1778" s="159">
        <v>0.7</v>
      </c>
      <c r="L1778" s="60">
        <f t="shared" si="112"/>
        <v>595</v>
      </c>
      <c r="M1778" s="62">
        <v>0</v>
      </c>
      <c r="N1778" s="63">
        <f t="shared" si="109"/>
        <v>595</v>
      </c>
      <c r="O1778" s="206"/>
      <c r="P1778" s="145" t="str">
        <f t="shared" si="113"/>
        <v>PLC3,9</v>
      </c>
      <c r="Q1778" s="52">
        <f t="shared" si="110"/>
        <v>43</v>
      </c>
      <c r="R1778" s="8">
        <f t="shared" si="111"/>
        <v>2025</v>
      </c>
    </row>
    <row r="1779" spans="1:18" ht="15.75" thickBot="1" x14ac:dyDescent="0.3">
      <c r="A1779" s="225"/>
      <c r="B1779" s="113">
        <v>45956</v>
      </c>
      <c r="C1779" s="66" t="s">
        <v>59</v>
      </c>
      <c r="D1779" s="67" t="s">
        <v>38</v>
      </c>
      <c r="E1779" s="67" t="s">
        <v>39</v>
      </c>
      <c r="F1779" s="67" t="s">
        <v>40</v>
      </c>
      <c r="G1779" s="68">
        <v>3.9</v>
      </c>
      <c r="H1779" s="67">
        <v>0</v>
      </c>
      <c r="I1779" s="72">
        <v>850</v>
      </c>
      <c r="J1779" s="67">
        <v>820</v>
      </c>
      <c r="K1779" s="161">
        <v>0.7</v>
      </c>
      <c r="L1779" s="67">
        <f t="shared" si="112"/>
        <v>574</v>
      </c>
      <c r="M1779" s="69">
        <v>0</v>
      </c>
      <c r="N1779" s="70">
        <f t="shared" si="109"/>
        <v>574</v>
      </c>
      <c r="O1779" s="207"/>
      <c r="P1779" s="145" t="str">
        <f t="shared" si="113"/>
        <v>PLC3,9</v>
      </c>
      <c r="Q1779" s="52">
        <f t="shared" si="110"/>
        <v>43</v>
      </c>
      <c r="R1779" s="8">
        <f t="shared" si="111"/>
        <v>2025</v>
      </c>
    </row>
    <row r="1780" spans="1:18" x14ac:dyDescent="0.25">
      <c r="A1780" s="223">
        <f>_xlfn.ISOWEEKNUM(B1780)</f>
        <v>44</v>
      </c>
      <c r="B1780" s="145">
        <v>45957</v>
      </c>
      <c r="C1780" s="40" t="s">
        <v>37</v>
      </c>
      <c r="D1780" s="72" t="s">
        <v>38</v>
      </c>
      <c r="E1780" s="41" t="s">
        <v>39</v>
      </c>
      <c r="F1780" s="41" t="s">
        <v>40</v>
      </c>
      <c r="G1780" s="43">
        <v>3.9</v>
      </c>
      <c r="H1780" s="41">
        <v>0</v>
      </c>
      <c r="I1780" s="72">
        <v>820</v>
      </c>
      <c r="J1780" s="41">
        <v>790</v>
      </c>
      <c r="K1780" s="157">
        <v>0.7</v>
      </c>
      <c r="L1780" s="41">
        <f t="shared" si="112"/>
        <v>553</v>
      </c>
      <c r="M1780" s="73">
        <v>0</v>
      </c>
      <c r="N1780" s="74">
        <f t="shared" si="109"/>
        <v>553</v>
      </c>
      <c r="O1780" s="208"/>
      <c r="P1780" s="145" t="str">
        <f t="shared" si="113"/>
        <v>PLC3,9</v>
      </c>
      <c r="Q1780" s="52">
        <f t="shared" si="110"/>
        <v>44</v>
      </c>
      <c r="R1780" s="8">
        <f t="shared" si="111"/>
        <v>2025</v>
      </c>
    </row>
    <row r="1781" spans="1:18" x14ac:dyDescent="0.25">
      <c r="A1781" s="224"/>
      <c r="B1781" s="145">
        <v>45958</v>
      </c>
      <c r="C1781" s="52" t="s">
        <v>42</v>
      </c>
      <c r="D1781" s="52" t="s">
        <v>38</v>
      </c>
      <c r="E1781" s="53" t="s">
        <v>39</v>
      </c>
      <c r="F1781" s="53" t="s">
        <v>40</v>
      </c>
      <c r="G1781" s="43">
        <v>3.9</v>
      </c>
      <c r="H1781" s="53">
        <v>0</v>
      </c>
      <c r="I1781" s="72">
        <v>820</v>
      </c>
      <c r="J1781" s="53">
        <v>760</v>
      </c>
      <c r="K1781" s="157">
        <v>0.7</v>
      </c>
      <c r="L1781" s="53">
        <f t="shared" si="112"/>
        <v>532</v>
      </c>
      <c r="M1781" s="55">
        <v>0</v>
      </c>
      <c r="N1781" s="56">
        <f t="shared" si="109"/>
        <v>532</v>
      </c>
      <c r="O1781" s="156"/>
      <c r="P1781" s="145" t="str">
        <f t="shared" si="113"/>
        <v>PLC3,9</v>
      </c>
      <c r="Q1781" s="52">
        <f t="shared" si="110"/>
        <v>44</v>
      </c>
      <c r="R1781" s="8">
        <f t="shared" si="111"/>
        <v>2025</v>
      </c>
    </row>
    <row r="1782" spans="1:18" x14ac:dyDescent="0.25">
      <c r="A1782" s="224"/>
      <c r="B1782" s="145">
        <v>45959</v>
      </c>
      <c r="C1782" s="52" t="s">
        <v>46</v>
      </c>
      <c r="D1782" s="52" t="s">
        <v>38</v>
      </c>
      <c r="E1782" s="53" t="s">
        <v>39</v>
      </c>
      <c r="F1782" s="53" t="s">
        <v>40</v>
      </c>
      <c r="G1782" s="43">
        <v>5.9</v>
      </c>
      <c r="H1782" s="53">
        <v>0</v>
      </c>
      <c r="I1782" s="72">
        <v>820</v>
      </c>
      <c r="J1782" s="53">
        <v>730</v>
      </c>
      <c r="K1782" s="157">
        <v>0.7</v>
      </c>
      <c r="L1782" s="53">
        <f t="shared" si="112"/>
        <v>510.99999999999994</v>
      </c>
      <c r="M1782" s="55">
        <v>0</v>
      </c>
      <c r="N1782" s="56">
        <f t="shared" ref="N1782:N1845" si="114">+L1782*(1-M1782)</f>
        <v>510.99999999999994</v>
      </c>
      <c r="O1782" s="156"/>
      <c r="P1782" s="145" t="str">
        <f t="shared" si="113"/>
        <v>PLC5,9</v>
      </c>
      <c r="Q1782" s="52">
        <f t="shared" si="110"/>
        <v>44</v>
      </c>
      <c r="R1782" s="8">
        <f t="shared" si="111"/>
        <v>2025</v>
      </c>
    </row>
    <row r="1783" spans="1:18" x14ac:dyDescent="0.25">
      <c r="A1783" s="224"/>
      <c r="B1783" s="145">
        <v>45960</v>
      </c>
      <c r="C1783" s="52" t="s">
        <v>50</v>
      </c>
      <c r="D1783" s="52" t="s">
        <v>38</v>
      </c>
      <c r="E1783" s="53" t="s">
        <v>39</v>
      </c>
      <c r="F1783" s="53" t="s">
        <v>40</v>
      </c>
      <c r="G1783" s="43">
        <v>5.9</v>
      </c>
      <c r="H1783" s="53">
        <v>0</v>
      </c>
      <c r="I1783" s="72">
        <v>820</v>
      </c>
      <c r="J1783" s="53">
        <v>700</v>
      </c>
      <c r="K1783" s="157">
        <v>0.7</v>
      </c>
      <c r="L1783" s="53">
        <f t="shared" si="112"/>
        <v>489.99999999999994</v>
      </c>
      <c r="M1783" s="55">
        <v>0</v>
      </c>
      <c r="N1783" s="56">
        <f t="shared" si="114"/>
        <v>489.99999999999994</v>
      </c>
      <c r="O1783" s="156"/>
      <c r="P1783" s="145" t="str">
        <f t="shared" si="113"/>
        <v>PLC5,9</v>
      </c>
      <c r="Q1783" s="52">
        <f t="shared" si="110"/>
        <v>44</v>
      </c>
      <c r="R1783" s="8">
        <f t="shared" si="111"/>
        <v>2025</v>
      </c>
    </row>
    <row r="1784" spans="1:18" x14ac:dyDescent="0.25">
      <c r="A1784" s="224"/>
      <c r="B1784" s="145">
        <v>45961</v>
      </c>
      <c r="C1784" s="52" t="s">
        <v>53</v>
      </c>
      <c r="D1784" s="52" t="s">
        <v>38</v>
      </c>
      <c r="E1784" s="53" t="s">
        <v>39</v>
      </c>
      <c r="F1784" s="53" t="s">
        <v>40</v>
      </c>
      <c r="G1784" s="43">
        <v>10</v>
      </c>
      <c r="H1784" s="53">
        <v>0</v>
      </c>
      <c r="I1784" s="72">
        <v>820</v>
      </c>
      <c r="J1784" s="53">
        <v>670</v>
      </c>
      <c r="K1784" s="157">
        <v>0.7</v>
      </c>
      <c r="L1784" s="53">
        <f t="shared" si="112"/>
        <v>468.99999999999994</v>
      </c>
      <c r="M1784" s="55">
        <v>0</v>
      </c>
      <c r="N1784" s="56">
        <f t="shared" si="114"/>
        <v>468.99999999999994</v>
      </c>
      <c r="O1784" s="156"/>
      <c r="P1784" s="145" t="str">
        <f t="shared" si="113"/>
        <v>PLC10</v>
      </c>
      <c r="Q1784" s="52">
        <f t="shared" si="110"/>
        <v>44</v>
      </c>
      <c r="R1784" s="8">
        <f t="shared" si="111"/>
        <v>2025</v>
      </c>
    </row>
    <row r="1785" spans="1:18" x14ac:dyDescent="0.25">
      <c r="A1785" s="224"/>
      <c r="B1785" s="148">
        <v>45962</v>
      </c>
      <c r="C1785" s="58" t="s">
        <v>57</v>
      </c>
      <c r="D1785" s="59" t="s">
        <v>38</v>
      </c>
      <c r="E1785" s="60" t="s">
        <v>39</v>
      </c>
      <c r="F1785" s="60" t="s">
        <v>40</v>
      </c>
      <c r="G1785" s="199">
        <v>10</v>
      </c>
      <c r="H1785" s="60">
        <v>0</v>
      </c>
      <c r="I1785" s="72">
        <v>820</v>
      </c>
      <c r="J1785" s="60">
        <v>670</v>
      </c>
      <c r="K1785" s="159">
        <v>0.7</v>
      </c>
      <c r="L1785" s="60">
        <f t="shared" si="112"/>
        <v>468.99999999999994</v>
      </c>
      <c r="M1785" s="62">
        <v>0</v>
      </c>
      <c r="N1785" s="63">
        <f t="shared" si="114"/>
        <v>468.99999999999994</v>
      </c>
      <c r="O1785" s="206"/>
      <c r="P1785" s="145" t="str">
        <f t="shared" si="113"/>
        <v>PLC10</v>
      </c>
      <c r="Q1785" s="52">
        <f t="shared" si="110"/>
        <v>44</v>
      </c>
      <c r="R1785" s="8">
        <f t="shared" si="111"/>
        <v>2025</v>
      </c>
    </row>
    <row r="1786" spans="1:18" ht="15.75" thickBot="1" x14ac:dyDescent="0.3">
      <c r="A1786" s="225"/>
      <c r="B1786" s="113">
        <v>45963</v>
      </c>
      <c r="C1786" s="66" t="s">
        <v>59</v>
      </c>
      <c r="D1786" s="67" t="s">
        <v>38</v>
      </c>
      <c r="E1786" s="67" t="s">
        <v>39</v>
      </c>
      <c r="F1786" s="67" t="s">
        <v>40</v>
      </c>
      <c r="G1786" s="68">
        <v>10</v>
      </c>
      <c r="H1786" s="67">
        <v>0</v>
      </c>
      <c r="I1786" s="72">
        <v>820</v>
      </c>
      <c r="J1786" s="67">
        <v>670</v>
      </c>
      <c r="K1786" s="161">
        <v>0.7</v>
      </c>
      <c r="L1786" s="67">
        <f t="shared" si="112"/>
        <v>468.99999999999994</v>
      </c>
      <c r="M1786" s="69">
        <v>0</v>
      </c>
      <c r="N1786" s="70">
        <f t="shared" si="114"/>
        <v>468.99999999999994</v>
      </c>
      <c r="O1786" s="207"/>
      <c r="P1786" s="145" t="str">
        <f t="shared" si="113"/>
        <v>PLC10</v>
      </c>
      <c r="Q1786" s="52">
        <f t="shared" si="110"/>
        <v>44</v>
      </c>
      <c r="R1786" s="8">
        <f t="shared" si="111"/>
        <v>2025</v>
      </c>
    </row>
    <row r="1787" spans="1:18" x14ac:dyDescent="0.25">
      <c r="A1787" s="223">
        <f>_xlfn.ISOWEEKNUM(B1787)</f>
        <v>45</v>
      </c>
      <c r="B1787" s="145">
        <v>45964</v>
      </c>
      <c r="C1787" s="40" t="s">
        <v>37</v>
      </c>
      <c r="D1787" s="72" t="s">
        <v>38</v>
      </c>
      <c r="E1787" s="41" t="s">
        <v>39</v>
      </c>
      <c r="F1787" s="41" t="s">
        <v>176</v>
      </c>
      <c r="G1787" s="43">
        <v>15</v>
      </c>
      <c r="H1787" s="41">
        <v>900</v>
      </c>
      <c r="I1787" s="72">
        <v>820</v>
      </c>
      <c r="J1787" s="41">
        <v>670</v>
      </c>
      <c r="K1787" s="157">
        <v>0.7</v>
      </c>
      <c r="L1787" s="41">
        <f t="shared" si="112"/>
        <v>468.99999999999994</v>
      </c>
      <c r="M1787" s="73">
        <v>0</v>
      </c>
      <c r="N1787" s="74">
        <f t="shared" si="114"/>
        <v>468.99999999999994</v>
      </c>
      <c r="O1787" s="208"/>
      <c r="P1787" s="145" t="str">
        <f t="shared" si="113"/>
        <v>PLC15</v>
      </c>
      <c r="Q1787" s="52">
        <f t="shared" si="110"/>
        <v>45</v>
      </c>
      <c r="R1787" s="8">
        <f t="shared" si="111"/>
        <v>2025</v>
      </c>
    </row>
    <row r="1788" spans="1:18" x14ac:dyDescent="0.25">
      <c r="A1788" s="224"/>
      <c r="B1788" s="145">
        <v>45965</v>
      </c>
      <c r="C1788" s="52" t="s">
        <v>42</v>
      </c>
      <c r="D1788" s="52" t="s">
        <v>38</v>
      </c>
      <c r="E1788" s="53" t="s">
        <v>39</v>
      </c>
      <c r="F1788" s="53" t="s">
        <v>176</v>
      </c>
      <c r="G1788" s="43">
        <v>15</v>
      </c>
      <c r="H1788" s="53">
        <v>900</v>
      </c>
      <c r="I1788" s="72">
        <v>820</v>
      </c>
      <c r="J1788" s="53">
        <v>670</v>
      </c>
      <c r="K1788" s="157">
        <v>0.7</v>
      </c>
      <c r="L1788" s="53">
        <f t="shared" si="112"/>
        <v>468.99999999999994</v>
      </c>
      <c r="M1788" s="55">
        <v>0</v>
      </c>
      <c r="N1788" s="56">
        <f t="shared" si="114"/>
        <v>468.99999999999994</v>
      </c>
      <c r="O1788" s="156"/>
      <c r="P1788" s="145" t="str">
        <f t="shared" si="113"/>
        <v>PLC15</v>
      </c>
      <c r="Q1788" s="52">
        <f t="shared" si="110"/>
        <v>45</v>
      </c>
      <c r="R1788" s="8">
        <f t="shared" si="111"/>
        <v>2025</v>
      </c>
    </row>
    <row r="1789" spans="1:18" x14ac:dyDescent="0.25">
      <c r="A1789" s="224"/>
      <c r="B1789" s="145">
        <v>45966</v>
      </c>
      <c r="C1789" s="52" t="s">
        <v>46</v>
      </c>
      <c r="D1789" s="52" t="s">
        <v>38</v>
      </c>
      <c r="E1789" s="53" t="s">
        <v>39</v>
      </c>
      <c r="F1789" s="53" t="s">
        <v>176</v>
      </c>
      <c r="G1789" s="43">
        <v>19</v>
      </c>
      <c r="H1789" s="53">
        <v>900</v>
      </c>
      <c r="I1789" s="72">
        <v>820</v>
      </c>
      <c r="J1789" s="53">
        <v>670</v>
      </c>
      <c r="K1789" s="157">
        <v>0.7</v>
      </c>
      <c r="L1789" s="53">
        <f t="shared" si="112"/>
        <v>468.99999999999994</v>
      </c>
      <c r="M1789" s="55">
        <v>0</v>
      </c>
      <c r="N1789" s="56">
        <f t="shared" si="114"/>
        <v>468.99999999999994</v>
      </c>
      <c r="O1789" s="156"/>
      <c r="P1789" s="145" t="str">
        <f t="shared" si="113"/>
        <v>PLC19</v>
      </c>
      <c r="Q1789" s="52">
        <f t="shared" si="110"/>
        <v>45</v>
      </c>
      <c r="R1789" s="8">
        <f t="shared" si="111"/>
        <v>2025</v>
      </c>
    </row>
    <row r="1790" spans="1:18" x14ac:dyDescent="0.25">
      <c r="A1790" s="224"/>
      <c r="B1790" s="145">
        <v>45967</v>
      </c>
      <c r="C1790" s="52" t="s">
        <v>50</v>
      </c>
      <c r="D1790" s="52" t="s">
        <v>38</v>
      </c>
      <c r="E1790" s="53" t="s">
        <v>39</v>
      </c>
      <c r="F1790" s="53" t="s">
        <v>176</v>
      </c>
      <c r="G1790" s="43">
        <v>19</v>
      </c>
      <c r="H1790" s="53">
        <v>900</v>
      </c>
      <c r="I1790" s="72">
        <v>820</v>
      </c>
      <c r="J1790" s="53">
        <v>670</v>
      </c>
      <c r="K1790" s="157">
        <v>0.7</v>
      </c>
      <c r="L1790" s="53">
        <f t="shared" si="112"/>
        <v>468.99999999999994</v>
      </c>
      <c r="M1790" s="55">
        <v>0</v>
      </c>
      <c r="N1790" s="56">
        <f t="shared" si="114"/>
        <v>468.99999999999994</v>
      </c>
      <c r="O1790" s="156"/>
      <c r="P1790" s="145" t="str">
        <f t="shared" si="113"/>
        <v>PLC19</v>
      </c>
      <c r="Q1790" s="52">
        <f t="shared" si="110"/>
        <v>45</v>
      </c>
      <c r="R1790" s="8">
        <f t="shared" si="111"/>
        <v>2025</v>
      </c>
    </row>
    <row r="1791" spans="1:18" x14ac:dyDescent="0.25">
      <c r="A1791" s="224"/>
      <c r="B1791" s="145">
        <v>45968</v>
      </c>
      <c r="C1791" s="52" t="s">
        <v>53</v>
      </c>
      <c r="D1791" s="52" t="s">
        <v>38</v>
      </c>
      <c r="E1791" s="53" t="s">
        <v>39</v>
      </c>
      <c r="F1791" s="53" t="s">
        <v>176</v>
      </c>
      <c r="G1791" s="43">
        <v>12</v>
      </c>
      <c r="H1791" s="53">
        <v>900</v>
      </c>
      <c r="I1791" s="72">
        <v>820</v>
      </c>
      <c r="J1791" s="53">
        <v>670</v>
      </c>
      <c r="K1791" s="157">
        <v>0.7</v>
      </c>
      <c r="L1791" s="53">
        <f t="shared" si="112"/>
        <v>468.99999999999994</v>
      </c>
      <c r="M1791" s="55">
        <v>0</v>
      </c>
      <c r="N1791" s="56">
        <f t="shared" si="114"/>
        <v>468.99999999999994</v>
      </c>
      <c r="O1791" s="156"/>
      <c r="P1791" s="145" t="str">
        <f t="shared" si="113"/>
        <v>PLC12</v>
      </c>
      <c r="Q1791" s="52">
        <f t="shared" si="110"/>
        <v>45</v>
      </c>
      <c r="R1791" s="8">
        <f t="shared" si="111"/>
        <v>2025</v>
      </c>
    </row>
    <row r="1792" spans="1:18" x14ac:dyDescent="0.25">
      <c r="A1792" s="224"/>
      <c r="B1792" s="148">
        <v>45969</v>
      </c>
      <c r="C1792" s="58" t="s">
        <v>57</v>
      </c>
      <c r="D1792" s="59" t="s">
        <v>38</v>
      </c>
      <c r="E1792" s="60" t="s">
        <v>39</v>
      </c>
      <c r="F1792" s="60" t="s">
        <v>176</v>
      </c>
      <c r="G1792" s="199">
        <v>12</v>
      </c>
      <c r="H1792" s="60">
        <v>900</v>
      </c>
      <c r="I1792" s="72">
        <v>820</v>
      </c>
      <c r="J1792" s="60">
        <v>670</v>
      </c>
      <c r="K1792" s="159">
        <v>0.7</v>
      </c>
      <c r="L1792" s="60">
        <f t="shared" si="112"/>
        <v>468.99999999999994</v>
      </c>
      <c r="M1792" s="62">
        <v>0</v>
      </c>
      <c r="N1792" s="63">
        <f t="shared" si="114"/>
        <v>468.99999999999994</v>
      </c>
      <c r="O1792" s="206"/>
      <c r="P1792" s="145" t="str">
        <f t="shared" si="113"/>
        <v>PLC12</v>
      </c>
      <c r="Q1792" s="52">
        <f t="shared" si="110"/>
        <v>45</v>
      </c>
      <c r="R1792" s="8">
        <f t="shared" si="111"/>
        <v>2025</v>
      </c>
    </row>
    <row r="1793" spans="1:18" ht="15.75" thickBot="1" x14ac:dyDescent="0.3">
      <c r="A1793" s="225"/>
      <c r="B1793" s="113">
        <v>45970</v>
      </c>
      <c r="C1793" s="66" t="s">
        <v>59</v>
      </c>
      <c r="D1793" s="67" t="s">
        <v>38</v>
      </c>
      <c r="E1793" s="67" t="s">
        <v>39</v>
      </c>
      <c r="F1793" s="67" t="s">
        <v>176</v>
      </c>
      <c r="G1793" s="68">
        <v>12</v>
      </c>
      <c r="H1793" s="67">
        <v>900</v>
      </c>
      <c r="I1793" s="72">
        <v>820</v>
      </c>
      <c r="J1793" s="67">
        <v>670</v>
      </c>
      <c r="K1793" s="161">
        <v>0.7</v>
      </c>
      <c r="L1793" s="67">
        <f t="shared" si="112"/>
        <v>468.99999999999994</v>
      </c>
      <c r="M1793" s="69">
        <v>0</v>
      </c>
      <c r="N1793" s="70">
        <f t="shared" si="114"/>
        <v>468.99999999999994</v>
      </c>
      <c r="O1793" s="207"/>
      <c r="P1793" s="145" t="str">
        <f t="shared" si="113"/>
        <v>PLC12</v>
      </c>
      <c r="Q1793" s="52">
        <f t="shared" si="110"/>
        <v>45</v>
      </c>
      <c r="R1793" s="8">
        <f t="shared" si="111"/>
        <v>2025</v>
      </c>
    </row>
    <row r="1794" spans="1:18" x14ac:dyDescent="0.25">
      <c r="A1794" s="223">
        <f>_xlfn.ISOWEEKNUM(B1794)</f>
        <v>46</v>
      </c>
      <c r="B1794" s="145">
        <v>45971</v>
      </c>
      <c r="C1794" s="40" t="s">
        <v>37</v>
      </c>
      <c r="D1794" s="72" t="s">
        <v>38</v>
      </c>
      <c r="E1794" s="41" t="s">
        <v>39</v>
      </c>
      <c r="F1794" s="41" t="s">
        <v>40</v>
      </c>
      <c r="G1794" s="43">
        <v>8</v>
      </c>
      <c r="H1794" s="41">
        <v>900</v>
      </c>
      <c r="I1794" s="72">
        <v>820</v>
      </c>
      <c r="J1794" s="41">
        <v>700</v>
      </c>
      <c r="K1794" s="157">
        <v>0.7</v>
      </c>
      <c r="L1794" s="41">
        <f t="shared" si="112"/>
        <v>489.99999999999994</v>
      </c>
      <c r="M1794" s="73">
        <v>0</v>
      </c>
      <c r="N1794" s="74">
        <f t="shared" si="114"/>
        <v>489.99999999999994</v>
      </c>
      <c r="O1794" s="208"/>
      <c r="P1794" s="145" t="str">
        <f t="shared" si="113"/>
        <v>PLC8</v>
      </c>
      <c r="Q1794" s="52">
        <f t="shared" si="110"/>
        <v>46</v>
      </c>
      <c r="R1794" s="8">
        <f t="shared" si="111"/>
        <v>2025</v>
      </c>
    </row>
    <row r="1795" spans="1:18" x14ac:dyDescent="0.25">
      <c r="A1795" s="224"/>
      <c r="B1795" s="145">
        <v>45972</v>
      </c>
      <c r="C1795" s="52" t="s">
        <v>42</v>
      </c>
      <c r="D1795" s="52" t="s">
        <v>38</v>
      </c>
      <c r="E1795" s="53" t="s">
        <v>39</v>
      </c>
      <c r="F1795" s="53" t="s">
        <v>40</v>
      </c>
      <c r="G1795" s="43">
        <v>8</v>
      </c>
      <c r="H1795" s="53">
        <v>900</v>
      </c>
      <c r="I1795" s="72">
        <v>820</v>
      </c>
      <c r="J1795" s="53">
        <v>720</v>
      </c>
      <c r="K1795" s="157">
        <v>0.7</v>
      </c>
      <c r="L1795" s="53">
        <f t="shared" si="112"/>
        <v>503.99999999999994</v>
      </c>
      <c r="M1795" s="55">
        <v>0</v>
      </c>
      <c r="N1795" s="56">
        <f t="shared" si="114"/>
        <v>503.99999999999994</v>
      </c>
      <c r="O1795" s="156"/>
      <c r="P1795" s="145" t="str">
        <f t="shared" si="113"/>
        <v>PLC8</v>
      </c>
      <c r="Q1795" s="52">
        <f t="shared" si="110"/>
        <v>46</v>
      </c>
      <c r="R1795" s="8">
        <f t="shared" si="111"/>
        <v>2025</v>
      </c>
    </row>
    <row r="1796" spans="1:18" x14ac:dyDescent="0.25">
      <c r="A1796" s="224"/>
      <c r="B1796" s="145">
        <v>45973</v>
      </c>
      <c r="C1796" s="52" t="s">
        <v>46</v>
      </c>
      <c r="D1796" s="52" t="s">
        <v>38</v>
      </c>
      <c r="E1796" s="53" t="s">
        <v>39</v>
      </c>
      <c r="F1796" s="53" t="s">
        <v>40</v>
      </c>
      <c r="G1796" s="43">
        <v>8</v>
      </c>
      <c r="H1796" s="53">
        <v>900</v>
      </c>
      <c r="I1796" s="72">
        <v>820</v>
      </c>
      <c r="J1796" s="53">
        <v>740</v>
      </c>
      <c r="K1796" s="157">
        <v>0.7</v>
      </c>
      <c r="L1796" s="53">
        <f t="shared" si="112"/>
        <v>518</v>
      </c>
      <c r="M1796" s="55">
        <v>0</v>
      </c>
      <c r="N1796" s="56">
        <f t="shared" si="114"/>
        <v>518</v>
      </c>
      <c r="O1796" s="156"/>
      <c r="P1796" s="145" t="str">
        <f t="shared" si="113"/>
        <v>PLC8</v>
      </c>
      <c r="Q1796" s="52">
        <f t="shared" si="110"/>
        <v>46</v>
      </c>
      <c r="R1796" s="8">
        <f t="shared" si="111"/>
        <v>2025</v>
      </c>
    </row>
    <row r="1797" spans="1:18" x14ac:dyDescent="0.25">
      <c r="A1797" s="224"/>
      <c r="B1797" s="145">
        <v>45974</v>
      </c>
      <c r="C1797" s="52" t="s">
        <v>50</v>
      </c>
      <c r="D1797" s="52" t="s">
        <v>38</v>
      </c>
      <c r="E1797" s="53" t="s">
        <v>39</v>
      </c>
      <c r="F1797" s="53" t="s">
        <v>40</v>
      </c>
      <c r="G1797" s="43">
        <v>8</v>
      </c>
      <c r="H1797" s="53">
        <v>900</v>
      </c>
      <c r="I1797" s="72">
        <v>820</v>
      </c>
      <c r="J1797" s="53">
        <v>760</v>
      </c>
      <c r="K1797" s="157">
        <v>0.7</v>
      </c>
      <c r="L1797" s="53">
        <f t="shared" si="112"/>
        <v>532</v>
      </c>
      <c r="M1797" s="55">
        <v>0</v>
      </c>
      <c r="N1797" s="56">
        <f t="shared" si="114"/>
        <v>532</v>
      </c>
      <c r="O1797" s="156"/>
      <c r="P1797" s="145" t="str">
        <f t="shared" si="113"/>
        <v>PLC8</v>
      </c>
      <c r="Q1797" s="52">
        <f t="shared" si="110"/>
        <v>46</v>
      </c>
      <c r="R1797" s="8">
        <f t="shared" si="111"/>
        <v>2025</v>
      </c>
    </row>
    <row r="1798" spans="1:18" x14ac:dyDescent="0.25">
      <c r="A1798" s="224"/>
      <c r="B1798" s="145">
        <v>45975</v>
      </c>
      <c r="C1798" s="52" t="s">
        <v>53</v>
      </c>
      <c r="D1798" s="52" t="s">
        <v>38</v>
      </c>
      <c r="E1798" s="53" t="s">
        <v>39</v>
      </c>
      <c r="F1798" s="53" t="s">
        <v>40</v>
      </c>
      <c r="G1798" s="43">
        <v>5.9</v>
      </c>
      <c r="H1798" s="53">
        <v>900</v>
      </c>
      <c r="I1798" s="72">
        <v>820</v>
      </c>
      <c r="J1798" s="53">
        <v>780</v>
      </c>
      <c r="K1798" s="157">
        <v>0.7</v>
      </c>
      <c r="L1798" s="53">
        <f t="shared" si="112"/>
        <v>546</v>
      </c>
      <c r="M1798" s="55">
        <v>0</v>
      </c>
      <c r="N1798" s="56">
        <f t="shared" si="114"/>
        <v>546</v>
      </c>
      <c r="O1798" s="156"/>
      <c r="P1798" s="145" t="str">
        <f t="shared" si="113"/>
        <v>PLC5,9</v>
      </c>
      <c r="Q1798" s="52">
        <f t="shared" si="110"/>
        <v>46</v>
      </c>
      <c r="R1798" s="8">
        <f t="shared" si="111"/>
        <v>2025</v>
      </c>
    </row>
    <row r="1799" spans="1:18" x14ac:dyDescent="0.25">
      <c r="A1799" s="224"/>
      <c r="B1799" s="148">
        <v>45976</v>
      </c>
      <c r="C1799" s="58" t="s">
        <v>57</v>
      </c>
      <c r="D1799" s="59" t="s">
        <v>38</v>
      </c>
      <c r="E1799" s="60" t="s">
        <v>39</v>
      </c>
      <c r="F1799" s="60" t="s">
        <v>40</v>
      </c>
      <c r="G1799" s="199">
        <v>5.9</v>
      </c>
      <c r="H1799" s="60">
        <v>900</v>
      </c>
      <c r="I1799" s="72">
        <v>820</v>
      </c>
      <c r="J1799" s="60">
        <v>800</v>
      </c>
      <c r="K1799" s="159">
        <v>0.7</v>
      </c>
      <c r="L1799" s="60">
        <f t="shared" si="112"/>
        <v>560</v>
      </c>
      <c r="M1799" s="62">
        <v>0</v>
      </c>
      <c r="N1799" s="63">
        <f t="shared" si="114"/>
        <v>560</v>
      </c>
      <c r="O1799" s="206"/>
      <c r="P1799" s="145" t="str">
        <f t="shared" si="113"/>
        <v>PLC5,9</v>
      </c>
      <c r="Q1799" s="52">
        <f t="shared" si="110"/>
        <v>46</v>
      </c>
      <c r="R1799" s="8">
        <f t="shared" si="111"/>
        <v>2025</v>
      </c>
    </row>
    <row r="1800" spans="1:18" ht="15.75" thickBot="1" x14ac:dyDescent="0.3">
      <c r="A1800" s="225"/>
      <c r="B1800" s="113">
        <v>45977</v>
      </c>
      <c r="C1800" s="66" t="s">
        <v>59</v>
      </c>
      <c r="D1800" s="67" t="s">
        <v>38</v>
      </c>
      <c r="E1800" s="67" t="s">
        <v>39</v>
      </c>
      <c r="F1800" s="67" t="s">
        <v>40</v>
      </c>
      <c r="G1800" s="68">
        <v>5.9</v>
      </c>
      <c r="H1800" s="67">
        <v>900</v>
      </c>
      <c r="I1800" s="72">
        <v>820</v>
      </c>
      <c r="J1800" s="67">
        <v>0</v>
      </c>
      <c r="K1800" s="161">
        <v>0.7</v>
      </c>
      <c r="L1800" s="67">
        <f t="shared" si="112"/>
        <v>574</v>
      </c>
      <c r="M1800" s="69">
        <v>0</v>
      </c>
      <c r="N1800" s="70">
        <f t="shared" si="114"/>
        <v>574</v>
      </c>
      <c r="O1800" s="207"/>
      <c r="P1800" s="145" t="str">
        <f t="shared" si="113"/>
        <v>PLC5,9</v>
      </c>
      <c r="Q1800" s="52">
        <f t="shared" si="110"/>
        <v>46</v>
      </c>
      <c r="R1800" s="8">
        <f t="shared" si="111"/>
        <v>2025</v>
      </c>
    </row>
    <row r="1801" spans="1:18" x14ac:dyDescent="0.25">
      <c r="A1801" s="223">
        <f>_xlfn.ISOWEEKNUM(B1801)</f>
        <v>47</v>
      </c>
      <c r="B1801" s="145">
        <v>45978</v>
      </c>
      <c r="C1801" s="40" t="s">
        <v>37</v>
      </c>
      <c r="D1801" s="72" t="s">
        <v>38</v>
      </c>
      <c r="E1801" s="41" t="s">
        <v>39</v>
      </c>
      <c r="F1801" s="41" t="s">
        <v>40</v>
      </c>
      <c r="G1801" s="43">
        <v>4.9000000000000004</v>
      </c>
      <c r="H1801" s="41">
        <v>900</v>
      </c>
      <c r="I1801" s="72">
        <v>820</v>
      </c>
      <c r="J1801" s="41">
        <v>0</v>
      </c>
      <c r="K1801" s="157">
        <v>0.7</v>
      </c>
      <c r="L1801" s="41">
        <f t="shared" si="112"/>
        <v>574</v>
      </c>
      <c r="M1801" s="73">
        <v>0</v>
      </c>
      <c r="N1801" s="74">
        <f t="shared" si="114"/>
        <v>574</v>
      </c>
      <c r="O1801" s="208" t="s">
        <v>208</v>
      </c>
      <c r="P1801" s="145" t="str">
        <f t="shared" si="113"/>
        <v>PLC4,9</v>
      </c>
      <c r="Q1801" s="52">
        <f t="shared" ref="Q1801:Q1864" si="115">_xlfn.ISOWEEKNUM(B1801)</f>
        <v>47</v>
      </c>
      <c r="R1801" s="8">
        <f t="shared" ref="R1801:R1864" si="116">YEAR(B1801)</f>
        <v>2025</v>
      </c>
    </row>
    <row r="1802" spans="1:18" x14ac:dyDescent="0.25">
      <c r="A1802" s="224"/>
      <c r="B1802" s="145">
        <v>45979</v>
      </c>
      <c r="C1802" s="52" t="s">
        <v>42</v>
      </c>
      <c r="D1802" s="52" t="s">
        <v>38</v>
      </c>
      <c r="E1802" s="53" t="s">
        <v>39</v>
      </c>
      <c r="F1802" s="53" t="s">
        <v>40</v>
      </c>
      <c r="G1802" s="43">
        <v>3.9</v>
      </c>
      <c r="H1802" s="53">
        <v>900</v>
      </c>
      <c r="I1802" s="72">
        <v>820</v>
      </c>
      <c r="J1802" s="53">
        <v>0</v>
      </c>
      <c r="K1802" s="157">
        <v>0.7</v>
      </c>
      <c r="L1802" s="53">
        <f t="shared" si="112"/>
        <v>574</v>
      </c>
      <c r="M1802" s="55">
        <v>0</v>
      </c>
      <c r="N1802" s="56">
        <f t="shared" si="114"/>
        <v>574</v>
      </c>
      <c r="O1802" s="156" t="s">
        <v>208</v>
      </c>
      <c r="P1802" s="145" t="str">
        <f t="shared" si="113"/>
        <v>PLC3,9</v>
      </c>
      <c r="Q1802" s="52">
        <f t="shared" si="115"/>
        <v>47</v>
      </c>
      <c r="R1802" s="8">
        <f t="shared" si="116"/>
        <v>2025</v>
      </c>
    </row>
    <row r="1803" spans="1:18" x14ac:dyDescent="0.25">
      <c r="A1803" s="224"/>
      <c r="B1803" s="145">
        <v>45980</v>
      </c>
      <c r="C1803" s="52" t="s">
        <v>46</v>
      </c>
      <c r="D1803" s="52" t="s">
        <v>38</v>
      </c>
      <c r="E1803" s="53" t="s">
        <v>39</v>
      </c>
      <c r="F1803" s="53" t="s">
        <v>40</v>
      </c>
      <c r="G1803" s="43">
        <v>3.9</v>
      </c>
      <c r="H1803" s="53">
        <v>900</v>
      </c>
      <c r="I1803" s="72">
        <v>820</v>
      </c>
      <c r="J1803" s="53">
        <v>0</v>
      </c>
      <c r="K1803" s="157">
        <v>0.7</v>
      </c>
      <c r="L1803" s="53">
        <f t="shared" si="112"/>
        <v>574</v>
      </c>
      <c r="M1803" s="55">
        <v>0</v>
      </c>
      <c r="N1803" s="56">
        <f t="shared" si="114"/>
        <v>574</v>
      </c>
      <c r="O1803" s="156" t="s">
        <v>208</v>
      </c>
      <c r="P1803" s="145" t="str">
        <f t="shared" si="113"/>
        <v>PLC3,9</v>
      </c>
      <c r="Q1803" s="52">
        <f t="shared" si="115"/>
        <v>47</v>
      </c>
      <c r="R1803" s="8">
        <f t="shared" si="116"/>
        <v>2025</v>
      </c>
    </row>
    <row r="1804" spans="1:18" x14ac:dyDescent="0.25">
      <c r="A1804" s="224"/>
      <c r="B1804" s="145">
        <v>45981</v>
      </c>
      <c r="C1804" s="52" t="s">
        <v>50</v>
      </c>
      <c r="D1804" s="52" t="s">
        <v>38</v>
      </c>
      <c r="E1804" s="53" t="s">
        <v>39</v>
      </c>
      <c r="F1804" s="53" t="s">
        <v>40</v>
      </c>
      <c r="G1804" s="43">
        <v>3.9</v>
      </c>
      <c r="H1804" s="53">
        <v>900</v>
      </c>
      <c r="I1804" s="72">
        <v>820</v>
      </c>
      <c r="J1804" s="53">
        <v>0</v>
      </c>
      <c r="K1804" s="157">
        <v>0.7</v>
      </c>
      <c r="L1804" s="53">
        <f t="shared" si="112"/>
        <v>574</v>
      </c>
      <c r="M1804" s="55">
        <v>0</v>
      </c>
      <c r="N1804" s="56">
        <f t="shared" si="114"/>
        <v>574</v>
      </c>
      <c r="O1804" s="156" t="s">
        <v>208</v>
      </c>
      <c r="P1804" s="145" t="str">
        <f t="shared" si="113"/>
        <v>PLC3,9</v>
      </c>
      <c r="Q1804" s="52">
        <f t="shared" si="115"/>
        <v>47</v>
      </c>
      <c r="R1804" s="8">
        <f t="shared" si="116"/>
        <v>2025</v>
      </c>
    </row>
    <row r="1805" spans="1:18" x14ac:dyDescent="0.25">
      <c r="A1805" s="224"/>
      <c r="B1805" s="145">
        <v>45982</v>
      </c>
      <c r="C1805" s="52" t="s">
        <v>53</v>
      </c>
      <c r="D1805" s="52" t="s">
        <v>38</v>
      </c>
      <c r="E1805" s="53" t="s">
        <v>39</v>
      </c>
      <c r="F1805" s="53" t="s">
        <v>40</v>
      </c>
      <c r="G1805" s="43">
        <v>3.9</v>
      </c>
      <c r="H1805" s="53">
        <v>900</v>
      </c>
      <c r="I1805" s="72">
        <v>820</v>
      </c>
      <c r="J1805" s="53">
        <v>0</v>
      </c>
      <c r="K1805" s="157">
        <v>0.7</v>
      </c>
      <c r="L1805" s="53">
        <f t="shared" si="112"/>
        <v>574</v>
      </c>
      <c r="M1805" s="55">
        <v>0</v>
      </c>
      <c r="N1805" s="56">
        <f t="shared" si="114"/>
        <v>574</v>
      </c>
      <c r="O1805" s="156" t="s">
        <v>208</v>
      </c>
      <c r="P1805" s="145" t="str">
        <f t="shared" si="113"/>
        <v>PLC3,9</v>
      </c>
      <c r="Q1805" s="52">
        <f t="shared" si="115"/>
        <v>47</v>
      </c>
      <c r="R1805" s="8">
        <f t="shared" si="116"/>
        <v>2025</v>
      </c>
    </row>
    <row r="1806" spans="1:18" x14ac:dyDescent="0.25">
      <c r="A1806" s="224"/>
      <c r="B1806" s="148">
        <v>45983</v>
      </c>
      <c r="C1806" s="58" t="s">
        <v>57</v>
      </c>
      <c r="D1806" s="59" t="s">
        <v>38</v>
      </c>
      <c r="E1806" s="60" t="s">
        <v>39</v>
      </c>
      <c r="F1806" s="60" t="s">
        <v>40</v>
      </c>
      <c r="G1806" s="43">
        <v>3.9</v>
      </c>
      <c r="H1806" s="60">
        <v>900</v>
      </c>
      <c r="I1806" s="72">
        <v>820</v>
      </c>
      <c r="J1806" s="60">
        <v>0</v>
      </c>
      <c r="K1806" s="159">
        <v>0.7</v>
      </c>
      <c r="L1806" s="60">
        <f t="shared" si="112"/>
        <v>574</v>
      </c>
      <c r="M1806" s="62">
        <v>0</v>
      </c>
      <c r="N1806" s="63">
        <f t="shared" si="114"/>
        <v>574</v>
      </c>
      <c r="O1806" s="206" t="s">
        <v>208</v>
      </c>
      <c r="P1806" s="145" t="str">
        <f t="shared" si="113"/>
        <v>PLC3,9</v>
      </c>
      <c r="Q1806" s="52">
        <f t="shared" si="115"/>
        <v>47</v>
      </c>
      <c r="R1806" s="8">
        <f t="shared" si="116"/>
        <v>2025</v>
      </c>
    </row>
    <row r="1807" spans="1:18" ht="15.75" thickBot="1" x14ac:dyDescent="0.3">
      <c r="A1807" s="225"/>
      <c r="B1807" s="113">
        <v>45984</v>
      </c>
      <c r="C1807" s="66" t="s">
        <v>59</v>
      </c>
      <c r="D1807" s="67" t="s">
        <v>38</v>
      </c>
      <c r="E1807" s="67" t="s">
        <v>39</v>
      </c>
      <c r="F1807" s="67" t="s">
        <v>40</v>
      </c>
      <c r="G1807" s="43">
        <v>3.9</v>
      </c>
      <c r="H1807" s="67">
        <v>900</v>
      </c>
      <c r="I1807" s="72">
        <v>820</v>
      </c>
      <c r="J1807" s="67">
        <v>0</v>
      </c>
      <c r="K1807" s="161">
        <v>0.7</v>
      </c>
      <c r="L1807" s="67">
        <f t="shared" si="112"/>
        <v>574</v>
      </c>
      <c r="M1807" s="69">
        <v>0</v>
      </c>
      <c r="N1807" s="70">
        <f t="shared" si="114"/>
        <v>574</v>
      </c>
      <c r="O1807" s="207" t="s">
        <v>208</v>
      </c>
      <c r="P1807" s="145" t="str">
        <f t="shared" si="113"/>
        <v>PLC3,9</v>
      </c>
      <c r="Q1807" s="52">
        <f t="shared" si="115"/>
        <v>47</v>
      </c>
      <c r="R1807" s="8">
        <f t="shared" si="116"/>
        <v>2025</v>
      </c>
    </row>
    <row r="1808" spans="1:18" x14ac:dyDescent="0.25">
      <c r="A1808" s="223">
        <f>_xlfn.ISOWEEKNUM(B1808)</f>
        <v>48</v>
      </c>
      <c r="B1808" s="145">
        <v>45985</v>
      </c>
      <c r="C1808" s="40" t="s">
        <v>37</v>
      </c>
      <c r="D1808" s="72" t="s">
        <v>38</v>
      </c>
      <c r="E1808" s="41" t="s">
        <v>39</v>
      </c>
      <c r="F1808" s="41" t="s">
        <v>40</v>
      </c>
      <c r="G1808" s="43"/>
      <c r="H1808" s="41">
        <v>900</v>
      </c>
      <c r="I1808" s="72">
        <v>820</v>
      </c>
      <c r="J1808" s="41">
        <v>0</v>
      </c>
      <c r="K1808" s="157">
        <v>0.7</v>
      </c>
      <c r="L1808" s="41">
        <f t="shared" si="112"/>
        <v>574</v>
      </c>
      <c r="M1808" s="73">
        <v>0</v>
      </c>
      <c r="N1808" s="74">
        <f t="shared" si="114"/>
        <v>574</v>
      </c>
      <c r="O1808" s="208" t="s">
        <v>208</v>
      </c>
      <c r="P1808" s="145" t="str">
        <f t="shared" si="113"/>
        <v>PLC</v>
      </c>
      <c r="Q1808" s="52">
        <f t="shared" si="115"/>
        <v>48</v>
      </c>
      <c r="R1808" s="8">
        <f t="shared" si="116"/>
        <v>2025</v>
      </c>
    </row>
    <row r="1809" spans="1:18" x14ac:dyDescent="0.25">
      <c r="A1809" s="224"/>
      <c r="B1809" s="145">
        <v>45986</v>
      </c>
      <c r="C1809" s="52" t="s">
        <v>42</v>
      </c>
      <c r="D1809" s="52" t="s">
        <v>38</v>
      </c>
      <c r="E1809" s="53" t="s">
        <v>39</v>
      </c>
      <c r="F1809" s="53" t="s">
        <v>40</v>
      </c>
      <c r="G1809" s="43"/>
      <c r="H1809" s="53">
        <v>900</v>
      </c>
      <c r="I1809" s="72">
        <v>820</v>
      </c>
      <c r="J1809" s="53">
        <v>0</v>
      </c>
      <c r="K1809" s="157">
        <v>0.7</v>
      </c>
      <c r="L1809" s="53">
        <f t="shared" si="112"/>
        <v>574</v>
      </c>
      <c r="M1809" s="55">
        <v>0</v>
      </c>
      <c r="N1809" s="56">
        <f t="shared" si="114"/>
        <v>574</v>
      </c>
      <c r="O1809" s="156" t="s">
        <v>208</v>
      </c>
      <c r="P1809" s="145" t="str">
        <f t="shared" si="113"/>
        <v>PLC</v>
      </c>
      <c r="Q1809" s="52">
        <f t="shared" si="115"/>
        <v>48</v>
      </c>
      <c r="R1809" s="8">
        <f t="shared" si="116"/>
        <v>2025</v>
      </c>
    </row>
    <row r="1810" spans="1:18" x14ac:dyDescent="0.25">
      <c r="A1810" s="224"/>
      <c r="B1810" s="145">
        <v>45987</v>
      </c>
      <c r="C1810" s="52" t="s">
        <v>46</v>
      </c>
      <c r="D1810" s="52" t="s">
        <v>38</v>
      </c>
      <c r="E1810" s="53" t="s">
        <v>39</v>
      </c>
      <c r="F1810" s="53" t="s">
        <v>40</v>
      </c>
      <c r="G1810" s="43"/>
      <c r="H1810" s="53">
        <v>900</v>
      </c>
      <c r="I1810" s="72">
        <v>820</v>
      </c>
      <c r="J1810" s="53">
        <v>0</v>
      </c>
      <c r="K1810" s="157">
        <v>0.7</v>
      </c>
      <c r="L1810" s="53">
        <f t="shared" si="112"/>
        <v>574</v>
      </c>
      <c r="M1810" s="55">
        <v>0</v>
      </c>
      <c r="N1810" s="56">
        <f t="shared" si="114"/>
        <v>574</v>
      </c>
      <c r="O1810" s="156" t="s">
        <v>208</v>
      </c>
      <c r="P1810" s="145" t="str">
        <f t="shared" si="113"/>
        <v>PLC</v>
      </c>
      <c r="Q1810" s="52">
        <f t="shared" si="115"/>
        <v>48</v>
      </c>
      <c r="R1810" s="8">
        <f t="shared" si="116"/>
        <v>2025</v>
      </c>
    </row>
    <row r="1811" spans="1:18" x14ac:dyDescent="0.25">
      <c r="A1811" s="224"/>
      <c r="B1811" s="145">
        <v>45988</v>
      </c>
      <c r="C1811" s="52" t="s">
        <v>50</v>
      </c>
      <c r="D1811" s="52" t="s">
        <v>38</v>
      </c>
      <c r="E1811" s="53" t="s">
        <v>39</v>
      </c>
      <c r="F1811" s="53" t="s">
        <v>40</v>
      </c>
      <c r="G1811" s="43"/>
      <c r="H1811" s="53">
        <v>900</v>
      </c>
      <c r="I1811" s="72">
        <v>820</v>
      </c>
      <c r="J1811" s="53">
        <v>0</v>
      </c>
      <c r="K1811" s="157">
        <v>0.7</v>
      </c>
      <c r="L1811" s="53">
        <f t="shared" si="112"/>
        <v>574</v>
      </c>
      <c r="M1811" s="55">
        <v>0</v>
      </c>
      <c r="N1811" s="56">
        <f t="shared" si="114"/>
        <v>574</v>
      </c>
      <c r="O1811" s="156" t="s">
        <v>208</v>
      </c>
      <c r="P1811" s="145" t="str">
        <f t="shared" si="113"/>
        <v>PLC</v>
      </c>
      <c r="Q1811" s="52">
        <f t="shared" si="115"/>
        <v>48</v>
      </c>
      <c r="R1811" s="8">
        <f t="shared" si="116"/>
        <v>2025</v>
      </c>
    </row>
    <row r="1812" spans="1:18" x14ac:dyDescent="0.25">
      <c r="A1812" s="224"/>
      <c r="B1812" s="145">
        <v>45989</v>
      </c>
      <c r="C1812" s="52" t="s">
        <v>53</v>
      </c>
      <c r="D1812" s="52" t="s">
        <v>38</v>
      </c>
      <c r="E1812" s="53" t="s">
        <v>39</v>
      </c>
      <c r="F1812" s="53" t="s">
        <v>40</v>
      </c>
      <c r="G1812" s="43"/>
      <c r="H1812" s="53">
        <v>900</v>
      </c>
      <c r="I1812" s="72">
        <v>820</v>
      </c>
      <c r="J1812" s="53">
        <v>0</v>
      </c>
      <c r="K1812" s="157">
        <v>0.7</v>
      </c>
      <c r="L1812" s="53">
        <f t="shared" si="112"/>
        <v>574</v>
      </c>
      <c r="M1812" s="55">
        <v>0</v>
      </c>
      <c r="N1812" s="56">
        <f t="shared" si="114"/>
        <v>574</v>
      </c>
      <c r="O1812" s="156" t="s">
        <v>208</v>
      </c>
      <c r="P1812" s="145" t="str">
        <f t="shared" si="113"/>
        <v>PLC</v>
      </c>
      <c r="Q1812" s="52">
        <f t="shared" si="115"/>
        <v>48</v>
      </c>
      <c r="R1812" s="8">
        <f t="shared" si="116"/>
        <v>2025</v>
      </c>
    </row>
    <row r="1813" spans="1:18" x14ac:dyDescent="0.25">
      <c r="A1813" s="224"/>
      <c r="B1813" s="148">
        <v>45990</v>
      </c>
      <c r="C1813" s="58" t="s">
        <v>57</v>
      </c>
      <c r="D1813" s="59" t="s">
        <v>38</v>
      </c>
      <c r="E1813" s="60" t="s">
        <v>39</v>
      </c>
      <c r="F1813" s="60" t="s">
        <v>40</v>
      </c>
      <c r="G1813" s="199"/>
      <c r="H1813" s="60">
        <v>900</v>
      </c>
      <c r="I1813" s="72">
        <v>820</v>
      </c>
      <c r="J1813" s="60">
        <v>0</v>
      </c>
      <c r="K1813" s="159">
        <v>0.7</v>
      </c>
      <c r="L1813" s="60">
        <f t="shared" si="112"/>
        <v>574</v>
      </c>
      <c r="M1813" s="62">
        <v>0</v>
      </c>
      <c r="N1813" s="63">
        <f t="shared" si="114"/>
        <v>574</v>
      </c>
      <c r="O1813" s="206" t="s">
        <v>208</v>
      </c>
      <c r="P1813" s="145" t="str">
        <f t="shared" si="113"/>
        <v>PLC</v>
      </c>
      <c r="Q1813" s="52">
        <f t="shared" si="115"/>
        <v>48</v>
      </c>
      <c r="R1813" s="8">
        <f t="shared" si="116"/>
        <v>2025</v>
      </c>
    </row>
    <row r="1814" spans="1:18" ht="15.75" thickBot="1" x14ac:dyDescent="0.3">
      <c r="A1814" s="225"/>
      <c r="B1814" s="113">
        <v>45991</v>
      </c>
      <c r="C1814" s="66" t="s">
        <v>59</v>
      </c>
      <c r="D1814" s="67" t="s">
        <v>38</v>
      </c>
      <c r="E1814" s="67" t="s">
        <v>39</v>
      </c>
      <c r="F1814" s="67" t="s">
        <v>40</v>
      </c>
      <c r="G1814" s="68"/>
      <c r="H1814" s="67">
        <v>900</v>
      </c>
      <c r="I1814" s="72">
        <v>820</v>
      </c>
      <c r="J1814" s="67">
        <v>0</v>
      </c>
      <c r="K1814" s="161">
        <v>0.7</v>
      </c>
      <c r="L1814" s="67">
        <f t="shared" si="112"/>
        <v>574</v>
      </c>
      <c r="M1814" s="69">
        <v>0</v>
      </c>
      <c r="N1814" s="70">
        <f t="shared" si="114"/>
        <v>574</v>
      </c>
      <c r="O1814" s="207"/>
      <c r="P1814" s="145" t="str">
        <f t="shared" si="113"/>
        <v>PLC</v>
      </c>
      <c r="Q1814" s="52">
        <f t="shared" si="115"/>
        <v>48</v>
      </c>
      <c r="R1814" s="8">
        <f t="shared" si="116"/>
        <v>2025</v>
      </c>
    </row>
    <row r="1815" spans="1:18" hidden="1" x14ac:dyDescent="0.25">
      <c r="A1815" s="223">
        <f>_xlfn.ISOWEEKNUM(B1815)</f>
        <v>49</v>
      </c>
      <c r="B1815" s="145">
        <v>45992</v>
      </c>
      <c r="C1815" s="40" t="s">
        <v>37</v>
      </c>
      <c r="D1815" s="72" t="s">
        <v>38</v>
      </c>
      <c r="E1815" s="41"/>
      <c r="F1815" s="41"/>
      <c r="G1815" s="43"/>
      <c r="H1815" s="41">
        <v>0</v>
      </c>
      <c r="I1815" s="72">
        <v>0</v>
      </c>
      <c r="J1815" s="41">
        <v>0</v>
      </c>
      <c r="K1815" s="157">
        <v>0.8</v>
      </c>
      <c r="L1815" s="41">
        <f t="shared" si="112"/>
        <v>0</v>
      </c>
      <c r="M1815" s="73">
        <v>0</v>
      </c>
      <c r="N1815" s="74">
        <f t="shared" si="114"/>
        <v>0</v>
      </c>
      <c r="O1815" s="208"/>
      <c r="P1815" s="145" t="str">
        <f t="shared" si="113"/>
        <v/>
      </c>
      <c r="Q1815" s="52">
        <f t="shared" si="115"/>
        <v>49</v>
      </c>
      <c r="R1815" s="8">
        <f t="shared" si="116"/>
        <v>2025</v>
      </c>
    </row>
    <row r="1816" spans="1:18" hidden="1" x14ac:dyDescent="0.25">
      <c r="A1816" s="224"/>
      <c r="B1816" s="145">
        <v>45993</v>
      </c>
      <c r="C1816" s="52" t="s">
        <v>42</v>
      </c>
      <c r="D1816" s="52" t="s">
        <v>38</v>
      </c>
      <c r="E1816" s="53"/>
      <c r="F1816" s="53"/>
      <c r="G1816" s="43"/>
      <c r="H1816" s="53">
        <v>0</v>
      </c>
      <c r="I1816" s="72">
        <v>0</v>
      </c>
      <c r="J1816" s="53">
        <v>0</v>
      </c>
      <c r="K1816" s="157">
        <v>0.8</v>
      </c>
      <c r="L1816" s="53">
        <f t="shared" si="112"/>
        <v>0</v>
      </c>
      <c r="M1816" s="55">
        <v>0</v>
      </c>
      <c r="N1816" s="56">
        <f t="shared" si="114"/>
        <v>0</v>
      </c>
      <c r="O1816" s="156"/>
      <c r="P1816" s="145" t="str">
        <f t="shared" si="113"/>
        <v/>
      </c>
      <c r="Q1816" s="52">
        <f t="shared" si="115"/>
        <v>49</v>
      </c>
      <c r="R1816" s="8">
        <f t="shared" si="116"/>
        <v>2025</v>
      </c>
    </row>
    <row r="1817" spans="1:18" hidden="1" x14ac:dyDescent="0.25">
      <c r="A1817" s="224"/>
      <c r="B1817" s="145">
        <v>45994</v>
      </c>
      <c r="C1817" s="52" t="s">
        <v>46</v>
      </c>
      <c r="D1817" s="52" t="s">
        <v>38</v>
      </c>
      <c r="E1817" s="53"/>
      <c r="F1817" s="53"/>
      <c r="G1817" s="43"/>
      <c r="H1817" s="53">
        <v>0</v>
      </c>
      <c r="I1817" s="72">
        <v>0</v>
      </c>
      <c r="J1817" s="53">
        <v>0</v>
      </c>
      <c r="K1817" s="157">
        <v>0.8</v>
      </c>
      <c r="L1817" s="53">
        <f t="shared" si="112"/>
        <v>0</v>
      </c>
      <c r="M1817" s="55">
        <v>0</v>
      </c>
      <c r="N1817" s="56">
        <f t="shared" si="114"/>
        <v>0</v>
      </c>
      <c r="O1817" s="156"/>
      <c r="P1817" s="145" t="str">
        <f t="shared" si="113"/>
        <v/>
      </c>
      <c r="Q1817" s="52">
        <f t="shared" si="115"/>
        <v>49</v>
      </c>
      <c r="R1817" s="8">
        <f t="shared" si="116"/>
        <v>2025</v>
      </c>
    </row>
    <row r="1818" spans="1:18" hidden="1" x14ac:dyDescent="0.25">
      <c r="A1818" s="224"/>
      <c r="B1818" s="145">
        <v>45995</v>
      </c>
      <c r="C1818" s="52" t="s">
        <v>50</v>
      </c>
      <c r="D1818" s="52" t="s">
        <v>38</v>
      </c>
      <c r="E1818" s="53"/>
      <c r="F1818" s="53"/>
      <c r="G1818" s="43"/>
      <c r="H1818" s="53">
        <v>0</v>
      </c>
      <c r="I1818" s="72">
        <v>0</v>
      </c>
      <c r="J1818" s="53">
        <v>0</v>
      </c>
      <c r="K1818" s="157">
        <v>0.8</v>
      </c>
      <c r="L1818" s="53">
        <f t="shared" ref="L1818:L1845" si="117">IF(J1818&gt;0,J1818*K1818,I1818*K1818)</f>
        <v>0</v>
      </c>
      <c r="M1818" s="55">
        <v>0</v>
      </c>
      <c r="N1818" s="56">
        <f t="shared" si="114"/>
        <v>0</v>
      </c>
      <c r="O1818" s="156"/>
      <c r="P1818" s="145" t="str">
        <f t="shared" si="113"/>
        <v/>
      </c>
      <c r="Q1818" s="52">
        <f t="shared" si="115"/>
        <v>49</v>
      </c>
      <c r="R1818" s="8">
        <f t="shared" si="116"/>
        <v>2025</v>
      </c>
    </row>
    <row r="1819" spans="1:18" hidden="1" x14ac:dyDescent="0.25">
      <c r="A1819" s="224"/>
      <c r="B1819" s="145">
        <v>45996</v>
      </c>
      <c r="C1819" s="52" t="s">
        <v>53</v>
      </c>
      <c r="D1819" s="52" t="s">
        <v>38</v>
      </c>
      <c r="E1819" s="53"/>
      <c r="F1819" s="53"/>
      <c r="G1819" s="43"/>
      <c r="H1819" s="53">
        <v>0</v>
      </c>
      <c r="I1819" s="72">
        <v>0</v>
      </c>
      <c r="J1819" s="53">
        <v>0</v>
      </c>
      <c r="K1819" s="157">
        <v>0.8</v>
      </c>
      <c r="L1819" s="53">
        <f t="shared" si="117"/>
        <v>0</v>
      </c>
      <c r="M1819" s="55">
        <v>0</v>
      </c>
      <c r="N1819" s="56">
        <f t="shared" si="114"/>
        <v>0</v>
      </c>
      <c r="O1819" s="156"/>
      <c r="P1819" s="145" t="str">
        <f t="shared" si="113"/>
        <v/>
      </c>
      <c r="Q1819" s="52">
        <f t="shared" si="115"/>
        <v>49</v>
      </c>
      <c r="R1819" s="8">
        <f t="shared" si="116"/>
        <v>2025</v>
      </c>
    </row>
    <row r="1820" spans="1:18" hidden="1" x14ac:dyDescent="0.25">
      <c r="A1820" s="224"/>
      <c r="B1820" s="148">
        <v>45997</v>
      </c>
      <c r="C1820" s="58" t="s">
        <v>57</v>
      </c>
      <c r="D1820" s="59" t="s">
        <v>38</v>
      </c>
      <c r="E1820" s="60"/>
      <c r="F1820" s="60"/>
      <c r="G1820" s="199"/>
      <c r="H1820" s="60">
        <v>0</v>
      </c>
      <c r="I1820" s="72">
        <v>0</v>
      </c>
      <c r="J1820" s="60">
        <v>0</v>
      </c>
      <c r="K1820" s="159">
        <v>0.8</v>
      </c>
      <c r="L1820" s="60">
        <f t="shared" si="117"/>
        <v>0</v>
      </c>
      <c r="M1820" s="62">
        <v>0</v>
      </c>
      <c r="N1820" s="63">
        <f t="shared" si="114"/>
        <v>0</v>
      </c>
      <c r="O1820" s="206"/>
      <c r="P1820" s="145" t="str">
        <f t="shared" si="113"/>
        <v/>
      </c>
      <c r="Q1820" s="52">
        <f t="shared" si="115"/>
        <v>49</v>
      </c>
      <c r="R1820" s="8">
        <f t="shared" si="116"/>
        <v>2025</v>
      </c>
    </row>
    <row r="1821" spans="1:18" ht="15.75" hidden="1" thickBot="1" x14ac:dyDescent="0.3">
      <c r="A1821" s="225"/>
      <c r="B1821" s="113">
        <v>45998</v>
      </c>
      <c r="C1821" s="66" t="s">
        <v>59</v>
      </c>
      <c r="D1821" s="67" t="s">
        <v>38</v>
      </c>
      <c r="E1821" s="67"/>
      <c r="F1821" s="67"/>
      <c r="G1821" s="68"/>
      <c r="H1821" s="67">
        <v>0</v>
      </c>
      <c r="I1821" s="72">
        <v>0</v>
      </c>
      <c r="J1821" s="67">
        <v>0</v>
      </c>
      <c r="K1821" s="161">
        <v>0.8</v>
      </c>
      <c r="L1821" s="67">
        <f t="shared" si="117"/>
        <v>0</v>
      </c>
      <c r="M1821" s="69">
        <v>0</v>
      </c>
      <c r="N1821" s="70">
        <f t="shared" si="114"/>
        <v>0</v>
      </c>
      <c r="O1821" s="207"/>
      <c r="P1821" s="145" t="str">
        <f t="shared" si="113"/>
        <v/>
      </c>
      <c r="Q1821" s="52">
        <f t="shared" si="115"/>
        <v>49</v>
      </c>
      <c r="R1821" s="8">
        <f t="shared" si="116"/>
        <v>2025</v>
      </c>
    </row>
    <row r="1822" spans="1:18" hidden="1" x14ac:dyDescent="0.25">
      <c r="A1822" s="223">
        <f>_xlfn.ISOWEEKNUM(B1822)</f>
        <v>50</v>
      </c>
      <c r="B1822" s="145">
        <v>45999</v>
      </c>
      <c r="C1822" s="40" t="s">
        <v>37</v>
      </c>
      <c r="D1822" s="72" t="s">
        <v>38</v>
      </c>
      <c r="E1822" s="41"/>
      <c r="F1822" s="41"/>
      <c r="G1822" s="43"/>
      <c r="H1822" s="41">
        <v>0</v>
      </c>
      <c r="I1822" s="72">
        <v>0</v>
      </c>
      <c r="J1822" s="41">
        <v>0</v>
      </c>
      <c r="K1822" s="157">
        <v>0.8</v>
      </c>
      <c r="L1822" s="41">
        <f t="shared" si="117"/>
        <v>0</v>
      </c>
      <c r="M1822" s="73">
        <v>0</v>
      </c>
      <c r="N1822" s="74">
        <f t="shared" si="114"/>
        <v>0</v>
      </c>
      <c r="O1822" s="208"/>
      <c r="P1822" s="145" t="str">
        <f t="shared" si="113"/>
        <v/>
      </c>
      <c r="Q1822" s="52">
        <f t="shared" si="115"/>
        <v>50</v>
      </c>
      <c r="R1822" s="8">
        <f t="shared" si="116"/>
        <v>2025</v>
      </c>
    </row>
    <row r="1823" spans="1:18" hidden="1" x14ac:dyDescent="0.25">
      <c r="A1823" s="224"/>
      <c r="B1823" s="145">
        <v>46000</v>
      </c>
      <c r="C1823" s="52" t="s">
        <v>42</v>
      </c>
      <c r="D1823" s="52" t="s">
        <v>38</v>
      </c>
      <c r="E1823" s="53"/>
      <c r="F1823" s="53"/>
      <c r="G1823" s="43"/>
      <c r="H1823" s="53">
        <v>0</v>
      </c>
      <c r="I1823" s="72">
        <v>0</v>
      </c>
      <c r="J1823" s="53">
        <v>0</v>
      </c>
      <c r="K1823" s="157">
        <v>0.8</v>
      </c>
      <c r="L1823" s="53">
        <f t="shared" si="117"/>
        <v>0</v>
      </c>
      <c r="M1823" s="55">
        <v>0</v>
      </c>
      <c r="N1823" s="56">
        <f t="shared" si="114"/>
        <v>0</v>
      </c>
      <c r="O1823" s="156"/>
      <c r="P1823" s="145" t="str">
        <f t="shared" si="113"/>
        <v/>
      </c>
      <c r="Q1823" s="52">
        <f t="shared" si="115"/>
        <v>50</v>
      </c>
      <c r="R1823" s="8">
        <f t="shared" si="116"/>
        <v>2025</v>
      </c>
    </row>
    <row r="1824" spans="1:18" hidden="1" x14ac:dyDescent="0.25">
      <c r="A1824" s="224"/>
      <c r="B1824" s="145">
        <v>46001</v>
      </c>
      <c r="C1824" s="52" t="s">
        <v>46</v>
      </c>
      <c r="D1824" s="52" t="s">
        <v>38</v>
      </c>
      <c r="E1824" s="53"/>
      <c r="F1824" s="53"/>
      <c r="G1824" s="43"/>
      <c r="H1824" s="53">
        <v>0</v>
      </c>
      <c r="I1824" s="72">
        <v>0</v>
      </c>
      <c r="J1824" s="53">
        <v>0</v>
      </c>
      <c r="K1824" s="157">
        <v>0.8</v>
      </c>
      <c r="L1824" s="53">
        <f t="shared" si="117"/>
        <v>0</v>
      </c>
      <c r="M1824" s="55">
        <v>0</v>
      </c>
      <c r="N1824" s="56">
        <f t="shared" si="114"/>
        <v>0</v>
      </c>
      <c r="O1824" s="156"/>
      <c r="P1824" s="145" t="str">
        <f t="shared" si="113"/>
        <v/>
      </c>
      <c r="Q1824" s="52">
        <f t="shared" si="115"/>
        <v>50</v>
      </c>
      <c r="R1824" s="8">
        <f t="shared" si="116"/>
        <v>2025</v>
      </c>
    </row>
    <row r="1825" spans="1:18" hidden="1" x14ac:dyDescent="0.25">
      <c r="A1825" s="224"/>
      <c r="B1825" s="145">
        <v>46002</v>
      </c>
      <c r="C1825" s="52" t="s">
        <v>50</v>
      </c>
      <c r="D1825" s="52" t="s">
        <v>38</v>
      </c>
      <c r="E1825" s="53"/>
      <c r="F1825" s="53"/>
      <c r="G1825" s="43"/>
      <c r="H1825" s="53">
        <v>0</v>
      </c>
      <c r="I1825" s="72">
        <v>0</v>
      </c>
      <c r="J1825" s="53">
        <v>0</v>
      </c>
      <c r="K1825" s="157">
        <v>0.8</v>
      </c>
      <c r="L1825" s="53">
        <f t="shared" si="117"/>
        <v>0</v>
      </c>
      <c r="M1825" s="55">
        <v>0</v>
      </c>
      <c r="N1825" s="56">
        <f t="shared" si="114"/>
        <v>0</v>
      </c>
      <c r="O1825" s="156"/>
      <c r="P1825" s="145" t="str">
        <f t="shared" si="113"/>
        <v/>
      </c>
      <c r="Q1825" s="52">
        <f t="shared" si="115"/>
        <v>50</v>
      </c>
      <c r="R1825" s="8">
        <f t="shared" si="116"/>
        <v>2025</v>
      </c>
    </row>
    <row r="1826" spans="1:18" hidden="1" x14ac:dyDescent="0.25">
      <c r="A1826" s="224"/>
      <c r="B1826" s="145">
        <v>46003</v>
      </c>
      <c r="C1826" s="52" t="s">
        <v>53</v>
      </c>
      <c r="D1826" s="52" t="s">
        <v>38</v>
      </c>
      <c r="E1826" s="53"/>
      <c r="F1826" s="53"/>
      <c r="G1826" s="43"/>
      <c r="H1826" s="53">
        <v>0</v>
      </c>
      <c r="I1826" s="72">
        <v>0</v>
      </c>
      <c r="J1826" s="53">
        <v>0</v>
      </c>
      <c r="K1826" s="157">
        <v>0.8</v>
      </c>
      <c r="L1826" s="53">
        <f t="shared" si="117"/>
        <v>0</v>
      </c>
      <c r="M1826" s="55">
        <v>0</v>
      </c>
      <c r="N1826" s="56">
        <f t="shared" si="114"/>
        <v>0</v>
      </c>
      <c r="O1826" s="156"/>
      <c r="P1826" s="145" t="str">
        <f t="shared" si="113"/>
        <v/>
      </c>
      <c r="Q1826" s="52">
        <f t="shared" si="115"/>
        <v>50</v>
      </c>
      <c r="R1826" s="8">
        <f t="shared" si="116"/>
        <v>2025</v>
      </c>
    </row>
    <row r="1827" spans="1:18" hidden="1" x14ac:dyDescent="0.25">
      <c r="A1827" s="224"/>
      <c r="B1827" s="148">
        <v>46004</v>
      </c>
      <c r="C1827" s="58" t="s">
        <v>57</v>
      </c>
      <c r="D1827" s="59" t="s">
        <v>38</v>
      </c>
      <c r="E1827" s="60"/>
      <c r="F1827" s="60"/>
      <c r="G1827" s="199"/>
      <c r="H1827" s="60">
        <v>0</v>
      </c>
      <c r="I1827" s="72">
        <v>0</v>
      </c>
      <c r="J1827" s="60">
        <v>0</v>
      </c>
      <c r="K1827" s="159">
        <v>0.8</v>
      </c>
      <c r="L1827" s="60">
        <f t="shared" si="117"/>
        <v>0</v>
      </c>
      <c r="M1827" s="62">
        <v>0</v>
      </c>
      <c r="N1827" s="63">
        <f t="shared" si="114"/>
        <v>0</v>
      </c>
      <c r="O1827" s="206"/>
      <c r="P1827" s="145" t="str">
        <f t="shared" si="113"/>
        <v/>
      </c>
      <c r="Q1827" s="52">
        <f t="shared" si="115"/>
        <v>50</v>
      </c>
      <c r="R1827" s="8">
        <f t="shared" si="116"/>
        <v>2025</v>
      </c>
    </row>
    <row r="1828" spans="1:18" ht="15.75" hidden="1" thickBot="1" x14ac:dyDescent="0.3">
      <c r="A1828" s="225"/>
      <c r="B1828" s="113">
        <v>46005</v>
      </c>
      <c r="C1828" s="66" t="s">
        <v>59</v>
      </c>
      <c r="D1828" s="67" t="s">
        <v>38</v>
      </c>
      <c r="E1828" s="67"/>
      <c r="F1828" s="67"/>
      <c r="G1828" s="68"/>
      <c r="H1828" s="67">
        <v>0</v>
      </c>
      <c r="I1828" s="72">
        <v>0</v>
      </c>
      <c r="J1828" s="67">
        <v>0</v>
      </c>
      <c r="K1828" s="161">
        <v>0.8</v>
      </c>
      <c r="L1828" s="67">
        <f t="shared" si="117"/>
        <v>0</v>
      </c>
      <c r="M1828" s="69">
        <v>0</v>
      </c>
      <c r="N1828" s="70">
        <f t="shared" si="114"/>
        <v>0</v>
      </c>
      <c r="O1828" s="207"/>
      <c r="P1828" s="145" t="str">
        <f t="shared" si="113"/>
        <v/>
      </c>
      <c r="Q1828" s="52">
        <f t="shared" si="115"/>
        <v>50</v>
      </c>
      <c r="R1828" s="8">
        <f t="shared" si="116"/>
        <v>2025</v>
      </c>
    </row>
    <row r="1829" spans="1:18" hidden="1" x14ac:dyDescent="0.25">
      <c r="A1829" s="223">
        <f>_xlfn.ISOWEEKNUM(B1829)</f>
        <v>51</v>
      </c>
      <c r="B1829" s="145">
        <v>46006</v>
      </c>
      <c r="C1829" s="40" t="s">
        <v>37</v>
      </c>
      <c r="D1829" s="72" t="s">
        <v>38</v>
      </c>
      <c r="E1829" s="41"/>
      <c r="F1829" s="41"/>
      <c r="G1829" s="43"/>
      <c r="H1829" s="41">
        <v>0</v>
      </c>
      <c r="I1829" s="72">
        <v>0</v>
      </c>
      <c r="J1829" s="41">
        <v>0</v>
      </c>
      <c r="K1829" s="157">
        <v>0.8</v>
      </c>
      <c r="L1829" s="41">
        <f t="shared" si="117"/>
        <v>0</v>
      </c>
      <c r="M1829" s="73">
        <v>0</v>
      </c>
      <c r="N1829" s="74">
        <f t="shared" si="114"/>
        <v>0</v>
      </c>
      <c r="O1829" s="208"/>
      <c r="P1829" s="145" t="str">
        <f t="shared" si="113"/>
        <v/>
      </c>
      <c r="Q1829" s="52">
        <f t="shared" si="115"/>
        <v>51</v>
      </c>
      <c r="R1829" s="8">
        <f t="shared" si="116"/>
        <v>2025</v>
      </c>
    </row>
    <row r="1830" spans="1:18" hidden="1" x14ac:dyDescent="0.25">
      <c r="A1830" s="224"/>
      <c r="B1830" s="145">
        <v>46007</v>
      </c>
      <c r="C1830" s="52" t="s">
        <v>42</v>
      </c>
      <c r="D1830" s="52" t="s">
        <v>38</v>
      </c>
      <c r="E1830" s="53"/>
      <c r="F1830" s="53"/>
      <c r="G1830" s="43"/>
      <c r="H1830" s="53">
        <v>0</v>
      </c>
      <c r="I1830" s="72">
        <v>0</v>
      </c>
      <c r="J1830" s="53">
        <v>0</v>
      </c>
      <c r="K1830" s="157">
        <v>0.8</v>
      </c>
      <c r="L1830" s="53">
        <f t="shared" si="117"/>
        <v>0</v>
      </c>
      <c r="M1830" s="55">
        <v>0</v>
      </c>
      <c r="N1830" s="56">
        <f t="shared" si="114"/>
        <v>0</v>
      </c>
      <c r="O1830" s="156"/>
      <c r="P1830" s="145" t="str">
        <f t="shared" si="113"/>
        <v/>
      </c>
      <c r="Q1830" s="52">
        <f t="shared" si="115"/>
        <v>51</v>
      </c>
      <c r="R1830" s="8">
        <f t="shared" si="116"/>
        <v>2025</v>
      </c>
    </row>
    <row r="1831" spans="1:18" hidden="1" x14ac:dyDescent="0.25">
      <c r="A1831" s="224"/>
      <c r="B1831" s="145">
        <v>46008</v>
      </c>
      <c r="C1831" s="52" t="s">
        <v>46</v>
      </c>
      <c r="D1831" s="52" t="s">
        <v>38</v>
      </c>
      <c r="E1831" s="53"/>
      <c r="F1831" s="53"/>
      <c r="G1831" s="43"/>
      <c r="H1831" s="53">
        <v>0</v>
      </c>
      <c r="I1831" s="72">
        <v>0</v>
      </c>
      <c r="J1831" s="53">
        <v>0</v>
      </c>
      <c r="K1831" s="157">
        <v>0.8</v>
      </c>
      <c r="L1831" s="53">
        <f t="shared" si="117"/>
        <v>0</v>
      </c>
      <c r="M1831" s="55">
        <v>0</v>
      </c>
      <c r="N1831" s="56">
        <f t="shared" si="114"/>
        <v>0</v>
      </c>
      <c r="O1831" s="156"/>
      <c r="P1831" s="145" t="str">
        <f t="shared" si="113"/>
        <v/>
      </c>
      <c r="Q1831" s="52">
        <f t="shared" si="115"/>
        <v>51</v>
      </c>
      <c r="R1831" s="8">
        <f t="shared" si="116"/>
        <v>2025</v>
      </c>
    </row>
    <row r="1832" spans="1:18" hidden="1" x14ac:dyDescent="0.25">
      <c r="A1832" s="224"/>
      <c r="B1832" s="145">
        <v>46009</v>
      </c>
      <c r="C1832" s="52" t="s">
        <v>50</v>
      </c>
      <c r="D1832" s="52" t="s">
        <v>38</v>
      </c>
      <c r="E1832" s="53"/>
      <c r="F1832" s="53"/>
      <c r="G1832" s="43"/>
      <c r="H1832" s="53">
        <v>0</v>
      </c>
      <c r="I1832" s="72">
        <v>0</v>
      </c>
      <c r="J1832" s="53">
        <v>0</v>
      </c>
      <c r="K1832" s="157">
        <v>0.8</v>
      </c>
      <c r="L1832" s="53">
        <f t="shared" si="117"/>
        <v>0</v>
      </c>
      <c r="M1832" s="55">
        <v>0</v>
      </c>
      <c r="N1832" s="56">
        <f t="shared" si="114"/>
        <v>0</v>
      </c>
      <c r="O1832" s="156"/>
      <c r="P1832" s="145" t="str">
        <f t="shared" si="113"/>
        <v/>
      </c>
      <c r="Q1832" s="52">
        <f t="shared" si="115"/>
        <v>51</v>
      </c>
      <c r="R1832" s="8">
        <f t="shared" si="116"/>
        <v>2025</v>
      </c>
    </row>
    <row r="1833" spans="1:18" hidden="1" x14ac:dyDescent="0.25">
      <c r="A1833" s="224"/>
      <c r="B1833" s="145">
        <v>46010</v>
      </c>
      <c r="C1833" s="52" t="s">
        <v>53</v>
      </c>
      <c r="D1833" s="52" t="s">
        <v>38</v>
      </c>
      <c r="E1833" s="53"/>
      <c r="F1833" s="53"/>
      <c r="G1833" s="43"/>
      <c r="H1833" s="53">
        <v>0</v>
      </c>
      <c r="I1833" s="72">
        <v>0</v>
      </c>
      <c r="J1833" s="53">
        <v>0</v>
      </c>
      <c r="K1833" s="157">
        <v>0.8</v>
      </c>
      <c r="L1833" s="53">
        <f t="shared" si="117"/>
        <v>0</v>
      </c>
      <c r="M1833" s="55">
        <v>0</v>
      </c>
      <c r="N1833" s="56">
        <f t="shared" si="114"/>
        <v>0</v>
      </c>
      <c r="O1833" s="156"/>
      <c r="P1833" s="145" t="str">
        <f t="shared" si="113"/>
        <v/>
      </c>
      <c r="Q1833" s="52">
        <f t="shared" si="115"/>
        <v>51</v>
      </c>
      <c r="R1833" s="8">
        <f t="shared" si="116"/>
        <v>2025</v>
      </c>
    </row>
    <row r="1834" spans="1:18" hidden="1" x14ac:dyDescent="0.25">
      <c r="A1834" s="224"/>
      <c r="B1834" s="148">
        <v>46011</v>
      </c>
      <c r="C1834" s="58" t="s">
        <v>57</v>
      </c>
      <c r="D1834" s="59" t="s">
        <v>38</v>
      </c>
      <c r="E1834" s="60"/>
      <c r="F1834" s="60"/>
      <c r="G1834" s="199"/>
      <c r="H1834" s="60">
        <v>0</v>
      </c>
      <c r="I1834" s="72">
        <v>0</v>
      </c>
      <c r="J1834" s="60">
        <v>0</v>
      </c>
      <c r="K1834" s="159">
        <v>0.8</v>
      </c>
      <c r="L1834" s="60">
        <f t="shared" si="117"/>
        <v>0</v>
      </c>
      <c r="M1834" s="62">
        <v>0</v>
      </c>
      <c r="N1834" s="63">
        <f t="shared" si="114"/>
        <v>0</v>
      </c>
      <c r="O1834" s="206"/>
      <c r="P1834" s="145" t="str">
        <f t="shared" si="113"/>
        <v/>
      </c>
      <c r="Q1834" s="52">
        <f t="shared" si="115"/>
        <v>51</v>
      </c>
      <c r="R1834" s="8">
        <f t="shared" si="116"/>
        <v>2025</v>
      </c>
    </row>
    <row r="1835" spans="1:18" ht="15.75" hidden="1" thickBot="1" x14ac:dyDescent="0.3">
      <c r="A1835" s="225"/>
      <c r="B1835" s="113">
        <v>46012</v>
      </c>
      <c r="C1835" s="66" t="s">
        <v>59</v>
      </c>
      <c r="D1835" s="67" t="s">
        <v>38</v>
      </c>
      <c r="E1835" s="67"/>
      <c r="F1835" s="67"/>
      <c r="G1835" s="68"/>
      <c r="H1835" s="67">
        <v>0</v>
      </c>
      <c r="I1835" s="72">
        <v>0</v>
      </c>
      <c r="J1835" s="67">
        <v>0</v>
      </c>
      <c r="K1835" s="161">
        <v>0.8</v>
      </c>
      <c r="L1835" s="67">
        <f t="shared" si="117"/>
        <v>0</v>
      </c>
      <c r="M1835" s="69">
        <v>0</v>
      </c>
      <c r="N1835" s="70">
        <f t="shared" si="114"/>
        <v>0</v>
      </c>
      <c r="O1835" s="207"/>
      <c r="P1835" s="145" t="str">
        <f t="shared" si="113"/>
        <v/>
      </c>
      <c r="Q1835" s="52">
        <f t="shared" si="115"/>
        <v>51</v>
      </c>
      <c r="R1835" s="8">
        <f t="shared" si="116"/>
        <v>2025</v>
      </c>
    </row>
    <row r="1836" spans="1:18" hidden="1" x14ac:dyDescent="0.25">
      <c r="A1836" s="223">
        <f>_xlfn.ISOWEEKNUM(B1836)</f>
        <v>52</v>
      </c>
      <c r="B1836" s="145">
        <v>46013</v>
      </c>
      <c r="C1836" s="40" t="s">
        <v>37</v>
      </c>
      <c r="D1836" s="72" t="s">
        <v>38</v>
      </c>
      <c r="E1836" s="41"/>
      <c r="F1836" s="41"/>
      <c r="G1836" s="43"/>
      <c r="H1836" s="41">
        <v>0</v>
      </c>
      <c r="I1836" s="72">
        <v>0</v>
      </c>
      <c r="J1836" s="41">
        <v>0</v>
      </c>
      <c r="K1836" s="157">
        <v>0.8</v>
      </c>
      <c r="L1836" s="41">
        <f t="shared" si="117"/>
        <v>0</v>
      </c>
      <c r="M1836" s="73">
        <v>0</v>
      </c>
      <c r="N1836" s="74">
        <f t="shared" si="114"/>
        <v>0</v>
      </c>
      <c r="O1836" s="208"/>
      <c r="P1836" s="145" t="str">
        <f t="shared" si="113"/>
        <v/>
      </c>
      <c r="Q1836" s="52">
        <f t="shared" si="115"/>
        <v>52</v>
      </c>
      <c r="R1836" s="8">
        <f t="shared" si="116"/>
        <v>2025</v>
      </c>
    </row>
    <row r="1837" spans="1:18" hidden="1" x14ac:dyDescent="0.25">
      <c r="A1837" s="224"/>
      <c r="B1837" s="145">
        <v>46014</v>
      </c>
      <c r="C1837" s="52" t="s">
        <v>42</v>
      </c>
      <c r="D1837" s="52" t="s">
        <v>38</v>
      </c>
      <c r="E1837" s="53"/>
      <c r="F1837" s="53"/>
      <c r="G1837" s="43"/>
      <c r="H1837" s="53">
        <v>0</v>
      </c>
      <c r="I1837" s="72">
        <v>0</v>
      </c>
      <c r="J1837" s="53">
        <v>0</v>
      </c>
      <c r="K1837" s="157">
        <v>0.8</v>
      </c>
      <c r="L1837" s="53">
        <f t="shared" si="117"/>
        <v>0</v>
      </c>
      <c r="M1837" s="55">
        <v>0</v>
      </c>
      <c r="N1837" s="56">
        <f t="shared" si="114"/>
        <v>0</v>
      </c>
      <c r="O1837" s="156"/>
      <c r="P1837" s="145" t="str">
        <f t="shared" si="113"/>
        <v/>
      </c>
      <c r="Q1837" s="52">
        <f t="shared" si="115"/>
        <v>52</v>
      </c>
      <c r="R1837" s="8">
        <f t="shared" si="116"/>
        <v>2025</v>
      </c>
    </row>
    <row r="1838" spans="1:18" hidden="1" x14ac:dyDescent="0.25">
      <c r="A1838" s="224"/>
      <c r="B1838" s="145">
        <v>46015</v>
      </c>
      <c r="C1838" s="52" t="s">
        <v>46</v>
      </c>
      <c r="D1838" s="52" t="s">
        <v>38</v>
      </c>
      <c r="E1838" s="53"/>
      <c r="F1838" s="53"/>
      <c r="G1838" s="43"/>
      <c r="H1838" s="53">
        <v>0</v>
      </c>
      <c r="I1838" s="72">
        <v>0</v>
      </c>
      <c r="J1838" s="53">
        <v>0</v>
      </c>
      <c r="K1838" s="157">
        <v>0.8</v>
      </c>
      <c r="L1838" s="53">
        <f t="shared" si="117"/>
        <v>0</v>
      </c>
      <c r="M1838" s="55">
        <v>0</v>
      </c>
      <c r="N1838" s="56">
        <f t="shared" si="114"/>
        <v>0</v>
      </c>
      <c r="O1838" s="156"/>
      <c r="P1838" s="145" t="str">
        <f t="shared" si="113"/>
        <v/>
      </c>
      <c r="Q1838" s="52">
        <f t="shared" si="115"/>
        <v>52</v>
      </c>
      <c r="R1838" s="8">
        <f t="shared" si="116"/>
        <v>2025</v>
      </c>
    </row>
    <row r="1839" spans="1:18" hidden="1" x14ac:dyDescent="0.25">
      <c r="A1839" s="224"/>
      <c r="B1839" s="145">
        <v>46016</v>
      </c>
      <c r="C1839" s="52" t="s">
        <v>50</v>
      </c>
      <c r="D1839" s="52" t="s">
        <v>38</v>
      </c>
      <c r="E1839" s="53"/>
      <c r="F1839" s="53"/>
      <c r="G1839" s="43"/>
      <c r="H1839" s="53">
        <v>0</v>
      </c>
      <c r="I1839" s="72">
        <v>0</v>
      </c>
      <c r="J1839" s="53">
        <v>0</v>
      </c>
      <c r="K1839" s="157">
        <v>0.8</v>
      </c>
      <c r="L1839" s="53">
        <f t="shared" si="117"/>
        <v>0</v>
      </c>
      <c r="M1839" s="55">
        <v>0</v>
      </c>
      <c r="N1839" s="56">
        <f t="shared" si="114"/>
        <v>0</v>
      </c>
      <c r="O1839" s="156"/>
      <c r="P1839" s="145" t="str">
        <f t="shared" ref="P1839:P1902" si="118">E1839&amp;G1839</f>
        <v/>
      </c>
      <c r="Q1839" s="52">
        <f t="shared" si="115"/>
        <v>52</v>
      </c>
      <c r="R1839" s="8">
        <f t="shared" si="116"/>
        <v>2025</v>
      </c>
    </row>
    <row r="1840" spans="1:18" hidden="1" x14ac:dyDescent="0.25">
      <c r="A1840" s="224"/>
      <c r="B1840" s="145">
        <v>46017</v>
      </c>
      <c r="C1840" s="52" t="s">
        <v>53</v>
      </c>
      <c r="D1840" s="52" t="s">
        <v>38</v>
      </c>
      <c r="E1840" s="53"/>
      <c r="F1840" s="53"/>
      <c r="G1840" s="43"/>
      <c r="H1840" s="53">
        <v>0</v>
      </c>
      <c r="I1840" s="72">
        <v>0</v>
      </c>
      <c r="J1840" s="53">
        <v>0</v>
      </c>
      <c r="K1840" s="157">
        <v>0.8</v>
      </c>
      <c r="L1840" s="53">
        <f t="shared" si="117"/>
        <v>0</v>
      </c>
      <c r="M1840" s="55">
        <v>0</v>
      </c>
      <c r="N1840" s="56">
        <f t="shared" si="114"/>
        <v>0</v>
      </c>
      <c r="O1840" s="156"/>
      <c r="P1840" s="145" t="str">
        <f t="shared" si="118"/>
        <v/>
      </c>
      <c r="Q1840" s="52">
        <f t="shared" si="115"/>
        <v>52</v>
      </c>
      <c r="R1840" s="8">
        <f t="shared" si="116"/>
        <v>2025</v>
      </c>
    </row>
    <row r="1841" spans="1:18" hidden="1" x14ac:dyDescent="0.25">
      <c r="A1841" s="224"/>
      <c r="B1841" s="148">
        <v>46018</v>
      </c>
      <c r="C1841" s="58" t="s">
        <v>57</v>
      </c>
      <c r="D1841" s="59" t="s">
        <v>38</v>
      </c>
      <c r="E1841" s="60"/>
      <c r="F1841" s="60"/>
      <c r="G1841" s="199"/>
      <c r="H1841" s="60">
        <v>0</v>
      </c>
      <c r="I1841" s="72">
        <v>0</v>
      </c>
      <c r="J1841" s="60">
        <v>0</v>
      </c>
      <c r="K1841" s="159">
        <v>0.8</v>
      </c>
      <c r="L1841" s="60">
        <f t="shared" si="117"/>
        <v>0</v>
      </c>
      <c r="M1841" s="62">
        <v>0</v>
      </c>
      <c r="N1841" s="63">
        <f t="shared" si="114"/>
        <v>0</v>
      </c>
      <c r="O1841" s="206"/>
      <c r="P1841" s="145" t="str">
        <f t="shared" si="118"/>
        <v/>
      </c>
      <c r="Q1841" s="52">
        <f t="shared" si="115"/>
        <v>52</v>
      </c>
      <c r="R1841" s="8">
        <f t="shared" si="116"/>
        <v>2025</v>
      </c>
    </row>
    <row r="1842" spans="1:18" ht="15.75" hidden="1" thickBot="1" x14ac:dyDescent="0.3">
      <c r="A1842" s="225"/>
      <c r="B1842" s="113">
        <v>46019</v>
      </c>
      <c r="C1842" s="66" t="s">
        <v>59</v>
      </c>
      <c r="D1842" s="67" t="s">
        <v>38</v>
      </c>
      <c r="E1842" s="67"/>
      <c r="F1842" s="67"/>
      <c r="G1842" s="68"/>
      <c r="H1842" s="67">
        <v>0</v>
      </c>
      <c r="I1842" s="72">
        <v>0</v>
      </c>
      <c r="J1842" s="67">
        <v>0</v>
      </c>
      <c r="K1842" s="161">
        <v>0.8</v>
      </c>
      <c r="L1842" s="67">
        <f t="shared" si="117"/>
        <v>0</v>
      </c>
      <c r="M1842" s="69">
        <v>0</v>
      </c>
      <c r="N1842" s="70">
        <f t="shared" si="114"/>
        <v>0</v>
      </c>
      <c r="O1842" s="207"/>
      <c r="P1842" s="145" t="str">
        <f t="shared" si="118"/>
        <v/>
      </c>
      <c r="Q1842" s="52">
        <f t="shared" si="115"/>
        <v>52</v>
      </c>
      <c r="R1842" s="8">
        <f t="shared" si="116"/>
        <v>2025</v>
      </c>
    </row>
    <row r="1843" spans="1:18" hidden="1" x14ac:dyDescent="0.25">
      <c r="A1843" s="223">
        <f>_xlfn.ISOWEEKNUM(B1843)</f>
        <v>1</v>
      </c>
      <c r="B1843" s="96">
        <v>46020</v>
      </c>
      <c r="C1843" s="72" t="s">
        <v>37</v>
      </c>
      <c r="D1843" s="41" t="s">
        <v>38</v>
      </c>
      <c r="E1843" s="41"/>
      <c r="F1843" s="43"/>
      <c r="G1843" s="43"/>
      <c r="H1843" s="41">
        <v>0</v>
      </c>
      <c r="I1843" s="41">
        <v>0</v>
      </c>
      <c r="J1843" s="41">
        <v>0</v>
      </c>
      <c r="K1843" s="73">
        <v>0.8</v>
      </c>
      <c r="L1843" s="41">
        <f t="shared" si="117"/>
        <v>0</v>
      </c>
      <c r="M1843" s="73">
        <v>0</v>
      </c>
      <c r="N1843" s="105">
        <f t="shared" si="114"/>
        <v>0</v>
      </c>
      <c r="O1843" s="46"/>
      <c r="P1843" s="145" t="str">
        <f t="shared" si="118"/>
        <v/>
      </c>
      <c r="Q1843" s="52">
        <f t="shared" si="115"/>
        <v>1</v>
      </c>
      <c r="R1843" s="8">
        <f t="shared" si="116"/>
        <v>2025</v>
      </c>
    </row>
    <row r="1844" spans="1:18" hidden="1" x14ac:dyDescent="0.25">
      <c r="A1844" s="224"/>
      <c r="B1844" s="96">
        <v>46021</v>
      </c>
      <c r="C1844" s="52" t="s">
        <v>42</v>
      </c>
      <c r="D1844" s="53" t="s">
        <v>38</v>
      </c>
      <c r="E1844" s="53"/>
      <c r="F1844" s="54"/>
      <c r="G1844" s="54"/>
      <c r="H1844" s="53">
        <v>0</v>
      </c>
      <c r="I1844" s="53">
        <v>0</v>
      </c>
      <c r="J1844" s="53">
        <v>0</v>
      </c>
      <c r="K1844" s="55">
        <v>0.8</v>
      </c>
      <c r="L1844" s="53">
        <f t="shared" si="117"/>
        <v>0</v>
      </c>
      <c r="M1844" s="55">
        <v>0</v>
      </c>
      <c r="N1844" s="101">
        <f t="shared" si="114"/>
        <v>0</v>
      </c>
      <c r="O1844" s="57"/>
      <c r="P1844" s="145" t="str">
        <f t="shared" si="118"/>
        <v/>
      </c>
      <c r="Q1844" s="52">
        <f t="shared" si="115"/>
        <v>1</v>
      </c>
      <c r="R1844" s="8">
        <f t="shared" si="116"/>
        <v>2025</v>
      </c>
    </row>
    <row r="1845" spans="1:18" hidden="1" x14ac:dyDescent="0.25">
      <c r="A1845" s="224"/>
      <c r="B1845" s="96">
        <v>46022</v>
      </c>
      <c r="C1845" s="52" t="s">
        <v>46</v>
      </c>
      <c r="D1845" s="53" t="s">
        <v>38</v>
      </c>
      <c r="E1845" s="53"/>
      <c r="F1845" s="54"/>
      <c r="G1845" s="54"/>
      <c r="H1845" s="53">
        <v>0</v>
      </c>
      <c r="I1845" s="53">
        <v>0</v>
      </c>
      <c r="J1845" s="53">
        <v>0</v>
      </c>
      <c r="K1845" s="55">
        <v>0.8</v>
      </c>
      <c r="L1845" s="53">
        <f t="shared" si="117"/>
        <v>0</v>
      </c>
      <c r="M1845" s="55">
        <v>0</v>
      </c>
      <c r="N1845" s="101">
        <f t="shared" si="114"/>
        <v>0</v>
      </c>
      <c r="O1845" s="57"/>
      <c r="P1845" s="145" t="str">
        <f t="shared" si="118"/>
        <v/>
      </c>
      <c r="Q1845" s="52">
        <f t="shared" si="115"/>
        <v>1</v>
      </c>
      <c r="R1845" s="8">
        <f t="shared" si="116"/>
        <v>2025</v>
      </c>
    </row>
    <row r="1846" spans="1:18" hidden="1" x14ac:dyDescent="0.25">
      <c r="A1846" s="224"/>
      <c r="B1846" s="96">
        <v>46023</v>
      </c>
      <c r="C1846" s="52" t="s">
        <v>50</v>
      </c>
      <c r="D1846" s="53" t="s">
        <v>38</v>
      </c>
      <c r="E1846" s="53"/>
      <c r="F1846" s="54"/>
      <c r="G1846" s="53"/>
      <c r="H1846" s="53">
        <v>0</v>
      </c>
      <c r="I1846" s="53">
        <v>0</v>
      </c>
      <c r="J1846" s="53">
        <v>0</v>
      </c>
      <c r="K1846" s="55"/>
      <c r="L1846" s="55">
        <f t="shared" ref="L1846:L1909" si="119">+I1846*K1846</f>
        <v>0</v>
      </c>
      <c r="M1846" s="55">
        <v>0</v>
      </c>
      <c r="N1846" s="101">
        <f t="shared" ref="N1846:N1909" si="120">+L1846*(1-M1846)</f>
        <v>0</v>
      </c>
      <c r="O1846" s="57"/>
      <c r="P1846" s="145" t="str">
        <f t="shared" si="118"/>
        <v/>
      </c>
      <c r="Q1846" s="52">
        <f t="shared" si="115"/>
        <v>1</v>
      </c>
      <c r="R1846" s="8">
        <f t="shared" si="116"/>
        <v>2026</v>
      </c>
    </row>
    <row r="1847" spans="1:18" hidden="1" x14ac:dyDescent="0.25">
      <c r="A1847" s="224"/>
      <c r="B1847" s="96">
        <v>46024</v>
      </c>
      <c r="C1847" s="52" t="s">
        <v>53</v>
      </c>
      <c r="D1847" s="53" t="s">
        <v>38</v>
      </c>
      <c r="E1847" s="53"/>
      <c r="F1847" s="54"/>
      <c r="G1847" s="53"/>
      <c r="H1847" s="53">
        <v>0</v>
      </c>
      <c r="I1847" s="53">
        <v>0</v>
      </c>
      <c r="J1847" s="53">
        <v>0</v>
      </c>
      <c r="K1847" s="55"/>
      <c r="L1847" s="55">
        <f t="shared" si="119"/>
        <v>0</v>
      </c>
      <c r="M1847" s="55">
        <v>0</v>
      </c>
      <c r="N1847" s="101">
        <f t="shared" si="120"/>
        <v>0</v>
      </c>
      <c r="O1847" s="57"/>
      <c r="P1847" s="145" t="str">
        <f t="shared" si="118"/>
        <v/>
      </c>
      <c r="Q1847" s="52">
        <f t="shared" si="115"/>
        <v>1</v>
      </c>
      <c r="R1847" s="8">
        <f t="shared" si="116"/>
        <v>2026</v>
      </c>
    </row>
    <row r="1848" spans="1:18" hidden="1" x14ac:dyDescent="0.25">
      <c r="A1848" s="224"/>
      <c r="B1848" s="97">
        <v>46025</v>
      </c>
      <c r="C1848" s="58" t="s">
        <v>57</v>
      </c>
      <c r="D1848" s="60" t="s">
        <v>38</v>
      </c>
      <c r="E1848" s="60"/>
      <c r="F1848" s="61"/>
      <c r="G1848" s="60"/>
      <c r="H1848" s="60">
        <v>0</v>
      </c>
      <c r="I1848" s="60">
        <v>0</v>
      </c>
      <c r="J1848" s="60">
        <v>0</v>
      </c>
      <c r="K1848" s="62"/>
      <c r="L1848" s="62">
        <f t="shared" si="119"/>
        <v>0</v>
      </c>
      <c r="M1848" s="62">
        <v>0</v>
      </c>
      <c r="N1848" s="102">
        <f t="shared" si="120"/>
        <v>0</v>
      </c>
      <c r="O1848" s="64"/>
      <c r="P1848" s="145" t="str">
        <f t="shared" si="118"/>
        <v/>
      </c>
      <c r="Q1848" s="52">
        <f t="shared" si="115"/>
        <v>1</v>
      </c>
      <c r="R1848" s="8">
        <f t="shared" si="116"/>
        <v>2026</v>
      </c>
    </row>
    <row r="1849" spans="1:18" ht="15.75" hidden="1" thickBot="1" x14ac:dyDescent="0.3">
      <c r="A1849" s="225"/>
      <c r="B1849" s="98">
        <v>46026</v>
      </c>
      <c r="C1849" s="66" t="s">
        <v>59</v>
      </c>
      <c r="D1849" s="67" t="s">
        <v>38</v>
      </c>
      <c r="E1849" s="67"/>
      <c r="F1849" s="68"/>
      <c r="G1849" s="67"/>
      <c r="H1849" s="67">
        <v>0</v>
      </c>
      <c r="I1849" s="67">
        <v>0</v>
      </c>
      <c r="J1849" s="67">
        <v>0</v>
      </c>
      <c r="K1849" s="69"/>
      <c r="L1849" s="69">
        <f t="shared" si="119"/>
        <v>0</v>
      </c>
      <c r="M1849" s="69">
        <v>0</v>
      </c>
      <c r="N1849" s="103">
        <f t="shared" si="120"/>
        <v>0</v>
      </c>
      <c r="O1849" s="71"/>
      <c r="P1849" s="145" t="str">
        <f t="shared" si="118"/>
        <v/>
      </c>
      <c r="Q1849" s="52">
        <f t="shared" si="115"/>
        <v>1</v>
      </c>
      <c r="R1849" s="8">
        <f t="shared" si="116"/>
        <v>2026</v>
      </c>
    </row>
    <row r="1850" spans="1:18" hidden="1" x14ac:dyDescent="0.25">
      <c r="A1850" s="223">
        <f>_xlfn.ISOWEEKNUM(B1850)</f>
        <v>2</v>
      </c>
      <c r="B1850" s="96">
        <v>46027</v>
      </c>
      <c r="C1850" s="72" t="s">
        <v>37</v>
      </c>
      <c r="D1850" s="41" t="s">
        <v>38</v>
      </c>
      <c r="E1850" s="41"/>
      <c r="F1850" s="43"/>
      <c r="G1850" s="41"/>
      <c r="H1850" s="41">
        <v>0</v>
      </c>
      <c r="I1850" s="41">
        <v>0</v>
      </c>
      <c r="J1850" s="41">
        <v>0</v>
      </c>
      <c r="K1850" s="73"/>
      <c r="L1850" s="73">
        <f t="shared" si="119"/>
        <v>0</v>
      </c>
      <c r="M1850" s="73">
        <v>0</v>
      </c>
      <c r="N1850" s="105">
        <f t="shared" si="120"/>
        <v>0</v>
      </c>
      <c r="O1850" s="46"/>
      <c r="P1850" s="145" t="str">
        <f t="shared" si="118"/>
        <v/>
      </c>
      <c r="Q1850" s="52">
        <f t="shared" si="115"/>
        <v>2</v>
      </c>
      <c r="R1850" s="8">
        <f t="shared" si="116"/>
        <v>2026</v>
      </c>
    </row>
    <row r="1851" spans="1:18" hidden="1" x14ac:dyDescent="0.25">
      <c r="A1851" s="224"/>
      <c r="B1851" s="96">
        <v>46028</v>
      </c>
      <c r="C1851" s="52" t="s">
        <v>42</v>
      </c>
      <c r="D1851" s="53" t="s">
        <v>38</v>
      </c>
      <c r="E1851" s="53"/>
      <c r="F1851" s="54"/>
      <c r="G1851" s="53"/>
      <c r="H1851" s="53">
        <v>0</v>
      </c>
      <c r="I1851" s="53">
        <v>0</v>
      </c>
      <c r="J1851" s="53">
        <v>0</v>
      </c>
      <c r="K1851" s="55"/>
      <c r="L1851" s="55">
        <f t="shared" si="119"/>
        <v>0</v>
      </c>
      <c r="M1851" s="55">
        <v>0</v>
      </c>
      <c r="N1851" s="101">
        <f t="shared" si="120"/>
        <v>0</v>
      </c>
      <c r="O1851" s="57"/>
      <c r="P1851" s="145" t="str">
        <f t="shared" si="118"/>
        <v/>
      </c>
      <c r="Q1851" s="52">
        <f t="shared" si="115"/>
        <v>2</v>
      </c>
      <c r="R1851" s="8">
        <f t="shared" si="116"/>
        <v>2026</v>
      </c>
    </row>
    <row r="1852" spans="1:18" hidden="1" x14ac:dyDescent="0.25">
      <c r="A1852" s="224"/>
      <c r="B1852" s="96">
        <v>46029</v>
      </c>
      <c r="C1852" s="52" t="s">
        <v>46</v>
      </c>
      <c r="D1852" s="53" t="s">
        <v>38</v>
      </c>
      <c r="E1852" s="53"/>
      <c r="F1852" s="54"/>
      <c r="G1852" s="53"/>
      <c r="H1852" s="53">
        <v>0</v>
      </c>
      <c r="I1852" s="53">
        <v>0</v>
      </c>
      <c r="J1852" s="53">
        <v>0</v>
      </c>
      <c r="K1852" s="55"/>
      <c r="L1852" s="55">
        <f t="shared" si="119"/>
        <v>0</v>
      </c>
      <c r="M1852" s="55">
        <v>0</v>
      </c>
      <c r="N1852" s="101">
        <f t="shared" si="120"/>
        <v>0</v>
      </c>
      <c r="O1852" s="57"/>
      <c r="P1852" s="145" t="str">
        <f t="shared" si="118"/>
        <v/>
      </c>
      <c r="Q1852" s="52">
        <f t="shared" si="115"/>
        <v>2</v>
      </c>
      <c r="R1852" s="8">
        <f t="shared" si="116"/>
        <v>2026</v>
      </c>
    </row>
    <row r="1853" spans="1:18" hidden="1" x14ac:dyDescent="0.25">
      <c r="A1853" s="224"/>
      <c r="B1853" s="96">
        <v>46030</v>
      </c>
      <c r="C1853" s="52" t="s">
        <v>50</v>
      </c>
      <c r="D1853" s="53" t="s">
        <v>38</v>
      </c>
      <c r="E1853" s="53"/>
      <c r="F1853" s="54"/>
      <c r="G1853" s="53"/>
      <c r="H1853" s="53">
        <v>0</v>
      </c>
      <c r="I1853" s="53">
        <v>0</v>
      </c>
      <c r="J1853" s="53">
        <v>0</v>
      </c>
      <c r="K1853" s="55"/>
      <c r="L1853" s="55">
        <f t="shared" si="119"/>
        <v>0</v>
      </c>
      <c r="M1853" s="55">
        <v>0</v>
      </c>
      <c r="N1853" s="101">
        <f t="shared" si="120"/>
        <v>0</v>
      </c>
      <c r="O1853" s="57"/>
      <c r="P1853" s="145" t="str">
        <f t="shared" si="118"/>
        <v/>
      </c>
      <c r="Q1853" s="52">
        <f t="shared" si="115"/>
        <v>2</v>
      </c>
      <c r="R1853" s="8">
        <f t="shared" si="116"/>
        <v>2026</v>
      </c>
    </row>
    <row r="1854" spans="1:18" hidden="1" x14ac:dyDescent="0.25">
      <c r="A1854" s="224"/>
      <c r="B1854" s="96">
        <v>46031</v>
      </c>
      <c r="C1854" s="52" t="s">
        <v>53</v>
      </c>
      <c r="D1854" s="53" t="s">
        <v>38</v>
      </c>
      <c r="E1854" s="53"/>
      <c r="F1854" s="54"/>
      <c r="G1854" s="53"/>
      <c r="H1854" s="53">
        <v>0</v>
      </c>
      <c r="I1854" s="53">
        <v>0</v>
      </c>
      <c r="J1854" s="53">
        <v>0</v>
      </c>
      <c r="K1854" s="55"/>
      <c r="L1854" s="55">
        <f t="shared" si="119"/>
        <v>0</v>
      </c>
      <c r="M1854" s="55">
        <v>0</v>
      </c>
      <c r="N1854" s="101">
        <f t="shared" si="120"/>
        <v>0</v>
      </c>
      <c r="O1854" s="57"/>
      <c r="P1854" s="145" t="str">
        <f t="shared" si="118"/>
        <v/>
      </c>
      <c r="Q1854" s="52">
        <f t="shared" si="115"/>
        <v>2</v>
      </c>
      <c r="R1854" s="8">
        <f t="shared" si="116"/>
        <v>2026</v>
      </c>
    </row>
    <row r="1855" spans="1:18" hidden="1" x14ac:dyDescent="0.25">
      <c r="A1855" s="224"/>
      <c r="B1855" s="97">
        <v>46032</v>
      </c>
      <c r="C1855" s="58" t="s">
        <v>57</v>
      </c>
      <c r="D1855" s="60" t="s">
        <v>38</v>
      </c>
      <c r="E1855" s="60"/>
      <c r="F1855" s="61"/>
      <c r="G1855" s="60"/>
      <c r="H1855" s="60">
        <v>0</v>
      </c>
      <c r="I1855" s="60">
        <v>0</v>
      </c>
      <c r="J1855" s="60">
        <v>0</v>
      </c>
      <c r="K1855" s="62"/>
      <c r="L1855" s="62">
        <f t="shared" si="119"/>
        <v>0</v>
      </c>
      <c r="M1855" s="62">
        <v>0</v>
      </c>
      <c r="N1855" s="102">
        <f t="shared" si="120"/>
        <v>0</v>
      </c>
      <c r="O1855" s="64"/>
      <c r="P1855" s="145" t="str">
        <f t="shared" si="118"/>
        <v/>
      </c>
      <c r="Q1855" s="52">
        <f t="shared" si="115"/>
        <v>2</v>
      </c>
      <c r="R1855" s="8">
        <f t="shared" si="116"/>
        <v>2026</v>
      </c>
    </row>
    <row r="1856" spans="1:18" ht="15.75" hidden="1" thickBot="1" x14ac:dyDescent="0.3">
      <c r="A1856" s="225"/>
      <c r="B1856" s="98">
        <v>46033</v>
      </c>
      <c r="C1856" s="66" t="s">
        <v>59</v>
      </c>
      <c r="D1856" s="67" t="s">
        <v>38</v>
      </c>
      <c r="E1856" s="67"/>
      <c r="F1856" s="68"/>
      <c r="G1856" s="67"/>
      <c r="H1856" s="67">
        <v>0</v>
      </c>
      <c r="I1856" s="67">
        <v>0</v>
      </c>
      <c r="J1856" s="67">
        <v>0</v>
      </c>
      <c r="K1856" s="69"/>
      <c r="L1856" s="69">
        <f t="shared" si="119"/>
        <v>0</v>
      </c>
      <c r="M1856" s="69">
        <v>0</v>
      </c>
      <c r="N1856" s="103">
        <f t="shared" si="120"/>
        <v>0</v>
      </c>
      <c r="O1856" s="71"/>
      <c r="P1856" s="145" t="str">
        <f t="shared" si="118"/>
        <v/>
      </c>
      <c r="Q1856" s="52">
        <f t="shared" si="115"/>
        <v>2</v>
      </c>
      <c r="R1856" s="8">
        <f t="shared" si="116"/>
        <v>2026</v>
      </c>
    </row>
    <row r="1857" spans="1:18" hidden="1" x14ac:dyDescent="0.25">
      <c r="A1857" s="223">
        <f>_xlfn.ISOWEEKNUM(B1857)</f>
        <v>3</v>
      </c>
      <c r="B1857" s="96">
        <v>46034</v>
      </c>
      <c r="C1857" s="72" t="s">
        <v>37</v>
      </c>
      <c r="D1857" s="41" t="s">
        <v>38</v>
      </c>
      <c r="E1857" s="41"/>
      <c r="F1857" s="43"/>
      <c r="G1857" s="41"/>
      <c r="H1857" s="41">
        <v>0</v>
      </c>
      <c r="I1857" s="41">
        <v>0</v>
      </c>
      <c r="J1857" s="41">
        <v>0</v>
      </c>
      <c r="K1857" s="73"/>
      <c r="L1857" s="73">
        <f t="shared" si="119"/>
        <v>0</v>
      </c>
      <c r="M1857" s="73">
        <v>0</v>
      </c>
      <c r="N1857" s="105">
        <f t="shared" si="120"/>
        <v>0</v>
      </c>
      <c r="O1857" s="46"/>
      <c r="P1857" s="145" t="str">
        <f t="shared" si="118"/>
        <v/>
      </c>
      <c r="Q1857" s="52">
        <f t="shared" si="115"/>
        <v>3</v>
      </c>
      <c r="R1857" s="8">
        <f t="shared" si="116"/>
        <v>2026</v>
      </c>
    </row>
    <row r="1858" spans="1:18" hidden="1" x14ac:dyDescent="0.25">
      <c r="A1858" s="224"/>
      <c r="B1858" s="96">
        <v>46035</v>
      </c>
      <c r="C1858" s="52" t="s">
        <v>42</v>
      </c>
      <c r="D1858" s="53" t="s">
        <v>38</v>
      </c>
      <c r="E1858" s="53"/>
      <c r="F1858" s="54"/>
      <c r="G1858" s="53"/>
      <c r="H1858" s="53">
        <v>0</v>
      </c>
      <c r="I1858" s="53">
        <v>0</v>
      </c>
      <c r="J1858" s="53">
        <v>0</v>
      </c>
      <c r="K1858" s="55"/>
      <c r="L1858" s="55">
        <f t="shared" si="119"/>
        <v>0</v>
      </c>
      <c r="M1858" s="55">
        <v>0</v>
      </c>
      <c r="N1858" s="101">
        <f t="shared" si="120"/>
        <v>0</v>
      </c>
      <c r="O1858" s="57"/>
      <c r="P1858" s="145" t="str">
        <f t="shared" si="118"/>
        <v/>
      </c>
      <c r="Q1858" s="52">
        <f t="shared" si="115"/>
        <v>3</v>
      </c>
      <c r="R1858" s="8">
        <f t="shared" si="116"/>
        <v>2026</v>
      </c>
    </row>
    <row r="1859" spans="1:18" hidden="1" x14ac:dyDescent="0.25">
      <c r="A1859" s="224"/>
      <c r="B1859" s="96">
        <v>46036</v>
      </c>
      <c r="C1859" s="52" t="s">
        <v>46</v>
      </c>
      <c r="D1859" s="53" t="s">
        <v>38</v>
      </c>
      <c r="E1859" s="53"/>
      <c r="F1859" s="54"/>
      <c r="G1859" s="53"/>
      <c r="H1859" s="53">
        <v>0</v>
      </c>
      <c r="I1859" s="53">
        <v>0</v>
      </c>
      <c r="J1859" s="53">
        <v>0</v>
      </c>
      <c r="K1859" s="55"/>
      <c r="L1859" s="55">
        <f t="shared" si="119"/>
        <v>0</v>
      </c>
      <c r="M1859" s="55">
        <v>0</v>
      </c>
      <c r="N1859" s="101">
        <f t="shared" si="120"/>
        <v>0</v>
      </c>
      <c r="O1859" s="57"/>
      <c r="P1859" s="145" t="str">
        <f t="shared" si="118"/>
        <v/>
      </c>
      <c r="Q1859" s="52">
        <f t="shared" si="115"/>
        <v>3</v>
      </c>
      <c r="R1859" s="8">
        <f t="shared" si="116"/>
        <v>2026</v>
      </c>
    </row>
    <row r="1860" spans="1:18" hidden="1" x14ac:dyDescent="0.25">
      <c r="A1860" s="224"/>
      <c r="B1860" s="96">
        <v>46037</v>
      </c>
      <c r="C1860" s="52" t="s">
        <v>50</v>
      </c>
      <c r="D1860" s="53" t="s">
        <v>38</v>
      </c>
      <c r="E1860" s="53"/>
      <c r="F1860" s="54"/>
      <c r="G1860" s="53"/>
      <c r="H1860" s="53">
        <v>0</v>
      </c>
      <c r="I1860" s="53">
        <v>0</v>
      </c>
      <c r="J1860" s="53">
        <v>0</v>
      </c>
      <c r="K1860" s="55"/>
      <c r="L1860" s="55">
        <f t="shared" si="119"/>
        <v>0</v>
      </c>
      <c r="M1860" s="55">
        <v>0</v>
      </c>
      <c r="N1860" s="101">
        <f t="shared" si="120"/>
        <v>0</v>
      </c>
      <c r="O1860" s="57"/>
      <c r="P1860" s="145" t="str">
        <f t="shared" si="118"/>
        <v/>
      </c>
      <c r="Q1860" s="52">
        <f t="shared" si="115"/>
        <v>3</v>
      </c>
      <c r="R1860" s="8">
        <f t="shared" si="116"/>
        <v>2026</v>
      </c>
    </row>
    <row r="1861" spans="1:18" hidden="1" x14ac:dyDescent="0.25">
      <c r="A1861" s="224"/>
      <c r="B1861" s="96">
        <v>46038</v>
      </c>
      <c r="C1861" s="52" t="s">
        <v>53</v>
      </c>
      <c r="D1861" s="53" t="s">
        <v>38</v>
      </c>
      <c r="E1861" s="53"/>
      <c r="F1861" s="54"/>
      <c r="G1861" s="53"/>
      <c r="H1861" s="53">
        <v>0</v>
      </c>
      <c r="I1861" s="53">
        <v>0</v>
      </c>
      <c r="J1861" s="53">
        <v>0</v>
      </c>
      <c r="K1861" s="55"/>
      <c r="L1861" s="55">
        <f t="shared" si="119"/>
        <v>0</v>
      </c>
      <c r="M1861" s="55">
        <v>0</v>
      </c>
      <c r="N1861" s="101">
        <f t="shared" si="120"/>
        <v>0</v>
      </c>
      <c r="O1861" s="57"/>
      <c r="P1861" s="145" t="str">
        <f t="shared" si="118"/>
        <v/>
      </c>
      <c r="Q1861" s="52">
        <f t="shared" si="115"/>
        <v>3</v>
      </c>
      <c r="R1861" s="8">
        <f t="shared" si="116"/>
        <v>2026</v>
      </c>
    </row>
    <row r="1862" spans="1:18" hidden="1" x14ac:dyDescent="0.25">
      <c r="A1862" s="224"/>
      <c r="B1862" s="97">
        <v>46039</v>
      </c>
      <c r="C1862" s="58" t="s">
        <v>57</v>
      </c>
      <c r="D1862" s="60" t="s">
        <v>38</v>
      </c>
      <c r="E1862" s="60"/>
      <c r="F1862" s="61"/>
      <c r="G1862" s="60"/>
      <c r="H1862" s="60">
        <v>0</v>
      </c>
      <c r="I1862" s="60">
        <v>0</v>
      </c>
      <c r="J1862" s="60">
        <v>0</v>
      </c>
      <c r="K1862" s="62"/>
      <c r="L1862" s="62">
        <f t="shared" si="119"/>
        <v>0</v>
      </c>
      <c r="M1862" s="62">
        <v>0</v>
      </c>
      <c r="N1862" s="102">
        <f t="shared" si="120"/>
        <v>0</v>
      </c>
      <c r="O1862" s="64"/>
      <c r="P1862" s="145" t="str">
        <f t="shared" si="118"/>
        <v/>
      </c>
      <c r="Q1862" s="52">
        <f t="shared" si="115"/>
        <v>3</v>
      </c>
      <c r="R1862" s="8">
        <f t="shared" si="116"/>
        <v>2026</v>
      </c>
    </row>
    <row r="1863" spans="1:18" ht="15.75" hidden="1" thickBot="1" x14ac:dyDescent="0.3">
      <c r="A1863" s="225"/>
      <c r="B1863" s="98">
        <v>46040</v>
      </c>
      <c r="C1863" s="66" t="s">
        <v>59</v>
      </c>
      <c r="D1863" s="67" t="s">
        <v>38</v>
      </c>
      <c r="E1863" s="67"/>
      <c r="F1863" s="68"/>
      <c r="G1863" s="67"/>
      <c r="H1863" s="67">
        <v>0</v>
      </c>
      <c r="I1863" s="67">
        <v>0</v>
      </c>
      <c r="J1863" s="67">
        <v>0</v>
      </c>
      <c r="K1863" s="69"/>
      <c r="L1863" s="69">
        <f t="shared" si="119"/>
        <v>0</v>
      </c>
      <c r="M1863" s="69">
        <v>0</v>
      </c>
      <c r="N1863" s="103">
        <f t="shared" si="120"/>
        <v>0</v>
      </c>
      <c r="O1863" s="71"/>
      <c r="P1863" s="145" t="str">
        <f t="shared" si="118"/>
        <v/>
      </c>
      <c r="Q1863" s="52">
        <f t="shared" si="115"/>
        <v>3</v>
      </c>
      <c r="R1863" s="8">
        <f t="shared" si="116"/>
        <v>2026</v>
      </c>
    </row>
    <row r="1864" spans="1:18" hidden="1" x14ac:dyDescent="0.25">
      <c r="A1864" s="223">
        <f>_xlfn.ISOWEEKNUM(B1864)</f>
        <v>4</v>
      </c>
      <c r="B1864" s="96">
        <v>46041</v>
      </c>
      <c r="C1864" s="72" t="s">
        <v>37</v>
      </c>
      <c r="D1864" s="41" t="s">
        <v>38</v>
      </c>
      <c r="E1864" s="41"/>
      <c r="F1864" s="43"/>
      <c r="G1864" s="41"/>
      <c r="H1864" s="41">
        <v>0</v>
      </c>
      <c r="I1864" s="41">
        <v>0</v>
      </c>
      <c r="J1864" s="41">
        <v>0</v>
      </c>
      <c r="K1864" s="73"/>
      <c r="L1864" s="73">
        <f t="shared" si="119"/>
        <v>0</v>
      </c>
      <c r="M1864" s="73">
        <v>0</v>
      </c>
      <c r="N1864" s="105">
        <f t="shared" si="120"/>
        <v>0</v>
      </c>
      <c r="O1864" s="46"/>
      <c r="P1864" s="145" t="str">
        <f t="shared" si="118"/>
        <v/>
      </c>
      <c r="Q1864" s="52">
        <f t="shared" si="115"/>
        <v>4</v>
      </c>
      <c r="R1864" s="8">
        <f t="shared" si="116"/>
        <v>2026</v>
      </c>
    </row>
    <row r="1865" spans="1:18" hidden="1" x14ac:dyDescent="0.25">
      <c r="A1865" s="224"/>
      <c r="B1865" s="96">
        <v>46042</v>
      </c>
      <c r="C1865" s="52" t="s">
        <v>42</v>
      </c>
      <c r="D1865" s="53" t="s">
        <v>38</v>
      </c>
      <c r="E1865" s="53"/>
      <c r="F1865" s="54"/>
      <c r="G1865" s="53"/>
      <c r="H1865" s="53">
        <v>0</v>
      </c>
      <c r="I1865" s="53">
        <v>0</v>
      </c>
      <c r="J1865" s="53">
        <v>0</v>
      </c>
      <c r="K1865" s="55"/>
      <c r="L1865" s="55">
        <f t="shared" si="119"/>
        <v>0</v>
      </c>
      <c r="M1865" s="55">
        <v>0</v>
      </c>
      <c r="N1865" s="101">
        <f t="shared" si="120"/>
        <v>0</v>
      </c>
      <c r="O1865" s="57"/>
      <c r="P1865" s="145" t="str">
        <f t="shared" si="118"/>
        <v/>
      </c>
      <c r="Q1865" s="52">
        <f t="shared" ref="Q1865:Q1928" si="121">_xlfn.ISOWEEKNUM(B1865)</f>
        <v>4</v>
      </c>
      <c r="R1865" s="8">
        <f t="shared" ref="R1865:R1928" si="122">YEAR(B1865)</f>
        <v>2026</v>
      </c>
    </row>
    <row r="1866" spans="1:18" hidden="1" x14ac:dyDescent="0.25">
      <c r="A1866" s="224"/>
      <c r="B1866" s="96">
        <v>46043</v>
      </c>
      <c r="C1866" s="52" t="s">
        <v>46</v>
      </c>
      <c r="D1866" s="53" t="s">
        <v>38</v>
      </c>
      <c r="E1866" s="53"/>
      <c r="F1866" s="54"/>
      <c r="G1866" s="53"/>
      <c r="H1866" s="53">
        <v>0</v>
      </c>
      <c r="I1866" s="53">
        <v>0</v>
      </c>
      <c r="J1866" s="53">
        <v>0</v>
      </c>
      <c r="K1866" s="55"/>
      <c r="L1866" s="55">
        <f t="shared" si="119"/>
        <v>0</v>
      </c>
      <c r="M1866" s="55">
        <v>0</v>
      </c>
      <c r="N1866" s="101">
        <f t="shared" si="120"/>
        <v>0</v>
      </c>
      <c r="O1866" s="57"/>
      <c r="P1866" s="145" t="str">
        <f t="shared" si="118"/>
        <v/>
      </c>
      <c r="Q1866" s="52">
        <f t="shared" si="121"/>
        <v>4</v>
      </c>
      <c r="R1866" s="8">
        <f t="shared" si="122"/>
        <v>2026</v>
      </c>
    </row>
    <row r="1867" spans="1:18" hidden="1" x14ac:dyDescent="0.25">
      <c r="A1867" s="224"/>
      <c r="B1867" s="96">
        <v>46044</v>
      </c>
      <c r="C1867" s="52" t="s">
        <v>50</v>
      </c>
      <c r="D1867" s="53" t="s">
        <v>38</v>
      </c>
      <c r="E1867" s="53"/>
      <c r="F1867" s="54"/>
      <c r="G1867" s="53"/>
      <c r="H1867" s="53">
        <v>0</v>
      </c>
      <c r="I1867" s="53">
        <v>0</v>
      </c>
      <c r="J1867" s="53">
        <v>0</v>
      </c>
      <c r="K1867" s="55"/>
      <c r="L1867" s="55">
        <f t="shared" si="119"/>
        <v>0</v>
      </c>
      <c r="M1867" s="55">
        <v>0</v>
      </c>
      <c r="N1867" s="101">
        <f t="shared" si="120"/>
        <v>0</v>
      </c>
      <c r="O1867" s="57"/>
      <c r="P1867" s="145" t="str">
        <f t="shared" si="118"/>
        <v/>
      </c>
      <c r="Q1867" s="52">
        <f t="shared" si="121"/>
        <v>4</v>
      </c>
      <c r="R1867" s="8">
        <f t="shared" si="122"/>
        <v>2026</v>
      </c>
    </row>
    <row r="1868" spans="1:18" hidden="1" x14ac:dyDescent="0.25">
      <c r="A1868" s="224"/>
      <c r="B1868" s="96">
        <v>46045</v>
      </c>
      <c r="C1868" s="52" t="s">
        <v>53</v>
      </c>
      <c r="D1868" s="53" t="s">
        <v>38</v>
      </c>
      <c r="E1868" s="53"/>
      <c r="F1868" s="54"/>
      <c r="G1868" s="53"/>
      <c r="H1868" s="53">
        <v>0</v>
      </c>
      <c r="I1868" s="53">
        <v>0</v>
      </c>
      <c r="J1868" s="53">
        <v>0</v>
      </c>
      <c r="K1868" s="55"/>
      <c r="L1868" s="55">
        <f t="shared" si="119"/>
        <v>0</v>
      </c>
      <c r="M1868" s="55">
        <v>0</v>
      </c>
      <c r="N1868" s="101">
        <f t="shared" si="120"/>
        <v>0</v>
      </c>
      <c r="O1868" s="57"/>
      <c r="P1868" s="145" t="str">
        <f t="shared" si="118"/>
        <v/>
      </c>
      <c r="Q1868" s="52">
        <f t="shared" si="121"/>
        <v>4</v>
      </c>
      <c r="R1868" s="8">
        <f t="shared" si="122"/>
        <v>2026</v>
      </c>
    </row>
    <row r="1869" spans="1:18" hidden="1" x14ac:dyDescent="0.25">
      <c r="A1869" s="224"/>
      <c r="B1869" s="97">
        <v>46046</v>
      </c>
      <c r="C1869" s="58" t="s">
        <v>57</v>
      </c>
      <c r="D1869" s="60" t="s">
        <v>38</v>
      </c>
      <c r="E1869" s="60"/>
      <c r="F1869" s="61"/>
      <c r="G1869" s="60"/>
      <c r="H1869" s="60">
        <v>0</v>
      </c>
      <c r="I1869" s="60">
        <v>0</v>
      </c>
      <c r="J1869" s="60">
        <v>0</v>
      </c>
      <c r="K1869" s="62"/>
      <c r="L1869" s="62">
        <f t="shared" si="119"/>
        <v>0</v>
      </c>
      <c r="M1869" s="62">
        <v>0</v>
      </c>
      <c r="N1869" s="102">
        <f t="shared" si="120"/>
        <v>0</v>
      </c>
      <c r="O1869" s="64"/>
      <c r="P1869" s="145" t="str">
        <f t="shared" si="118"/>
        <v/>
      </c>
      <c r="Q1869" s="52">
        <f t="shared" si="121"/>
        <v>4</v>
      </c>
      <c r="R1869" s="8">
        <f t="shared" si="122"/>
        <v>2026</v>
      </c>
    </row>
    <row r="1870" spans="1:18" ht="15.75" hidden="1" thickBot="1" x14ac:dyDescent="0.3">
      <c r="A1870" s="225"/>
      <c r="B1870" s="98">
        <v>46047</v>
      </c>
      <c r="C1870" s="66" t="s">
        <v>59</v>
      </c>
      <c r="D1870" s="67" t="s">
        <v>38</v>
      </c>
      <c r="E1870" s="67"/>
      <c r="F1870" s="68"/>
      <c r="G1870" s="67"/>
      <c r="H1870" s="67">
        <v>0</v>
      </c>
      <c r="I1870" s="67">
        <v>0</v>
      </c>
      <c r="J1870" s="67">
        <v>0</v>
      </c>
      <c r="K1870" s="69"/>
      <c r="L1870" s="69">
        <f t="shared" si="119"/>
        <v>0</v>
      </c>
      <c r="M1870" s="69">
        <v>0</v>
      </c>
      <c r="N1870" s="103">
        <f t="shared" si="120"/>
        <v>0</v>
      </c>
      <c r="O1870" s="71"/>
      <c r="P1870" s="145" t="str">
        <f t="shared" si="118"/>
        <v/>
      </c>
      <c r="Q1870" s="52">
        <f t="shared" si="121"/>
        <v>4</v>
      </c>
      <c r="R1870" s="8">
        <f t="shared" si="122"/>
        <v>2026</v>
      </c>
    </row>
    <row r="1871" spans="1:18" hidden="1" x14ac:dyDescent="0.25">
      <c r="A1871" s="223">
        <f>_xlfn.ISOWEEKNUM(B1871)</f>
        <v>5</v>
      </c>
      <c r="B1871" s="96">
        <v>46048</v>
      </c>
      <c r="C1871" s="72" t="s">
        <v>37</v>
      </c>
      <c r="D1871" s="41" t="s">
        <v>38</v>
      </c>
      <c r="E1871" s="41"/>
      <c r="F1871" s="43"/>
      <c r="G1871" s="41"/>
      <c r="H1871" s="41">
        <v>0</v>
      </c>
      <c r="I1871" s="41">
        <v>0</v>
      </c>
      <c r="J1871" s="41">
        <v>0</v>
      </c>
      <c r="K1871" s="73"/>
      <c r="L1871" s="73">
        <f t="shared" si="119"/>
        <v>0</v>
      </c>
      <c r="M1871" s="73">
        <v>0</v>
      </c>
      <c r="N1871" s="105">
        <f t="shared" si="120"/>
        <v>0</v>
      </c>
      <c r="O1871" s="46"/>
      <c r="P1871" s="145" t="str">
        <f t="shared" si="118"/>
        <v/>
      </c>
      <c r="Q1871" s="52">
        <f t="shared" si="121"/>
        <v>5</v>
      </c>
      <c r="R1871" s="8">
        <f t="shared" si="122"/>
        <v>2026</v>
      </c>
    </row>
    <row r="1872" spans="1:18" hidden="1" x14ac:dyDescent="0.25">
      <c r="A1872" s="224"/>
      <c r="B1872" s="96">
        <v>46049</v>
      </c>
      <c r="C1872" s="52" t="s">
        <v>42</v>
      </c>
      <c r="D1872" s="53" t="s">
        <v>38</v>
      </c>
      <c r="E1872" s="53"/>
      <c r="F1872" s="54"/>
      <c r="G1872" s="53"/>
      <c r="H1872" s="53">
        <v>0</v>
      </c>
      <c r="I1872" s="53">
        <v>0</v>
      </c>
      <c r="J1872" s="53">
        <v>0</v>
      </c>
      <c r="K1872" s="55"/>
      <c r="L1872" s="55">
        <f t="shared" si="119"/>
        <v>0</v>
      </c>
      <c r="M1872" s="55">
        <v>0</v>
      </c>
      <c r="N1872" s="101">
        <f t="shared" si="120"/>
        <v>0</v>
      </c>
      <c r="O1872" s="57"/>
      <c r="P1872" s="145" t="str">
        <f t="shared" si="118"/>
        <v/>
      </c>
      <c r="Q1872" s="52">
        <f t="shared" si="121"/>
        <v>5</v>
      </c>
      <c r="R1872" s="8">
        <f t="shared" si="122"/>
        <v>2026</v>
      </c>
    </row>
    <row r="1873" spans="1:18" hidden="1" x14ac:dyDescent="0.25">
      <c r="A1873" s="224"/>
      <c r="B1873" s="96">
        <v>46050</v>
      </c>
      <c r="C1873" s="52" t="s">
        <v>46</v>
      </c>
      <c r="D1873" s="53" t="s">
        <v>38</v>
      </c>
      <c r="E1873" s="53"/>
      <c r="F1873" s="54"/>
      <c r="G1873" s="53"/>
      <c r="H1873" s="53">
        <v>0</v>
      </c>
      <c r="I1873" s="53">
        <v>0</v>
      </c>
      <c r="J1873" s="53">
        <v>0</v>
      </c>
      <c r="K1873" s="55"/>
      <c r="L1873" s="55">
        <f t="shared" si="119"/>
        <v>0</v>
      </c>
      <c r="M1873" s="55">
        <v>0</v>
      </c>
      <c r="N1873" s="101">
        <f t="shared" si="120"/>
        <v>0</v>
      </c>
      <c r="O1873" s="57"/>
      <c r="P1873" s="145" t="str">
        <f t="shared" si="118"/>
        <v/>
      </c>
      <c r="Q1873" s="52">
        <f t="shared" si="121"/>
        <v>5</v>
      </c>
      <c r="R1873" s="8">
        <f t="shared" si="122"/>
        <v>2026</v>
      </c>
    </row>
    <row r="1874" spans="1:18" hidden="1" x14ac:dyDescent="0.25">
      <c r="A1874" s="224"/>
      <c r="B1874" s="96">
        <v>46051</v>
      </c>
      <c r="C1874" s="52" t="s">
        <v>50</v>
      </c>
      <c r="D1874" s="53" t="s">
        <v>38</v>
      </c>
      <c r="E1874" s="53"/>
      <c r="F1874" s="54"/>
      <c r="G1874" s="53"/>
      <c r="H1874" s="53">
        <v>0</v>
      </c>
      <c r="I1874" s="53">
        <v>0</v>
      </c>
      <c r="J1874" s="53">
        <v>0</v>
      </c>
      <c r="K1874" s="55"/>
      <c r="L1874" s="55">
        <f t="shared" si="119"/>
        <v>0</v>
      </c>
      <c r="M1874" s="55">
        <v>0</v>
      </c>
      <c r="N1874" s="101">
        <f t="shared" si="120"/>
        <v>0</v>
      </c>
      <c r="O1874" s="57"/>
      <c r="P1874" s="145" t="str">
        <f t="shared" si="118"/>
        <v/>
      </c>
      <c r="Q1874" s="52">
        <f t="shared" si="121"/>
        <v>5</v>
      </c>
      <c r="R1874" s="8">
        <f t="shared" si="122"/>
        <v>2026</v>
      </c>
    </row>
    <row r="1875" spans="1:18" hidden="1" x14ac:dyDescent="0.25">
      <c r="A1875" s="224"/>
      <c r="B1875" s="96">
        <v>46052</v>
      </c>
      <c r="C1875" s="52" t="s">
        <v>53</v>
      </c>
      <c r="D1875" s="53" t="s">
        <v>38</v>
      </c>
      <c r="E1875" s="53"/>
      <c r="F1875" s="54"/>
      <c r="G1875" s="53"/>
      <c r="H1875" s="53">
        <v>0</v>
      </c>
      <c r="I1875" s="53">
        <v>0</v>
      </c>
      <c r="J1875" s="53">
        <v>0</v>
      </c>
      <c r="K1875" s="55"/>
      <c r="L1875" s="55">
        <f t="shared" si="119"/>
        <v>0</v>
      </c>
      <c r="M1875" s="55">
        <v>0</v>
      </c>
      <c r="N1875" s="101">
        <f t="shared" si="120"/>
        <v>0</v>
      </c>
      <c r="O1875" s="57"/>
      <c r="P1875" s="145" t="str">
        <f t="shared" si="118"/>
        <v/>
      </c>
      <c r="Q1875" s="52">
        <f t="shared" si="121"/>
        <v>5</v>
      </c>
      <c r="R1875" s="8">
        <f t="shared" si="122"/>
        <v>2026</v>
      </c>
    </row>
    <row r="1876" spans="1:18" hidden="1" x14ac:dyDescent="0.25">
      <c r="A1876" s="224"/>
      <c r="B1876" s="97">
        <v>46053</v>
      </c>
      <c r="C1876" s="58" t="s">
        <v>57</v>
      </c>
      <c r="D1876" s="60" t="s">
        <v>38</v>
      </c>
      <c r="E1876" s="60"/>
      <c r="F1876" s="61"/>
      <c r="G1876" s="60"/>
      <c r="H1876" s="60">
        <v>0</v>
      </c>
      <c r="I1876" s="60">
        <v>0</v>
      </c>
      <c r="J1876" s="60">
        <v>0</v>
      </c>
      <c r="K1876" s="62"/>
      <c r="L1876" s="62">
        <f t="shared" si="119"/>
        <v>0</v>
      </c>
      <c r="M1876" s="62">
        <v>0</v>
      </c>
      <c r="N1876" s="102">
        <f t="shared" si="120"/>
        <v>0</v>
      </c>
      <c r="O1876" s="64"/>
      <c r="P1876" s="145" t="str">
        <f t="shared" si="118"/>
        <v/>
      </c>
      <c r="Q1876" s="52">
        <f t="shared" si="121"/>
        <v>5</v>
      </c>
      <c r="R1876" s="8">
        <f t="shared" si="122"/>
        <v>2026</v>
      </c>
    </row>
    <row r="1877" spans="1:18" ht="15.75" hidden="1" thickBot="1" x14ac:dyDescent="0.3">
      <c r="A1877" s="225"/>
      <c r="B1877" s="98">
        <v>46054</v>
      </c>
      <c r="C1877" s="66" t="s">
        <v>59</v>
      </c>
      <c r="D1877" s="67" t="s">
        <v>38</v>
      </c>
      <c r="E1877" s="67"/>
      <c r="F1877" s="68"/>
      <c r="G1877" s="67"/>
      <c r="H1877" s="67">
        <v>0</v>
      </c>
      <c r="I1877" s="67">
        <v>0</v>
      </c>
      <c r="J1877" s="67">
        <v>0</v>
      </c>
      <c r="K1877" s="69"/>
      <c r="L1877" s="69">
        <f t="shared" si="119"/>
        <v>0</v>
      </c>
      <c r="M1877" s="69">
        <v>0</v>
      </c>
      <c r="N1877" s="103">
        <f t="shared" si="120"/>
        <v>0</v>
      </c>
      <c r="O1877" s="71"/>
      <c r="P1877" s="145" t="str">
        <f t="shared" si="118"/>
        <v/>
      </c>
      <c r="Q1877" s="52">
        <f t="shared" si="121"/>
        <v>5</v>
      </c>
      <c r="R1877" s="8">
        <f t="shared" si="122"/>
        <v>2026</v>
      </c>
    </row>
    <row r="1878" spans="1:18" hidden="1" x14ac:dyDescent="0.25">
      <c r="A1878" s="223">
        <f>_xlfn.ISOWEEKNUM(B1878)</f>
        <v>6</v>
      </c>
      <c r="B1878" s="96">
        <v>46055</v>
      </c>
      <c r="C1878" s="72" t="s">
        <v>37</v>
      </c>
      <c r="D1878" s="41" t="s">
        <v>38</v>
      </c>
      <c r="E1878" s="41"/>
      <c r="F1878" s="43"/>
      <c r="G1878" s="41"/>
      <c r="H1878" s="41">
        <v>0</v>
      </c>
      <c r="I1878" s="41">
        <v>0</v>
      </c>
      <c r="J1878" s="41">
        <v>0</v>
      </c>
      <c r="K1878" s="73"/>
      <c r="L1878" s="73">
        <f t="shared" si="119"/>
        <v>0</v>
      </c>
      <c r="M1878" s="73">
        <v>0</v>
      </c>
      <c r="N1878" s="105">
        <f t="shared" si="120"/>
        <v>0</v>
      </c>
      <c r="O1878" s="46"/>
      <c r="P1878" s="145" t="str">
        <f t="shared" si="118"/>
        <v/>
      </c>
      <c r="Q1878" s="52">
        <f t="shared" si="121"/>
        <v>6</v>
      </c>
      <c r="R1878" s="8">
        <f t="shared" si="122"/>
        <v>2026</v>
      </c>
    </row>
    <row r="1879" spans="1:18" hidden="1" x14ac:dyDescent="0.25">
      <c r="A1879" s="224"/>
      <c r="B1879" s="96">
        <v>46056</v>
      </c>
      <c r="C1879" s="52" t="s">
        <v>42</v>
      </c>
      <c r="D1879" s="53" t="s">
        <v>38</v>
      </c>
      <c r="E1879" s="53"/>
      <c r="F1879" s="54"/>
      <c r="G1879" s="53"/>
      <c r="H1879" s="53">
        <v>0</v>
      </c>
      <c r="I1879" s="53">
        <v>0</v>
      </c>
      <c r="J1879" s="53">
        <v>0</v>
      </c>
      <c r="K1879" s="55"/>
      <c r="L1879" s="55">
        <f t="shared" si="119"/>
        <v>0</v>
      </c>
      <c r="M1879" s="55">
        <v>0</v>
      </c>
      <c r="N1879" s="101">
        <f t="shared" si="120"/>
        <v>0</v>
      </c>
      <c r="O1879" s="57"/>
      <c r="P1879" s="145" t="str">
        <f t="shared" si="118"/>
        <v/>
      </c>
      <c r="Q1879" s="52">
        <f t="shared" si="121"/>
        <v>6</v>
      </c>
      <c r="R1879" s="8">
        <f t="shared" si="122"/>
        <v>2026</v>
      </c>
    </row>
    <row r="1880" spans="1:18" hidden="1" x14ac:dyDescent="0.25">
      <c r="A1880" s="224"/>
      <c r="B1880" s="96">
        <v>46057</v>
      </c>
      <c r="C1880" s="52" t="s">
        <v>46</v>
      </c>
      <c r="D1880" s="53" t="s">
        <v>38</v>
      </c>
      <c r="E1880" s="53"/>
      <c r="F1880" s="54"/>
      <c r="G1880" s="53"/>
      <c r="H1880" s="53">
        <v>0</v>
      </c>
      <c r="I1880" s="53">
        <v>0</v>
      </c>
      <c r="J1880" s="53">
        <v>0</v>
      </c>
      <c r="K1880" s="55"/>
      <c r="L1880" s="55">
        <f t="shared" si="119"/>
        <v>0</v>
      </c>
      <c r="M1880" s="55">
        <v>0</v>
      </c>
      <c r="N1880" s="101">
        <f t="shared" si="120"/>
        <v>0</v>
      </c>
      <c r="O1880" s="57"/>
      <c r="P1880" s="145" t="str">
        <f t="shared" si="118"/>
        <v/>
      </c>
      <c r="Q1880" s="52">
        <f t="shared" si="121"/>
        <v>6</v>
      </c>
      <c r="R1880" s="8">
        <f t="shared" si="122"/>
        <v>2026</v>
      </c>
    </row>
    <row r="1881" spans="1:18" hidden="1" x14ac:dyDescent="0.25">
      <c r="A1881" s="224"/>
      <c r="B1881" s="96">
        <v>46058</v>
      </c>
      <c r="C1881" s="52" t="s">
        <v>50</v>
      </c>
      <c r="D1881" s="53" t="s">
        <v>38</v>
      </c>
      <c r="E1881" s="53"/>
      <c r="F1881" s="54"/>
      <c r="G1881" s="53"/>
      <c r="H1881" s="53">
        <v>0</v>
      </c>
      <c r="I1881" s="53">
        <v>0</v>
      </c>
      <c r="J1881" s="53">
        <v>0</v>
      </c>
      <c r="K1881" s="55"/>
      <c r="L1881" s="55">
        <f t="shared" si="119"/>
        <v>0</v>
      </c>
      <c r="M1881" s="55">
        <v>0</v>
      </c>
      <c r="N1881" s="101">
        <f t="shared" si="120"/>
        <v>0</v>
      </c>
      <c r="O1881" s="57"/>
      <c r="P1881" s="145" t="str">
        <f t="shared" si="118"/>
        <v/>
      </c>
      <c r="Q1881" s="52">
        <f t="shared" si="121"/>
        <v>6</v>
      </c>
      <c r="R1881" s="8">
        <f t="shared" si="122"/>
        <v>2026</v>
      </c>
    </row>
    <row r="1882" spans="1:18" hidden="1" x14ac:dyDescent="0.25">
      <c r="A1882" s="224"/>
      <c r="B1882" s="96">
        <v>46059</v>
      </c>
      <c r="C1882" s="52" t="s">
        <v>53</v>
      </c>
      <c r="D1882" s="53" t="s">
        <v>38</v>
      </c>
      <c r="E1882" s="53"/>
      <c r="F1882" s="54"/>
      <c r="G1882" s="53"/>
      <c r="H1882" s="53">
        <v>0</v>
      </c>
      <c r="I1882" s="53">
        <v>0</v>
      </c>
      <c r="J1882" s="53">
        <v>0</v>
      </c>
      <c r="K1882" s="55"/>
      <c r="L1882" s="55">
        <f t="shared" si="119"/>
        <v>0</v>
      </c>
      <c r="M1882" s="55">
        <v>0</v>
      </c>
      <c r="N1882" s="101">
        <f t="shared" si="120"/>
        <v>0</v>
      </c>
      <c r="O1882" s="57"/>
      <c r="P1882" s="145" t="str">
        <f t="shared" si="118"/>
        <v/>
      </c>
      <c r="Q1882" s="52">
        <f t="shared" si="121"/>
        <v>6</v>
      </c>
      <c r="R1882" s="8">
        <f t="shared" si="122"/>
        <v>2026</v>
      </c>
    </row>
    <row r="1883" spans="1:18" hidden="1" x14ac:dyDescent="0.25">
      <c r="A1883" s="224"/>
      <c r="B1883" s="97">
        <v>46060</v>
      </c>
      <c r="C1883" s="58" t="s">
        <v>57</v>
      </c>
      <c r="D1883" s="60" t="s">
        <v>38</v>
      </c>
      <c r="E1883" s="60"/>
      <c r="F1883" s="61"/>
      <c r="G1883" s="60"/>
      <c r="H1883" s="60">
        <v>0</v>
      </c>
      <c r="I1883" s="60">
        <v>0</v>
      </c>
      <c r="J1883" s="60">
        <v>0</v>
      </c>
      <c r="K1883" s="62"/>
      <c r="L1883" s="62">
        <f t="shared" si="119"/>
        <v>0</v>
      </c>
      <c r="M1883" s="62">
        <v>0</v>
      </c>
      <c r="N1883" s="102">
        <f t="shared" si="120"/>
        <v>0</v>
      </c>
      <c r="O1883" s="64"/>
      <c r="P1883" s="145" t="str">
        <f t="shared" si="118"/>
        <v/>
      </c>
      <c r="Q1883" s="52">
        <f t="shared" si="121"/>
        <v>6</v>
      </c>
      <c r="R1883" s="8">
        <f t="shared" si="122"/>
        <v>2026</v>
      </c>
    </row>
    <row r="1884" spans="1:18" ht="15.75" hidden="1" thickBot="1" x14ac:dyDescent="0.3">
      <c r="A1884" s="225"/>
      <c r="B1884" s="98">
        <v>46061</v>
      </c>
      <c r="C1884" s="66" t="s">
        <v>59</v>
      </c>
      <c r="D1884" s="67" t="s">
        <v>38</v>
      </c>
      <c r="E1884" s="67"/>
      <c r="F1884" s="68"/>
      <c r="G1884" s="67"/>
      <c r="H1884" s="67">
        <v>0</v>
      </c>
      <c r="I1884" s="67">
        <v>0</v>
      </c>
      <c r="J1884" s="67">
        <v>0</v>
      </c>
      <c r="K1884" s="69"/>
      <c r="L1884" s="69">
        <f t="shared" si="119"/>
        <v>0</v>
      </c>
      <c r="M1884" s="69">
        <v>0</v>
      </c>
      <c r="N1884" s="103">
        <f t="shared" si="120"/>
        <v>0</v>
      </c>
      <c r="O1884" s="71"/>
      <c r="P1884" s="145" t="str">
        <f t="shared" si="118"/>
        <v/>
      </c>
      <c r="Q1884" s="52">
        <f t="shared" si="121"/>
        <v>6</v>
      </c>
      <c r="R1884" s="8">
        <f t="shared" si="122"/>
        <v>2026</v>
      </c>
    </row>
    <row r="1885" spans="1:18" hidden="1" x14ac:dyDescent="0.25">
      <c r="A1885" s="223">
        <f>_xlfn.ISOWEEKNUM(B1885)</f>
        <v>7</v>
      </c>
      <c r="B1885" s="96">
        <v>46062</v>
      </c>
      <c r="C1885" s="72" t="s">
        <v>37</v>
      </c>
      <c r="D1885" s="41" t="s">
        <v>38</v>
      </c>
      <c r="E1885" s="41"/>
      <c r="F1885" s="43"/>
      <c r="G1885" s="41"/>
      <c r="H1885" s="41">
        <v>0</v>
      </c>
      <c r="I1885" s="41">
        <v>0</v>
      </c>
      <c r="J1885" s="41">
        <v>0</v>
      </c>
      <c r="K1885" s="73"/>
      <c r="L1885" s="73">
        <f t="shared" si="119"/>
        <v>0</v>
      </c>
      <c r="M1885" s="73">
        <v>0</v>
      </c>
      <c r="N1885" s="105">
        <f t="shared" si="120"/>
        <v>0</v>
      </c>
      <c r="O1885" s="46"/>
      <c r="P1885" s="145" t="str">
        <f t="shared" si="118"/>
        <v/>
      </c>
      <c r="Q1885" s="52">
        <f t="shared" si="121"/>
        <v>7</v>
      </c>
      <c r="R1885" s="8">
        <f t="shared" si="122"/>
        <v>2026</v>
      </c>
    </row>
    <row r="1886" spans="1:18" hidden="1" x14ac:dyDescent="0.25">
      <c r="A1886" s="224"/>
      <c r="B1886" s="96">
        <v>46063</v>
      </c>
      <c r="C1886" s="52" t="s">
        <v>42</v>
      </c>
      <c r="D1886" s="53" t="s">
        <v>38</v>
      </c>
      <c r="E1886" s="53"/>
      <c r="F1886" s="54"/>
      <c r="G1886" s="53"/>
      <c r="H1886" s="53">
        <v>0</v>
      </c>
      <c r="I1886" s="53">
        <v>0</v>
      </c>
      <c r="J1886" s="53">
        <v>0</v>
      </c>
      <c r="K1886" s="55"/>
      <c r="L1886" s="55">
        <f t="shared" si="119"/>
        <v>0</v>
      </c>
      <c r="M1886" s="55">
        <v>0</v>
      </c>
      <c r="N1886" s="101">
        <f t="shared" si="120"/>
        <v>0</v>
      </c>
      <c r="O1886" s="57"/>
      <c r="P1886" s="145" t="str">
        <f t="shared" si="118"/>
        <v/>
      </c>
      <c r="Q1886" s="52">
        <f t="shared" si="121"/>
        <v>7</v>
      </c>
      <c r="R1886" s="8">
        <f t="shared" si="122"/>
        <v>2026</v>
      </c>
    </row>
    <row r="1887" spans="1:18" hidden="1" x14ac:dyDescent="0.25">
      <c r="A1887" s="224"/>
      <c r="B1887" s="96">
        <v>46064</v>
      </c>
      <c r="C1887" s="52" t="s">
        <v>46</v>
      </c>
      <c r="D1887" s="53" t="s">
        <v>38</v>
      </c>
      <c r="E1887" s="53"/>
      <c r="F1887" s="54"/>
      <c r="G1887" s="53"/>
      <c r="H1887" s="53">
        <v>0</v>
      </c>
      <c r="I1887" s="53">
        <v>0</v>
      </c>
      <c r="J1887" s="53">
        <v>0</v>
      </c>
      <c r="K1887" s="55"/>
      <c r="L1887" s="55">
        <f t="shared" si="119"/>
        <v>0</v>
      </c>
      <c r="M1887" s="55">
        <v>0</v>
      </c>
      <c r="N1887" s="101">
        <f t="shared" si="120"/>
        <v>0</v>
      </c>
      <c r="O1887" s="57"/>
      <c r="P1887" s="145" t="str">
        <f t="shared" si="118"/>
        <v/>
      </c>
      <c r="Q1887" s="52">
        <f t="shared" si="121"/>
        <v>7</v>
      </c>
      <c r="R1887" s="8">
        <f t="shared" si="122"/>
        <v>2026</v>
      </c>
    </row>
    <row r="1888" spans="1:18" hidden="1" x14ac:dyDescent="0.25">
      <c r="A1888" s="224"/>
      <c r="B1888" s="96">
        <v>46065</v>
      </c>
      <c r="C1888" s="52" t="s">
        <v>50</v>
      </c>
      <c r="D1888" s="53" t="s">
        <v>38</v>
      </c>
      <c r="E1888" s="53"/>
      <c r="F1888" s="54"/>
      <c r="G1888" s="53"/>
      <c r="H1888" s="53">
        <v>0</v>
      </c>
      <c r="I1888" s="53">
        <v>0</v>
      </c>
      <c r="J1888" s="53">
        <v>0</v>
      </c>
      <c r="K1888" s="55"/>
      <c r="L1888" s="55">
        <f t="shared" si="119"/>
        <v>0</v>
      </c>
      <c r="M1888" s="55">
        <v>0</v>
      </c>
      <c r="N1888" s="101">
        <f t="shared" si="120"/>
        <v>0</v>
      </c>
      <c r="O1888" s="57"/>
      <c r="P1888" s="145" t="str">
        <f t="shared" si="118"/>
        <v/>
      </c>
      <c r="Q1888" s="52">
        <f t="shared" si="121"/>
        <v>7</v>
      </c>
      <c r="R1888" s="8">
        <f t="shared" si="122"/>
        <v>2026</v>
      </c>
    </row>
    <row r="1889" spans="1:18" hidden="1" x14ac:dyDescent="0.25">
      <c r="A1889" s="224"/>
      <c r="B1889" s="96">
        <v>46066</v>
      </c>
      <c r="C1889" s="52" t="s">
        <v>53</v>
      </c>
      <c r="D1889" s="53" t="s">
        <v>38</v>
      </c>
      <c r="E1889" s="53"/>
      <c r="F1889" s="54"/>
      <c r="G1889" s="53"/>
      <c r="H1889" s="53">
        <v>0</v>
      </c>
      <c r="I1889" s="53">
        <v>0</v>
      </c>
      <c r="J1889" s="53">
        <v>0</v>
      </c>
      <c r="K1889" s="55"/>
      <c r="L1889" s="55">
        <f t="shared" si="119"/>
        <v>0</v>
      </c>
      <c r="M1889" s="55">
        <v>0</v>
      </c>
      <c r="N1889" s="101">
        <f t="shared" si="120"/>
        <v>0</v>
      </c>
      <c r="O1889" s="57"/>
      <c r="P1889" s="145" t="str">
        <f t="shared" si="118"/>
        <v/>
      </c>
      <c r="Q1889" s="52">
        <f t="shared" si="121"/>
        <v>7</v>
      </c>
      <c r="R1889" s="8">
        <f t="shared" si="122"/>
        <v>2026</v>
      </c>
    </row>
    <row r="1890" spans="1:18" hidden="1" x14ac:dyDescent="0.25">
      <c r="A1890" s="224"/>
      <c r="B1890" s="97">
        <v>46067</v>
      </c>
      <c r="C1890" s="58" t="s">
        <v>57</v>
      </c>
      <c r="D1890" s="60" t="s">
        <v>38</v>
      </c>
      <c r="E1890" s="60"/>
      <c r="F1890" s="61"/>
      <c r="G1890" s="60"/>
      <c r="H1890" s="60">
        <v>0</v>
      </c>
      <c r="I1890" s="60">
        <v>0</v>
      </c>
      <c r="J1890" s="60">
        <v>0</v>
      </c>
      <c r="K1890" s="62"/>
      <c r="L1890" s="62">
        <f t="shared" si="119"/>
        <v>0</v>
      </c>
      <c r="M1890" s="62">
        <v>0</v>
      </c>
      <c r="N1890" s="102">
        <f t="shared" si="120"/>
        <v>0</v>
      </c>
      <c r="O1890" s="64"/>
      <c r="P1890" s="145" t="str">
        <f t="shared" si="118"/>
        <v/>
      </c>
      <c r="Q1890" s="52">
        <f t="shared" si="121"/>
        <v>7</v>
      </c>
      <c r="R1890" s="8">
        <f t="shared" si="122"/>
        <v>2026</v>
      </c>
    </row>
    <row r="1891" spans="1:18" ht="15.75" hidden="1" thickBot="1" x14ac:dyDescent="0.3">
      <c r="A1891" s="225"/>
      <c r="B1891" s="98">
        <v>46068</v>
      </c>
      <c r="C1891" s="66" t="s">
        <v>59</v>
      </c>
      <c r="D1891" s="67" t="s">
        <v>38</v>
      </c>
      <c r="E1891" s="67"/>
      <c r="F1891" s="68"/>
      <c r="G1891" s="67"/>
      <c r="H1891" s="67">
        <v>0</v>
      </c>
      <c r="I1891" s="67">
        <v>0</v>
      </c>
      <c r="J1891" s="67">
        <v>0</v>
      </c>
      <c r="K1891" s="69"/>
      <c r="L1891" s="69">
        <f t="shared" si="119"/>
        <v>0</v>
      </c>
      <c r="M1891" s="69">
        <v>0</v>
      </c>
      <c r="N1891" s="103">
        <f t="shared" si="120"/>
        <v>0</v>
      </c>
      <c r="O1891" s="71"/>
      <c r="P1891" s="145" t="str">
        <f t="shared" si="118"/>
        <v/>
      </c>
      <c r="Q1891" s="52">
        <f t="shared" si="121"/>
        <v>7</v>
      </c>
      <c r="R1891" s="8">
        <f t="shared" si="122"/>
        <v>2026</v>
      </c>
    </row>
    <row r="1892" spans="1:18" hidden="1" x14ac:dyDescent="0.25">
      <c r="A1892" s="223">
        <f>_xlfn.ISOWEEKNUM(B1892)</f>
        <v>8</v>
      </c>
      <c r="B1892" s="96">
        <v>46069</v>
      </c>
      <c r="C1892" s="72" t="s">
        <v>37</v>
      </c>
      <c r="D1892" s="41" t="s">
        <v>38</v>
      </c>
      <c r="E1892" s="41"/>
      <c r="F1892" s="43"/>
      <c r="G1892" s="41"/>
      <c r="H1892" s="41">
        <v>0</v>
      </c>
      <c r="I1892" s="41">
        <v>0</v>
      </c>
      <c r="J1892" s="41">
        <v>0</v>
      </c>
      <c r="K1892" s="73"/>
      <c r="L1892" s="73">
        <f t="shared" si="119"/>
        <v>0</v>
      </c>
      <c r="M1892" s="73">
        <v>0</v>
      </c>
      <c r="N1892" s="105">
        <f t="shared" si="120"/>
        <v>0</v>
      </c>
      <c r="O1892" s="46"/>
      <c r="P1892" s="145" t="str">
        <f t="shared" si="118"/>
        <v/>
      </c>
      <c r="Q1892" s="52">
        <f t="shared" si="121"/>
        <v>8</v>
      </c>
      <c r="R1892" s="8">
        <f t="shared" si="122"/>
        <v>2026</v>
      </c>
    </row>
    <row r="1893" spans="1:18" hidden="1" x14ac:dyDescent="0.25">
      <c r="A1893" s="224"/>
      <c r="B1893" s="96">
        <v>46070</v>
      </c>
      <c r="C1893" s="52" t="s">
        <v>42</v>
      </c>
      <c r="D1893" s="53" t="s">
        <v>38</v>
      </c>
      <c r="E1893" s="53"/>
      <c r="F1893" s="54"/>
      <c r="G1893" s="53"/>
      <c r="H1893" s="53">
        <v>0</v>
      </c>
      <c r="I1893" s="53">
        <v>0</v>
      </c>
      <c r="J1893" s="53">
        <v>0</v>
      </c>
      <c r="K1893" s="55"/>
      <c r="L1893" s="55">
        <f t="shared" si="119"/>
        <v>0</v>
      </c>
      <c r="M1893" s="55">
        <v>0</v>
      </c>
      <c r="N1893" s="101">
        <f t="shared" si="120"/>
        <v>0</v>
      </c>
      <c r="O1893" s="57"/>
      <c r="P1893" s="145" t="str">
        <f t="shared" si="118"/>
        <v/>
      </c>
      <c r="Q1893" s="52">
        <f t="shared" si="121"/>
        <v>8</v>
      </c>
      <c r="R1893" s="8">
        <f t="shared" si="122"/>
        <v>2026</v>
      </c>
    </row>
    <row r="1894" spans="1:18" hidden="1" x14ac:dyDescent="0.25">
      <c r="A1894" s="224"/>
      <c r="B1894" s="96">
        <v>46071</v>
      </c>
      <c r="C1894" s="52" t="s">
        <v>46</v>
      </c>
      <c r="D1894" s="53" t="s">
        <v>38</v>
      </c>
      <c r="E1894" s="53"/>
      <c r="F1894" s="54"/>
      <c r="G1894" s="53"/>
      <c r="H1894" s="53">
        <v>0</v>
      </c>
      <c r="I1894" s="53">
        <v>0</v>
      </c>
      <c r="J1894" s="53">
        <v>0</v>
      </c>
      <c r="K1894" s="55"/>
      <c r="L1894" s="55">
        <f t="shared" si="119"/>
        <v>0</v>
      </c>
      <c r="M1894" s="55">
        <v>0</v>
      </c>
      <c r="N1894" s="101">
        <f t="shared" si="120"/>
        <v>0</v>
      </c>
      <c r="O1894" s="57"/>
      <c r="P1894" s="145" t="str">
        <f t="shared" si="118"/>
        <v/>
      </c>
      <c r="Q1894" s="52">
        <f t="shared" si="121"/>
        <v>8</v>
      </c>
      <c r="R1894" s="8">
        <f t="shared" si="122"/>
        <v>2026</v>
      </c>
    </row>
    <row r="1895" spans="1:18" hidden="1" x14ac:dyDescent="0.25">
      <c r="A1895" s="224"/>
      <c r="B1895" s="96">
        <v>46072</v>
      </c>
      <c r="C1895" s="52" t="s">
        <v>50</v>
      </c>
      <c r="D1895" s="53" t="s">
        <v>38</v>
      </c>
      <c r="E1895" s="53"/>
      <c r="F1895" s="54"/>
      <c r="G1895" s="53"/>
      <c r="H1895" s="53">
        <v>0</v>
      </c>
      <c r="I1895" s="53">
        <v>0</v>
      </c>
      <c r="J1895" s="53">
        <v>0</v>
      </c>
      <c r="K1895" s="55"/>
      <c r="L1895" s="55">
        <f t="shared" si="119"/>
        <v>0</v>
      </c>
      <c r="M1895" s="55">
        <v>0</v>
      </c>
      <c r="N1895" s="101">
        <f t="shared" si="120"/>
        <v>0</v>
      </c>
      <c r="O1895" s="57"/>
      <c r="P1895" s="145" t="str">
        <f t="shared" si="118"/>
        <v/>
      </c>
      <c r="Q1895" s="52">
        <f t="shared" si="121"/>
        <v>8</v>
      </c>
      <c r="R1895" s="8">
        <f t="shared" si="122"/>
        <v>2026</v>
      </c>
    </row>
    <row r="1896" spans="1:18" hidden="1" x14ac:dyDescent="0.25">
      <c r="A1896" s="224"/>
      <c r="B1896" s="96">
        <v>46073</v>
      </c>
      <c r="C1896" s="52" t="s">
        <v>53</v>
      </c>
      <c r="D1896" s="53" t="s">
        <v>38</v>
      </c>
      <c r="E1896" s="53"/>
      <c r="F1896" s="54"/>
      <c r="G1896" s="53"/>
      <c r="H1896" s="53">
        <v>0</v>
      </c>
      <c r="I1896" s="53">
        <v>0</v>
      </c>
      <c r="J1896" s="53">
        <v>0</v>
      </c>
      <c r="K1896" s="55"/>
      <c r="L1896" s="55">
        <f t="shared" si="119"/>
        <v>0</v>
      </c>
      <c r="M1896" s="55">
        <v>0</v>
      </c>
      <c r="N1896" s="101">
        <f t="shared" si="120"/>
        <v>0</v>
      </c>
      <c r="O1896" s="57"/>
      <c r="P1896" s="145" t="str">
        <f t="shared" si="118"/>
        <v/>
      </c>
      <c r="Q1896" s="52">
        <f t="shared" si="121"/>
        <v>8</v>
      </c>
      <c r="R1896" s="8">
        <f t="shared" si="122"/>
        <v>2026</v>
      </c>
    </row>
    <row r="1897" spans="1:18" hidden="1" x14ac:dyDescent="0.25">
      <c r="A1897" s="224"/>
      <c r="B1897" s="97">
        <v>46074</v>
      </c>
      <c r="C1897" s="58" t="s">
        <v>57</v>
      </c>
      <c r="D1897" s="60" t="s">
        <v>38</v>
      </c>
      <c r="E1897" s="60"/>
      <c r="F1897" s="61"/>
      <c r="G1897" s="60"/>
      <c r="H1897" s="60">
        <v>0</v>
      </c>
      <c r="I1897" s="60">
        <v>0</v>
      </c>
      <c r="J1897" s="60">
        <v>0</v>
      </c>
      <c r="K1897" s="62"/>
      <c r="L1897" s="62">
        <f t="shared" si="119"/>
        <v>0</v>
      </c>
      <c r="M1897" s="62">
        <v>0</v>
      </c>
      <c r="N1897" s="102">
        <f t="shared" si="120"/>
        <v>0</v>
      </c>
      <c r="O1897" s="64"/>
      <c r="P1897" s="145" t="str">
        <f t="shared" si="118"/>
        <v/>
      </c>
      <c r="Q1897" s="52">
        <f t="shared" si="121"/>
        <v>8</v>
      </c>
      <c r="R1897" s="8">
        <f t="shared" si="122"/>
        <v>2026</v>
      </c>
    </row>
    <row r="1898" spans="1:18" ht="15.75" hidden="1" thickBot="1" x14ac:dyDescent="0.3">
      <c r="A1898" s="225"/>
      <c r="B1898" s="98">
        <v>46075</v>
      </c>
      <c r="C1898" s="66" t="s">
        <v>59</v>
      </c>
      <c r="D1898" s="67" t="s">
        <v>38</v>
      </c>
      <c r="E1898" s="67"/>
      <c r="F1898" s="68"/>
      <c r="G1898" s="67"/>
      <c r="H1898" s="67">
        <v>0</v>
      </c>
      <c r="I1898" s="67">
        <v>0</v>
      </c>
      <c r="J1898" s="67">
        <v>0</v>
      </c>
      <c r="K1898" s="69"/>
      <c r="L1898" s="69">
        <f t="shared" si="119"/>
        <v>0</v>
      </c>
      <c r="M1898" s="69">
        <v>0</v>
      </c>
      <c r="N1898" s="103">
        <f t="shared" si="120"/>
        <v>0</v>
      </c>
      <c r="O1898" s="71"/>
      <c r="P1898" s="145" t="str">
        <f t="shared" si="118"/>
        <v/>
      </c>
      <c r="Q1898" s="52">
        <f t="shared" si="121"/>
        <v>8</v>
      </c>
      <c r="R1898" s="8">
        <f t="shared" si="122"/>
        <v>2026</v>
      </c>
    </row>
    <row r="1899" spans="1:18" hidden="1" x14ac:dyDescent="0.25">
      <c r="A1899" s="223">
        <f>_xlfn.ISOWEEKNUM(B1899)</f>
        <v>9</v>
      </c>
      <c r="B1899" s="96">
        <v>46076</v>
      </c>
      <c r="C1899" s="72" t="s">
        <v>37</v>
      </c>
      <c r="D1899" s="41" t="s">
        <v>38</v>
      </c>
      <c r="E1899" s="41"/>
      <c r="F1899" s="43"/>
      <c r="G1899" s="41"/>
      <c r="H1899" s="41">
        <v>0</v>
      </c>
      <c r="I1899" s="41">
        <v>0</v>
      </c>
      <c r="J1899" s="41">
        <v>0</v>
      </c>
      <c r="K1899" s="73"/>
      <c r="L1899" s="73">
        <f t="shared" si="119"/>
        <v>0</v>
      </c>
      <c r="M1899" s="73">
        <v>0</v>
      </c>
      <c r="N1899" s="105">
        <f t="shared" si="120"/>
        <v>0</v>
      </c>
      <c r="O1899" s="46"/>
      <c r="P1899" s="145" t="str">
        <f t="shared" si="118"/>
        <v/>
      </c>
      <c r="Q1899" s="52">
        <f t="shared" si="121"/>
        <v>9</v>
      </c>
      <c r="R1899" s="8">
        <f t="shared" si="122"/>
        <v>2026</v>
      </c>
    </row>
    <row r="1900" spans="1:18" hidden="1" x14ac:dyDescent="0.25">
      <c r="A1900" s="224"/>
      <c r="B1900" s="96">
        <v>46077</v>
      </c>
      <c r="C1900" s="52" t="s">
        <v>42</v>
      </c>
      <c r="D1900" s="53" t="s">
        <v>38</v>
      </c>
      <c r="E1900" s="53"/>
      <c r="F1900" s="54"/>
      <c r="G1900" s="53"/>
      <c r="H1900" s="53">
        <v>0</v>
      </c>
      <c r="I1900" s="53">
        <v>0</v>
      </c>
      <c r="J1900" s="53">
        <v>0</v>
      </c>
      <c r="K1900" s="55"/>
      <c r="L1900" s="55">
        <f t="shared" si="119"/>
        <v>0</v>
      </c>
      <c r="M1900" s="55">
        <v>0</v>
      </c>
      <c r="N1900" s="101">
        <f t="shared" si="120"/>
        <v>0</v>
      </c>
      <c r="O1900" s="57"/>
      <c r="P1900" s="145" t="str">
        <f t="shared" si="118"/>
        <v/>
      </c>
      <c r="Q1900" s="52">
        <f t="shared" si="121"/>
        <v>9</v>
      </c>
      <c r="R1900" s="8">
        <f t="shared" si="122"/>
        <v>2026</v>
      </c>
    </row>
    <row r="1901" spans="1:18" hidden="1" x14ac:dyDescent="0.25">
      <c r="A1901" s="224"/>
      <c r="B1901" s="96">
        <v>46078</v>
      </c>
      <c r="C1901" s="52" t="s">
        <v>46</v>
      </c>
      <c r="D1901" s="53" t="s">
        <v>38</v>
      </c>
      <c r="E1901" s="53"/>
      <c r="F1901" s="54"/>
      <c r="G1901" s="53"/>
      <c r="H1901" s="53">
        <v>0</v>
      </c>
      <c r="I1901" s="53">
        <v>0</v>
      </c>
      <c r="J1901" s="53">
        <v>0</v>
      </c>
      <c r="K1901" s="55"/>
      <c r="L1901" s="55">
        <f t="shared" si="119"/>
        <v>0</v>
      </c>
      <c r="M1901" s="55">
        <v>0</v>
      </c>
      <c r="N1901" s="101">
        <f t="shared" si="120"/>
        <v>0</v>
      </c>
      <c r="O1901" s="57"/>
      <c r="P1901" s="145" t="str">
        <f t="shared" si="118"/>
        <v/>
      </c>
      <c r="Q1901" s="52">
        <f t="shared" si="121"/>
        <v>9</v>
      </c>
      <c r="R1901" s="8">
        <f t="shared" si="122"/>
        <v>2026</v>
      </c>
    </row>
    <row r="1902" spans="1:18" hidden="1" x14ac:dyDescent="0.25">
      <c r="A1902" s="224"/>
      <c r="B1902" s="96">
        <v>46079</v>
      </c>
      <c r="C1902" s="52" t="s">
        <v>50</v>
      </c>
      <c r="D1902" s="53" t="s">
        <v>38</v>
      </c>
      <c r="E1902" s="53"/>
      <c r="F1902" s="54"/>
      <c r="G1902" s="53"/>
      <c r="H1902" s="53">
        <v>0</v>
      </c>
      <c r="I1902" s="53">
        <v>0</v>
      </c>
      <c r="J1902" s="53">
        <v>0</v>
      </c>
      <c r="K1902" s="55"/>
      <c r="L1902" s="55">
        <f t="shared" si="119"/>
        <v>0</v>
      </c>
      <c r="M1902" s="55">
        <v>0</v>
      </c>
      <c r="N1902" s="101">
        <f t="shared" si="120"/>
        <v>0</v>
      </c>
      <c r="O1902" s="57"/>
      <c r="P1902" s="145" t="str">
        <f t="shared" si="118"/>
        <v/>
      </c>
      <c r="Q1902" s="52">
        <f t="shared" si="121"/>
        <v>9</v>
      </c>
      <c r="R1902" s="8">
        <f t="shared" si="122"/>
        <v>2026</v>
      </c>
    </row>
    <row r="1903" spans="1:18" hidden="1" x14ac:dyDescent="0.25">
      <c r="A1903" s="224"/>
      <c r="B1903" s="96">
        <v>46080</v>
      </c>
      <c r="C1903" s="52" t="s">
        <v>53</v>
      </c>
      <c r="D1903" s="53" t="s">
        <v>38</v>
      </c>
      <c r="E1903" s="53"/>
      <c r="F1903" s="54"/>
      <c r="G1903" s="53"/>
      <c r="H1903" s="53">
        <v>0</v>
      </c>
      <c r="I1903" s="53">
        <v>0</v>
      </c>
      <c r="J1903" s="53">
        <v>0</v>
      </c>
      <c r="K1903" s="55"/>
      <c r="L1903" s="55">
        <f t="shared" si="119"/>
        <v>0</v>
      </c>
      <c r="M1903" s="55">
        <v>0</v>
      </c>
      <c r="N1903" s="101">
        <f t="shared" si="120"/>
        <v>0</v>
      </c>
      <c r="O1903" s="57"/>
      <c r="P1903" s="145" t="str">
        <f t="shared" ref="P1903:P1966" si="123">E1903&amp;G1903</f>
        <v/>
      </c>
      <c r="Q1903" s="52">
        <f t="shared" si="121"/>
        <v>9</v>
      </c>
      <c r="R1903" s="8">
        <f t="shared" si="122"/>
        <v>2026</v>
      </c>
    </row>
    <row r="1904" spans="1:18" hidden="1" x14ac:dyDescent="0.25">
      <c r="A1904" s="224"/>
      <c r="B1904" s="97">
        <v>46081</v>
      </c>
      <c r="C1904" s="58" t="s">
        <v>57</v>
      </c>
      <c r="D1904" s="60" t="s">
        <v>38</v>
      </c>
      <c r="E1904" s="60"/>
      <c r="F1904" s="61"/>
      <c r="G1904" s="60"/>
      <c r="H1904" s="60">
        <v>0</v>
      </c>
      <c r="I1904" s="60">
        <v>0</v>
      </c>
      <c r="J1904" s="60">
        <v>0</v>
      </c>
      <c r="K1904" s="62"/>
      <c r="L1904" s="62">
        <f t="shared" si="119"/>
        <v>0</v>
      </c>
      <c r="M1904" s="62">
        <v>0</v>
      </c>
      <c r="N1904" s="102">
        <f t="shared" si="120"/>
        <v>0</v>
      </c>
      <c r="O1904" s="64"/>
      <c r="P1904" s="145" t="str">
        <f t="shared" si="123"/>
        <v/>
      </c>
      <c r="Q1904" s="52">
        <f t="shared" si="121"/>
        <v>9</v>
      </c>
      <c r="R1904" s="8">
        <f t="shared" si="122"/>
        <v>2026</v>
      </c>
    </row>
    <row r="1905" spans="1:18" ht="15.75" hidden="1" thickBot="1" x14ac:dyDescent="0.3">
      <c r="A1905" s="225"/>
      <c r="B1905" s="98">
        <v>46082</v>
      </c>
      <c r="C1905" s="66" t="s">
        <v>59</v>
      </c>
      <c r="D1905" s="67" t="s">
        <v>38</v>
      </c>
      <c r="E1905" s="67"/>
      <c r="F1905" s="68"/>
      <c r="G1905" s="67"/>
      <c r="H1905" s="67">
        <v>0</v>
      </c>
      <c r="I1905" s="67">
        <v>0</v>
      </c>
      <c r="J1905" s="67">
        <v>0</v>
      </c>
      <c r="K1905" s="69"/>
      <c r="L1905" s="69">
        <f t="shared" si="119"/>
        <v>0</v>
      </c>
      <c r="M1905" s="69">
        <v>0</v>
      </c>
      <c r="N1905" s="103">
        <f t="shared" si="120"/>
        <v>0</v>
      </c>
      <c r="O1905" s="71"/>
      <c r="P1905" s="145" t="str">
        <f t="shared" si="123"/>
        <v/>
      </c>
      <c r="Q1905" s="52">
        <f t="shared" si="121"/>
        <v>9</v>
      </c>
      <c r="R1905" s="8">
        <f t="shared" si="122"/>
        <v>2026</v>
      </c>
    </row>
    <row r="1906" spans="1:18" hidden="1" x14ac:dyDescent="0.25">
      <c r="A1906" s="223">
        <f>_xlfn.ISOWEEKNUM(B1906)</f>
        <v>10</v>
      </c>
      <c r="B1906" s="96">
        <v>46083</v>
      </c>
      <c r="C1906" s="72" t="s">
        <v>37</v>
      </c>
      <c r="D1906" s="41" t="s">
        <v>38</v>
      </c>
      <c r="E1906" s="41"/>
      <c r="F1906" s="43"/>
      <c r="G1906" s="41"/>
      <c r="H1906" s="41">
        <v>0</v>
      </c>
      <c r="I1906" s="41">
        <v>0</v>
      </c>
      <c r="J1906" s="41">
        <v>0</v>
      </c>
      <c r="K1906" s="73"/>
      <c r="L1906" s="73">
        <f t="shared" si="119"/>
        <v>0</v>
      </c>
      <c r="M1906" s="73">
        <v>0</v>
      </c>
      <c r="N1906" s="105">
        <f t="shared" si="120"/>
        <v>0</v>
      </c>
      <c r="O1906" s="46"/>
      <c r="P1906" s="145" t="str">
        <f t="shared" si="123"/>
        <v/>
      </c>
      <c r="Q1906" s="52">
        <f t="shared" si="121"/>
        <v>10</v>
      </c>
      <c r="R1906" s="8">
        <f t="shared" si="122"/>
        <v>2026</v>
      </c>
    </row>
    <row r="1907" spans="1:18" hidden="1" x14ac:dyDescent="0.25">
      <c r="A1907" s="224"/>
      <c r="B1907" s="96">
        <v>46084</v>
      </c>
      <c r="C1907" s="52" t="s">
        <v>42</v>
      </c>
      <c r="D1907" s="53" t="s">
        <v>38</v>
      </c>
      <c r="E1907" s="53"/>
      <c r="F1907" s="54"/>
      <c r="G1907" s="53"/>
      <c r="H1907" s="53">
        <v>0</v>
      </c>
      <c r="I1907" s="53">
        <v>0</v>
      </c>
      <c r="J1907" s="53">
        <v>0</v>
      </c>
      <c r="K1907" s="55"/>
      <c r="L1907" s="55">
        <f t="shared" si="119"/>
        <v>0</v>
      </c>
      <c r="M1907" s="55">
        <v>0</v>
      </c>
      <c r="N1907" s="101">
        <f t="shared" si="120"/>
        <v>0</v>
      </c>
      <c r="O1907" s="57"/>
      <c r="P1907" s="145" t="str">
        <f t="shared" si="123"/>
        <v/>
      </c>
      <c r="Q1907" s="52">
        <f t="shared" si="121"/>
        <v>10</v>
      </c>
      <c r="R1907" s="8">
        <f t="shared" si="122"/>
        <v>2026</v>
      </c>
    </row>
    <row r="1908" spans="1:18" hidden="1" x14ac:dyDescent="0.25">
      <c r="A1908" s="224"/>
      <c r="B1908" s="96">
        <v>46085</v>
      </c>
      <c r="C1908" s="52" t="s">
        <v>46</v>
      </c>
      <c r="D1908" s="53" t="s">
        <v>38</v>
      </c>
      <c r="E1908" s="53"/>
      <c r="F1908" s="54"/>
      <c r="G1908" s="53"/>
      <c r="H1908" s="53">
        <v>0</v>
      </c>
      <c r="I1908" s="53">
        <v>0</v>
      </c>
      <c r="J1908" s="53">
        <v>0</v>
      </c>
      <c r="K1908" s="55"/>
      <c r="L1908" s="55">
        <f t="shared" si="119"/>
        <v>0</v>
      </c>
      <c r="M1908" s="55">
        <v>0</v>
      </c>
      <c r="N1908" s="101">
        <f t="shared" si="120"/>
        <v>0</v>
      </c>
      <c r="O1908" s="57"/>
      <c r="P1908" s="145" t="str">
        <f t="shared" si="123"/>
        <v/>
      </c>
      <c r="Q1908" s="52">
        <f t="shared" si="121"/>
        <v>10</v>
      </c>
      <c r="R1908" s="8">
        <f t="shared" si="122"/>
        <v>2026</v>
      </c>
    </row>
    <row r="1909" spans="1:18" hidden="1" x14ac:dyDescent="0.25">
      <c r="A1909" s="224"/>
      <c r="B1909" s="96">
        <v>46086</v>
      </c>
      <c r="C1909" s="52" t="s">
        <v>50</v>
      </c>
      <c r="D1909" s="53" t="s">
        <v>38</v>
      </c>
      <c r="E1909" s="53"/>
      <c r="F1909" s="54"/>
      <c r="G1909" s="53"/>
      <c r="H1909" s="53">
        <v>0</v>
      </c>
      <c r="I1909" s="53">
        <v>0</v>
      </c>
      <c r="J1909" s="53">
        <v>0</v>
      </c>
      <c r="K1909" s="55"/>
      <c r="L1909" s="55">
        <f t="shared" si="119"/>
        <v>0</v>
      </c>
      <c r="M1909" s="55">
        <v>0</v>
      </c>
      <c r="N1909" s="101">
        <f t="shared" si="120"/>
        <v>0</v>
      </c>
      <c r="O1909" s="57"/>
      <c r="P1909" s="145" t="str">
        <f t="shared" si="123"/>
        <v/>
      </c>
      <c r="Q1909" s="52">
        <f t="shared" si="121"/>
        <v>10</v>
      </c>
      <c r="R1909" s="8">
        <f t="shared" si="122"/>
        <v>2026</v>
      </c>
    </row>
    <row r="1910" spans="1:18" hidden="1" x14ac:dyDescent="0.25">
      <c r="A1910" s="224"/>
      <c r="B1910" s="96">
        <v>46087</v>
      </c>
      <c r="C1910" s="52" t="s">
        <v>53</v>
      </c>
      <c r="D1910" s="53" t="s">
        <v>38</v>
      </c>
      <c r="E1910" s="53"/>
      <c r="F1910" s="54"/>
      <c r="G1910" s="53"/>
      <c r="H1910" s="53">
        <v>0</v>
      </c>
      <c r="I1910" s="53">
        <v>0</v>
      </c>
      <c r="J1910" s="53">
        <v>0</v>
      </c>
      <c r="K1910" s="55"/>
      <c r="L1910" s="55">
        <f t="shared" ref="L1910:L1973" si="124">+I1910*K1910</f>
        <v>0</v>
      </c>
      <c r="M1910" s="55">
        <v>0</v>
      </c>
      <c r="N1910" s="101">
        <f t="shared" ref="N1910:N1973" si="125">+L1910*(1-M1910)</f>
        <v>0</v>
      </c>
      <c r="O1910" s="57"/>
      <c r="P1910" s="145" t="str">
        <f t="shared" si="123"/>
        <v/>
      </c>
      <c r="Q1910" s="52">
        <f t="shared" si="121"/>
        <v>10</v>
      </c>
      <c r="R1910" s="8">
        <f t="shared" si="122"/>
        <v>2026</v>
      </c>
    </row>
    <row r="1911" spans="1:18" hidden="1" x14ac:dyDescent="0.25">
      <c r="A1911" s="224"/>
      <c r="B1911" s="97">
        <v>46088</v>
      </c>
      <c r="C1911" s="58" t="s">
        <v>57</v>
      </c>
      <c r="D1911" s="60" t="s">
        <v>38</v>
      </c>
      <c r="E1911" s="60"/>
      <c r="F1911" s="61"/>
      <c r="G1911" s="60"/>
      <c r="H1911" s="60">
        <v>0</v>
      </c>
      <c r="I1911" s="60">
        <v>0</v>
      </c>
      <c r="J1911" s="60">
        <v>0</v>
      </c>
      <c r="K1911" s="62"/>
      <c r="L1911" s="62">
        <f t="shared" si="124"/>
        <v>0</v>
      </c>
      <c r="M1911" s="62">
        <v>0</v>
      </c>
      <c r="N1911" s="102">
        <f t="shared" si="125"/>
        <v>0</v>
      </c>
      <c r="O1911" s="64"/>
      <c r="P1911" s="145" t="str">
        <f t="shared" si="123"/>
        <v/>
      </c>
      <c r="Q1911" s="52">
        <f t="shared" si="121"/>
        <v>10</v>
      </c>
      <c r="R1911" s="8">
        <f t="shared" si="122"/>
        <v>2026</v>
      </c>
    </row>
    <row r="1912" spans="1:18" ht="15.75" hidden="1" thickBot="1" x14ac:dyDescent="0.3">
      <c r="A1912" s="225"/>
      <c r="B1912" s="98">
        <v>46089</v>
      </c>
      <c r="C1912" s="66" t="s">
        <v>59</v>
      </c>
      <c r="D1912" s="67" t="s">
        <v>38</v>
      </c>
      <c r="E1912" s="67"/>
      <c r="F1912" s="68"/>
      <c r="G1912" s="67"/>
      <c r="H1912" s="67">
        <v>0</v>
      </c>
      <c r="I1912" s="67">
        <v>0</v>
      </c>
      <c r="J1912" s="67">
        <v>0</v>
      </c>
      <c r="K1912" s="69"/>
      <c r="L1912" s="69">
        <f t="shared" si="124"/>
        <v>0</v>
      </c>
      <c r="M1912" s="69">
        <v>0</v>
      </c>
      <c r="N1912" s="103">
        <f t="shared" si="125"/>
        <v>0</v>
      </c>
      <c r="O1912" s="71"/>
      <c r="P1912" s="145" t="str">
        <f t="shared" si="123"/>
        <v/>
      </c>
      <c r="Q1912" s="52">
        <f t="shared" si="121"/>
        <v>10</v>
      </c>
      <c r="R1912" s="8">
        <f t="shared" si="122"/>
        <v>2026</v>
      </c>
    </row>
    <row r="1913" spans="1:18" hidden="1" x14ac:dyDescent="0.25">
      <c r="A1913" s="223">
        <f>_xlfn.ISOWEEKNUM(B1913)</f>
        <v>11</v>
      </c>
      <c r="B1913" s="96">
        <v>46090</v>
      </c>
      <c r="C1913" s="72" t="s">
        <v>37</v>
      </c>
      <c r="D1913" s="41" t="s">
        <v>38</v>
      </c>
      <c r="E1913" s="41"/>
      <c r="F1913" s="43"/>
      <c r="G1913" s="41"/>
      <c r="H1913" s="41">
        <v>0</v>
      </c>
      <c r="I1913" s="41">
        <v>0</v>
      </c>
      <c r="J1913" s="41">
        <v>0</v>
      </c>
      <c r="K1913" s="73"/>
      <c r="L1913" s="73">
        <f t="shared" si="124"/>
        <v>0</v>
      </c>
      <c r="M1913" s="73">
        <v>0</v>
      </c>
      <c r="N1913" s="105">
        <f t="shared" si="125"/>
        <v>0</v>
      </c>
      <c r="O1913" s="46"/>
      <c r="P1913" s="145" t="str">
        <f t="shared" si="123"/>
        <v/>
      </c>
      <c r="Q1913" s="52">
        <f t="shared" si="121"/>
        <v>11</v>
      </c>
      <c r="R1913" s="8">
        <f t="shared" si="122"/>
        <v>2026</v>
      </c>
    </row>
    <row r="1914" spans="1:18" hidden="1" x14ac:dyDescent="0.25">
      <c r="A1914" s="224"/>
      <c r="B1914" s="96">
        <v>46091</v>
      </c>
      <c r="C1914" s="52" t="s">
        <v>42</v>
      </c>
      <c r="D1914" s="53" t="s">
        <v>38</v>
      </c>
      <c r="E1914" s="53"/>
      <c r="F1914" s="54"/>
      <c r="G1914" s="53"/>
      <c r="H1914" s="53">
        <v>0</v>
      </c>
      <c r="I1914" s="53">
        <v>0</v>
      </c>
      <c r="J1914" s="53">
        <v>0</v>
      </c>
      <c r="K1914" s="55"/>
      <c r="L1914" s="55">
        <f t="shared" si="124"/>
        <v>0</v>
      </c>
      <c r="M1914" s="55">
        <v>0</v>
      </c>
      <c r="N1914" s="101">
        <f t="shared" si="125"/>
        <v>0</v>
      </c>
      <c r="O1914" s="57"/>
      <c r="P1914" s="145" t="str">
        <f t="shared" si="123"/>
        <v/>
      </c>
      <c r="Q1914" s="52">
        <f t="shared" si="121"/>
        <v>11</v>
      </c>
      <c r="R1914" s="8">
        <f t="shared" si="122"/>
        <v>2026</v>
      </c>
    </row>
    <row r="1915" spans="1:18" hidden="1" x14ac:dyDescent="0.25">
      <c r="A1915" s="224"/>
      <c r="B1915" s="96">
        <v>46092</v>
      </c>
      <c r="C1915" s="52" t="s">
        <v>46</v>
      </c>
      <c r="D1915" s="53" t="s">
        <v>38</v>
      </c>
      <c r="E1915" s="53"/>
      <c r="F1915" s="54"/>
      <c r="G1915" s="53"/>
      <c r="H1915" s="53">
        <v>0</v>
      </c>
      <c r="I1915" s="53">
        <v>0</v>
      </c>
      <c r="J1915" s="53">
        <v>0</v>
      </c>
      <c r="K1915" s="55"/>
      <c r="L1915" s="55">
        <f t="shared" si="124"/>
        <v>0</v>
      </c>
      <c r="M1915" s="55">
        <v>0</v>
      </c>
      <c r="N1915" s="101">
        <f t="shared" si="125"/>
        <v>0</v>
      </c>
      <c r="O1915" s="57"/>
      <c r="P1915" s="145" t="str">
        <f t="shared" si="123"/>
        <v/>
      </c>
      <c r="Q1915" s="52">
        <f t="shared" si="121"/>
        <v>11</v>
      </c>
      <c r="R1915" s="8">
        <f t="shared" si="122"/>
        <v>2026</v>
      </c>
    </row>
    <row r="1916" spans="1:18" hidden="1" x14ac:dyDescent="0.25">
      <c r="A1916" s="224"/>
      <c r="B1916" s="96">
        <v>46093</v>
      </c>
      <c r="C1916" s="52" t="s">
        <v>50</v>
      </c>
      <c r="D1916" s="53" t="s">
        <v>38</v>
      </c>
      <c r="E1916" s="53"/>
      <c r="F1916" s="54"/>
      <c r="G1916" s="53"/>
      <c r="H1916" s="53">
        <v>0</v>
      </c>
      <c r="I1916" s="53">
        <v>0</v>
      </c>
      <c r="J1916" s="53">
        <v>0</v>
      </c>
      <c r="K1916" s="55"/>
      <c r="L1916" s="55">
        <f t="shared" si="124"/>
        <v>0</v>
      </c>
      <c r="M1916" s="55">
        <v>0</v>
      </c>
      <c r="N1916" s="101">
        <f t="shared" si="125"/>
        <v>0</v>
      </c>
      <c r="O1916" s="57"/>
      <c r="P1916" s="145" t="str">
        <f t="shared" si="123"/>
        <v/>
      </c>
      <c r="Q1916" s="52">
        <f t="shared" si="121"/>
        <v>11</v>
      </c>
      <c r="R1916" s="8">
        <f t="shared" si="122"/>
        <v>2026</v>
      </c>
    </row>
    <row r="1917" spans="1:18" hidden="1" x14ac:dyDescent="0.25">
      <c r="A1917" s="224"/>
      <c r="B1917" s="96">
        <v>46094</v>
      </c>
      <c r="C1917" s="52" t="s">
        <v>53</v>
      </c>
      <c r="D1917" s="53" t="s">
        <v>38</v>
      </c>
      <c r="E1917" s="53"/>
      <c r="F1917" s="54"/>
      <c r="G1917" s="53"/>
      <c r="H1917" s="53">
        <v>0</v>
      </c>
      <c r="I1917" s="53">
        <v>0</v>
      </c>
      <c r="J1917" s="53">
        <v>0</v>
      </c>
      <c r="K1917" s="55"/>
      <c r="L1917" s="55">
        <f t="shared" si="124"/>
        <v>0</v>
      </c>
      <c r="M1917" s="55">
        <v>0</v>
      </c>
      <c r="N1917" s="101">
        <f t="shared" si="125"/>
        <v>0</v>
      </c>
      <c r="O1917" s="57"/>
      <c r="P1917" s="145" t="str">
        <f t="shared" si="123"/>
        <v/>
      </c>
      <c r="Q1917" s="52">
        <f t="shared" si="121"/>
        <v>11</v>
      </c>
      <c r="R1917" s="8">
        <f t="shared" si="122"/>
        <v>2026</v>
      </c>
    </row>
    <row r="1918" spans="1:18" hidden="1" x14ac:dyDescent="0.25">
      <c r="A1918" s="224"/>
      <c r="B1918" s="97">
        <v>46095</v>
      </c>
      <c r="C1918" s="58" t="s">
        <v>57</v>
      </c>
      <c r="D1918" s="60" t="s">
        <v>38</v>
      </c>
      <c r="E1918" s="60"/>
      <c r="F1918" s="61"/>
      <c r="G1918" s="60"/>
      <c r="H1918" s="60">
        <v>0</v>
      </c>
      <c r="I1918" s="60">
        <v>0</v>
      </c>
      <c r="J1918" s="60">
        <v>0</v>
      </c>
      <c r="K1918" s="62"/>
      <c r="L1918" s="62">
        <f t="shared" si="124"/>
        <v>0</v>
      </c>
      <c r="M1918" s="62">
        <v>0</v>
      </c>
      <c r="N1918" s="102">
        <f t="shared" si="125"/>
        <v>0</v>
      </c>
      <c r="O1918" s="64"/>
      <c r="P1918" s="145" t="str">
        <f t="shared" si="123"/>
        <v/>
      </c>
      <c r="Q1918" s="52">
        <f t="shared" si="121"/>
        <v>11</v>
      </c>
      <c r="R1918" s="8">
        <f t="shared" si="122"/>
        <v>2026</v>
      </c>
    </row>
    <row r="1919" spans="1:18" ht="15.75" hidden="1" thickBot="1" x14ac:dyDescent="0.3">
      <c r="A1919" s="225"/>
      <c r="B1919" s="98">
        <v>46096</v>
      </c>
      <c r="C1919" s="66" t="s">
        <v>59</v>
      </c>
      <c r="D1919" s="67" t="s">
        <v>38</v>
      </c>
      <c r="E1919" s="67"/>
      <c r="F1919" s="68"/>
      <c r="G1919" s="67"/>
      <c r="H1919" s="67">
        <v>0</v>
      </c>
      <c r="I1919" s="67">
        <v>0</v>
      </c>
      <c r="J1919" s="67">
        <v>0</v>
      </c>
      <c r="K1919" s="69"/>
      <c r="L1919" s="69">
        <f t="shared" si="124"/>
        <v>0</v>
      </c>
      <c r="M1919" s="69">
        <v>0</v>
      </c>
      <c r="N1919" s="103">
        <f t="shared" si="125"/>
        <v>0</v>
      </c>
      <c r="O1919" s="71"/>
      <c r="P1919" s="145" t="str">
        <f t="shared" si="123"/>
        <v/>
      </c>
      <c r="Q1919" s="52">
        <f t="shared" si="121"/>
        <v>11</v>
      </c>
      <c r="R1919" s="8">
        <f t="shared" si="122"/>
        <v>2026</v>
      </c>
    </row>
    <row r="1920" spans="1:18" hidden="1" x14ac:dyDescent="0.25">
      <c r="A1920" s="223">
        <f>_xlfn.ISOWEEKNUM(B1920)</f>
        <v>12</v>
      </c>
      <c r="B1920" s="96">
        <v>46097</v>
      </c>
      <c r="C1920" s="72" t="s">
        <v>37</v>
      </c>
      <c r="D1920" s="41" t="s">
        <v>38</v>
      </c>
      <c r="E1920" s="41"/>
      <c r="F1920" s="43"/>
      <c r="G1920" s="41"/>
      <c r="H1920" s="41">
        <v>0</v>
      </c>
      <c r="I1920" s="41">
        <v>0</v>
      </c>
      <c r="J1920" s="41">
        <v>0</v>
      </c>
      <c r="K1920" s="73"/>
      <c r="L1920" s="73">
        <f t="shared" si="124"/>
        <v>0</v>
      </c>
      <c r="M1920" s="73">
        <v>0</v>
      </c>
      <c r="N1920" s="105">
        <f t="shared" si="125"/>
        <v>0</v>
      </c>
      <c r="O1920" s="46"/>
      <c r="P1920" s="145" t="str">
        <f t="shared" si="123"/>
        <v/>
      </c>
      <c r="Q1920" s="52">
        <f t="shared" si="121"/>
        <v>12</v>
      </c>
      <c r="R1920" s="8">
        <f t="shared" si="122"/>
        <v>2026</v>
      </c>
    </row>
    <row r="1921" spans="1:18" hidden="1" x14ac:dyDescent="0.25">
      <c r="A1921" s="224"/>
      <c r="B1921" s="96">
        <v>46098</v>
      </c>
      <c r="C1921" s="52" t="s">
        <v>42</v>
      </c>
      <c r="D1921" s="53" t="s">
        <v>38</v>
      </c>
      <c r="E1921" s="53"/>
      <c r="F1921" s="54"/>
      <c r="G1921" s="53"/>
      <c r="H1921" s="53">
        <v>0</v>
      </c>
      <c r="I1921" s="53">
        <v>0</v>
      </c>
      <c r="J1921" s="53">
        <v>0</v>
      </c>
      <c r="K1921" s="55"/>
      <c r="L1921" s="55">
        <f t="shared" si="124"/>
        <v>0</v>
      </c>
      <c r="M1921" s="55">
        <v>0</v>
      </c>
      <c r="N1921" s="101">
        <f t="shared" si="125"/>
        <v>0</v>
      </c>
      <c r="O1921" s="57"/>
      <c r="P1921" s="145" t="str">
        <f t="shared" si="123"/>
        <v/>
      </c>
      <c r="Q1921" s="52">
        <f t="shared" si="121"/>
        <v>12</v>
      </c>
      <c r="R1921" s="8">
        <f t="shared" si="122"/>
        <v>2026</v>
      </c>
    </row>
    <row r="1922" spans="1:18" hidden="1" x14ac:dyDescent="0.25">
      <c r="A1922" s="224"/>
      <c r="B1922" s="96">
        <v>46099</v>
      </c>
      <c r="C1922" s="52" t="s">
        <v>46</v>
      </c>
      <c r="D1922" s="53" t="s">
        <v>38</v>
      </c>
      <c r="E1922" s="53"/>
      <c r="F1922" s="54"/>
      <c r="G1922" s="53"/>
      <c r="H1922" s="53">
        <v>0</v>
      </c>
      <c r="I1922" s="53">
        <v>0</v>
      </c>
      <c r="J1922" s="53">
        <v>0</v>
      </c>
      <c r="K1922" s="55"/>
      <c r="L1922" s="55">
        <f t="shared" si="124"/>
        <v>0</v>
      </c>
      <c r="M1922" s="55">
        <v>0</v>
      </c>
      <c r="N1922" s="101">
        <f t="shared" si="125"/>
        <v>0</v>
      </c>
      <c r="O1922" s="57"/>
      <c r="P1922" s="145" t="str">
        <f t="shared" si="123"/>
        <v/>
      </c>
      <c r="Q1922" s="52">
        <f t="shared" si="121"/>
        <v>12</v>
      </c>
      <c r="R1922" s="8">
        <f t="shared" si="122"/>
        <v>2026</v>
      </c>
    </row>
    <row r="1923" spans="1:18" hidden="1" x14ac:dyDescent="0.25">
      <c r="A1923" s="224"/>
      <c r="B1923" s="96">
        <v>46100</v>
      </c>
      <c r="C1923" s="52" t="s">
        <v>50</v>
      </c>
      <c r="D1923" s="53" t="s">
        <v>38</v>
      </c>
      <c r="E1923" s="53"/>
      <c r="F1923" s="54"/>
      <c r="G1923" s="53"/>
      <c r="H1923" s="53">
        <v>0</v>
      </c>
      <c r="I1923" s="53">
        <v>0</v>
      </c>
      <c r="J1923" s="53">
        <v>0</v>
      </c>
      <c r="K1923" s="55"/>
      <c r="L1923" s="55">
        <f t="shared" si="124"/>
        <v>0</v>
      </c>
      <c r="M1923" s="55">
        <v>0</v>
      </c>
      <c r="N1923" s="101">
        <f t="shared" si="125"/>
        <v>0</v>
      </c>
      <c r="O1923" s="57"/>
      <c r="P1923" s="145" t="str">
        <f t="shared" si="123"/>
        <v/>
      </c>
      <c r="Q1923" s="52">
        <f t="shared" si="121"/>
        <v>12</v>
      </c>
      <c r="R1923" s="8">
        <f t="shared" si="122"/>
        <v>2026</v>
      </c>
    </row>
    <row r="1924" spans="1:18" hidden="1" x14ac:dyDescent="0.25">
      <c r="A1924" s="224"/>
      <c r="B1924" s="96">
        <v>46101</v>
      </c>
      <c r="C1924" s="52" t="s">
        <v>53</v>
      </c>
      <c r="D1924" s="53" t="s">
        <v>38</v>
      </c>
      <c r="E1924" s="53"/>
      <c r="F1924" s="54"/>
      <c r="G1924" s="53"/>
      <c r="H1924" s="53">
        <v>0</v>
      </c>
      <c r="I1924" s="53">
        <v>0</v>
      </c>
      <c r="J1924" s="53">
        <v>0</v>
      </c>
      <c r="K1924" s="55"/>
      <c r="L1924" s="55">
        <f t="shared" si="124"/>
        <v>0</v>
      </c>
      <c r="M1924" s="55">
        <v>0</v>
      </c>
      <c r="N1924" s="101">
        <f t="shared" si="125"/>
        <v>0</v>
      </c>
      <c r="O1924" s="57"/>
      <c r="P1924" s="145" t="str">
        <f t="shared" si="123"/>
        <v/>
      </c>
      <c r="Q1924" s="52">
        <f t="shared" si="121"/>
        <v>12</v>
      </c>
      <c r="R1924" s="8">
        <f t="shared" si="122"/>
        <v>2026</v>
      </c>
    </row>
    <row r="1925" spans="1:18" hidden="1" x14ac:dyDescent="0.25">
      <c r="A1925" s="224"/>
      <c r="B1925" s="97">
        <v>46102</v>
      </c>
      <c r="C1925" s="58" t="s">
        <v>57</v>
      </c>
      <c r="D1925" s="60" t="s">
        <v>38</v>
      </c>
      <c r="E1925" s="60"/>
      <c r="F1925" s="61"/>
      <c r="G1925" s="60"/>
      <c r="H1925" s="60">
        <v>0</v>
      </c>
      <c r="I1925" s="60">
        <v>0</v>
      </c>
      <c r="J1925" s="60">
        <v>0</v>
      </c>
      <c r="K1925" s="62"/>
      <c r="L1925" s="62">
        <f t="shared" si="124"/>
        <v>0</v>
      </c>
      <c r="M1925" s="62">
        <v>0</v>
      </c>
      <c r="N1925" s="102">
        <f t="shared" si="125"/>
        <v>0</v>
      </c>
      <c r="O1925" s="64"/>
      <c r="P1925" s="145" t="str">
        <f t="shared" si="123"/>
        <v/>
      </c>
      <c r="Q1925" s="52">
        <f t="shared" si="121"/>
        <v>12</v>
      </c>
      <c r="R1925" s="8">
        <f t="shared" si="122"/>
        <v>2026</v>
      </c>
    </row>
    <row r="1926" spans="1:18" ht="15.75" hidden="1" thickBot="1" x14ac:dyDescent="0.3">
      <c r="A1926" s="225"/>
      <c r="B1926" s="98">
        <v>46103</v>
      </c>
      <c r="C1926" s="66" t="s">
        <v>59</v>
      </c>
      <c r="D1926" s="67" t="s">
        <v>38</v>
      </c>
      <c r="E1926" s="67"/>
      <c r="F1926" s="68"/>
      <c r="G1926" s="67"/>
      <c r="H1926" s="67">
        <v>0</v>
      </c>
      <c r="I1926" s="67">
        <v>0</v>
      </c>
      <c r="J1926" s="67">
        <v>0</v>
      </c>
      <c r="K1926" s="69"/>
      <c r="L1926" s="69">
        <f t="shared" si="124"/>
        <v>0</v>
      </c>
      <c r="M1926" s="69">
        <v>0</v>
      </c>
      <c r="N1926" s="103">
        <f t="shared" si="125"/>
        <v>0</v>
      </c>
      <c r="O1926" s="71"/>
      <c r="P1926" s="145" t="str">
        <f t="shared" si="123"/>
        <v/>
      </c>
      <c r="Q1926" s="52">
        <f t="shared" si="121"/>
        <v>12</v>
      </c>
      <c r="R1926" s="8">
        <f t="shared" si="122"/>
        <v>2026</v>
      </c>
    </row>
    <row r="1927" spans="1:18" hidden="1" x14ac:dyDescent="0.25">
      <c r="A1927" s="223">
        <f>_xlfn.ISOWEEKNUM(B1927)</f>
        <v>13</v>
      </c>
      <c r="B1927" s="96">
        <v>46104</v>
      </c>
      <c r="C1927" s="72" t="s">
        <v>37</v>
      </c>
      <c r="D1927" s="41" t="s">
        <v>38</v>
      </c>
      <c r="E1927" s="41"/>
      <c r="F1927" s="43"/>
      <c r="G1927" s="41"/>
      <c r="H1927" s="41">
        <v>0</v>
      </c>
      <c r="I1927" s="41">
        <v>0</v>
      </c>
      <c r="J1927" s="41">
        <v>0</v>
      </c>
      <c r="K1927" s="73"/>
      <c r="L1927" s="73">
        <f t="shared" si="124"/>
        <v>0</v>
      </c>
      <c r="M1927" s="73">
        <v>0</v>
      </c>
      <c r="N1927" s="105">
        <f t="shared" si="125"/>
        <v>0</v>
      </c>
      <c r="O1927" s="46"/>
      <c r="P1927" s="145" t="str">
        <f t="shared" si="123"/>
        <v/>
      </c>
      <c r="Q1927" s="52">
        <f t="shared" si="121"/>
        <v>13</v>
      </c>
      <c r="R1927" s="8">
        <f t="shared" si="122"/>
        <v>2026</v>
      </c>
    </row>
    <row r="1928" spans="1:18" hidden="1" x14ac:dyDescent="0.25">
      <c r="A1928" s="224"/>
      <c r="B1928" s="96">
        <v>46105</v>
      </c>
      <c r="C1928" s="52" t="s">
        <v>42</v>
      </c>
      <c r="D1928" s="53" t="s">
        <v>38</v>
      </c>
      <c r="E1928" s="53"/>
      <c r="F1928" s="54"/>
      <c r="G1928" s="53"/>
      <c r="H1928" s="53">
        <v>0</v>
      </c>
      <c r="I1928" s="53">
        <v>0</v>
      </c>
      <c r="J1928" s="53">
        <v>0</v>
      </c>
      <c r="K1928" s="55"/>
      <c r="L1928" s="55">
        <f t="shared" si="124"/>
        <v>0</v>
      </c>
      <c r="M1928" s="55">
        <v>0</v>
      </c>
      <c r="N1928" s="101">
        <f t="shared" si="125"/>
        <v>0</v>
      </c>
      <c r="O1928" s="57"/>
      <c r="P1928" s="145" t="str">
        <f t="shared" si="123"/>
        <v/>
      </c>
      <c r="Q1928" s="52">
        <f t="shared" si="121"/>
        <v>13</v>
      </c>
      <c r="R1928" s="8">
        <f t="shared" si="122"/>
        <v>2026</v>
      </c>
    </row>
    <row r="1929" spans="1:18" hidden="1" x14ac:dyDescent="0.25">
      <c r="A1929" s="224"/>
      <c r="B1929" s="96">
        <v>46106</v>
      </c>
      <c r="C1929" s="52" t="s">
        <v>46</v>
      </c>
      <c r="D1929" s="53" t="s">
        <v>38</v>
      </c>
      <c r="E1929" s="53"/>
      <c r="F1929" s="54"/>
      <c r="G1929" s="53"/>
      <c r="H1929" s="53">
        <v>0</v>
      </c>
      <c r="I1929" s="53">
        <v>0</v>
      </c>
      <c r="J1929" s="53">
        <v>0</v>
      </c>
      <c r="K1929" s="55"/>
      <c r="L1929" s="55">
        <f t="shared" si="124"/>
        <v>0</v>
      </c>
      <c r="M1929" s="55">
        <v>0</v>
      </c>
      <c r="N1929" s="101">
        <f t="shared" si="125"/>
        <v>0</v>
      </c>
      <c r="O1929" s="57"/>
      <c r="P1929" s="145" t="str">
        <f t="shared" si="123"/>
        <v/>
      </c>
      <c r="Q1929" s="52">
        <f t="shared" ref="Q1929:Q1992" si="126">_xlfn.ISOWEEKNUM(B1929)</f>
        <v>13</v>
      </c>
      <c r="R1929" s="8">
        <f t="shared" ref="R1929:R1992" si="127">YEAR(B1929)</f>
        <v>2026</v>
      </c>
    </row>
    <row r="1930" spans="1:18" hidden="1" x14ac:dyDescent="0.25">
      <c r="A1930" s="224"/>
      <c r="B1930" s="96">
        <v>46107</v>
      </c>
      <c r="C1930" s="52" t="s">
        <v>50</v>
      </c>
      <c r="D1930" s="53" t="s">
        <v>38</v>
      </c>
      <c r="E1930" s="53"/>
      <c r="F1930" s="54"/>
      <c r="G1930" s="53"/>
      <c r="H1930" s="53">
        <v>0</v>
      </c>
      <c r="I1930" s="53">
        <v>0</v>
      </c>
      <c r="J1930" s="53">
        <v>0</v>
      </c>
      <c r="K1930" s="55"/>
      <c r="L1930" s="55">
        <f t="shared" si="124"/>
        <v>0</v>
      </c>
      <c r="M1930" s="55">
        <v>0</v>
      </c>
      <c r="N1930" s="101">
        <f t="shared" si="125"/>
        <v>0</v>
      </c>
      <c r="O1930" s="57"/>
      <c r="P1930" s="145" t="str">
        <f t="shared" si="123"/>
        <v/>
      </c>
      <c r="Q1930" s="52">
        <f t="shared" si="126"/>
        <v>13</v>
      </c>
      <c r="R1930" s="8">
        <f t="shared" si="127"/>
        <v>2026</v>
      </c>
    </row>
    <row r="1931" spans="1:18" hidden="1" x14ac:dyDescent="0.25">
      <c r="A1931" s="224"/>
      <c r="B1931" s="96">
        <v>46108</v>
      </c>
      <c r="C1931" s="52" t="s">
        <v>53</v>
      </c>
      <c r="D1931" s="53" t="s">
        <v>38</v>
      </c>
      <c r="E1931" s="53"/>
      <c r="F1931" s="54"/>
      <c r="G1931" s="53"/>
      <c r="H1931" s="53">
        <v>0</v>
      </c>
      <c r="I1931" s="53">
        <v>0</v>
      </c>
      <c r="J1931" s="53">
        <v>0</v>
      </c>
      <c r="K1931" s="55"/>
      <c r="L1931" s="55">
        <f t="shared" si="124"/>
        <v>0</v>
      </c>
      <c r="M1931" s="55">
        <v>0</v>
      </c>
      <c r="N1931" s="101">
        <f t="shared" si="125"/>
        <v>0</v>
      </c>
      <c r="O1931" s="57"/>
      <c r="P1931" s="145" t="str">
        <f t="shared" si="123"/>
        <v/>
      </c>
      <c r="Q1931" s="52">
        <f t="shared" si="126"/>
        <v>13</v>
      </c>
      <c r="R1931" s="8">
        <f t="shared" si="127"/>
        <v>2026</v>
      </c>
    </row>
    <row r="1932" spans="1:18" hidden="1" x14ac:dyDescent="0.25">
      <c r="A1932" s="224"/>
      <c r="B1932" s="97">
        <v>46109</v>
      </c>
      <c r="C1932" s="58" t="s">
        <v>57</v>
      </c>
      <c r="D1932" s="60" t="s">
        <v>38</v>
      </c>
      <c r="E1932" s="60"/>
      <c r="F1932" s="61"/>
      <c r="G1932" s="60"/>
      <c r="H1932" s="60">
        <v>0</v>
      </c>
      <c r="I1932" s="60">
        <v>0</v>
      </c>
      <c r="J1932" s="60">
        <v>0</v>
      </c>
      <c r="K1932" s="62"/>
      <c r="L1932" s="62">
        <f t="shared" si="124"/>
        <v>0</v>
      </c>
      <c r="M1932" s="62">
        <v>0</v>
      </c>
      <c r="N1932" s="102">
        <f t="shared" si="125"/>
        <v>0</v>
      </c>
      <c r="O1932" s="64"/>
      <c r="P1932" s="145" t="str">
        <f t="shared" si="123"/>
        <v/>
      </c>
      <c r="Q1932" s="52">
        <f t="shared" si="126"/>
        <v>13</v>
      </c>
      <c r="R1932" s="8">
        <f t="shared" si="127"/>
        <v>2026</v>
      </c>
    </row>
    <row r="1933" spans="1:18" ht="15.75" hidden="1" thickBot="1" x14ac:dyDescent="0.3">
      <c r="A1933" s="225"/>
      <c r="B1933" s="98">
        <v>46110</v>
      </c>
      <c r="C1933" s="66" t="s">
        <v>59</v>
      </c>
      <c r="D1933" s="67" t="s">
        <v>38</v>
      </c>
      <c r="E1933" s="67"/>
      <c r="F1933" s="68"/>
      <c r="G1933" s="67"/>
      <c r="H1933" s="67">
        <v>0</v>
      </c>
      <c r="I1933" s="67">
        <v>0</v>
      </c>
      <c r="J1933" s="67">
        <v>0</v>
      </c>
      <c r="K1933" s="69"/>
      <c r="L1933" s="69">
        <f t="shared" si="124"/>
        <v>0</v>
      </c>
      <c r="M1933" s="69">
        <v>0</v>
      </c>
      <c r="N1933" s="103">
        <f t="shared" si="125"/>
        <v>0</v>
      </c>
      <c r="O1933" s="71"/>
      <c r="P1933" s="145" t="str">
        <f t="shared" si="123"/>
        <v/>
      </c>
      <c r="Q1933" s="52">
        <f t="shared" si="126"/>
        <v>13</v>
      </c>
      <c r="R1933" s="8">
        <f t="shared" si="127"/>
        <v>2026</v>
      </c>
    </row>
    <row r="1934" spans="1:18" hidden="1" x14ac:dyDescent="0.25">
      <c r="A1934" s="223">
        <f>_xlfn.ISOWEEKNUM(B1934)</f>
        <v>14</v>
      </c>
      <c r="B1934" s="96">
        <v>46111</v>
      </c>
      <c r="C1934" s="72" t="s">
        <v>37</v>
      </c>
      <c r="D1934" s="41" t="s">
        <v>38</v>
      </c>
      <c r="E1934" s="41"/>
      <c r="F1934" s="43"/>
      <c r="G1934" s="41"/>
      <c r="H1934" s="41">
        <v>0</v>
      </c>
      <c r="I1934" s="41">
        <v>0</v>
      </c>
      <c r="J1934" s="41">
        <v>0</v>
      </c>
      <c r="K1934" s="73"/>
      <c r="L1934" s="73">
        <f t="shared" si="124"/>
        <v>0</v>
      </c>
      <c r="M1934" s="73">
        <v>0</v>
      </c>
      <c r="N1934" s="105">
        <f t="shared" si="125"/>
        <v>0</v>
      </c>
      <c r="O1934" s="46"/>
      <c r="P1934" s="145" t="str">
        <f t="shared" si="123"/>
        <v/>
      </c>
      <c r="Q1934" s="52">
        <f t="shared" si="126"/>
        <v>14</v>
      </c>
      <c r="R1934" s="8">
        <f t="shared" si="127"/>
        <v>2026</v>
      </c>
    </row>
    <row r="1935" spans="1:18" hidden="1" x14ac:dyDescent="0.25">
      <c r="A1935" s="224"/>
      <c r="B1935" s="96">
        <v>46112</v>
      </c>
      <c r="C1935" s="52" t="s">
        <v>42</v>
      </c>
      <c r="D1935" s="53" t="s">
        <v>38</v>
      </c>
      <c r="E1935" s="53"/>
      <c r="F1935" s="54"/>
      <c r="G1935" s="53"/>
      <c r="H1935" s="53">
        <v>0</v>
      </c>
      <c r="I1935" s="53">
        <v>0</v>
      </c>
      <c r="J1935" s="53">
        <v>0</v>
      </c>
      <c r="K1935" s="55"/>
      <c r="L1935" s="55">
        <f t="shared" si="124"/>
        <v>0</v>
      </c>
      <c r="M1935" s="55">
        <v>0</v>
      </c>
      <c r="N1935" s="101">
        <f t="shared" si="125"/>
        <v>0</v>
      </c>
      <c r="O1935" s="57"/>
      <c r="P1935" s="145" t="str">
        <f t="shared" si="123"/>
        <v/>
      </c>
      <c r="Q1935" s="52">
        <f t="shared" si="126"/>
        <v>14</v>
      </c>
      <c r="R1935" s="8">
        <f t="shared" si="127"/>
        <v>2026</v>
      </c>
    </row>
    <row r="1936" spans="1:18" hidden="1" x14ac:dyDescent="0.25">
      <c r="A1936" s="224"/>
      <c r="B1936" s="96">
        <v>46113</v>
      </c>
      <c r="C1936" s="52" t="s">
        <v>46</v>
      </c>
      <c r="D1936" s="53" t="s">
        <v>38</v>
      </c>
      <c r="E1936" s="53"/>
      <c r="F1936" s="54"/>
      <c r="G1936" s="53"/>
      <c r="H1936" s="53">
        <v>0</v>
      </c>
      <c r="I1936" s="53">
        <v>0</v>
      </c>
      <c r="J1936" s="53">
        <v>0</v>
      </c>
      <c r="K1936" s="55"/>
      <c r="L1936" s="55">
        <f t="shared" si="124"/>
        <v>0</v>
      </c>
      <c r="M1936" s="55">
        <v>0</v>
      </c>
      <c r="N1936" s="101">
        <f t="shared" si="125"/>
        <v>0</v>
      </c>
      <c r="O1936" s="57"/>
      <c r="P1936" s="145" t="str">
        <f t="shared" si="123"/>
        <v/>
      </c>
      <c r="Q1936" s="52">
        <f t="shared" si="126"/>
        <v>14</v>
      </c>
      <c r="R1936" s="8">
        <f t="shared" si="127"/>
        <v>2026</v>
      </c>
    </row>
    <row r="1937" spans="1:18" hidden="1" x14ac:dyDescent="0.25">
      <c r="A1937" s="224"/>
      <c r="B1937" s="96">
        <v>46114</v>
      </c>
      <c r="C1937" s="52" t="s">
        <v>50</v>
      </c>
      <c r="D1937" s="53" t="s">
        <v>38</v>
      </c>
      <c r="E1937" s="53"/>
      <c r="F1937" s="54"/>
      <c r="G1937" s="53"/>
      <c r="H1937" s="53">
        <v>0</v>
      </c>
      <c r="I1937" s="53">
        <v>0</v>
      </c>
      <c r="J1937" s="53">
        <v>0</v>
      </c>
      <c r="K1937" s="55"/>
      <c r="L1937" s="55">
        <f t="shared" si="124"/>
        <v>0</v>
      </c>
      <c r="M1937" s="55">
        <v>0</v>
      </c>
      <c r="N1937" s="101">
        <f t="shared" si="125"/>
        <v>0</v>
      </c>
      <c r="O1937" s="57"/>
      <c r="P1937" s="145" t="str">
        <f t="shared" si="123"/>
        <v/>
      </c>
      <c r="Q1937" s="52">
        <f t="shared" si="126"/>
        <v>14</v>
      </c>
      <c r="R1937" s="8">
        <f t="shared" si="127"/>
        <v>2026</v>
      </c>
    </row>
    <row r="1938" spans="1:18" hidden="1" x14ac:dyDescent="0.25">
      <c r="A1938" s="224"/>
      <c r="B1938" s="96">
        <v>46115</v>
      </c>
      <c r="C1938" s="52" t="s">
        <v>53</v>
      </c>
      <c r="D1938" s="53" t="s">
        <v>38</v>
      </c>
      <c r="E1938" s="53"/>
      <c r="F1938" s="54"/>
      <c r="G1938" s="53"/>
      <c r="H1938" s="53">
        <v>0</v>
      </c>
      <c r="I1938" s="53">
        <v>0</v>
      </c>
      <c r="J1938" s="53">
        <v>0</v>
      </c>
      <c r="K1938" s="55"/>
      <c r="L1938" s="55">
        <f t="shared" si="124"/>
        <v>0</v>
      </c>
      <c r="M1938" s="55">
        <v>0</v>
      </c>
      <c r="N1938" s="101">
        <f t="shared" si="125"/>
        <v>0</v>
      </c>
      <c r="O1938" s="57"/>
      <c r="P1938" s="145" t="str">
        <f t="shared" si="123"/>
        <v/>
      </c>
      <c r="Q1938" s="52">
        <f t="shared" si="126"/>
        <v>14</v>
      </c>
      <c r="R1938" s="8">
        <f t="shared" si="127"/>
        <v>2026</v>
      </c>
    </row>
    <row r="1939" spans="1:18" hidden="1" x14ac:dyDescent="0.25">
      <c r="A1939" s="224"/>
      <c r="B1939" s="97">
        <v>46116</v>
      </c>
      <c r="C1939" s="58" t="s">
        <v>57</v>
      </c>
      <c r="D1939" s="60" t="s">
        <v>38</v>
      </c>
      <c r="E1939" s="60"/>
      <c r="F1939" s="61"/>
      <c r="G1939" s="60"/>
      <c r="H1939" s="60">
        <v>0</v>
      </c>
      <c r="I1939" s="60">
        <v>0</v>
      </c>
      <c r="J1939" s="60">
        <v>0</v>
      </c>
      <c r="K1939" s="62"/>
      <c r="L1939" s="62">
        <f t="shared" si="124"/>
        <v>0</v>
      </c>
      <c r="M1939" s="62">
        <v>0</v>
      </c>
      <c r="N1939" s="102">
        <f t="shared" si="125"/>
        <v>0</v>
      </c>
      <c r="O1939" s="64"/>
      <c r="P1939" s="145" t="str">
        <f t="shared" si="123"/>
        <v/>
      </c>
      <c r="Q1939" s="52">
        <f t="shared" si="126"/>
        <v>14</v>
      </c>
      <c r="R1939" s="8">
        <f t="shared" si="127"/>
        <v>2026</v>
      </c>
    </row>
    <row r="1940" spans="1:18" ht="15.75" hidden="1" thickBot="1" x14ac:dyDescent="0.3">
      <c r="A1940" s="225"/>
      <c r="B1940" s="98">
        <v>46117</v>
      </c>
      <c r="C1940" s="66" t="s">
        <v>59</v>
      </c>
      <c r="D1940" s="67" t="s">
        <v>38</v>
      </c>
      <c r="E1940" s="67"/>
      <c r="F1940" s="68"/>
      <c r="G1940" s="67"/>
      <c r="H1940" s="67">
        <v>0</v>
      </c>
      <c r="I1940" s="67">
        <v>0</v>
      </c>
      <c r="J1940" s="67">
        <v>0</v>
      </c>
      <c r="K1940" s="69"/>
      <c r="L1940" s="69">
        <f t="shared" si="124"/>
        <v>0</v>
      </c>
      <c r="M1940" s="69">
        <v>0</v>
      </c>
      <c r="N1940" s="103">
        <f t="shared" si="125"/>
        <v>0</v>
      </c>
      <c r="O1940" s="71"/>
      <c r="P1940" s="145" t="str">
        <f t="shared" si="123"/>
        <v/>
      </c>
      <c r="Q1940" s="52">
        <f t="shared" si="126"/>
        <v>14</v>
      </c>
      <c r="R1940" s="8">
        <f t="shared" si="127"/>
        <v>2026</v>
      </c>
    </row>
    <row r="1941" spans="1:18" hidden="1" x14ac:dyDescent="0.25">
      <c r="A1941" s="223">
        <f>_xlfn.ISOWEEKNUM(B1941)</f>
        <v>15</v>
      </c>
      <c r="B1941" s="96">
        <v>46118</v>
      </c>
      <c r="C1941" s="72" t="s">
        <v>37</v>
      </c>
      <c r="D1941" s="41" t="s">
        <v>38</v>
      </c>
      <c r="E1941" s="41"/>
      <c r="F1941" s="43"/>
      <c r="G1941" s="41"/>
      <c r="H1941" s="41">
        <v>0</v>
      </c>
      <c r="I1941" s="41">
        <v>0</v>
      </c>
      <c r="J1941" s="41">
        <v>0</v>
      </c>
      <c r="K1941" s="73"/>
      <c r="L1941" s="73">
        <f t="shared" si="124"/>
        <v>0</v>
      </c>
      <c r="M1941" s="73">
        <v>0</v>
      </c>
      <c r="N1941" s="105">
        <f t="shared" si="125"/>
        <v>0</v>
      </c>
      <c r="O1941" s="46"/>
      <c r="P1941" s="145" t="str">
        <f t="shared" si="123"/>
        <v/>
      </c>
      <c r="Q1941" s="52">
        <f t="shared" si="126"/>
        <v>15</v>
      </c>
      <c r="R1941" s="8">
        <f t="shared" si="127"/>
        <v>2026</v>
      </c>
    </row>
    <row r="1942" spans="1:18" hidden="1" x14ac:dyDescent="0.25">
      <c r="A1942" s="224"/>
      <c r="B1942" s="96">
        <v>46119</v>
      </c>
      <c r="C1942" s="52" t="s">
        <v>42</v>
      </c>
      <c r="D1942" s="53" t="s">
        <v>38</v>
      </c>
      <c r="E1942" s="53"/>
      <c r="F1942" s="54"/>
      <c r="G1942" s="53"/>
      <c r="H1942" s="53">
        <v>0</v>
      </c>
      <c r="I1942" s="53">
        <v>0</v>
      </c>
      <c r="J1942" s="53">
        <v>0</v>
      </c>
      <c r="K1942" s="55"/>
      <c r="L1942" s="55">
        <f t="shared" si="124"/>
        <v>0</v>
      </c>
      <c r="M1942" s="55">
        <v>0</v>
      </c>
      <c r="N1942" s="101">
        <f t="shared" si="125"/>
        <v>0</v>
      </c>
      <c r="O1942" s="57"/>
      <c r="P1942" s="145" t="str">
        <f t="shared" si="123"/>
        <v/>
      </c>
      <c r="Q1942" s="52">
        <f t="shared" si="126"/>
        <v>15</v>
      </c>
      <c r="R1942" s="8">
        <f t="shared" si="127"/>
        <v>2026</v>
      </c>
    </row>
    <row r="1943" spans="1:18" hidden="1" x14ac:dyDescent="0.25">
      <c r="A1943" s="224"/>
      <c r="B1943" s="96">
        <v>46120</v>
      </c>
      <c r="C1943" s="52" t="s">
        <v>46</v>
      </c>
      <c r="D1943" s="53" t="s">
        <v>38</v>
      </c>
      <c r="E1943" s="53"/>
      <c r="F1943" s="54"/>
      <c r="G1943" s="53"/>
      <c r="H1943" s="53">
        <v>0</v>
      </c>
      <c r="I1943" s="53">
        <v>0</v>
      </c>
      <c r="J1943" s="53">
        <v>0</v>
      </c>
      <c r="K1943" s="55"/>
      <c r="L1943" s="55">
        <f t="shared" si="124"/>
        <v>0</v>
      </c>
      <c r="M1943" s="55">
        <v>0</v>
      </c>
      <c r="N1943" s="101">
        <f t="shared" si="125"/>
        <v>0</v>
      </c>
      <c r="O1943" s="57"/>
      <c r="P1943" s="145" t="str">
        <f t="shared" si="123"/>
        <v/>
      </c>
      <c r="Q1943" s="52">
        <f t="shared" si="126"/>
        <v>15</v>
      </c>
      <c r="R1943" s="8">
        <f t="shared" si="127"/>
        <v>2026</v>
      </c>
    </row>
    <row r="1944" spans="1:18" hidden="1" x14ac:dyDescent="0.25">
      <c r="A1944" s="224"/>
      <c r="B1944" s="96">
        <v>46121</v>
      </c>
      <c r="C1944" s="52" t="s">
        <v>50</v>
      </c>
      <c r="D1944" s="53" t="s">
        <v>38</v>
      </c>
      <c r="E1944" s="53"/>
      <c r="F1944" s="54"/>
      <c r="G1944" s="53"/>
      <c r="H1944" s="53">
        <v>0</v>
      </c>
      <c r="I1944" s="53">
        <v>0</v>
      </c>
      <c r="J1944" s="53">
        <v>0</v>
      </c>
      <c r="K1944" s="55"/>
      <c r="L1944" s="55">
        <f t="shared" si="124"/>
        <v>0</v>
      </c>
      <c r="M1944" s="55">
        <v>0</v>
      </c>
      <c r="N1944" s="101">
        <f t="shared" si="125"/>
        <v>0</v>
      </c>
      <c r="O1944" s="57"/>
      <c r="P1944" s="145" t="str">
        <f t="shared" si="123"/>
        <v/>
      </c>
      <c r="Q1944" s="52">
        <f t="shared" si="126"/>
        <v>15</v>
      </c>
      <c r="R1944" s="8">
        <f t="shared" si="127"/>
        <v>2026</v>
      </c>
    </row>
    <row r="1945" spans="1:18" hidden="1" x14ac:dyDescent="0.25">
      <c r="A1945" s="224"/>
      <c r="B1945" s="96">
        <v>46122</v>
      </c>
      <c r="C1945" s="52" t="s">
        <v>53</v>
      </c>
      <c r="D1945" s="53" t="s">
        <v>38</v>
      </c>
      <c r="E1945" s="53"/>
      <c r="F1945" s="54"/>
      <c r="G1945" s="53"/>
      <c r="H1945" s="53">
        <v>0</v>
      </c>
      <c r="I1945" s="53">
        <v>0</v>
      </c>
      <c r="J1945" s="53">
        <v>0</v>
      </c>
      <c r="K1945" s="55"/>
      <c r="L1945" s="55">
        <f t="shared" si="124"/>
        <v>0</v>
      </c>
      <c r="M1945" s="55">
        <v>0</v>
      </c>
      <c r="N1945" s="101">
        <f t="shared" si="125"/>
        <v>0</v>
      </c>
      <c r="O1945" s="57"/>
      <c r="P1945" s="145" t="str">
        <f t="shared" si="123"/>
        <v/>
      </c>
      <c r="Q1945" s="52">
        <f t="shared" si="126"/>
        <v>15</v>
      </c>
      <c r="R1945" s="8">
        <f t="shared" si="127"/>
        <v>2026</v>
      </c>
    </row>
    <row r="1946" spans="1:18" hidden="1" x14ac:dyDescent="0.25">
      <c r="A1946" s="224"/>
      <c r="B1946" s="97">
        <v>46123</v>
      </c>
      <c r="C1946" s="58" t="s">
        <v>57</v>
      </c>
      <c r="D1946" s="60" t="s">
        <v>38</v>
      </c>
      <c r="E1946" s="60"/>
      <c r="F1946" s="61"/>
      <c r="G1946" s="60"/>
      <c r="H1946" s="60">
        <v>0</v>
      </c>
      <c r="I1946" s="60">
        <v>0</v>
      </c>
      <c r="J1946" s="60">
        <v>0</v>
      </c>
      <c r="K1946" s="62"/>
      <c r="L1946" s="62">
        <f t="shared" si="124"/>
        <v>0</v>
      </c>
      <c r="M1946" s="62">
        <v>0</v>
      </c>
      <c r="N1946" s="102">
        <f t="shared" si="125"/>
        <v>0</v>
      </c>
      <c r="O1946" s="64"/>
      <c r="P1946" s="145" t="str">
        <f t="shared" si="123"/>
        <v/>
      </c>
      <c r="Q1946" s="52">
        <f t="shared" si="126"/>
        <v>15</v>
      </c>
      <c r="R1946" s="8">
        <f t="shared" si="127"/>
        <v>2026</v>
      </c>
    </row>
    <row r="1947" spans="1:18" ht="15.75" hidden="1" thickBot="1" x14ac:dyDescent="0.3">
      <c r="A1947" s="225"/>
      <c r="B1947" s="98">
        <v>46124</v>
      </c>
      <c r="C1947" s="66" t="s">
        <v>59</v>
      </c>
      <c r="D1947" s="67" t="s">
        <v>38</v>
      </c>
      <c r="E1947" s="67"/>
      <c r="F1947" s="68"/>
      <c r="G1947" s="67"/>
      <c r="H1947" s="67">
        <v>0</v>
      </c>
      <c r="I1947" s="67">
        <v>0</v>
      </c>
      <c r="J1947" s="67">
        <v>0</v>
      </c>
      <c r="K1947" s="69"/>
      <c r="L1947" s="69">
        <f t="shared" si="124"/>
        <v>0</v>
      </c>
      <c r="M1947" s="69">
        <v>0</v>
      </c>
      <c r="N1947" s="103">
        <f t="shared" si="125"/>
        <v>0</v>
      </c>
      <c r="O1947" s="71"/>
      <c r="P1947" s="145" t="str">
        <f t="shared" si="123"/>
        <v/>
      </c>
      <c r="Q1947" s="52">
        <f t="shared" si="126"/>
        <v>15</v>
      </c>
      <c r="R1947" s="8">
        <f t="shared" si="127"/>
        <v>2026</v>
      </c>
    </row>
    <row r="1948" spans="1:18" hidden="1" x14ac:dyDescent="0.25">
      <c r="A1948" s="223">
        <f>_xlfn.ISOWEEKNUM(B1948)</f>
        <v>16</v>
      </c>
      <c r="B1948" s="96">
        <v>46125</v>
      </c>
      <c r="C1948" s="72" t="s">
        <v>37</v>
      </c>
      <c r="D1948" s="41" t="s">
        <v>38</v>
      </c>
      <c r="E1948" s="41"/>
      <c r="F1948" s="43"/>
      <c r="G1948" s="41"/>
      <c r="H1948" s="41">
        <v>0</v>
      </c>
      <c r="I1948" s="41">
        <v>0</v>
      </c>
      <c r="J1948" s="41">
        <v>0</v>
      </c>
      <c r="K1948" s="73"/>
      <c r="L1948" s="73">
        <f t="shared" si="124"/>
        <v>0</v>
      </c>
      <c r="M1948" s="73">
        <v>0</v>
      </c>
      <c r="N1948" s="105">
        <f t="shared" si="125"/>
        <v>0</v>
      </c>
      <c r="O1948" s="46"/>
      <c r="P1948" s="145" t="str">
        <f t="shared" si="123"/>
        <v/>
      </c>
      <c r="Q1948" s="52">
        <f t="shared" si="126"/>
        <v>16</v>
      </c>
      <c r="R1948" s="8">
        <f t="shared" si="127"/>
        <v>2026</v>
      </c>
    </row>
    <row r="1949" spans="1:18" hidden="1" x14ac:dyDescent="0.25">
      <c r="A1949" s="224"/>
      <c r="B1949" s="96">
        <v>46126</v>
      </c>
      <c r="C1949" s="52" t="s">
        <v>42</v>
      </c>
      <c r="D1949" s="53" t="s">
        <v>38</v>
      </c>
      <c r="E1949" s="53"/>
      <c r="F1949" s="54"/>
      <c r="G1949" s="53"/>
      <c r="H1949" s="53">
        <v>0</v>
      </c>
      <c r="I1949" s="53">
        <v>0</v>
      </c>
      <c r="J1949" s="53">
        <v>0</v>
      </c>
      <c r="K1949" s="55"/>
      <c r="L1949" s="55">
        <f t="shared" si="124"/>
        <v>0</v>
      </c>
      <c r="M1949" s="55">
        <v>0</v>
      </c>
      <c r="N1949" s="101">
        <f t="shared" si="125"/>
        <v>0</v>
      </c>
      <c r="O1949" s="57"/>
      <c r="P1949" s="145" t="str">
        <f t="shared" si="123"/>
        <v/>
      </c>
      <c r="Q1949" s="52">
        <f t="shared" si="126"/>
        <v>16</v>
      </c>
      <c r="R1949" s="8">
        <f t="shared" si="127"/>
        <v>2026</v>
      </c>
    </row>
    <row r="1950" spans="1:18" hidden="1" x14ac:dyDescent="0.25">
      <c r="A1950" s="224"/>
      <c r="B1950" s="96">
        <v>46127</v>
      </c>
      <c r="C1950" s="52" t="s">
        <v>46</v>
      </c>
      <c r="D1950" s="53" t="s">
        <v>38</v>
      </c>
      <c r="E1950" s="53"/>
      <c r="F1950" s="54"/>
      <c r="G1950" s="53"/>
      <c r="H1950" s="53">
        <v>0</v>
      </c>
      <c r="I1950" s="53">
        <v>0</v>
      </c>
      <c r="J1950" s="53">
        <v>0</v>
      </c>
      <c r="K1950" s="55"/>
      <c r="L1950" s="55">
        <f t="shared" si="124"/>
        <v>0</v>
      </c>
      <c r="M1950" s="55">
        <v>0</v>
      </c>
      <c r="N1950" s="101">
        <f t="shared" si="125"/>
        <v>0</v>
      </c>
      <c r="O1950" s="57"/>
      <c r="P1950" s="145" t="str">
        <f t="shared" si="123"/>
        <v/>
      </c>
      <c r="Q1950" s="52">
        <f t="shared" si="126"/>
        <v>16</v>
      </c>
      <c r="R1950" s="8">
        <f t="shared" si="127"/>
        <v>2026</v>
      </c>
    </row>
    <row r="1951" spans="1:18" hidden="1" x14ac:dyDescent="0.25">
      <c r="A1951" s="224"/>
      <c r="B1951" s="96">
        <v>46128</v>
      </c>
      <c r="C1951" s="52" t="s">
        <v>50</v>
      </c>
      <c r="D1951" s="53" t="s">
        <v>38</v>
      </c>
      <c r="E1951" s="53"/>
      <c r="F1951" s="54"/>
      <c r="G1951" s="53"/>
      <c r="H1951" s="53">
        <v>0</v>
      </c>
      <c r="I1951" s="53">
        <v>0</v>
      </c>
      <c r="J1951" s="53">
        <v>0</v>
      </c>
      <c r="K1951" s="55"/>
      <c r="L1951" s="55">
        <f t="shared" si="124"/>
        <v>0</v>
      </c>
      <c r="M1951" s="55">
        <v>0</v>
      </c>
      <c r="N1951" s="101">
        <f t="shared" si="125"/>
        <v>0</v>
      </c>
      <c r="O1951" s="57"/>
      <c r="P1951" s="145" t="str">
        <f t="shared" si="123"/>
        <v/>
      </c>
      <c r="Q1951" s="52">
        <f t="shared" si="126"/>
        <v>16</v>
      </c>
      <c r="R1951" s="8">
        <f t="shared" si="127"/>
        <v>2026</v>
      </c>
    </row>
    <row r="1952" spans="1:18" hidden="1" x14ac:dyDescent="0.25">
      <c r="A1952" s="224"/>
      <c r="B1952" s="96">
        <v>46129</v>
      </c>
      <c r="C1952" s="52" t="s">
        <v>53</v>
      </c>
      <c r="D1952" s="53" t="s">
        <v>38</v>
      </c>
      <c r="E1952" s="53"/>
      <c r="F1952" s="54"/>
      <c r="G1952" s="53"/>
      <c r="H1952" s="53">
        <v>0</v>
      </c>
      <c r="I1952" s="53">
        <v>0</v>
      </c>
      <c r="J1952" s="53">
        <v>0</v>
      </c>
      <c r="K1952" s="55"/>
      <c r="L1952" s="55">
        <f t="shared" si="124"/>
        <v>0</v>
      </c>
      <c r="M1952" s="55">
        <v>0</v>
      </c>
      <c r="N1952" s="101">
        <f t="shared" si="125"/>
        <v>0</v>
      </c>
      <c r="O1952" s="57"/>
      <c r="P1952" s="145" t="str">
        <f t="shared" si="123"/>
        <v/>
      </c>
      <c r="Q1952" s="52">
        <f t="shared" si="126"/>
        <v>16</v>
      </c>
      <c r="R1952" s="8">
        <f t="shared" si="127"/>
        <v>2026</v>
      </c>
    </row>
    <row r="1953" spans="1:18" hidden="1" x14ac:dyDescent="0.25">
      <c r="A1953" s="224"/>
      <c r="B1953" s="97">
        <v>46130</v>
      </c>
      <c r="C1953" s="58" t="s">
        <v>57</v>
      </c>
      <c r="D1953" s="60" t="s">
        <v>38</v>
      </c>
      <c r="E1953" s="60"/>
      <c r="F1953" s="61"/>
      <c r="G1953" s="60"/>
      <c r="H1953" s="60">
        <v>0</v>
      </c>
      <c r="I1953" s="60">
        <v>0</v>
      </c>
      <c r="J1953" s="60">
        <v>0</v>
      </c>
      <c r="K1953" s="62"/>
      <c r="L1953" s="62">
        <f t="shared" si="124"/>
        <v>0</v>
      </c>
      <c r="M1953" s="62">
        <v>0</v>
      </c>
      <c r="N1953" s="102">
        <f t="shared" si="125"/>
        <v>0</v>
      </c>
      <c r="O1953" s="64"/>
      <c r="P1953" s="145" t="str">
        <f t="shared" si="123"/>
        <v/>
      </c>
      <c r="Q1953" s="52">
        <f t="shared" si="126"/>
        <v>16</v>
      </c>
      <c r="R1953" s="8">
        <f t="shared" si="127"/>
        <v>2026</v>
      </c>
    </row>
    <row r="1954" spans="1:18" ht="15.75" hidden="1" thickBot="1" x14ac:dyDescent="0.3">
      <c r="A1954" s="225"/>
      <c r="B1954" s="98">
        <v>46131</v>
      </c>
      <c r="C1954" s="66" t="s">
        <v>59</v>
      </c>
      <c r="D1954" s="67" t="s">
        <v>38</v>
      </c>
      <c r="E1954" s="67"/>
      <c r="F1954" s="68"/>
      <c r="G1954" s="67"/>
      <c r="H1954" s="67">
        <v>0</v>
      </c>
      <c r="I1954" s="67">
        <v>0</v>
      </c>
      <c r="J1954" s="67">
        <v>0</v>
      </c>
      <c r="K1954" s="69"/>
      <c r="L1954" s="69">
        <f t="shared" si="124"/>
        <v>0</v>
      </c>
      <c r="M1954" s="69">
        <v>0</v>
      </c>
      <c r="N1954" s="103">
        <f t="shared" si="125"/>
        <v>0</v>
      </c>
      <c r="O1954" s="71"/>
      <c r="P1954" s="145" t="str">
        <f t="shared" si="123"/>
        <v/>
      </c>
      <c r="Q1954" s="52">
        <f t="shared" si="126"/>
        <v>16</v>
      </c>
      <c r="R1954" s="8">
        <f t="shared" si="127"/>
        <v>2026</v>
      </c>
    </row>
    <row r="1955" spans="1:18" hidden="1" x14ac:dyDescent="0.25">
      <c r="A1955" s="223">
        <f>_xlfn.ISOWEEKNUM(B1955)</f>
        <v>17</v>
      </c>
      <c r="B1955" s="96">
        <v>46132</v>
      </c>
      <c r="C1955" s="72" t="s">
        <v>37</v>
      </c>
      <c r="D1955" s="41" t="s">
        <v>38</v>
      </c>
      <c r="E1955" s="41"/>
      <c r="F1955" s="43"/>
      <c r="G1955" s="41"/>
      <c r="H1955" s="41">
        <v>0</v>
      </c>
      <c r="I1955" s="41">
        <v>0</v>
      </c>
      <c r="J1955" s="41">
        <v>0</v>
      </c>
      <c r="K1955" s="73"/>
      <c r="L1955" s="73">
        <f t="shared" si="124"/>
        <v>0</v>
      </c>
      <c r="M1955" s="73">
        <v>0</v>
      </c>
      <c r="N1955" s="105">
        <f t="shared" si="125"/>
        <v>0</v>
      </c>
      <c r="O1955" s="46"/>
      <c r="P1955" s="145" t="str">
        <f t="shared" si="123"/>
        <v/>
      </c>
      <c r="Q1955" s="52">
        <f t="shared" si="126"/>
        <v>17</v>
      </c>
      <c r="R1955" s="8">
        <f t="shared" si="127"/>
        <v>2026</v>
      </c>
    </row>
    <row r="1956" spans="1:18" hidden="1" x14ac:dyDescent="0.25">
      <c r="A1956" s="224"/>
      <c r="B1956" s="96">
        <v>46133</v>
      </c>
      <c r="C1956" s="52" t="s">
        <v>42</v>
      </c>
      <c r="D1956" s="53" t="s">
        <v>38</v>
      </c>
      <c r="E1956" s="53"/>
      <c r="F1956" s="54"/>
      <c r="G1956" s="53"/>
      <c r="H1956" s="53">
        <v>0</v>
      </c>
      <c r="I1956" s="53">
        <v>0</v>
      </c>
      <c r="J1956" s="53">
        <v>0</v>
      </c>
      <c r="K1956" s="55"/>
      <c r="L1956" s="55">
        <f t="shared" si="124"/>
        <v>0</v>
      </c>
      <c r="M1956" s="55">
        <v>0</v>
      </c>
      <c r="N1956" s="101">
        <f t="shared" si="125"/>
        <v>0</v>
      </c>
      <c r="O1956" s="57"/>
      <c r="P1956" s="145" t="str">
        <f t="shared" si="123"/>
        <v/>
      </c>
      <c r="Q1956" s="52">
        <f t="shared" si="126"/>
        <v>17</v>
      </c>
      <c r="R1956" s="8">
        <f t="shared" si="127"/>
        <v>2026</v>
      </c>
    </row>
    <row r="1957" spans="1:18" hidden="1" x14ac:dyDescent="0.25">
      <c r="A1957" s="224"/>
      <c r="B1957" s="96">
        <v>46134</v>
      </c>
      <c r="C1957" s="52" t="s">
        <v>46</v>
      </c>
      <c r="D1957" s="53" t="s">
        <v>38</v>
      </c>
      <c r="E1957" s="53"/>
      <c r="F1957" s="54"/>
      <c r="G1957" s="53"/>
      <c r="H1957" s="53">
        <v>0</v>
      </c>
      <c r="I1957" s="53">
        <v>0</v>
      </c>
      <c r="J1957" s="53">
        <v>0</v>
      </c>
      <c r="K1957" s="55"/>
      <c r="L1957" s="55">
        <f t="shared" si="124"/>
        <v>0</v>
      </c>
      <c r="M1957" s="55">
        <v>0</v>
      </c>
      <c r="N1957" s="101">
        <f t="shared" si="125"/>
        <v>0</v>
      </c>
      <c r="O1957" s="57"/>
      <c r="P1957" s="145" t="str">
        <f t="shared" si="123"/>
        <v/>
      </c>
      <c r="Q1957" s="52">
        <f t="shared" si="126"/>
        <v>17</v>
      </c>
      <c r="R1957" s="8">
        <f t="shared" si="127"/>
        <v>2026</v>
      </c>
    </row>
    <row r="1958" spans="1:18" hidden="1" x14ac:dyDescent="0.25">
      <c r="A1958" s="224"/>
      <c r="B1958" s="96">
        <v>46135</v>
      </c>
      <c r="C1958" s="52" t="s">
        <v>50</v>
      </c>
      <c r="D1958" s="53" t="s">
        <v>38</v>
      </c>
      <c r="E1958" s="53"/>
      <c r="F1958" s="54"/>
      <c r="G1958" s="53"/>
      <c r="H1958" s="53">
        <v>0</v>
      </c>
      <c r="I1958" s="53">
        <v>0</v>
      </c>
      <c r="J1958" s="53">
        <v>0</v>
      </c>
      <c r="K1958" s="55"/>
      <c r="L1958" s="55">
        <f t="shared" si="124"/>
        <v>0</v>
      </c>
      <c r="M1958" s="55">
        <v>0</v>
      </c>
      <c r="N1958" s="101">
        <f t="shared" si="125"/>
        <v>0</v>
      </c>
      <c r="O1958" s="57"/>
      <c r="P1958" s="145" t="str">
        <f t="shared" si="123"/>
        <v/>
      </c>
      <c r="Q1958" s="52">
        <f t="shared" si="126"/>
        <v>17</v>
      </c>
      <c r="R1958" s="8">
        <f t="shared" si="127"/>
        <v>2026</v>
      </c>
    </row>
    <row r="1959" spans="1:18" hidden="1" x14ac:dyDescent="0.25">
      <c r="A1959" s="224"/>
      <c r="B1959" s="96">
        <v>46136</v>
      </c>
      <c r="C1959" s="52" t="s">
        <v>53</v>
      </c>
      <c r="D1959" s="53" t="s">
        <v>38</v>
      </c>
      <c r="E1959" s="53"/>
      <c r="F1959" s="54"/>
      <c r="G1959" s="53"/>
      <c r="H1959" s="53">
        <v>0</v>
      </c>
      <c r="I1959" s="53">
        <v>0</v>
      </c>
      <c r="J1959" s="53">
        <v>0</v>
      </c>
      <c r="K1959" s="55"/>
      <c r="L1959" s="55">
        <f t="shared" si="124"/>
        <v>0</v>
      </c>
      <c r="M1959" s="55">
        <v>0</v>
      </c>
      <c r="N1959" s="101">
        <f t="shared" si="125"/>
        <v>0</v>
      </c>
      <c r="O1959" s="57"/>
      <c r="P1959" s="145" t="str">
        <f t="shared" si="123"/>
        <v/>
      </c>
      <c r="Q1959" s="52">
        <f t="shared" si="126"/>
        <v>17</v>
      </c>
      <c r="R1959" s="8">
        <f t="shared" si="127"/>
        <v>2026</v>
      </c>
    </row>
    <row r="1960" spans="1:18" hidden="1" x14ac:dyDescent="0.25">
      <c r="A1960" s="224"/>
      <c r="B1960" s="97">
        <v>46137</v>
      </c>
      <c r="C1960" s="58" t="s">
        <v>57</v>
      </c>
      <c r="D1960" s="60" t="s">
        <v>38</v>
      </c>
      <c r="E1960" s="60"/>
      <c r="F1960" s="61"/>
      <c r="G1960" s="60"/>
      <c r="H1960" s="60">
        <v>0</v>
      </c>
      <c r="I1960" s="60">
        <v>0</v>
      </c>
      <c r="J1960" s="60">
        <v>0</v>
      </c>
      <c r="K1960" s="62"/>
      <c r="L1960" s="62">
        <f t="shared" si="124"/>
        <v>0</v>
      </c>
      <c r="M1960" s="62">
        <v>0</v>
      </c>
      <c r="N1960" s="102">
        <f t="shared" si="125"/>
        <v>0</v>
      </c>
      <c r="O1960" s="64"/>
      <c r="P1960" s="145" t="str">
        <f t="shared" si="123"/>
        <v/>
      </c>
      <c r="Q1960" s="52">
        <f t="shared" si="126"/>
        <v>17</v>
      </c>
      <c r="R1960" s="8">
        <f t="shared" si="127"/>
        <v>2026</v>
      </c>
    </row>
    <row r="1961" spans="1:18" ht="15.75" hidden="1" thickBot="1" x14ac:dyDescent="0.3">
      <c r="A1961" s="225"/>
      <c r="B1961" s="98">
        <v>46138</v>
      </c>
      <c r="C1961" s="66" t="s">
        <v>59</v>
      </c>
      <c r="D1961" s="67" t="s">
        <v>38</v>
      </c>
      <c r="E1961" s="67"/>
      <c r="F1961" s="68"/>
      <c r="G1961" s="67"/>
      <c r="H1961" s="67">
        <v>0</v>
      </c>
      <c r="I1961" s="67">
        <v>0</v>
      </c>
      <c r="J1961" s="67">
        <v>0</v>
      </c>
      <c r="K1961" s="69"/>
      <c r="L1961" s="69">
        <f t="shared" si="124"/>
        <v>0</v>
      </c>
      <c r="M1961" s="69">
        <v>0</v>
      </c>
      <c r="N1961" s="103">
        <f t="shared" si="125"/>
        <v>0</v>
      </c>
      <c r="O1961" s="71"/>
      <c r="P1961" s="145" t="str">
        <f t="shared" si="123"/>
        <v/>
      </c>
      <c r="Q1961" s="52">
        <f t="shared" si="126"/>
        <v>17</v>
      </c>
      <c r="R1961" s="8">
        <f t="shared" si="127"/>
        <v>2026</v>
      </c>
    </row>
    <row r="1962" spans="1:18" hidden="1" x14ac:dyDescent="0.25">
      <c r="A1962" s="223">
        <f>_xlfn.ISOWEEKNUM(B1962)</f>
        <v>18</v>
      </c>
      <c r="B1962" s="96">
        <v>46139</v>
      </c>
      <c r="C1962" s="72" t="s">
        <v>37</v>
      </c>
      <c r="D1962" s="41" t="s">
        <v>38</v>
      </c>
      <c r="E1962" s="41"/>
      <c r="F1962" s="43"/>
      <c r="G1962" s="41"/>
      <c r="H1962" s="41">
        <v>0</v>
      </c>
      <c r="I1962" s="41">
        <v>0</v>
      </c>
      <c r="J1962" s="41">
        <v>0</v>
      </c>
      <c r="K1962" s="73"/>
      <c r="L1962" s="73">
        <f t="shared" si="124"/>
        <v>0</v>
      </c>
      <c r="M1962" s="73">
        <v>0</v>
      </c>
      <c r="N1962" s="105">
        <f t="shared" si="125"/>
        <v>0</v>
      </c>
      <c r="O1962" s="46"/>
      <c r="P1962" s="145" t="str">
        <f t="shared" si="123"/>
        <v/>
      </c>
      <c r="Q1962" s="52">
        <f t="shared" si="126"/>
        <v>18</v>
      </c>
      <c r="R1962" s="8">
        <f t="shared" si="127"/>
        <v>2026</v>
      </c>
    </row>
    <row r="1963" spans="1:18" hidden="1" x14ac:dyDescent="0.25">
      <c r="A1963" s="224"/>
      <c r="B1963" s="96">
        <v>46140</v>
      </c>
      <c r="C1963" s="52" t="s">
        <v>42</v>
      </c>
      <c r="D1963" s="53" t="s">
        <v>38</v>
      </c>
      <c r="E1963" s="53"/>
      <c r="F1963" s="54"/>
      <c r="G1963" s="53"/>
      <c r="H1963" s="53">
        <v>0</v>
      </c>
      <c r="I1963" s="53">
        <v>0</v>
      </c>
      <c r="J1963" s="53">
        <v>0</v>
      </c>
      <c r="K1963" s="55"/>
      <c r="L1963" s="55">
        <f t="shared" si="124"/>
        <v>0</v>
      </c>
      <c r="M1963" s="55">
        <v>0</v>
      </c>
      <c r="N1963" s="101">
        <f t="shared" si="125"/>
        <v>0</v>
      </c>
      <c r="O1963" s="57"/>
      <c r="P1963" s="145" t="str">
        <f t="shared" si="123"/>
        <v/>
      </c>
      <c r="Q1963" s="52">
        <f t="shared" si="126"/>
        <v>18</v>
      </c>
      <c r="R1963" s="8">
        <f t="shared" si="127"/>
        <v>2026</v>
      </c>
    </row>
    <row r="1964" spans="1:18" hidden="1" x14ac:dyDescent="0.25">
      <c r="A1964" s="224"/>
      <c r="B1964" s="96">
        <v>46141</v>
      </c>
      <c r="C1964" s="52" t="s">
        <v>46</v>
      </c>
      <c r="D1964" s="53" t="s">
        <v>38</v>
      </c>
      <c r="E1964" s="53"/>
      <c r="F1964" s="54"/>
      <c r="G1964" s="53"/>
      <c r="H1964" s="53">
        <v>0</v>
      </c>
      <c r="I1964" s="53">
        <v>0</v>
      </c>
      <c r="J1964" s="53">
        <v>0</v>
      </c>
      <c r="K1964" s="55"/>
      <c r="L1964" s="55">
        <f t="shared" si="124"/>
        <v>0</v>
      </c>
      <c r="M1964" s="55">
        <v>0</v>
      </c>
      <c r="N1964" s="101">
        <f t="shared" si="125"/>
        <v>0</v>
      </c>
      <c r="O1964" s="57"/>
      <c r="P1964" s="145" t="str">
        <f t="shared" si="123"/>
        <v/>
      </c>
      <c r="Q1964" s="52">
        <f t="shared" si="126"/>
        <v>18</v>
      </c>
      <c r="R1964" s="8">
        <f t="shared" si="127"/>
        <v>2026</v>
      </c>
    </row>
    <row r="1965" spans="1:18" hidden="1" x14ac:dyDescent="0.25">
      <c r="A1965" s="224"/>
      <c r="B1965" s="96">
        <v>46142</v>
      </c>
      <c r="C1965" s="52" t="s">
        <v>50</v>
      </c>
      <c r="D1965" s="53" t="s">
        <v>38</v>
      </c>
      <c r="E1965" s="53"/>
      <c r="F1965" s="54"/>
      <c r="G1965" s="53"/>
      <c r="H1965" s="53">
        <v>0</v>
      </c>
      <c r="I1965" s="53">
        <v>0</v>
      </c>
      <c r="J1965" s="53">
        <v>0</v>
      </c>
      <c r="K1965" s="55"/>
      <c r="L1965" s="55">
        <f t="shared" si="124"/>
        <v>0</v>
      </c>
      <c r="M1965" s="55">
        <v>0</v>
      </c>
      <c r="N1965" s="101">
        <f t="shared" si="125"/>
        <v>0</v>
      </c>
      <c r="O1965" s="57"/>
      <c r="P1965" s="145" t="str">
        <f t="shared" si="123"/>
        <v/>
      </c>
      <c r="Q1965" s="52">
        <f t="shared" si="126"/>
        <v>18</v>
      </c>
      <c r="R1965" s="8">
        <f t="shared" si="127"/>
        <v>2026</v>
      </c>
    </row>
    <row r="1966" spans="1:18" hidden="1" x14ac:dyDescent="0.25">
      <c r="A1966" s="224"/>
      <c r="B1966" s="96">
        <v>46143</v>
      </c>
      <c r="C1966" s="52" t="s">
        <v>53</v>
      </c>
      <c r="D1966" s="53" t="s">
        <v>38</v>
      </c>
      <c r="E1966" s="53"/>
      <c r="F1966" s="54"/>
      <c r="G1966" s="53"/>
      <c r="H1966" s="53">
        <v>0</v>
      </c>
      <c r="I1966" s="53">
        <v>0</v>
      </c>
      <c r="J1966" s="53">
        <v>0</v>
      </c>
      <c r="K1966" s="55"/>
      <c r="L1966" s="55">
        <f t="shared" si="124"/>
        <v>0</v>
      </c>
      <c r="M1966" s="55">
        <v>0</v>
      </c>
      <c r="N1966" s="101">
        <f t="shared" si="125"/>
        <v>0</v>
      </c>
      <c r="O1966" s="57"/>
      <c r="P1966" s="145" t="str">
        <f t="shared" si="123"/>
        <v/>
      </c>
      <c r="Q1966" s="52">
        <f t="shared" si="126"/>
        <v>18</v>
      </c>
      <c r="R1966" s="8">
        <f t="shared" si="127"/>
        <v>2026</v>
      </c>
    </row>
    <row r="1967" spans="1:18" hidden="1" x14ac:dyDescent="0.25">
      <c r="A1967" s="224"/>
      <c r="B1967" s="97">
        <v>46144</v>
      </c>
      <c r="C1967" s="58" t="s">
        <v>57</v>
      </c>
      <c r="D1967" s="60" t="s">
        <v>38</v>
      </c>
      <c r="E1967" s="60"/>
      <c r="F1967" s="61"/>
      <c r="G1967" s="60"/>
      <c r="H1967" s="60">
        <v>0</v>
      </c>
      <c r="I1967" s="60">
        <v>0</v>
      </c>
      <c r="J1967" s="60">
        <v>0</v>
      </c>
      <c r="K1967" s="62"/>
      <c r="L1967" s="62">
        <f t="shared" si="124"/>
        <v>0</v>
      </c>
      <c r="M1967" s="62">
        <v>0</v>
      </c>
      <c r="N1967" s="102">
        <f t="shared" si="125"/>
        <v>0</v>
      </c>
      <c r="O1967" s="64"/>
      <c r="P1967" s="145" t="str">
        <f t="shared" ref="P1967:P2030" si="128">E1967&amp;G1967</f>
        <v/>
      </c>
      <c r="Q1967" s="52">
        <f t="shared" si="126"/>
        <v>18</v>
      </c>
      <c r="R1967" s="8">
        <f t="shared" si="127"/>
        <v>2026</v>
      </c>
    </row>
    <row r="1968" spans="1:18" ht="15.75" hidden="1" thickBot="1" x14ac:dyDescent="0.3">
      <c r="A1968" s="225"/>
      <c r="B1968" s="98">
        <v>46145</v>
      </c>
      <c r="C1968" s="66" t="s">
        <v>59</v>
      </c>
      <c r="D1968" s="67" t="s">
        <v>38</v>
      </c>
      <c r="E1968" s="67"/>
      <c r="F1968" s="68"/>
      <c r="G1968" s="67"/>
      <c r="H1968" s="67">
        <v>0</v>
      </c>
      <c r="I1968" s="67">
        <v>0</v>
      </c>
      <c r="J1968" s="67">
        <v>0</v>
      </c>
      <c r="K1968" s="69"/>
      <c r="L1968" s="69">
        <f t="shared" si="124"/>
        <v>0</v>
      </c>
      <c r="M1968" s="69">
        <v>0</v>
      </c>
      <c r="N1968" s="103">
        <f t="shared" si="125"/>
        <v>0</v>
      </c>
      <c r="O1968" s="71"/>
      <c r="P1968" s="145" t="str">
        <f t="shared" si="128"/>
        <v/>
      </c>
      <c r="Q1968" s="52">
        <f t="shared" si="126"/>
        <v>18</v>
      </c>
      <c r="R1968" s="8">
        <f t="shared" si="127"/>
        <v>2026</v>
      </c>
    </row>
    <row r="1969" spans="1:18" hidden="1" x14ac:dyDescent="0.25">
      <c r="A1969" s="223">
        <f>_xlfn.ISOWEEKNUM(B1969)</f>
        <v>19</v>
      </c>
      <c r="B1969" s="96">
        <v>46146</v>
      </c>
      <c r="C1969" s="72" t="s">
        <v>37</v>
      </c>
      <c r="D1969" s="41" t="s">
        <v>38</v>
      </c>
      <c r="E1969" s="41"/>
      <c r="F1969" s="43"/>
      <c r="G1969" s="41"/>
      <c r="H1969" s="41">
        <v>0</v>
      </c>
      <c r="I1969" s="41">
        <v>0</v>
      </c>
      <c r="J1969" s="41">
        <v>0</v>
      </c>
      <c r="K1969" s="73"/>
      <c r="L1969" s="73">
        <f t="shared" si="124"/>
        <v>0</v>
      </c>
      <c r="M1969" s="73">
        <v>0</v>
      </c>
      <c r="N1969" s="105">
        <f t="shared" si="125"/>
        <v>0</v>
      </c>
      <c r="O1969" s="46"/>
      <c r="P1969" s="145" t="str">
        <f t="shared" si="128"/>
        <v/>
      </c>
      <c r="Q1969" s="52">
        <f t="shared" si="126"/>
        <v>19</v>
      </c>
      <c r="R1969" s="8">
        <f t="shared" si="127"/>
        <v>2026</v>
      </c>
    </row>
    <row r="1970" spans="1:18" hidden="1" x14ac:dyDescent="0.25">
      <c r="A1970" s="224"/>
      <c r="B1970" s="96">
        <v>46147</v>
      </c>
      <c r="C1970" s="52" t="s">
        <v>42</v>
      </c>
      <c r="D1970" s="53" t="s">
        <v>38</v>
      </c>
      <c r="E1970" s="53"/>
      <c r="F1970" s="54"/>
      <c r="G1970" s="53"/>
      <c r="H1970" s="53">
        <v>0</v>
      </c>
      <c r="I1970" s="53">
        <v>0</v>
      </c>
      <c r="J1970" s="53">
        <v>0</v>
      </c>
      <c r="K1970" s="55"/>
      <c r="L1970" s="55">
        <f t="shared" si="124"/>
        <v>0</v>
      </c>
      <c r="M1970" s="55">
        <v>0</v>
      </c>
      <c r="N1970" s="101">
        <f t="shared" si="125"/>
        <v>0</v>
      </c>
      <c r="O1970" s="57"/>
      <c r="P1970" s="145" t="str">
        <f t="shared" si="128"/>
        <v/>
      </c>
      <c r="Q1970" s="52">
        <f t="shared" si="126"/>
        <v>19</v>
      </c>
      <c r="R1970" s="8">
        <f t="shared" si="127"/>
        <v>2026</v>
      </c>
    </row>
    <row r="1971" spans="1:18" hidden="1" x14ac:dyDescent="0.25">
      <c r="A1971" s="224"/>
      <c r="B1971" s="96">
        <v>46148</v>
      </c>
      <c r="C1971" s="52" t="s">
        <v>46</v>
      </c>
      <c r="D1971" s="53" t="s">
        <v>38</v>
      </c>
      <c r="E1971" s="53"/>
      <c r="F1971" s="54"/>
      <c r="G1971" s="53"/>
      <c r="H1971" s="53">
        <v>0</v>
      </c>
      <c r="I1971" s="53">
        <v>0</v>
      </c>
      <c r="J1971" s="53">
        <v>0</v>
      </c>
      <c r="K1971" s="55"/>
      <c r="L1971" s="55">
        <f t="shared" si="124"/>
        <v>0</v>
      </c>
      <c r="M1971" s="55">
        <v>0</v>
      </c>
      <c r="N1971" s="101">
        <f t="shared" si="125"/>
        <v>0</v>
      </c>
      <c r="O1971" s="57"/>
      <c r="P1971" s="145" t="str">
        <f t="shared" si="128"/>
        <v/>
      </c>
      <c r="Q1971" s="52">
        <f t="shared" si="126"/>
        <v>19</v>
      </c>
      <c r="R1971" s="8">
        <f t="shared" si="127"/>
        <v>2026</v>
      </c>
    </row>
    <row r="1972" spans="1:18" hidden="1" x14ac:dyDescent="0.25">
      <c r="A1972" s="224"/>
      <c r="B1972" s="96">
        <v>46149</v>
      </c>
      <c r="C1972" s="52" t="s">
        <v>50</v>
      </c>
      <c r="D1972" s="53" t="s">
        <v>38</v>
      </c>
      <c r="E1972" s="53"/>
      <c r="F1972" s="54"/>
      <c r="G1972" s="53"/>
      <c r="H1972" s="53">
        <v>0</v>
      </c>
      <c r="I1972" s="53">
        <v>0</v>
      </c>
      <c r="J1972" s="53">
        <v>0</v>
      </c>
      <c r="K1972" s="55"/>
      <c r="L1972" s="55">
        <f t="shared" si="124"/>
        <v>0</v>
      </c>
      <c r="M1972" s="55">
        <v>0</v>
      </c>
      <c r="N1972" s="101">
        <f t="shared" si="125"/>
        <v>0</v>
      </c>
      <c r="O1972" s="57"/>
      <c r="P1972" s="145" t="str">
        <f t="shared" si="128"/>
        <v/>
      </c>
      <c r="Q1972" s="52">
        <f t="shared" si="126"/>
        <v>19</v>
      </c>
      <c r="R1972" s="8">
        <f t="shared" si="127"/>
        <v>2026</v>
      </c>
    </row>
    <row r="1973" spans="1:18" hidden="1" x14ac:dyDescent="0.25">
      <c r="A1973" s="224"/>
      <c r="B1973" s="96">
        <v>46150</v>
      </c>
      <c r="C1973" s="52" t="s">
        <v>53</v>
      </c>
      <c r="D1973" s="53" t="s">
        <v>38</v>
      </c>
      <c r="E1973" s="53"/>
      <c r="F1973" s="54"/>
      <c r="G1973" s="53"/>
      <c r="H1973" s="53">
        <v>0</v>
      </c>
      <c r="I1973" s="53">
        <v>0</v>
      </c>
      <c r="J1973" s="53">
        <v>0</v>
      </c>
      <c r="K1973" s="55"/>
      <c r="L1973" s="55">
        <f t="shared" si="124"/>
        <v>0</v>
      </c>
      <c r="M1973" s="55">
        <v>0</v>
      </c>
      <c r="N1973" s="101">
        <f t="shared" si="125"/>
        <v>0</v>
      </c>
      <c r="O1973" s="57"/>
      <c r="P1973" s="145" t="str">
        <f t="shared" si="128"/>
        <v/>
      </c>
      <c r="Q1973" s="52">
        <f t="shared" si="126"/>
        <v>19</v>
      </c>
      <c r="R1973" s="8">
        <f t="shared" si="127"/>
        <v>2026</v>
      </c>
    </row>
    <row r="1974" spans="1:18" hidden="1" x14ac:dyDescent="0.25">
      <c r="A1974" s="224"/>
      <c r="B1974" s="97">
        <v>46151</v>
      </c>
      <c r="C1974" s="58" t="s">
        <v>57</v>
      </c>
      <c r="D1974" s="60" t="s">
        <v>38</v>
      </c>
      <c r="E1974" s="60"/>
      <c r="F1974" s="61"/>
      <c r="G1974" s="60"/>
      <c r="H1974" s="60">
        <v>0</v>
      </c>
      <c r="I1974" s="60">
        <v>0</v>
      </c>
      <c r="J1974" s="60">
        <v>0</v>
      </c>
      <c r="K1974" s="62"/>
      <c r="L1974" s="62">
        <f t="shared" ref="L1974:L2037" si="129">+I1974*K1974</f>
        <v>0</v>
      </c>
      <c r="M1974" s="62">
        <v>0</v>
      </c>
      <c r="N1974" s="102">
        <f t="shared" ref="N1974:N2037" si="130">+L1974*(1-M1974)</f>
        <v>0</v>
      </c>
      <c r="O1974" s="64"/>
      <c r="P1974" s="145" t="str">
        <f t="shared" si="128"/>
        <v/>
      </c>
      <c r="Q1974" s="52">
        <f t="shared" si="126"/>
        <v>19</v>
      </c>
      <c r="R1974" s="8">
        <f t="shared" si="127"/>
        <v>2026</v>
      </c>
    </row>
    <row r="1975" spans="1:18" ht="15.75" hidden="1" thickBot="1" x14ac:dyDescent="0.3">
      <c r="A1975" s="225"/>
      <c r="B1975" s="98">
        <v>46152</v>
      </c>
      <c r="C1975" s="66" t="s">
        <v>59</v>
      </c>
      <c r="D1975" s="67" t="s">
        <v>38</v>
      </c>
      <c r="E1975" s="67"/>
      <c r="F1975" s="68"/>
      <c r="G1975" s="67"/>
      <c r="H1975" s="67">
        <v>0</v>
      </c>
      <c r="I1975" s="67">
        <v>0</v>
      </c>
      <c r="J1975" s="67">
        <v>0</v>
      </c>
      <c r="K1975" s="69"/>
      <c r="L1975" s="69">
        <f t="shared" si="129"/>
        <v>0</v>
      </c>
      <c r="M1975" s="69">
        <v>0</v>
      </c>
      <c r="N1975" s="103">
        <f t="shared" si="130"/>
        <v>0</v>
      </c>
      <c r="O1975" s="71"/>
      <c r="P1975" s="145" t="str">
        <f t="shared" si="128"/>
        <v/>
      </c>
      <c r="Q1975" s="52">
        <f t="shared" si="126"/>
        <v>19</v>
      </c>
      <c r="R1975" s="8">
        <f t="shared" si="127"/>
        <v>2026</v>
      </c>
    </row>
    <row r="1976" spans="1:18" hidden="1" x14ac:dyDescent="0.25">
      <c r="A1976" s="223">
        <f>_xlfn.ISOWEEKNUM(B1976)</f>
        <v>20</v>
      </c>
      <c r="B1976" s="96">
        <v>46153</v>
      </c>
      <c r="C1976" s="72" t="s">
        <v>37</v>
      </c>
      <c r="D1976" s="41" t="s">
        <v>38</v>
      </c>
      <c r="E1976" s="41"/>
      <c r="F1976" s="43"/>
      <c r="G1976" s="41"/>
      <c r="H1976" s="41">
        <v>0</v>
      </c>
      <c r="I1976" s="41">
        <v>0</v>
      </c>
      <c r="J1976" s="41">
        <v>0</v>
      </c>
      <c r="K1976" s="73"/>
      <c r="L1976" s="73">
        <f t="shared" si="129"/>
        <v>0</v>
      </c>
      <c r="M1976" s="73">
        <v>0</v>
      </c>
      <c r="N1976" s="105">
        <f t="shared" si="130"/>
        <v>0</v>
      </c>
      <c r="O1976" s="46"/>
      <c r="P1976" s="145" t="str">
        <f t="shared" si="128"/>
        <v/>
      </c>
      <c r="Q1976" s="52">
        <f t="shared" si="126"/>
        <v>20</v>
      </c>
      <c r="R1976" s="8">
        <f t="shared" si="127"/>
        <v>2026</v>
      </c>
    </row>
    <row r="1977" spans="1:18" hidden="1" x14ac:dyDescent="0.25">
      <c r="A1977" s="224"/>
      <c r="B1977" s="96">
        <v>46154</v>
      </c>
      <c r="C1977" s="52" t="s">
        <v>42</v>
      </c>
      <c r="D1977" s="53" t="s">
        <v>38</v>
      </c>
      <c r="E1977" s="53"/>
      <c r="F1977" s="54"/>
      <c r="G1977" s="53"/>
      <c r="H1977" s="53">
        <v>0</v>
      </c>
      <c r="I1977" s="53">
        <v>0</v>
      </c>
      <c r="J1977" s="53">
        <v>0</v>
      </c>
      <c r="K1977" s="55"/>
      <c r="L1977" s="55">
        <f t="shared" si="129"/>
        <v>0</v>
      </c>
      <c r="M1977" s="55">
        <v>0</v>
      </c>
      <c r="N1977" s="101">
        <f t="shared" si="130"/>
        <v>0</v>
      </c>
      <c r="O1977" s="57"/>
      <c r="P1977" s="145" t="str">
        <f t="shared" si="128"/>
        <v/>
      </c>
      <c r="Q1977" s="52">
        <f t="shared" si="126"/>
        <v>20</v>
      </c>
      <c r="R1977" s="8">
        <f t="shared" si="127"/>
        <v>2026</v>
      </c>
    </row>
    <row r="1978" spans="1:18" hidden="1" x14ac:dyDescent="0.25">
      <c r="A1978" s="224"/>
      <c r="B1978" s="96">
        <v>46155</v>
      </c>
      <c r="C1978" s="52" t="s">
        <v>46</v>
      </c>
      <c r="D1978" s="53" t="s">
        <v>38</v>
      </c>
      <c r="E1978" s="53"/>
      <c r="F1978" s="54"/>
      <c r="G1978" s="53"/>
      <c r="H1978" s="53">
        <v>0</v>
      </c>
      <c r="I1978" s="53">
        <v>0</v>
      </c>
      <c r="J1978" s="53">
        <v>0</v>
      </c>
      <c r="K1978" s="55"/>
      <c r="L1978" s="55">
        <f t="shared" si="129"/>
        <v>0</v>
      </c>
      <c r="M1978" s="55">
        <v>0</v>
      </c>
      <c r="N1978" s="101">
        <f t="shared" si="130"/>
        <v>0</v>
      </c>
      <c r="O1978" s="57"/>
      <c r="P1978" s="145" t="str">
        <f t="shared" si="128"/>
        <v/>
      </c>
      <c r="Q1978" s="52">
        <f t="shared" si="126"/>
        <v>20</v>
      </c>
      <c r="R1978" s="8">
        <f t="shared" si="127"/>
        <v>2026</v>
      </c>
    </row>
    <row r="1979" spans="1:18" hidden="1" x14ac:dyDescent="0.25">
      <c r="A1979" s="224"/>
      <c r="B1979" s="96">
        <v>46156</v>
      </c>
      <c r="C1979" s="52" t="s">
        <v>50</v>
      </c>
      <c r="D1979" s="53" t="s">
        <v>38</v>
      </c>
      <c r="E1979" s="53"/>
      <c r="F1979" s="54"/>
      <c r="G1979" s="53"/>
      <c r="H1979" s="53">
        <v>0</v>
      </c>
      <c r="I1979" s="53">
        <v>0</v>
      </c>
      <c r="J1979" s="53">
        <v>0</v>
      </c>
      <c r="K1979" s="55"/>
      <c r="L1979" s="55">
        <f t="shared" si="129"/>
        <v>0</v>
      </c>
      <c r="M1979" s="55">
        <v>0</v>
      </c>
      <c r="N1979" s="101">
        <f t="shared" si="130"/>
        <v>0</v>
      </c>
      <c r="O1979" s="57"/>
      <c r="P1979" s="145" t="str">
        <f t="shared" si="128"/>
        <v/>
      </c>
      <c r="Q1979" s="52">
        <f t="shared" si="126"/>
        <v>20</v>
      </c>
      <c r="R1979" s="8">
        <f t="shared" si="127"/>
        <v>2026</v>
      </c>
    </row>
    <row r="1980" spans="1:18" hidden="1" x14ac:dyDescent="0.25">
      <c r="A1980" s="224"/>
      <c r="B1980" s="96">
        <v>46157</v>
      </c>
      <c r="C1980" s="52" t="s">
        <v>53</v>
      </c>
      <c r="D1980" s="53" t="s">
        <v>38</v>
      </c>
      <c r="E1980" s="53"/>
      <c r="F1980" s="54"/>
      <c r="G1980" s="53"/>
      <c r="H1980" s="53">
        <v>0</v>
      </c>
      <c r="I1980" s="53">
        <v>0</v>
      </c>
      <c r="J1980" s="53">
        <v>0</v>
      </c>
      <c r="K1980" s="55"/>
      <c r="L1980" s="55">
        <f t="shared" si="129"/>
        <v>0</v>
      </c>
      <c r="M1980" s="55">
        <v>0</v>
      </c>
      <c r="N1980" s="101">
        <f t="shared" si="130"/>
        <v>0</v>
      </c>
      <c r="O1980" s="57"/>
      <c r="P1980" s="145" t="str">
        <f t="shared" si="128"/>
        <v/>
      </c>
      <c r="Q1980" s="52">
        <f t="shared" si="126"/>
        <v>20</v>
      </c>
      <c r="R1980" s="8">
        <f t="shared" si="127"/>
        <v>2026</v>
      </c>
    </row>
    <row r="1981" spans="1:18" hidden="1" x14ac:dyDescent="0.25">
      <c r="A1981" s="224"/>
      <c r="B1981" s="97">
        <v>46158</v>
      </c>
      <c r="C1981" s="58" t="s">
        <v>57</v>
      </c>
      <c r="D1981" s="60" t="s">
        <v>38</v>
      </c>
      <c r="E1981" s="60"/>
      <c r="F1981" s="61"/>
      <c r="G1981" s="60"/>
      <c r="H1981" s="60">
        <v>0</v>
      </c>
      <c r="I1981" s="60">
        <v>0</v>
      </c>
      <c r="J1981" s="60">
        <v>0</v>
      </c>
      <c r="K1981" s="62"/>
      <c r="L1981" s="62">
        <f t="shared" si="129"/>
        <v>0</v>
      </c>
      <c r="M1981" s="62">
        <v>0</v>
      </c>
      <c r="N1981" s="102">
        <f t="shared" si="130"/>
        <v>0</v>
      </c>
      <c r="O1981" s="64"/>
      <c r="P1981" s="145" t="str">
        <f t="shared" si="128"/>
        <v/>
      </c>
      <c r="Q1981" s="52">
        <f t="shared" si="126"/>
        <v>20</v>
      </c>
      <c r="R1981" s="8">
        <f t="shared" si="127"/>
        <v>2026</v>
      </c>
    </row>
    <row r="1982" spans="1:18" ht="15.75" hidden="1" thickBot="1" x14ac:dyDescent="0.3">
      <c r="A1982" s="225"/>
      <c r="B1982" s="98">
        <v>46159</v>
      </c>
      <c r="C1982" s="66" t="s">
        <v>59</v>
      </c>
      <c r="D1982" s="67" t="s">
        <v>38</v>
      </c>
      <c r="E1982" s="67"/>
      <c r="F1982" s="68"/>
      <c r="G1982" s="67"/>
      <c r="H1982" s="67">
        <v>0</v>
      </c>
      <c r="I1982" s="67">
        <v>0</v>
      </c>
      <c r="J1982" s="67">
        <v>0</v>
      </c>
      <c r="K1982" s="69"/>
      <c r="L1982" s="69">
        <f t="shared" si="129"/>
        <v>0</v>
      </c>
      <c r="M1982" s="69">
        <v>0</v>
      </c>
      <c r="N1982" s="103">
        <f t="shared" si="130"/>
        <v>0</v>
      </c>
      <c r="O1982" s="71"/>
      <c r="P1982" s="145" t="str">
        <f t="shared" si="128"/>
        <v/>
      </c>
      <c r="Q1982" s="52">
        <f t="shared" si="126"/>
        <v>20</v>
      </c>
      <c r="R1982" s="8">
        <f t="shared" si="127"/>
        <v>2026</v>
      </c>
    </row>
    <row r="1983" spans="1:18" hidden="1" x14ac:dyDescent="0.25">
      <c r="A1983" s="223">
        <f>_xlfn.ISOWEEKNUM(B1983)</f>
        <v>21</v>
      </c>
      <c r="B1983" s="96">
        <v>46160</v>
      </c>
      <c r="C1983" s="72" t="s">
        <v>37</v>
      </c>
      <c r="D1983" s="41" t="s">
        <v>38</v>
      </c>
      <c r="E1983" s="41"/>
      <c r="F1983" s="43"/>
      <c r="G1983" s="41"/>
      <c r="H1983" s="41">
        <v>0</v>
      </c>
      <c r="I1983" s="41">
        <v>0</v>
      </c>
      <c r="J1983" s="41">
        <v>0</v>
      </c>
      <c r="K1983" s="73"/>
      <c r="L1983" s="73">
        <f t="shared" si="129"/>
        <v>0</v>
      </c>
      <c r="M1983" s="73">
        <v>0</v>
      </c>
      <c r="N1983" s="105">
        <f t="shared" si="130"/>
        <v>0</v>
      </c>
      <c r="O1983" s="46"/>
      <c r="P1983" s="145" t="str">
        <f t="shared" si="128"/>
        <v/>
      </c>
      <c r="Q1983" s="52">
        <f t="shared" si="126"/>
        <v>21</v>
      </c>
      <c r="R1983" s="8">
        <f t="shared" si="127"/>
        <v>2026</v>
      </c>
    </row>
    <row r="1984" spans="1:18" hidden="1" x14ac:dyDescent="0.25">
      <c r="A1984" s="224"/>
      <c r="B1984" s="96">
        <v>46161</v>
      </c>
      <c r="C1984" s="52" t="s">
        <v>42</v>
      </c>
      <c r="D1984" s="53" t="s">
        <v>38</v>
      </c>
      <c r="E1984" s="53"/>
      <c r="F1984" s="54"/>
      <c r="G1984" s="53"/>
      <c r="H1984" s="53">
        <v>0</v>
      </c>
      <c r="I1984" s="53">
        <v>0</v>
      </c>
      <c r="J1984" s="53">
        <v>0</v>
      </c>
      <c r="K1984" s="55"/>
      <c r="L1984" s="55">
        <f t="shared" si="129"/>
        <v>0</v>
      </c>
      <c r="M1984" s="55">
        <v>0</v>
      </c>
      <c r="N1984" s="101">
        <f t="shared" si="130"/>
        <v>0</v>
      </c>
      <c r="O1984" s="57"/>
      <c r="P1984" s="145" t="str">
        <f t="shared" si="128"/>
        <v/>
      </c>
      <c r="Q1984" s="52">
        <f t="shared" si="126"/>
        <v>21</v>
      </c>
      <c r="R1984" s="8">
        <f t="shared" si="127"/>
        <v>2026</v>
      </c>
    </row>
    <row r="1985" spans="1:18" hidden="1" x14ac:dyDescent="0.25">
      <c r="A1985" s="224"/>
      <c r="B1985" s="96">
        <v>46162</v>
      </c>
      <c r="C1985" s="52" t="s">
        <v>46</v>
      </c>
      <c r="D1985" s="53" t="s">
        <v>38</v>
      </c>
      <c r="E1985" s="53"/>
      <c r="F1985" s="54"/>
      <c r="G1985" s="53"/>
      <c r="H1985" s="53">
        <v>0</v>
      </c>
      <c r="I1985" s="53">
        <v>0</v>
      </c>
      <c r="J1985" s="53">
        <v>0</v>
      </c>
      <c r="K1985" s="55"/>
      <c r="L1985" s="55">
        <f t="shared" si="129"/>
        <v>0</v>
      </c>
      <c r="M1985" s="55">
        <v>0</v>
      </c>
      <c r="N1985" s="101">
        <f t="shared" si="130"/>
        <v>0</v>
      </c>
      <c r="O1985" s="57"/>
      <c r="P1985" s="145" t="str">
        <f t="shared" si="128"/>
        <v/>
      </c>
      <c r="Q1985" s="52">
        <f t="shared" si="126"/>
        <v>21</v>
      </c>
      <c r="R1985" s="8">
        <f t="shared" si="127"/>
        <v>2026</v>
      </c>
    </row>
    <row r="1986" spans="1:18" hidden="1" x14ac:dyDescent="0.25">
      <c r="A1986" s="224"/>
      <c r="B1986" s="96">
        <v>46163</v>
      </c>
      <c r="C1986" s="52" t="s">
        <v>50</v>
      </c>
      <c r="D1986" s="53" t="s">
        <v>38</v>
      </c>
      <c r="E1986" s="53"/>
      <c r="F1986" s="54"/>
      <c r="G1986" s="53"/>
      <c r="H1986" s="53">
        <v>0</v>
      </c>
      <c r="I1986" s="53">
        <v>0</v>
      </c>
      <c r="J1986" s="53">
        <v>0</v>
      </c>
      <c r="K1986" s="55"/>
      <c r="L1986" s="55">
        <f t="shared" si="129"/>
        <v>0</v>
      </c>
      <c r="M1986" s="55">
        <v>0</v>
      </c>
      <c r="N1986" s="101">
        <f t="shared" si="130"/>
        <v>0</v>
      </c>
      <c r="O1986" s="57"/>
      <c r="P1986" s="145" t="str">
        <f t="shared" si="128"/>
        <v/>
      </c>
      <c r="Q1986" s="52">
        <f t="shared" si="126"/>
        <v>21</v>
      </c>
      <c r="R1986" s="8">
        <f t="shared" si="127"/>
        <v>2026</v>
      </c>
    </row>
    <row r="1987" spans="1:18" hidden="1" x14ac:dyDescent="0.25">
      <c r="A1987" s="224"/>
      <c r="B1987" s="96">
        <v>46164</v>
      </c>
      <c r="C1987" s="52" t="s">
        <v>53</v>
      </c>
      <c r="D1987" s="53" t="s">
        <v>38</v>
      </c>
      <c r="E1987" s="53"/>
      <c r="F1987" s="54"/>
      <c r="G1987" s="53"/>
      <c r="H1987" s="53">
        <v>0</v>
      </c>
      <c r="I1987" s="53">
        <v>0</v>
      </c>
      <c r="J1987" s="53">
        <v>0</v>
      </c>
      <c r="K1987" s="55"/>
      <c r="L1987" s="55">
        <f t="shared" si="129"/>
        <v>0</v>
      </c>
      <c r="M1987" s="55">
        <v>0</v>
      </c>
      <c r="N1987" s="101">
        <f t="shared" si="130"/>
        <v>0</v>
      </c>
      <c r="O1987" s="57"/>
      <c r="P1987" s="145" t="str">
        <f t="shared" si="128"/>
        <v/>
      </c>
      <c r="Q1987" s="52">
        <f t="shared" si="126"/>
        <v>21</v>
      </c>
      <c r="R1987" s="8">
        <f t="shared" si="127"/>
        <v>2026</v>
      </c>
    </row>
    <row r="1988" spans="1:18" hidden="1" x14ac:dyDescent="0.25">
      <c r="A1988" s="224"/>
      <c r="B1988" s="97">
        <v>46165</v>
      </c>
      <c r="C1988" s="58" t="s">
        <v>57</v>
      </c>
      <c r="D1988" s="60" t="s">
        <v>38</v>
      </c>
      <c r="E1988" s="60"/>
      <c r="F1988" s="61"/>
      <c r="G1988" s="60"/>
      <c r="H1988" s="60">
        <v>0</v>
      </c>
      <c r="I1988" s="60">
        <v>0</v>
      </c>
      <c r="J1988" s="60">
        <v>0</v>
      </c>
      <c r="K1988" s="62"/>
      <c r="L1988" s="62">
        <f t="shared" si="129"/>
        <v>0</v>
      </c>
      <c r="M1988" s="62">
        <v>0</v>
      </c>
      <c r="N1988" s="102">
        <f t="shared" si="130"/>
        <v>0</v>
      </c>
      <c r="O1988" s="64"/>
      <c r="P1988" s="145" t="str">
        <f t="shared" si="128"/>
        <v/>
      </c>
      <c r="Q1988" s="52">
        <f t="shared" si="126"/>
        <v>21</v>
      </c>
      <c r="R1988" s="8">
        <f t="shared" si="127"/>
        <v>2026</v>
      </c>
    </row>
    <row r="1989" spans="1:18" ht="15.75" hidden="1" thickBot="1" x14ac:dyDescent="0.3">
      <c r="A1989" s="225"/>
      <c r="B1989" s="98">
        <v>46166</v>
      </c>
      <c r="C1989" s="66" t="s">
        <v>59</v>
      </c>
      <c r="D1989" s="67" t="s">
        <v>38</v>
      </c>
      <c r="E1989" s="67"/>
      <c r="F1989" s="68"/>
      <c r="G1989" s="67"/>
      <c r="H1989" s="67">
        <v>0</v>
      </c>
      <c r="I1989" s="67">
        <v>0</v>
      </c>
      <c r="J1989" s="67">
        <v>0</v>
      </c>
      <c r="K1989" s="69"/>
      <c r="L1989" s="69">
        <f t="shared" si="129"/>
        <v>0</v>
      </c>
      <c r="M1989" s="69">
        <v>0</v>
      </c>
      <c r="N1989" s="103">
        <f t="shared" si="130"/>
        <v>0</v>
      </c>
      <c r="O1989" s="71"/>
      <c r="P1989" s="145" t="str">
        <f t="shared" si="128"/>
        <v/>
      </c>
      <c r="Q1989" s="52">
        <f t="shared" si="126"/>
        <v>21</v>
      </c>
      <c r="R1989" s="8">
        <f t="shared" si="127"/>
        <v>2026</v>
      </c>
    </row>
    <row r="1990" spans="1:18" hidden="1" x14ac:dyDescent="0.25">
      <c r="A1990" s="223">
        <f>_xlfn.ISOWEEKNUM(B1990)</f>
        <v>22</v>
      </c>
      <c r="B1990" s="96">
        <v>46167</v>
      </c>
      <c r="C1990" s="72" t="s">
        <v>37</v>
      </c>
      <c r="D1990" s="41" t="s">
        <v>38</v>
      </c>
      <c r="E1990" s="41"/>
      <c r="F1990" s="43"/>
      <c r="G1990" s="41"/>
      <c r="H1990" s="41">
        <v>0</v>
      </c>
      <c r="I1990" s="41">
        <v>0</v>
      </c>
      <c r="J1990" s="41">
        <v>0</v>
      </c>
      <c r="K1990" s="73"/>
      <c r="L1990" s="73">
        <f t="shared" si="129"/>
        <v>0</v>
      </c>
      <c r="M1990" s="73">
        <v>0</v>
      </c>
      <c r="N1990" s="105">
        <f t="shared" si="130"/>
        <v>0</v>
      </c>
      <c r="O1990" s="46"/>
      <c r="P1990" s="145" t="str">
        <f t="shared" si="128"/>
        <v/>
      </c>
      <c r="Q1990" s="52">
        <f t="shared" si="126"/>
        <v>22</v>
      </c>
      <c r="R1990" s="8">
        <f t="shared" si="127"/>
        <v>2026</v>
      </c>
    </row>
    <row r="1991" spans="1:18" hidden="1" x14ac:dyDescent="0.25">
      <c r="A1991" s="224"/>
      <c r="B1991" s="96">
        <v>46168</v>
      </c>
      <c r="C1991" s="52" t="s">
        <v>42</v>
      </c>
      <c r="D1991" s="53" t="s">
        <v>38</v>
      </c>
      <c r="E1991" s="53"/>
      <c r="F1991" s="54"/>
      <c r="G1991" s="53"/>
      <c r="H1991" s="53">
        <v>0</v>
      </c>
      <c r="I1991" s="53">
        <v>0</v>
      </c>
      <c r="J1991" s="53">
        <v>0</v>
      </c>
      <c r="K1991" s="55"/>
      <c r="L1991" s="55">
        <f t="shared" si="129"/>
        <v>0</v>
      </c>
      <c r="M1991" s="55">
        <v>0</v>
      </c>
      <c r="N1991" s="101">
        <f t="shared" si="130"/>
        <v>0</v>
      </c>
      <c r="O1991" s="57"/>
      <c r="P1991" s="145" t="str">
        <f t="shared" si="128"/>
        <v/>
      </c>
      <c r="Q1991" s="52">
        <f t="shared" si="126"/>
        <v>22</v>
      </c>
      <c r="R1991" s="8">
        <f t="shared" si="127"/>
        <v>2026</v>
      </c>
    </row>
    <row r="1992" spans="1:18" hidden="1" x14ac:dyDescent="0.25">
      <c r="A1992" s="224"/>
      <c r="B1992" s="96">
        <v>46169</v>
      </c>
      <c r="C1992" s="52" t="s">
        <v>46</v>
      </c>
      <c r="D1992" s="53" t="s">
        <v>38</v>
      </c>
      <c r="E1992" s="53"/>
      <c r="F1992" s="54"/>
      <c r="G1992" s="53"/>
      <c r="H1992" s="53">
        <v>0</v>
      </c>
      <c r="I1992" s="53">
        <v>0</v>
      </c>
      <c r="J1992" s="53">
        <v>0</v>
      </c>
      <c r="K1992" s="55"/>
      <c r="L1992" s="55">
        <f t="shared" si="129"/>
        <v>0</v>
      </c>
      <c r="M1992" s="55">
        <v>0</v>
      </c>
      <c r="N1992" s="101">
        <f t="shared" si="130"/>
        <v>0</v>
      </c>
      <c r="O1992" s="57"/>
      <c r="P1992" s="145" t="str">
        <f t="shared" si="128"/>
        <v/>
      </c>
      <c r="Q1992" s="52">
        <f t="shared" si="126"/>
        <v>22</v>
      </c>
      <c r="R1992" s="8">
        <f t="shared" si="127"/>
        <v>2026</v>
      </c>
    </row>
    <row r="1993" spans="1:18" hidden="1" x14ac:dyDescent="0.25">
      <c r="A1993" s="224"/>
      <c r="B1993" s="96">
        <v>46170</v>
      </c>
      <c r="C1993" s="52" t="s">
        <v>50</v>
      </c>
      <c r="D1993" s="53" t="s">
        <v>38</v>
      </c>
      <c r="E1993" s="53"/>
      <c r="F1993" s="54"/>
      <c r="G1993" s="53"/>
      <c r="H1993" s="53">
        <v>0</v>
      </c>
      <c r="I1993" s="53">
        <v>0</v>
      </c>
      <c r="J1993" s="53">
        <v>0</v>
      </c>
      <c r="K1993" s="55"/>
      <c r="L1993" s="55">
        <f t="shared" si="129"/>
        <v>0</v>
      </c>
      <c r="M1993" s="55">
        <v>0</v>
      </c>
      <c r="N1993" s="101">
        <f t="shared" si="130"/>
        <v>0</v>
      </c>
      <c r="O1993" s="57"/>
      <c r="P1993" s="145" t="str">
        <f t="shared" si="128"/>
        <v/>
      </c>
      <c r="Q1993" s="52">
        <f t="shared" ref="Q1993:Q2056" si="131">_xlfn.ISOWEEKNUM(B1993)</f>
        <v>22</v>
      </c>
      <c r="R1993" s="8">
        <f t="shared" ref="R1993:R2056" si="132">YEAR(B1993)</f>
        <v>2026</v>
      </c>
    </row>
    <row r="1994" spans="1:18" hidden="1" x14ac:dyDescent="0.25">
      <c r="A1994" s="224"/>
      <c r="B1994" s="96">
        <v>46171</v>
      </c>
      <c r="C1994" s="52" t="s">
        <v>53</v>
      </c>
      <c r="D1994" s="53" t="s">
        <v>38</v>
      </c>
      <c r="E1994" s="53"/>
      <c r="F1994" s="54"/>
      <c r="G1994" s="53"/>
      <c r="H1994" s="53">
        <v>0</v>
      </c>
      <c r="I1994" s="53">
        <v>0</v>
      </c>
      <c r="J1994" s="53">
        <v>0</v>
      </c>
      <c r="K1994" s="55"/>
      <c r="L1994" s="55">
        <f t="shared" si="129"/>
        <v>0</v>
      </c>
      <c r="M1994" s="55">
        <v>0</v>
      </c>
      <c r="N1994" s="101">
        <f t="shared" si="130"/>
        <v>0</v>
      </c>
      <c r="O1994" s="57"/>
      <c r="P1994" s="145" t="str">
        <f t="shared" si="128"/>
        <v/>
      </c>
      <c r="Q1994" s="52">
        <f t="shared" si="131"/>
        <v>22</v>
      </c>
      <c r="R1994" s="8">
        <f t="shared" si="132"/>
        <v>2026</v>
      </c>
    </row>
    <row r="1995" spans="1:18" hidden="1" x14ac:dyDescent="0.25">
      <c r="A1995" s="224"/>
      <c r="B1995" s="97">
        <v>46172</v>
      </c>
      <c r="C1995" s="58" t="s">
        <v>57</v>
      </c>
      <c r="D1995" s="60" t="s">
        <v>38</v>
      </c>
      <c r="E1995" s="60"/>
      <c r="F1995" s="61"/>
      <c r="G1995" s="60"/>
      <c r="H1995" s="60">
        <v>0</v>
      </c>
      <c r="I1995" s="60">
        <v>0</v>
      </c>
      <c r="J1995" s="60">
        <v>0</v>
      </c>
      <c r="K1995" s="62"/>
      <c r="L1995" s="62">
        <f t="shared" si="129"/>
        <v>0</v>
      </c>
      <c r="M1995" s="62">
        <v>0</v>
      </c>
      <c r="N1995" s="102">
        <f t="shared" si="130"/>
        <v>0</v>
      </c>
      <c r="O1995" s="64"/>
      <c r="P1995" s="145" t="str">
        <f t="shared" si="128"/>
        <v/>
      </c>
      <c r="Q1995" s="52">
        <f t="shared" si="131"/>
        <v>22</v>
      </c>
      <c r="R1995" s="8">
        <f t="shared" si="132"/>
        <v>2026</v>
      </c>
    </row>
    <row r="1996" spans="1:18" ht="15.75" hidden="1" thickBot="1" x14ac:dyDescent="0.3">
      <c r="A1996" s="225"/>
      <c r="B1996" s="98">
        <v>46173</v>
      </c>
      <c r="C1996" s="66" t="s">
        <v>59</v>
      </c>
      <c r="D1996" s="67" t="s">
        <v>38</v>
      </c>
      <c r="E1996" s="67"/>
      <c r="F1996" s="68"/>
      <c r="G1996" s="67"/>
      <c r="H1996" s="67">
        <v>0</v>
      </c>
      <c r="I1996" s="67">
        <v>0</v>
      </c>
      <c r="J1996" s="67">
        <v>0</v>
      </c>
      <c r="K1996" s="69"/>
      <c r="L1996" s="69">
        <f t="shared" si="129"/>
        <v>0</v>
      </c>
      <c r="M1996" s="69">
        <v>0</v>
      </c>
      <c r="N1996" s="103">
        <f t="shared" si="130"/>
        <v>0</v>
      </c>
      <c r="O1996" s="71"/>
      <c r="P1996" s="145" t="str">
        <f t="shared" si="128"/>
        <v/>
      </c>
      <c r="Q1996" s="52">
        <f t="shared" si="131"/>
        <v>22</v>
      </c>
      <c r="R1996" s="8">
        <f t="shared" si="132"/>
        <v>2026</v>
      </c>
    </row>
    <row r="1997" spans="1:18" hidden="1" x14ac:dyDescent="0.25">
      <c r="A1997" s="223">
        <f>_xlfn.ISOWEEKNUM(B1997)</f>
        <v>23</v>
      </c>
      <c r="B1997" s="96">
        <v>46174</v>
      </c>
      <c r="C1997" s="72" t="s">
        <v>37</v>
      </c>
      <c r="D1997" s="41" t="s">
        <v>38</v>
      </c>
      <c r="E1997" s="41"/>
      <c r="F1997" s="43"/>
      <c r="G1997" s="41"/>
      <c r="H1997" s="41">
        <v>0</v>
      </c>
      <c r="I1997" s="41">
        <v>0</v>
      </c>
      <c r="J1997" s="41">
        <v>0</v>
      </c>
      <c r="K1997" s="73"/>
      <c r="L1997" s="73">
        <f t="shared" si="129"/>
        <v>0</v>
      </c>
      <c r="M1997" s="73">
        <v>0</v>
      </c>
      <c r="N1997" s="105">
        <f t="shared" si="130"/>
        <v>0</v>
      </c>
      <c r="O1997" s="46"/>
      <c r="P1997" s="145" t="str">
        <f t="shared" si="128"/>
        <v/>
      </c>
      <c r="Q1997" s="52">
        <f t="shared" si="131"/>
        <v>23</v>
      </c>
      <c r="R1997" s="8">
        <f t="shared" si="132"/>
        <v>2026</v>
      </c>
    </row>
    <row r="1998" spans="1:18" hidden="1" x14ac:dyDescent="0.25">
      <c r="A1998" s="224"/>
      <c r="B1998" s="96">
        <v>46175</v>
      </c>
      <c r="C1998" s="52" t="s">
        <v>42</v>
      </c>
      <c r="D1998" s="53" t="s">
        <v>38</v>
      </c>
      <c r="E1998" s="53"/>
      <c r="F1998" s="54"/>
      <c r="G1998" s="53"/>
      <c r="H1998" s="53">
        <v>0</v>
      </c>
      <c r="I1998" s="53">
        <v>0</v>
      </c>
      <c r="J1998" s="53">
        <v>0</v>
      </c>
      <c r="K1998" s="55"/>
      <c r="L1998" s="55">
        <f t="shared" si="129"/>
        <v>0</v>
      </c>
      <c r="M1998" s="55">
        <v>0</v>
      </c>
      <c r="N1998" s="101">
        <f t="shared" si="130"/>
        <v>0</v>
      </c>
      <c r="O1998" s="57"/>
      <c r="P1998" s="145" t="str">
        <f t="shared" si="128"/>
        <v/>
      </c>
      <c r="Q1998" s="52">
        <f t="shared" si="131"/>
        <v>23</v>
      </c>
      <c r="R1998" s="8">
        <f t="shared" si="132"/>
        <v>2026</v>
      </c>
    </row>
    <row r="1999" spans="1:18" hidden="1" x14ac:dyDescent="0.25">
      <c r="A1999" s="224"/>
      <c r="B1999" s="96">
        <v>46176</v>
      </c>
      <c r="C1999" s="52" t="s">
        <v>46</v>
      </c>
      <c r="D1999" s="53" t="s">
        <v>38</v>
      </c>
      <c r="E1999" s="53"/>
      <c r="F1999" s="54"/>
      <c r="G1999" s="53"/>
      <c r="H1999" s="53">
        <v>0</v>
      </c>
      <c r="I1999" s="53">
        <v>0</v>
      </c>
      <c r="J1999" s="53">
        <v>0</v>
      </c>
      <c r="K1999" s="55"/>
      <c r="L1999" s="55">
        <f t="shared" si="129"/>
        <v>0</v>
      </c>
      <c r="M1999" s="55">
        <v>0</v>
      </c>
      <c r="N1999" s="101">
        <f t="shared" si="130"/>
        <v>0</v>
      </c>
      <c r="O1999" s="57"/>
      <c r="P1999" s="145" t="str">
        <f t="shared" si="128"/>
        <v/>
      </c>
      <c r="Q1999" s="52">
        <f t="shared" si="131"/>
        <v>23</v>
      </c>
      <c r="R1999" s="8">
        <f t="shared" si="132"/>
        <v>2026</v>
      </c>
    </row>
    <row r="2000" spans="1:18" hidden="1" x14ac:dyDescent="0.25">
      <c r="A2000" s="224"/>
      <c r="B2000" s="96">
        <v>46177</v>
      </c>
      <c r="C2000" s="52" t="s">
        <v>50</v>
      </c>
      <c r="D2000" s="53" t="s">
        <v>38</v>
      </c>
      <c r="E2000" s="53"/>
      <c r="F2000" s="54"/>
      <c r="G2000" s="53"/>
      <c r="H2000" s="53">
        <v>0</v>
      </c>
      <c r="I2000" s="53">
        <v>0</v>
      </c>
      <c r="J2000" s="53">
        <v>0</v>
      </c>
      <c r="K2000" s="55"/>
      <c r="L2000" s="55">
        <f t="shared" si="129"/>
        <v>0</v>
      </c>
      <c r="M2000" s="55">
        <v>0</v>
      </c>
      <c r="N2000" s="101">
        <f t="shared" si="130"/>
        <v>0</v>
      </c>
      <c r="O2000" s="57"/>
      <c r="P2000" s="145" t="str">
        <f t="shared" si="128"/>
        <v/>
      </c>
      <c r="Q2000" s="52">
        <f t="shared" si="131"/>
        <v>23</v>
      </c>
      <c r="R2000" s="8">
        <f t="shared" si="132"/>
        <v>2026</v>
      </c>
    </row>
    <row r="2001" spans="1:18" hidden="1" x14ac:dyDescent="0.25">
      <c r="A2001" s="224"/>
      <c r="B2001" s="96">
        <v>46178</v>
      </c>
      <c r="C2001" s="52" t="s">
        <v>53</v>
      </c>
      <c r="D2001" s="53" t="s">
        <v>38</v>
      </c>
      <c r="E2001" s="53"/>
      <c r="F2001" s="54"/>
      <c r="G2001" s="53"/>
      <c r="H2001" s="53">
        <v>0</v>
      </c>
      <c r="I2001" s="53">
        <v>0</v>
      </c>
      <c r="J2001" s="53">
        <v>0</v>
      </c>
      <c r="K2001" s="55"/>
      <c r="L2001" s="55">
        <f t="shared" si="129"/>
        <v>0</v>
      </c>
      <c r="M2001" s="55">
        <v>0</v>
      </c>
      <c r="N2001" s="101">
        <f t="shared" si="130"/>
        <v>0</v>
      </c>
      <c r="O2001" s="57"/>
      <c r="P2001" s="145" t="str">
        <f t="shared" si="128"/>
        <v/>
      </c>
      <c r="Q2001" s="52">
        <f t="shared" si="131"/>
        <v>23</v>
      </c>
      <c r="R2001" s="8">
        <f t="shared" si="132"/>
        <v>2026</v>
      </c>
    </row>
    <row r="2002" spans="1:18" hidden="1" x14ac:dyDescent="0.25">
      <c r="A2002" s="224"/>
      <c r="B2002" s="97">
        <v>46179</v>
      </c>
      <c r="C2002" s="58" t="s">
        <v>57</v>
      </c>
      <c r="D2002" s="60" t="s">
        <v>38</v>
      </c>
      <c r="E2002" s="60"/>
      <c r="F2002" s="61"/>
      <c r="G2002" s="60"/>
      <c r="H2002" s="60">
        <v>0</v>
      </c>
      <c r="I2002" s="60">
        <v>0</v>
      </c>
      <c r="J2002" s="60">
        <v>0</v>
      </c>
      <c r="K2002" s="62"/>
      <c r="L2002" s="62">
        <f t="shared" si="129"/>
        <v>0</v>
      </c>
      <c r="M2002" s="62">
        <v>0</v>
      </c>
      <c r="N2002" s="102">
        <f t="shared" si="130"/>
        <v>0</v>
      </c>
      <c r="O2002" s="64"/>
      <c r="P2002" s="145" t="str">
        <f t="shared" si="128"/>
        <v/>
      </c>
      <c r="Q2002" s="52">
        <f t="shared" si="131"/>
        <v>23</v>
      </c>
      <c r="R2002" s="8">
        <f t="shared" si="132"/>
        <v>2026</v>
      </c>
    </row>
    <row r="2003" spans="1:18" ht="15.75" hidden="1" thickBot="1" x14ac:dyDescent="0.3">
      <c r="A2003" s="225"/>
      <c r="B2003" s="98">
        <v>46180</v>
      </c>
      <c r="C2003" s="66" t="s">
        <v>59</v>
      </c>
      <c r="D2003" s="67" t="s">
        <v>38</v>
      </c>
      <c r="E2003" s="67"/>
      <c r="F2003" s="68"/>
      <c r="G2003" s="67"/>
      <c r="H2003" s="67">
        <v>0</v>
      </c>
      <c r="I2003" s="67">
        <v>0</v>
      </c>
      <c r="J2003" s="67">
        <v>0</v>
      </c>
      <c r="K2003" s="69"/>
      <c r="L2003" s="69">
        <f t="shared" si="129"/>
        <v>0</v>
      </c>
      <c r="M2003" s="69">
        <v>0</v>
      </c>
      <c r="N2003" s="103">
        <f t="shared" si="130"/>
        <v>0</v>
      </c>
      <c r="O2003" s="71"/>
      <c r="P2003" s="145" t="str">
        <f t="shared" si="128"/>
        <v/>
      </c>
      <c r="Q2003" s="52">
        <f t="shared" si="131"/>
        <v>23</v>
      </c>
      <c r="R2003" s="8">
        <f t="shared" si="132"/>
        <v>2026</v>
      </c>
    </row>
    <row r="2004" spans="1:18" hidden="1" x14ac:dyDescent="0.25">
      <c r="A2004" s="223">
        <f>_xlfn.ISOWEEKNUM(B2004)</f>
        <v>24</v>
      </c>
      <c r="B2004" s="96">
        <v>46181</v>
      </c>
      <c r="C2004" s="72" t="s">
        <v>37</v>
      </c>
      <c r="D2004" s="41" t="s">
        <v>38</v>
      </c>
      <c r="E2004" s="41"/>
      <c r="F2004" s="43"/>
      <c r="G2004" s="41"/>
      <c r="H2004" s="41">
        <v>0</v>
      </c>
      <c r="I2004" s="41">
        <v>0</v>
      </c>
      <c r="J2004" s="41">
        <v>0</v>
      </c>
      <c r="K2004" s="73"/>
      <c r="L2004" s="73">
        <f t="shared" si="129"/>
        <v>0</v>
      </c>
      <c r="M2004" s="73">
        <v>0</v>
      </c>
      <c r="N2004" s="105">
        <f t="shared" si="130"/>
        <v>0</v>
      </c>
      <c r="O2004" s="46"/>
      <c r="P2004" s="145" t="str">
        <f t="shared" si="128"/>
        <v/>
      </c>
      <c r="Q2004" s="52">
        <f t="shared" si="131"/>
        <v>24</v>
      </c>
      <c r="R2004" s="8">
        <f t="shared" si="132"/>
        <v>2026</v>
      </c>
    </row>
    <row r="2005" spans="1:18" hidden="1" x14ac:dyDescent="0.25">
      <c r="A2005" s="224"/>
      <c r="B2005" s="96">
        <v>46182</v>
      </c>
      <c r="C2005" s="52" t="s">
        <v>42</v>
      </c>
      <c r="D2005" s="53" t="s">
        <v>38</v>
      </c>
      <c r="E2005" s="53"/>
      <c r="F2005" s="54"/>
      <c r="G2005" s="53"/>
      <c r="H2005" s="53">
        <v>0</v>
      </c>
      <c r="I2005" s="53">
        <v>0</v>
      </c>
      <c r="J2005" s="53">
        <v>0</v>
      </c>
      <c r="K2005" s="55"/>
      <c r="L2005" s="55">
        <f t="shared" si="129"/>
        <v>0</v>
      </c>
      <c r="M2005" s="55">
        <v>0</v>
      </c>
      <c r="N2005" s="101">
        <f t="shared" si="130"/>
        <v>0</v>
      </c>
      <c r="O2005" s="57"/>
      <c r="P2005" s="145" t="str">
        <f t="shared" si="128"/>
        <v/>
      </c>
      <c r="Q2005" s="52">
        <f t="shared" si="131"/>
        <v>24</v>
      </c>
      <c r="R2005" s="8">
        <f t="shared" si="132"/>
        <v>2026</v>
      </c>
    </row>
    <row r="2006" spans="1:18" hidden="1" x14ac:dyDescent="0.25">
      <c r="A2006" s="224"/>
      <c r="B2006" s="96">
        <v>46183</v>
      </c>
      <c r="C2006" s="52" t="s">
        <v>46</v>
      </c>
      <c r="D2006" s="53" t="s">
        <v>38</v>
      </c>
      <c r="E2006" s="53"/>
      <c r="F2006" s="54"/>
      <c r="G2006" s="53"/>
      <c r="H2006" s="53">
        <v>0</v>
      </c>
      <c r="I2006" s="53">
        <v>0</v>
      </c>
      <c r="J2006" s="53">
        <v>0</v>
      </c>
      <c r="K2006" s="55"/>
      <c r="L2006" s="55">
        <f t="shared" si="129"/>
        <v>0</v>
      </c>
      <c r="M2006" s="55">
        <v>0</v>
      </c>
      <c r="N2006" s="101">
        <f t="shared" si="130"/>
        <v>0</v>
      </c>
      <c r="O2006" s="57"/>
      <c r="P2006" s="145" t="str">
        <f t="shared" si="128"/>
        <v/>
      </c>
      <c r="Q2006" s="52">
        <f t="shared" si="131"/>
        <v>24</v>
      </c>
      <c r="R2006" s="8">
        <f t="shared" si="132"/>
        <v>2026</v>
      </c>
    </row>
    <row r="2007" spans="1:18" hidden="1" x14ac:dyDescent="0.25">
      <c r="A2007" s="224"/>
      <c r="B2007" s="96">
        <v>46184</v>
      </c>
      <c r="C2007" s="52" t="s">
        <v>50</v>
      </c>
      <c r="D2007" s="53" t="s">
        <v>38</v>
      </c>
      <c r="E2007" s="53"/>
      <c r="F2007" s="54"/>
      <c r="G2007" s="53"/>
      <c r="H2007" s="53">
        <v>0</v>
      </c>
      <c r="I2007" s="53">
        <v>0</v>
      </c>
      <c r="J2007" s="53">
        <v>0</v>
      </c>
      <c r="K2007" s="55"/>
      <c r="L2007" s="55">
        <f t="shared" si="129"/>
        <v>0</v>
      </c>
      <c r="M2007" s="55">
        <v>0</v>
      </c>
      <c r="N2007" s="101">
        <f t="shared" si="130"/>
        <v>0</v>
      </c>
      <c r="O2007" s="57"/>
      <c r="P2007" s="145" t="str">
        <f t="shared" si="128"/>
        <v/>
      </c>
      <c r="Q2007" s="52">
        <f t="shared" si="131"/>
        <v>24</v>
      </c>
      <c r="R2007" s="8">
        <f t="shared" si="132"/>
        <v>2026</v>
      </c>
    </row>
    <row r="2008" spans="1:18" hidden="1" x14ac:dyDescent="0.25">
      <c r="A2008" s="224"/>
      <c r="B2008" s="96">
        <v>46185</v>
      </c>
      <c r="C2008" s="52" t="s">
        <v>53</v>
      </c>
      <c r="D2008" s="53" t="s">
        <v>38</v>
      </c>
      <c r="E2008" s="53"/>
      <c r="F2008" s="54"/>
      <c r="G2008" s="53"/>
      <c r="H2008" s="53">
        <v>0</v>
      </c>
      <c r="I2008" s="53">
        <v>0</v>
      </c>
      <c r="J2008" s="53">
        <v>0</v>
      </c>
      <c r="K2008" s="55"/>
      <c r="L2008" s="55">
        <f t="shared" si="129"/>
        <v>0</v>
      </c>
      <c r="M2008" s="55">
        <v>0</v>
      </c>
      <c r="N2008" s="101">
        <f t="shared" si="130"/>
        <v>0</v>
      </c>
      <c r="O2008" s="57"/>
      <c r="P2008" s="145" t="str">
        <f t="shared" si="128"/>
        <v/>
      </c>
      <c r="Q2008" s="52">
        <f t="shared" si="131"/>
        <v>24</v>
      </c>
      <c r="R2008" s="8">
        <f t="shared" si="132"/>
        <v>2026</v>
      </c>
    </row>
    <row r="2009" spans="1:18" hidden="1" x14ac:dyDescent="0.25">
      <c r="A2009" s="224"/>
      <c r="B2009" s="97">
        <v>46186</v>
      </c>
      <c r="C2009" s="58" t="s">
        <v>57</v>
      </c>
      <c r="D2009" s="60" t="s">
        <v>38</v>
      </c>
      <c r="E2009" s="60"/>
      <c r="F2009" s="61"/>
      <c r="G2009" s="60"/>
      <c r="H2009" s="60">
        <v>0</v>
      </c>
      <c r="I2009" s="60">
        <v>0</v>
      </c>
      <c r="J2009" s="60">
        <v>0</v>
      </c>
      <c r="K2009" s="62"/>
      <c r="L2009" s="62">
        <f t="shared" si="129"/>
        <v>0</v>
      </c>
      <c r="M2009" s="62">
        <v>0</v>
      </c>
      <c r="N2009" s="102">
        <f t="shared" si="130"/>
        <v>0</v>
      </c>
      <c r="O2009" s="64"/>
      <c r="P2009" s="145" t="str">
        <f t="shared" si="128"/>
        <v/>
      </c>
      <c r="Q2009" s="52">
        <f t="shared" si="131"/>
        <v>24</v>
      </c>
      <c r="R2009" s="8">
        <f t="shared" si="132"/>
        <v>2026</v>
      </c>
    </row>
    <row r="2010" spans="1:18" ht="15.75" hidden="1" thickBot="1" x14ac:dyDescent="0.3">
      <c r="A2010" s="225"/>
      <c r="B2010" s="98">
        <v>46187</v>
      </c>
      <c r="C2010" s="66" t="s">
        <v>59</v>
      </c>
      <c r="D2010" s="67" t="s">
        <v>38</v>
      </c>
      <c r="E2010" s="67"/>
      <c r="F2010" s="68"/>
      <c r="G2010" s="67"/>
      <c r="H2010" s="67">
        <v>0</v>
      </c>
      <c r="I2010" s="67">
        <v>0</v>
      </c>
      <c r="J2010" s="67">
        <v>0</v>
      </c>
      <c r="K2010" s="69"/>
      <c r="L2010" s="69">
        <f t="shared" si="129"/>
        <v>0</v>
      </c>
      <c r="M2010" s="69">
        <v>0</v>
      </c>
      <c r="N2010" s="103">
        <f t="shared" si="130"/>
        <v>0</v>
      </c>
      <c r="O2010" s="71"/>
      <c r="P2010" s="145" t="str">
        <f t="shared" si="128"/>
        <v/>
      </c>
      <c r="Q2010" s="52">
        <f t="shared" si="131"/>
        <v>24</v>
      </c>
      <c r="R2010" s="8">
        <f t="shared" si="132"/>
        <v>2026</v>
      </c>
    </row>
    <row r="2011" spans="1:18" hidden="1" x14ac:dyDescent="0.25">
      <c r="A2011" s="223">
        <f>_xlfn.ISOWEEKNUM(B2011)</f>
        <v>25</v>
      </c>
      <c r="B2011" s="96">
        <v>46188</v>
      </c>
      <c r="C2011" s="72" t="s">
        <v>37</v>
      </c>
      <c r="D2011" s="41" t="s">
        <v>38</v>
      </c>
      <c r="E2011" s="41"/>
      <c r="F2011" s="43"/>
      <c r="G2011" s="41"/>
      <c r="H2011" s="41">
        <v>0</v>
      </c>
      <c r="I2011" s="41">
        <v>0</v>
      </c>
      <c r="J2011" s="41">
        <v>0</v>
      </c>
      <c r="K2011" s="73"/>
      <c r="L2011" s="73">
        <f t="shared" si="129"/>
        <v>0</v>
      </c>
      <c r="M2011" s="73">
        <v>0</v>
      </c>
      <c r="N2011" s="105">
        <f t="shared" si="130"/>
        <v>0</v>
      </c>
      <c r="O2011" s="46"/>
      <c r="P2011" s="145" t="str">
        <f t="shared" si="128"/>
        <v/>
      </c>
      <c r="Q2011" s="52">
        <f t="shared" si="131"/>
        <v>25</v>
      </c>
      <c r="R2011" s="8">
        <f t="shared" si="132"/>
        <v>2026</v>
      </c>
    </row>
    <row r="2012" spans="1:18" hidden="1" x14ac:dyDescent="0.25">
      <c r="A2012" s="224"/>
      <c r="B2012" s="96">
        <v>46189</v>
      </c>
      <c r="C2012" s="52" t="s">
        <v>42</v>
      </c>
      <c r="D2012" s="53" t="s">
        <v>38</v>
      </c>
      <c r="E2012" s="53"/>
      <c r="F2012" s="54"/>
      <c r="G2012" s="53"/>
      <c r="H2012" s="53">
        <v>0</v>
      </c>
      <c r="I2012" s="53">
        <v>0</v>
      </c>
      <c r="J2012" s="53">
        <v>0</v>
      </c>
      <c r="K2012" s="55"/>
      <c r="L2012" s="55">
        <f t="shared" si="129"/>
        <v>0</v>
      </c>
      <c r="M2012" s="55">
        <v>0</v>
      </c>
      <c r="N2012" s="101">
        <f t="shared" si="130"/>
        <v>0</v>
      </c>
      <c r="O2012" s="57"/>
      <c r="P2012" s="145" t="str">
        <f t="shared" si="128"/>
        <v/>
      </c>
      <c r="Q2012" s="52">
        <f t="shared" si="131"/>
        <v>25</v>
      </c>
      <c r="R2012" s="8">
        <f t="shared" si="132"/>
        <v>2026</v>
      </c>
    </row>
    <row r="2013" spans="1:18" hidden="1" x14ac:dyDescent="0.25">
      <c r="A2013" s="224"/>
      <c r="B2013" s="96">
        <v>46190</v>
      </c>
      <c r="C2013" s="52" t="s">
        <v>46</v>
      </c>
      <c r="D2013" s="53" t="s">
        <v>38</v>
      </c>
      <c r="E2013" s="53"/>
      <c r="F2013" s="54"/>
      <c r="G2013" s="53"/>
      <c r="H2013" s="53">
        <v>0</v>
      </c>
      <c r="I2013" s="53">
        <v>0</v>
      </c>
      <c r="J2013" s="53">
        <v>0</v>
      </c>
      <c r="K2013" s="55"/>
      <c r="L2013" s="55">
        <f t="shared" si="129"/>
        <v>0</v>
      </c>
      <c r="M2013" s="55">
        <v>0</v>
      </c>
      <c r="N2013" s="101">
        <f t="shared" si="130"/>
        <v>0</v>
      </c>
      <c r="O2013" s="57"/>
      <c r="P2013" s="145" t="str">
        <f t="shared" si="128"/>
        <v/>
      </c>
      <c r="Q2013" s="52">
        <f t="shared" si="131"/>
        <v>25</v>
      </c>
      <c r="R2013" s="8">
        <f t="shared" si="132"/>
        <v>2026</v>
      </c>
    </row>
    <row r="2014" spans="1:18" hidden="1" x14ac:dyDescent="0.25">
      <c r="A2014" s="224"/>
      <c r="B2014" s="96">
        <v>46191</v>
      </c>
      <c r="C2014" s="52" t="s">
        <v>50</v>
      </c>
      <c r="D2014" s="53" t="s">
        <v>38</v>
      </c>
      <c r="E2014" s="53"/>
      <c r="F2014" s="54"/>
      <c r="G2014" s="53"/>
      <c r="H2014" s="53">
        <v>0</v>
      </c>
      <c r="I2014" s="53">
        <v>0</v>
      </c>
      <c r="J2014" s="53">
        <v>0</v>
      </c>
      <c r="K2014" s="55"/>
      <c r="L2014" s="55">
        <f t="shared" si="129"/>
        <v>0</v>
      </c>
      <c r="M2014" s="55">
        <v>0</v>
      </c>
      <c r="N2014" s="101">
        <f t="shared" si="130"/>
        <v>0</v>
      </c>
      <c r="O2014" s="57"/>
      <c r="P2014" s="145" t="str">
        <f t="shared" si="128"/>
        <v/>
      </c>
      <c r="Q2014" s="52">
        <f t="shared" si="131"/>
        <v>25</v>
      </c>
      <c r="R2014" s="8">
        <f t="shared" si="132"/>
        <v>2026</v>
      </c>
    </row>
    <row r="2015" spans="1:18" hidden="1" x14ac:dyDescent="0.25">
      <c r="A2015" s="224"/>
      <c r="B2015" s="96">
        <v>46192</v>
      </c>
      <c r="C2015" s="52" t="s">
        <v>53</v>
      </c>
      <c r="D2015" s="53" t="s">
        <v>38</v>
      </c>
      <c r="E2015" s="53"/>
      <c r="F2015" s="54"/>
      <c r="G2015" s="53"/>
      <c r="H2015" s="53">
        <v>0</v>
      </c>
      <c r="I2015" s="53">
        <v>0</v>
      </c>
      <c r="J2015" s="53">
        <v>0</v>
      </c>
      <c r="K2015" s="55"/>
      <c r="L2015" s="55">
        <f t="shared" si="129"/>
        <v>0</v>
      </c>
      <c r="M2015" s="55">
        <v>0</v>
      </c>
      <c r="N2015" s="101">
        <f t="shared" si="130"/>
        <v>0</v>
      </c>
      <c r="O2015" s="57"/>
      <c r="P2015" s="145" t="str">
        <f t="shared" si="128"/>
        <v/>
      </c>
      <c r="Q2015" s="52">
        <f t="shared" si="131"/>
        <v>25</v>
      </c>
      <c r="R2015" s="8">
        <f t="shared" si="132"/>
        <v>2026</v>
      </c>
    </row>
    <row r="2016" spans="1:18" hidden="1" x14ac:dyDescent="0.25">
      <c r="A2016" s="224"/>
      <c r="B2016" s="97">
        <v>46193</v>
      </c>
      <c r="C2016" s="58" t="s">
        <v>57</v>
      </c>
      <c r="D2016" s="60" t="s">
        <v>38</v>
      </c>
      <c r="E2016" s="60"/>
      <c r="F2016" s="61"/>
      <c r="G2016" s="60"/>
      <c r="H2016" s="60">
        <v>0</v>
      </c>
      <c r="I2016" s="60">
        <v>0</v>
      </c>
      <c r="J2016" s="60">
        <v>0</v>
      </c>
      <c r="K2016" s="62"/>
      <c r="L2016" s="62">
        <f t="shared" si="129"/>
        <v>0</v>
      </c>
      <c r="M2016" s="62">
        <v>0</v>
      </c>
      <c r="N2016" s="102">
        <f t="shared" si="130"/>
        <v>0</v>
      </c>
      <c r="O2016" s="64"/>
      <c r="P2016" s="145" t="str">
        <f t="shared" si="128"/>
        <v/>
      </c>
      <c r="Q2016" s="52">
        <f t="shared" si="131"/>
        <v>25</v>
      </c>
      <c r="R2016" s="8">
        <f t="shared" si="132"/>
        <v>2026</v>
      </c>
    </row>
    <row r="2017" spans="1:18" ht="15.75" hidden="1" thickBot="1" x14ac:dyDescent="0.3">
      <c r="A2017" s="225"/>
      <c r="B2017" s="98">
        <v>46194</v>
      </c>
      <c r="C2017" s="66" t="s">
        <v>59</v>
      </c>
      <c r="D2017" s="67" t="s">
        <v>38</v>
      </c>
      <c r="E2017" s="67"/>
      <c r="F2017" s="68"/>
      <c r="G2017" s="67"/>
      <c r="H2017" s="67">
        <v>0</v>
      </c>
      <c r="I2017" s="67">
        <v>0</v>
      </c>
      <c r="J2017" s="67">
        <v>0</v>
      </c>
      <c r="K2017" s="69"/>
      <c r="L2017" s="69">
        <f t="shared" si="129"/>
        <v>0</v>
      </c>
      <c r="M2017" s="69">
        <v>0</v>
      </c>
      <c r="N2017" s="103">
        <f t="shared" si="130"/>
        <v>0</v>
      </c>
      <c r="O2017" s="71"/>
      <c r="P2017" s="145" t="str">
        <f t="shared" si="128"/>
        <v/>
      </c>
      <c r="Q2017" s="52">
        <f t="shared" si="131"/>
        <v>25</v>
      </c>
      <c r="R2017" s="8">
        <f t="shared" si="132"/>
        <v>2026</v>
      </c>
    </row>
    <row r="2018" spans="1:18" hidden="1" x14ac:dyDescent="0.25">
      <c r="A2018" s="223">
        <f>_xlfn.ISOWEEKNUM(B2018)</f>
        <v>26</v>
      </c>
      <c r="B2018" s="96">
        <v>46195</v>
      </c>
      <c r="C2018" s="72" t="s">
        <v>37</v>
      </c>
      <c r="D2018" s="41" t="s">
        <v>38</v>
      </c>
      <c r="E2018" s="41"/>
      <c r="F2018" s="43"/>
      <c r="G2018" s="41"/>
      <c r="H2018" s="41">
        <v>0</v>
      </c>
      <c r="I2018" s="41">
        <v>0</v>
      </c>
      <c r="J2018" s="41">
        <v>0</v>
      </c>
      <c r="K2018" s="73"/>
      <c r="L2018" s="73">
        <f t="shared" si="129"/>
        <v>0</v>
      </c>
      <c r="M2018" s="73">
        <v>0</v>
      </c>
      <c r="N2018" s="105">
        <f t="shared" si="130"/>
        <v>0</v>
      </c>
      <c r="O2018" s="46"/>
      <c r="P2018" s="145" t="str">
        <f t="shared" si="128"/>
        <v/>
      </c>
      <c r="Q2018" s="52">
        <f t="shared" si="131"/>
        <v>26</v>
      </c>
      <c r="R2018" s="8">
        <f t="shared" si="132"/>
        <v>2026</v>
      </c>
    </row>
    <row r="2019" spans="1:18" hidden="1" x14ac:dyDescent="0.25">
      <c r="A2019" s="224"/>
      <c r="B2019" s="96">
        <v>46196</v>
      </c>
      <c r="C2019" s="52" t="s">
        <v>42</v>
      </c>
      <c r="D2019" s="53" t="s">
        <v>38</v>
      </c>
      <c r="E2019" s="53"/>
      <c r="F2019" s="54"/>
      <c r="G2019" s="53"/>
      <c r="H2019" s="53">
        <v>0</v>
      </c>
      <c r="I2019" s="53">
        <v>0</v>
      </c>
      <c r="J2019" s="53">
        <v>0</v>
      </c>
      <c r="K2019" s="55"/>
      <c r="L2019" s="55">
        <f t="shared" si="129"/>
        <v>0</v>
      </c>
      <c r="M2019" s="55">
        <v>0</v>
      </c>
      <c r="N2019" s="101">
        <f t="shared" si="130"/>
        <v>0</v>
      </c>
      <c r="O2019" s="57"/>
      <c r="P2019" s="145" t="str">
        <f t="shared" si="128"/>
        <v/>
      </c>
      <c r="Q2019" s="52">
        <f t="shared" si="131"/>
        <v>26</v>
      </c>
      <c r="R2019" s="8">
        <f t="shared" si="132"/>
        <v>2026</v>
      </c>
    </row>
    <row r="2020" spans="1:18" hidden="1" x14ac:dyDescent="0.25">
      <c r="A2020" s="224"/>
      <c r="B2020" s="96">
        <v>46197</v>
      </c>
      <c r="C2020" s="52" t="s">
        <v>46</v>
      </c>
      <c r="D2020" s="53" t="s">
        <v>38</v>
      </c>
      <c r="E2020" s="53"/>
      <c r="F2020" s="54"/>
      <c r="G2020" s="53"/>
      <c r="H2020" s="53">
        <v>0</v>
      </c>
      <c r="I2020" s="53">
        <v>0</v>
      </c>
      <c r="J2020" s="53">
        <v>0</v>
      </c>
      <c r="K2020" s="55"/>
      <c r="L2020" s="55">
        <f t="shared" si="129"/>
        <v>0</v>
      </c>
      <c r="M2020" s="55">
        <v>0</v>
      </c>
      <c r="N2020" s="101">
        <f t="shared" si="130"/>
        <v>0</v>
      </c>
      <c r="O2020" s="57"/>
      <c r="P2020" s="145" t="str">
        <f t="shared" si="128"/>
        <v/>
      </c>
      <c r="Q2020" s="52">
        <f t="shared" si="131"/>
        <v>26</v>
      </c>
      <c r="R2020" s="8">
        <f t="shared" si="132"/>
        <v>2026</v>
      </c>
    </row>
    <row r="2021" spans="1:18" hidden="1" x14ac:dyDescent="0.25">
      <c r="A2021" s="224"/>
      <c r="B2021" s="96">
        <v>46198</v>
      </c>
      <c r="C2021" s="52" t="s">
        <v>50</v>
      </c>
      <c r="D2021" s="53" t="s">
        <v>38</v>
      </c>
      <c r="E2021" s="53"/>
      <c r="F2021" s="54"/>
      <c r="G2021" s="53"/>
      <c r="H2021" s="53">
        <v>0</v>
      </c>
      <c r="I2021" s="53">
        <v>0</v>
      </c>
      <c r="J2021" s="53">
        <v>0</v>
      </c>
      <c r="K2021" s="55"/>
      <c r="L2021" s="55">
        <f t="shared" si="129"/>
        <v>0</v>
      </c>
      <c r="M2021" s="55">
        <v>0</v>
      </c>
      <c r="N2021" s="101">
        <f t="shared" si="130"/>
        <v>0</v>
      </c>
      <c r="O2021" s="57"/>
      <c r="P2021" s="145" t="str">
        <f t="shared" si="128"/>
        <v/>
      </c>
      <c r="Q2021" s="52">
        <f t="shared" si="131"/>
        <v>26</v>
      </c>
      <c r="R2021" s="8">
        <f t="shared" si="132"/>
        <v>2026</v>
      </c>
    </row>
    <row r="2022" spans="1:18" hidden="1" x14ac:dyDescent="0.25">
      <c r="A2022" s="224"/>
      <c r="B2022" s="96">
        <v>46199</v>
      </c>
      <c r="C2022" s="52" t="s">
        <v>53</v>
      </c>
      <c r="D2022" s="53" t="s">
        <v>38</v>
      </c>
      <c r="E2022" s="53"/>
      <c r="F2022" s="54"/>
      <c r="G2022" s="53"/>
      <c r="H2022" s="53">
        <v>0</v>
      </c>
      <c r="I2022" s="53">
        <v>0</v>
      </c>
      <c r="J2022" s="53">
        <v>0</v>
      </c>
      <c r="K2022" s="55"/>
      <c r="L2022" s="55">
        <f t="shared" si="129"/>
        <v>0</v>
      </c>
      <c r="M2022" s="55">
        <v>0</v>
      </c>
      <c r="N2022" s="101">
        <f t="shared" si="130"/>
        <v>0</v>
      </c>
      <c r="O2022" s="57"/>
      <c r="P2022" s="145" t="str">
        <f t="shared" si="128"/>
        <v/>
      </c>
      <c r="Q2022" s="52">
        <f t="shared" si="131"/>
        <v>26</v>
      </c>
      <c r="R2022" s="8">
        <f t="shared" si="132"/>
        <v>2026</v>
      </c>
    </row>
    <row r="2023" spans="1:18" hidden="1" x14ac:dyDescent="0.25">
      <c r="A2023" s="224"/>
      <c r="B2023" s="97">
        <v>46200</v>
      </c>
      <c r="C2023" s="58" t="s">
        <v>57</v>
      </c>
      <c r="D2023" s="60" t="s">
        <v>38</v>
      </c>
      <c r="E2023" s="60"/>
      <c r="F2023" s="61"/>
      <c r="G2023" s="60"/>
      <c r="H2023" s="60">
        <v>0</v>
      </c>
      <c r="I2023" s="60">
        <v>0</v>
      </c>
      <c r="J2023" s="60">
        <v>0</v>
      </c>
      <c r="K2023" s="62"/>
      <c r="L2023" s="62">
        <f t="shared" si="129"/>
        <v>0</v>
      </c>
      <c r="M2023" s="62">
        <v>0</v>
      </c>
      <c r="N2023" s="102">
        <f t="shared" si="130"/>
        <v>0</v>
      </c>
      <c r="O2023" s="64"/>
      <c r="P2023" s="145" t="str">
        <f t="shared" si="128"/>
        <v/>
      </c>
      <c r="Q2023" s="52">
        <f t="shared" si="131"/>
        <v>26</v>
      </c>
      <c r="R2023" s="8">
        <f t="shared" si="132"/>
        <v>2026</v>
      </c>
    </row>
    <row r="2024" spans="1:18" ht="15.75" hidden="1" thickBot="1" x14ac:dyDescent="0.3">
      <c r="A2024" s="225"/>
      <c r="B2024" s="98">
        <v>46201</v>
      </c>
      <c r="C2024" s="66" t="s">
        <v>59</v>
      </c>
      <c r="D2024" s="67" t="s">
        <v>38</v>
      </c>
      <c r="E2024" s="67"/>
      <c r="F2024" s="68"/>
      <c r="G2024" s="67"/>
      <c r="H2024" s="67">
        <v>0</v>
      </c>
      <c r="I2024" s="67">
        <v>0</v>
      </c>
      <c r="J2024" s="67">
        <v>0</v>
      </c>
      <c r="K2024" s="69"/>
      <c r="L2024" s="69">
        <f t="shared" si="129"/>
        <v>0</v>
      </c>
      <c r="M2024" s="69">
        <v>0</v>
      </c>
      <c r="N2024" s="103">
        <f t="shared" si="130"/>
        <v>0</v>
      </c>
      <c r="O2024" s="71"/>
      <c r="P2024" s="145" t="str">
        <f t="shared" si="128"/>
        <v/>
      </c>
      <c r="Q2024" s="52">
        <f t="shared" si="131"/>
        <v>26</v>
      </c>
      <c r="R2024" s="8">
        <f t="shared" si="132"/>
        <v>2026</v>
      </c>
    </row>
    <row r="2025" spans="1:18" hidden="1" x14ac:dyDescent="0.25">
      <c r="A2025" s="223">
        <f>_xlfn.ISOWEEKNUM(B2025)</f>
        <v>27</v>
      </c>
      <c r="B2025" s="96">
        <v>46202</v>
      </c>
      <c r="C2025" s="72" t="s">
        <v>37</v>
      </c>
      <c r="D2025" s="41" t="s">
        <v>38</v>
      </c>
      <c r="E2025" s="41"/>
      <c r="F2025" s="43"/>
      <c r="G2025" s="41"/>
      <c r="H2025" s="41">
        <v>0</v>
      </c>
      <c r="I2025" s="41">
        <v>0</v>
      </c>
      <c r="J2025" s="41">
        <v>0</v>
      </c>
      <c r="K2025" s="73"/>
      <c r="L2025" s="73">
        <f t="shared" si="129"/>
        <v>0</v>
      </c>
      <c r="M2025" s="73">
        <v>0</v>
      </c>
      <c r="N2025" s="105">
        <f t="shared" si="130"/>
        <v>0</v>
      </c>
      <c r="O2025" s="46"/>
      <c r="P2025" s="145" t="str">
        <f t="shared" si="128"/>
        <v/>
      </c>
      <c r="Q2025" s="52">
        <f t="shared" si="131"/>
        <v>27</v>
      </c>
      <c r="R2025" s="8">
        <f t="shared" si="132"/>
        <v>2026</v>
      </c>
    </row>
    <row r="2026" spans="1:18" hidden="1" x14ac:dyDescent="0.25">
      <c r="A2026" s="224"/>
      <c r="B2026" s="96">
        <v>46203</v>
      </c>
      <c r="C2026" s="52" t="s">
        <v>42</v>
      </c>
      <c r="D2026" s="53" t="s">
        <v>38</v>
      </c>
      <c r="E2026" s="53"/>
      <c r="F2026" s="54"/>
      <c r="G2026" s="53"/>
      <c r="H2026" s="53">
        <v>0</v>
      </c>
      <c r="I2026" s="53">
        <v>0</v>
      </c>
      <c r="J2026" s="53">
        <v>0</v>
      </c>
      <c r="K2026" s="55"/>
      <c r="L2026" s="55">
        <f t="shared" si="129"/>
        <v>0</v>
      </c>
      <c r="M2026" s="55">
        <v>0</v>
      </c>
      <c r="N2026" s="101">
        <f t="shared" si="130"/>
        <v>0</v>
      </c>
      <c r="O2026" s="57"/>
      <c r="P2026" s="145" t="str">
        <f t="shared" si="128"/>
        <v/>
      </c>
      <c r="Q2026" s="52">
        <f t="shared" si="131"/>
        <v>27</v>
      </c>
      <c r="R2026" s="8">
        <f t="shared" si="132"/>
        <v>2026</v>
      </c>
    </row>
    <row r="2027" spans="1:18" hidden="1" x14ac:dyDescent="0.25">
      <c r="A2027" s="224"/>
      <c r="B2027" s="96">
        <v>46204</v>
      </c>
      <c r="C2027" s="52" t="s">
        <v>46</v>
      </c>
      <c r="D2027" s="53" t="s">
        <v>38</v>
      </c>
      <c r="E2027" s="53"/>
      <c r="F2027" s="54"/>
      <c r="G2027" s="53"/>
      <c r="H2027" s="53">
        <v>0</v>
      </c>
      <c r="I2027" s="53">
        <v>0</v>
      </c>
      <c r="J2027" s="53">
        <v>0</v>
      </c>
      <c r="K2027" s="55"/>
      <c r="L2027" s="55">
        <f t="shared" si="129"/>
        <v>0</v>
      </c>
      <c r="M2027" s="55">
        <v>0</v>
      </c>
      <c r="N2027" s="101">
        <f t="shared" si="130"/>
        <v>0</v>
      </c>
      <c r="O2027" s="57"/>
      <c r="P2027" s="145" t="str">
        <f t="shared" si="128"/>
        <v/>
      </c>
      <c r="Q2027" s="52">
        <f t="shared" si="131"/>
        <v>27</v>
      </c>
      <c r="R2027" s="8">
        <f t="shared" si="132"/>
        <v>2026</v>
      </c>
    </row>
    <row r="2028" spans="1:18" hidden="1" x14ac:dyDescent="0.25">
      <c r="A2028" s="224"/>
      <c r="B2028" s="96">
        <v>46205</v>
      </c>
      <c r="C2028" s="52" t="s">
        <v>50</v>
      </c>
      <c r="D2028" s="53" t="s">
        <v>38</v>
      </c>
      <c r="E2028" s="53"/>
      <c r="F2028" s="54"/>
      <c r="G2028" s="53"/>
      <c r="H2028" s="53">
        <v>0</v>
      </c>
      <c r="I2028" s="53">
        <v>0</v>
      </c>
      <c r="J2028" s="53">
        <v>0</v>
      </c>
      <c r="K2028" s="55"/>
      <c r="L2028" s="55">
        <f t="shared" si="129"/>
        <v>0</v>
      </c>
      <c r="M2028" s="55">
        <v>0</v>
      </c>
      <c r="N2028" s="101">
        <f t="shared" si="130"/>
        <v>0</v>
      </c>
      <c r="O2028" s="57"/>
      <c r="P2028" s="145" t="str">
        <f t="shared" si="128"/>
        <v/>
      </c>
      <c r="Q2028" s="52">
        <f t="shared" si="131"/>
        <v>27</v>
      </c>
      <c r="R2028" s="8">
        <f t="shared" si="132"/>
        <v>2026</v>
      </c>
    </row>
    <row r="2029" spans="1:18" hidden="1" x14ac:dyDescent="0.25">
      <c r="A2029" s="224"/>
      <c r="B2029" s="96">
        <v>46206</v>
      </c>
      <c r="C2029" s="52" t="s">
        <v>53</v>
      </c>
      <c r="D2029" s="53" t="s">
        <v>38</v>
      </c>
      <c r="E2029" s="53"/>
      <c r="F2029" s="54"/>
      <c r="G2029" s="53"/>
      <c r="H2029" s="53">
        <v>0</v>
      </c>
      <c r="I2029" s="53">
        <v>0</v>
      </c>
      <c r="J2029" s="53">
        <v>0</v>
      </c>
      <c r="K2029" s="55"/>
      <c r="L2029" s="55">
        <f t="shared" si="129"/>
        <v>0</v>
      </c>
      <c r="M2029" s="55">
        <v>0</v>
      </c>
      <c r="N2029" s="101">
        <f t="shared" si="130"/>
        <v>0</v>
      </c>
      <c r="O2029" s="57"/>
      <c r="P2029" s="145" t="str">
        <f t="shared" si="128"/>
        <v/>
      </c>
      <c r="Q2029" s="52">
        <f t="shared" si="131"/>
        <v>27</v>
      </c>
      <c r="R2029" s="8">
        <f t="shared" si="132"/>
        <v>2026</v>
      </c>
    </row>
    <row r="2030" spans="1:18" hidden="1" x14ac:dyDescent="0.25">
      <c r="A2030" s="224"/>
      <c r="B2030" s="97">
        <v>46207</v>
      </c>
      <c r="C2030" s="58" t="s">
        <v>57</v>
      </c>
      <c r="D2030" s="60" t="s">
        <v>38</v>
      </c>
      <c r="E2030" s="60"/>
      <c r="F2030" s="61"/>
      <c r="G2030" s="60"/>
      <c r="H2030" s="60">
        <v>0</v>
      </c>
      <c r="I2030" s="60">
        <v>0</v>
      </c>
      <c r="J2030" s="60">
        <v>0</v>
      </c>
      <c r="K2030" s="62"/>
      <c r="L2030" s="62">
        <f t="shared" si="129"/>
        <v>0</v>
      </c>
      <c r="M2030" s="62">
        <v>0</v>
      </c>
      <c r="N2030" s="102">
        <f t="shared" si="130"/>
        <v>0</v>
      </c>
      <c r="O2030" s="64"/>
      <c r="P2030" s="145" t="str">
        <f t="shared" si="128"/>
        <v/>
      </c>
      <c r="Q2030" s="52">
        <f t="shared" si="131"/>
        <v>27</v>
      </c>
      <c r="R2030" s="8">
        <f t="shared" si="132"/>
        <v>2026</v>
      </c>
    </row>
    <row r="2031" spans="1:18" ht="15.75" hidden="1" thickBot="1" x14ac:dyDescent="0.3">
      <c r="A2031" s="225"/>
      <c r="B2031" s="98">
        <v>46208</v>
      </c>
      <c r="C2031" s="66" t="s">
        <v>59</v>
      </c>
      <c r="D2031" s="67" t="s">
        <v>38</v>
      </c>
      <c r="E2031" s="67"/>
      <c r="F2031" s="68"/>
      <c r="G2031" s="67"/>
      <c r="H2031" s="67">
        <v>0</v>
      </c>
      <c r="I2031" s="67">
        <v>0</v>
      </c>
      <c r="J2031" s="67">
        <v>0</v>
      </c>
      <c r="K2031" s="69"/>
      <c r="L2031" s="69">
        <f t="shared" si="129"/>
        <v>0</v>
      </c>
      <c r="M2031" s="69">
        <v>0</v>
      </c>
      <c r="N2031" s="103">
        <f t="shared" si="130"/>
        <v>0</v>
      </c>
      <c r="O2031" s="71"/>
      <c r="P2031" s="145" t="str">
        <f t="shared" ref="P2031:P2094" si="133">E2031&amp;G2031</f>
        <v/>
      </c>
      <c r="Q2031" s="52">
        <f t="shared" si="131"/>
        <v>27</v>
      </c>
      <c r="R2031" s="8">
        <f t="shared" si="132"/>
        <v>2026</v>
      </c>
    </row>
    <row r="2032" spans="1:18" hidden="1" x14ac:dyDescent="0.25">
      <c r="A2032" s="223">
        <f>_xlfn.ISOWEEKNUM(B2032)</f>
        <v>28</v>
      </c>
      <c r="B2032" s="96">
        <v>46209</v>
      </c>
      <c r="C2032" s="72" t="s">
        <v>37</v>
      </c>
      <c r="D2032" s="41" t="s">
        <v>38</v>
      </c>
      <c r="E2032" s="41"/>
      <c r="F2032" s="43"/>
      <c r="G2032" s="41"/>
      <c r="H2032" s="41">
        <v>0</v>
      </c>
      <c r="I2032" s="41">
        <v>0</v>
      </c>
      <c r="J2032" s="41">
        <v>0</v>
      </c>
      <c r="K2032" s="73"/>
      <c r="L2032" s="73">
        <f t="shared" si="129"/>
        <v>0</v>
      </c>
      <c r="M2032" s="73">
        <v>0</v>
      </c>
      <c r="N2032" s="105">
        <f t="shared" si="130"/>
        <v>0</v>
      </c>
      <c r="O2032" s="46"/>
      <c r="P2032" s="145" t="str">
        <f t="shared" si="133"/>
        <v/>
      </c>
      <c r="Q2032" s="52">
        <f t="shared" si="131"/>
        <v>28</v>
      </c>
      <c r="R2032" s="8">
        <f t="shared" si="132"/>
        <v>2026</v>
      </c>
    </row>
    <row r="2033" spans="1:18" hidden="1" x14ac:dyDescent="0.25">
      <c r="A2033" s="224"/>
      <c r="B2033" s="96">
        <v>46210</v>
      </c>
      <c r="C2033" s="52" t="s">
        <v>42</v>
      </c>
      <c r="D2033" s="53" t="s">
        <v>38</v>
      </c>
      <c r="E2033" s="53"/>
      <c r="F2033" s="54"/>
      <c r="G2033" s="53"/>
      <c r="H2033" s="53">
        <v>0</v>
      </c>
      <c r="I2033" s="53">
        <v>0</v>
      </c>
      <c r="J2033" s="53">
        <v>0</v>
      </c>
      <c r="K2033" s="55"/>
      <c r="L2033" s="55">
        <f t="shared" si="129"/>
        <v>0</v>
      </c>
      <c r="M2033" s="55">
        <v>0</v>
      </c>
      <c r="N2033" s="101">
        <f t="shared" si="130"/>
        <v>0</v>
      </c>
      <c r="O2033" s="57"/>
      <c r="P2033" s="145" t="str">
        <f t="shared" si="133"/>
        <v/>
      </c>
      <c r="Q2033" s="52">
        <f t="shared" si="131"/>
        <v>28</v>
      </c>
      <c r="R2033" s="8">
        <f t="shared" si="132"/>
        <v>2026</v>
      </c>
    </row>
    <row r="2034" spans="1:18" hidden="1" x14ac:dyDescent="0.25">
      <c r="A2034" s="224"/>
      <c r="B2034" s="96">
        <v>46211</v>
      </c>
      <c r="C2034" s="52" t="s">
        <v>46</v>
      </c>
      <c r="D2034" s="53" t="s">
        <v>38</v>
      </c>
      <c r="E2034" s="53"/>
      <c r="F2034" s="54"/>
      <c r="G2034" s="53"/>
      <c r="H2034" s="53">
        <v>0</v>
      </c>
      <c r="I2034" s="53">
        <v>0</v>
      </c>
      <c r="J2034" s="53">
        <v>0</v>
      </c>
      <c r="K2034" s="55"/>
      <c r="L2034" s="55">
        <f t="shared" si="129"/>
        <v>0</v>
      </c>
      <c r="M2034" s="55">
        <v>0</v>
      </c>
      <c r="N2034" s="101">
        <f t="shared" si="130"/>
        <v>0</v>
      </c>
      <c r="O2034" s="57"/>
      <c r="P2034" s="145" t="str">
        <f t="shared" si="133"/>
        <v/>
      </c>
      <c r="Q2034" s="52">
        <f t="shared" si="131"/>
        <v>28</v>
      </c>
      <c r="R2034" s="8">
        <f t="shared" si="132"/>
        <v>2026</v>
      </c>
    </row>
    <row r="2035" spans="1:18" hidden="1" x14ac:dyDescent="0.25">
      <c r="A2035" s="224"/>
      <c r="B2035" s="96">
        <v>46212</v>
      </c>
      <c r="C2035" s="52" t="s">
        <v>50</v>
      </c>
      <c r="D2035" s="53" t="s">
        <v>38</v>
      </c>
      <c r="E2035" s="53"/>
      <c r="F2035" s="54"/>
      <c r="G2035" s="53"/>
      <c r="H2035" s="53">
        <v>0</v>
      </c>
      <c r="I2035" s="53">
        <v>0</v>
      </c>
      <c r="J2035" s="53">
        <v>0</v>
      </c>
      <c r="K2035" s="55"/>
      <c r="L2035" s="55">
        <f t="shared" si="129"/>
        <v>0</v>
      </c>
      <c r="M2035" s="55">
        <v>0</v>
      </c>
      <c r="N2035" s="101">
        <f t="shared" si="130"/>
        <v>0</v>
      </c>
      <c r="O2035" s="57"/>
      <c r="P2035" s="145" t="str">
        <f t="shared" si="133"/>
        <v/>
      </c>
      <c r="Q2035" s="52">
        <f t="shared" si="131"/>
        <v>28</v>
      </c>
      <c r="R2035" s="8">
        <f t="shared" si="132"/>
        <v>2026</v>
      </c>
    </row>
    <row r="2036" spans="1:18" hidden="1" x14ac:dyDescent="0.25">
      <c r="A2036" s="224"/>
      <c r="B2036" s="96">
        <v>46213</v>
      </c>
      <c r="C2036" s="52" t="s">
        <v>53</v>
      </c>
      <c r="D2036" s="53" t="s">
        <v>38</v>
      </c>
      <c r="E2036" s="53"/>
      <c r="F2036" s="54"/>
      <c r="G2036" s="53"/>
      <c r="H2036" s="53">
        <v>0</v>
      </c>
      <c r="I2036" s="53">
        <v>0</v>
      </c>
      <c r="J2036" s="53">
        <v>0</v>
      </c>
      <c r="K2036" s="55"/>
      <c r="L2036" s="55">
        <f t="shared" si="129"/>
        <v>0</v>
      </c>
      <c r="M2036" s="55">
        <v>0</v>
      </c>
      <c r="N2036" s="101">
        <f t="shared" si="130"/>
        <v>0</v>
      </c>
      <c r="O2036" s="57"/>
      <c r="P2036" s="145" t="str">
        <f t="shared" si="133"/>
        <v/>
      </c>
      <c r="Q2036" s="52">
        <f t="shared" si="131"/>
        <v>28</v>
      </c>
      <c r="R2036" s="8">
        <f t="shared" si="132"/>
        <v>2026</v>
      </c>
    </row>
    <row r="2037" spans="1:18" hidden="1" x14ac:dyDescent="0.25">
      <c r="A2037" s="224"/>
      <c r="B2037" s="97">
        <v>46214</v>
      </c>
      <c r="C2037" s="58" t="s">
        <v>57</v>
      </c>
      <c r="D2037" s="60" t="s">
        <v>38</v>
      </c>
      <c r="E2037" s="60"/>
      <c r="F2037" s="61"/>
      <c r="G2037" s="60"/>
      <c r="H2037" s="60">
        <v>0</v>
      </c>
      <c r="I2037" s="60">
        <v>0</v>
      </c>
      <c r="J2037" s="60">
        <v>0</v>
      </c>
      <c r="K2037" s="62"/>
      <c r="L2037" s="62">
        <f t="shared" si="129"/>
        <v>0</v>
      </c>
      <c r="M2037" s="62">
        <v>0</v>
      </c>
      <c r="N2037" s="102">
        <f t="shared" si="130"/>
        <v>0</v>
      </c>
      <c r="O2037" s="64"/>
      <c r="P2037" s="145" t="str">
        <f t="shared" si="133"/>
        <v/>
      </c>
      <c r="Q2037" s="52">
        <f t="shared" si="131"/>
        <v>28</v>
      </c>
      <c r="R2037" s="8">
        <f t="shared" si="132"/>
        <v>2026</v>
      </c>
    </row>
    <row r="2038" spans="1:18" ht="15.75" hidden="1" thickBot="1" x14ac:dyDescent="0.3">
      <c r="A2038" s="225"/>
      <c r="B2038" s="98">
        <v>46215</v>
      </c>
      <c r="C2038" s="66" t="s">
        <v>59</v>
      </c>
      <c r="D2038" s="67" t="s">
        <v>38</v>
      </c>
      <c r="E2038" s="67"/>
      <c r="F2038" s="68"/>
      <c r="G2038" s="67"/>
      <c r="H2038" s="67">
        <v>0</v>
      </c>
      <c r="I2038" s="67">
        <v>0</v>
      </c>
      <c r="J2038" s="67">
        <v>0</v>
      </c>
      <c r="K2038" s="69"/>
      <c r="L2038" s="69">
        <f t="shared" ref="L2038:L2101" si="134">+I2038*K2038</f>
        <v>0</v>
      </c>
      <c r="M2038" s="69">
        <v>0</v>
      </c>
      <c r="N2038" s="103">
        <f t="shared" ref="N2038:N2101" si="135">+L2038*(1-M2038)</f>
        <v>0</v>
      </c>
      <c r="O2038" s="71"/>
      <c r="P2038" s="145" t="str">
        <f t="shared" si="133"/>
        <v/>
      </c>
      <c r="Q2038" s="52">
        <f t="shared" si="131"/>
        <v>28</v>
      </c>
      <c r="R2038" s="8">
        <f t="shared" si="132"/>
        <v>2026</v>
      </c>
    </row>
    <row r="2039" spans="1:18" hidden="1" x14ac:dyDescent="0.25">
      <c r="A2039" s="223">
        <f>_xlfn.ISOWEEKNUM(B2039)</f>
        <v>29</v>
      </c>
      <c r="B2039" s="96">
        <v>46216</v>
      </c>
      <c r="C2039" s="72" t="s">
        <v>37</v>
      </c>
      <c r="D2039" s="41" t="s">
        <v>38</v>
      </c>
      <c r="E2039" s="41"/>
      <c r="F2039" s="43"/>
      <c r="G2039" s="41"/>
      <c r="H2039" s="41">
        <v>0</v>
      </c>
      <c r="I2039" s="41">
        <v>0</v>
      </c>
      <c r="J2039" s="41">
        <v>0</v>
      </c>
      <c r="K2039" s="73"/>
      <c r="L2039" s="73">
        <f t="shared" si="134"/>
        <v>0</v>
      </c>
      <c r="M2039" s="73">
        <v>0</v>
      </c>
      <c r="N2039" s="105">
        <f t="shared" si="135"/>
        <v>0</v>
      </c>
      <c r="O2039" s="46"/>
      <c r="P2039" s="145" t="str">
        <f t="shared" si="133"/>
        <v/>
      </c>
      <c r="Q2039" s="52">
        <f t="shared" si="131"/>
        <v>29</v>
      </c>
      <c r="R2039" s="8">
        <f t="shared" si="132"/>
        <v>2026</v>
      </c>
    </row>
    <row r="2040" spans="1:18" hidden="1" x14ac:dyDescent="0.25">
      <c r="A2040" s="224"/>
      <c r="B2040" s="96">
        <v>46217</v>
      </c>
      <c r="C2040" s="52" t="s">
        <v>42</v>
      </c>
      <c r="D2040" s="53" t="s">
        <v>38</v>
      </c>
      <c r="E2040" s="53"/>
      <c r="F2040" s="54"/>
      <c r="G2040" s="53"/>
      <c r="H2040" s="53">
        <v>0</v>
      </c>
      <c r="I2040" s="53">
        <v>0</v>
      </c>
      <c r="J2040" s="53">
        <v>0</v>
      </c>
      <c r="K2040" s="55"/>
      <c r="L2040" s="55">
        <f t="shared" si="134"/>
        <v>0</v>
      </c>
      <c r="M2040" s="55">
        <v>0</v>
      </c>
      <c r="N2040" s="101">
        <f t="shared" si="135"/>
        <v>0</v>
      </c>
      <c r="O2040" s="57"/>
      <c r="P2040" s="145" t="str">
        <f t="shared" si="133"/>
        <v/>
      </c>
      <c r="Q2040" s="52">
        <f t="shared" si="131"/>
        <v>29</v>
      </c>
      <c r="R2040" s="8">
        <f t="shared" si="132"/>
        <v>2026</v>
      </c>
    </row>
    <row r="2041" spans="1:18" hidden="1" x14ac:dyDescent="0.25">
      <c r="A2041" s="224"/>
      <c r="B2041" s="96">
        <v>46218</v>
      </c>
      <c r="C2041" s="52" t="s">
        <v>46</v>
      </c>
      <c r="D2041" s="53" t="s">
        <v>38</v>
      </c>
      <c r="E2041" s="53"/>
      <c r="F2041" s="54"/>
      <c r="G2041" s="53"/>
      <c r="H2041" s="53">
        <v>0</v>
      </c>
      <c r="I2041" s="53">
        <v>0</v>
      </c>
      <c r="J2041" s="53">
        <v>0</v>
      </c>
      <c r="K2041" s="55"/>
      <c r="L2041" s="55">
        <f t="shared" si="134"/>
        <v>0</v>
      </c>
      <c r="M2041" s="55">
        <v>0</v>
      </c>
      <c r="N2041" s="101">
        <f t="shared" si="135"/>
        <v>0</v>
      </c>
      <c r="O2041" s="57"/>
      <c r="P2041" s="145" t="str">
        <f t="shared" si="133"/>
        <v/>
      </c>
      <c r="Q2041" s="52">
        <f t="shared" si="131"/>
        <v>29</v>
      </c>
      <c r="R2041" s="8">
        <f t="shared" si="132"/>
        <v>2026</v>
      </c>
    </row>
    <row r="2042" spans="1:18" hidden="1" x14ac:dyDescent="0.25">
      <c r="A2042" s="224"/>
      <c r="B2042" s="96">
        <v>46219</v>
      </c>
      <c r="C2042" s="52" t="s">
        <v>50</v>
      </c>
      <c r="D2042" s="53" t="s">
        <v>38</v>
      </c>
      <c r="E2042" s="53"/>
      <c r="F2042" s="54"/>
      <c r="G2042" s="53"/>
      <c r="H2042" s="53">
        <v>0</v>
      </c>
      <c r="I2042" s="53">
        <v>0</v>
      </c>
      <c r="J2042" s="53">
        <v>0</v>
      </c>
      <c r="K2042" s="55"/>
      <c r="L2042" s="55">
        <f t="shared" si="134"/>
        <v>0</v>
      </c>
      <c r="M2042" s="55">
        <v>0</v>
      </c>
      <c r="N2042" s="101">
        <f t="shared" si="135"/>
        <v>0</v>
      </c>
      <c r="O2042" s="57"/>
      <c r="P2042" s="145" t="str">
        <f t="shared" si="133"/>
        <v/>
      </c>
      <c r="Q2042" s="52">
        <f t="shared" si="131"/>
        <v>29</v>
      </c>
      <c r="R2042" s="8">
        <f t="shared" si="132"/>
        <v>2026</v>
      </c>
    </row>
    <row r="2043" spans="1:18" hidden="1" x14ac:dyDescent="0.25">
      <c r="A2043" s="224"/>
      <c r="B2043" s="96">
        <v>46220</v>
      </c>
      <c r="C2043" s="52" t="s">
        <v>53</v>
      </c>
      <c r="D2043" s="53" t="s">
        <v>38</v>
      </c>
      <c r="E2043" s="53"/>
      <c r="F2043" s="54"/>
      <c r="G2043" s="53"/>
      <c r="H2043" s="53">
        <v>0</v>
      </c>
      <c r="I2043" s="53">
        <v>0</v>
      </c>
      <c r="J2043" s="53">
        <v>0</v>
      </c>
      <c r="K2043" s="55"/>
      <c r="L2043" s="55">
        <f t="shared" si="134"/>
        <v>0</v>
      </c>
      <c r="M2043" s="55">
        <v>0</v>
      </c>
      <c r="N2043" s="101">
        <f t="shared" si="135"/>
        <v>0</v>
      </c>
      <c r="O2043" s="57"/>
      <c r="P2043" s="145" t="str">
        <f t="shared" si="133"/>
        <v/>
      </c>
      <c r="Q2043" s="52">
        <f t="shared" si="131"/>
        <v>29</v>
      </c>
      <c r="R2043" s="8">
        <f t="shared" si="132"/>
        <v>2026</v>
      </c>
    </row>
    <row r="2044" spans="1:18" hidden="1" x14ac:dyDescent="0.25">
      <c r="A2044" s="224"/>
      <c r="B2044" s="97">
        <v>46221</v>
      </c>
      <c r="C2044" s="58" t="s">
        <v>57</v>
      </c>
      <c r="D2044" s="60" t="s">
        <v>38</v>
      </c>
      <c r="E2044" s="60"/>
      <c r="F2044" s="61"/>
      <c r="G2044" s="60"/>
      <c r="H2044" s="60">
        <v>0</v>
      </c>
      <c r="I2044" s="60">
        <v>0</v>
      </c>
      <c r="J2044" s="60">
        <v>0</v>
      </c>
      <c r="K2044" s="62"/>
      <c r="L2044" s="62">
        <f t="shared" si="134"/>
        <v>0</v>
      </c>
      <c r="M2044" s="62">
        <v>0</v>
      </c>
      <c r="N2044" s="102">
        <f t="shared" si="135"/>
        <v>0</v>
      </c>
      <c r="O2044" s="64"/>
      <c r="P2044" s="145" t="str">
        <f t="shared" si="133"/>
        <v/>
      </c>
      <c r="Q2044" s="52">
        <f t="shared" si="131"/>
        <v>29</v>
      </c>
      <c r="R2044" s="8">
        <f t="shared" si="132"/>
        <v>2026</v>
      </c>
    </row>
    <row r="2045" spans="1:18" ht="15.75" hidden="1" thickBot="1" x14ac:dyDescent="0.3">
      <c r="A2045" s="225"/>
      <c r="B2045" s="98">
        <v>46222</v>
      </c>
      <c r="C2045" s="66" t="s">
        <v>59</v>
      </c>
      <c r="D2045" s="67" t="s">
        <v>38</v>
      </c>
      <c r="E2045" s="67"/>
      <c r="F2045" s="68"/>
      <c r="G2045" s="67"/>
      <c r="H2045" s="67">
        <v>0</v>
      </c>
      <c r="I2045" s="67">
        <v>0</v>
      </c>
      <c r="J2045" s="67">
        <v>0</v>
      </c>
      <c r="K2045" s="69"/>
      <c r="L2045" s="69">
        <f t="shared" si="134"/>
        <v>0</v>
      </c>
      <c r="M2045" s="69">
        <v>0</v>
      </c>
      <c r="N2045" s="103">
        <f t="shared" si="135"/>
        <v>0</v>
      </c>
      <c r="O2045" s="71"/>
      <c r="P2045" s="145" t="str">
        <f t="shared" si="133"/>
        <v/>
      </c>
      <c r="Q2045" s="52">
        <f t="shared" si="131"/>
        <v>29</v>
      </c>
      <c r="R2045" s="8">
        <f t="shared" si="132"/>
        <v>2026</v>
      </c>
    </row>
    <row r="2046" spans="1:18" hidden="1" x14ac:dyDescent="0.25">
      <c r="A2046" s="223">
        <f>_xlfn.ISOWEEKNUM(B2046)</f>
        <v>30</v>
      </c>
      <c r="B2046" s="96">
        <v>46223</v>
      </c>
      <c r="C2046" s="72" t="s">
        <v>37</v>
      </c>
      <c r="D2046" s="41" t="s">
        <v>38</v>
      </c>
      <c r="E2046" s="41"/>
      <c r="F2046" s="43"/>
      <c r="G2046" s="41"/>
      <c r="H2046" s="41">
        <v>0</v>
      </c>
      <c r="I2046" s="41">
        <v>0</v>
      </c>
      <c r="J2046" s="41">
        <v>0</v>
      </c>
      <c r="K2046" s="73"/>
      <c r="L2046" s="73">
        <f t="shared" si="134"/>
        <v>0</v>
      </c>
      <c r="M2046" s="73">
        <v>0</v>
      </c>
      <c r="N2046" s="105">
        <f t="shared" si="135"/>
        <v>0</v>
      </c>
      <c r="O2046" s="46"/>
      <c r="P2046" s="145" t="str">
        <f t="shared" si="133"/>
        <v/>
      </c>
      <c r="Q2046" s="52">
        <f t="shared" si="131"/>
        <v>30</v>
      </c>
      <c r="R2046" s="8">
        <f t="shared" si="132"/>
        <v>2026</v>
      </c>
    </row>
    <row r="2047" spans="1:18" hidden="1" x14ac:dyDescent="0.25">
      <c r="A2047" s="224"/>
      <c r="B2047" s="96">
        <v>46224</v>
      </c>
      <c r="C2047" s="52" t="s">
        <v>42</v>
      </c>
      <c r="D2047" s="53" t="s">
        <v>38</v>
      </c>
      <c r="E2047" s="53"/>
      <c r="F2047" s="54"/>
      <c r="G2047" s="53"/>
      <c r="H2047" s="53">
        <v>0</v>
      </c>
      <c r="I2047" s="53">
        <v>0</v>
      </c>
      <c r="J2047" s="53">
        <v>0</v>
      </c>
      <c r="K2047" s="55"/>
      <c r="L2047" s="55">
        <f t="shared" si="134"/>
        <v>0</v>
      </c>
      <c r="M2047" s="55">
        <v>0</v>
      </c>
      <c r="N2047" s="101">
        <f t="shared" si="135"/>
        <v>0</v>
      </c>
      <c r="O2047" s="57"/>
      <c r="P2047" s="145" t="str">
        <f t="shared" si="133"/>
        <v/>
      </c>
      <c r="Q2047" s="52">
        <f t="shared" si="131"/>
        <v>30</v>
      </c>
      <c r="R2047" s="8">
        <f t="shared" si="132"/>
        <v>2026</v>
      </c>
    </row>
    <row r="2048" spans="1:18" hidden="1" x14ac:dyDescent="0.25">
      <c r="A2048" s="224"/>
      <c r="B2048" s="96">
        <v>46225</v>
      </c>
      <c r="C2048" s="52" t="s">
        <v>46</v>
      </c>
      <c r="D2048" s="53" t="s">
        <v>38</v>
      </c>
      <c r="E2048" s="53"/>
      <c r="F2048" s="54"/>
      <c r="G2048" s="53"/>
      <c r="H2048" s="53">
        <v>0</v>
      </c>
      <c r="I2048" s="53">
        <v>0</v>
      </c>
      <c r="J2048" s="53">
        <v>0</v>
      </c>
      <c r="K2048" s="55"/>
      <c r="L2048" s="55">
        <f t="shared" si="134"/>
        <v>0</v>
      </c>
      <c r="M2048" s="55">
        <v>0</v>
      </c>
      <c r="N2048" s="101">
        <f t="shared" si="135"/>
        <v>0</v>
      </c>
      <c r="O2048" s="57"/>
      <c r="P2048" s="145" t="str">
        <f t="shared" si="133"/>
        <v/>
      </c>
      <c r="Q2048" s="52">
        <f t="shared" si="131"/>
        <v>30</v>
      </c>
      <c r="R2048" s="8">
        <f t="shared" si="132"/>
        <v>2026</v>
      </c>
    </row>
    <row r="2049" spans="1:18" hidden="1" x14ac:dyDescent="0.25">
      <c r="A2049" s="224"/>
      <c r="B2049" s="96">
        <v>46226</v>
      </c>
      <c r="C2049" s="52" t="s">
        <v>50</v>
      </c>
      <c r="D2049" s="53" t="s">
        <v>38</v>
      </c>
      <c r="E2049" s="53"/>
      <c r="F2049" s="54"/>
      <c r="G2049" s="53"/>
      <c r="H2049" s="53">
        <v>0</v>
      </c>
      <c r="I2049" s="53">
        <v>0</v>
      </c>
      <c r="J2049" s="53">
        <v>0</v>
      </c>
      <c r="K2049" s="55"/>
      <c r="L2049" s="55">
        <f t="shared" si="134"/>
        <v>0</v>
      </c>
      <c r="M2049" s="55">
        <v>0</v>
      </c>
      <c r="N2049" s="101">
        <f t="shared" si="135"/>
        <v>0</v>
      </c>
      <c r="O2049" s="57"/>
      <c r="P2049" s="145" t="str">
        <f t="shared" si="133"/>
        <v/>
      </c>
      <c r="Q2049" s="52">
        <f t="shared" si="131"/>
        <v>30</v>
      </c>
      <c r="R2049" s="8">
        <f t="shared" si="132"/>
        <v>2026</v>
      </c>
    </row>
    <row r="2050" spans="1:18" hidden="1" x14ac:dyDescent="0.25">
      <c r="A2050" s="224"/>
      <c r="B2050" s="96">
        <v>46227</v>
      </c>
      <c r="C2050" s="52" t="s">
        <v>53</v>
      </c>
      <c r="D2050" s="53" t="s">
        <v>38</v>
      </c>
      <c r="E2050" s="53"/>
      <c r="F2050" s="54"/>
      <c r="G2050" s="53"/>
      <c r="H2050" s="53">
        <v>0</v>
      </c>
      <c r="I2050" s="53">
        <v>0</v>
      </c>
      <c r="J2050" s="53">
        <v>0</v>
      </c>
      <c r="K2050" s="55"/>
      <c r="L2050" s="55">
        <f t="shared" si="134"/>
        <v>0</v>
      </c>
      <c r="M2050" s="55">
        <v>0</v>
      </c>
      <c r="N2050" s="101">
        <f t="shared" si="135"/>
        <v>0</v>
      </c>
      <c r="O2050" s="57"/>
      <c r="P2050" s="145" t="str">
        <f t="shared" si="133"/>
        <v/>
      </c>
      <c r="Q2050" s="52">
        <f t="shared" si="131"/>
        <v>30</v>
      </c>
      <c r="R2050" s="8">
        <f t="shared" si="132"/>
        <v>2026</v>
      </c>
    </row>
    <row r="2051" spans="1:18" hidden="1" x14ac:dyDescent="0.25">
      <c r="A2051" s="224"/>
      <c r="B2051" s="97">
        <v>46228</v>
      </c>
      <c r="C2051" s="58" t="s">
        <v>57</v>
      </c>
      <c r="D2051" s="60" t="s">
        <v>38</v>
      </c>
      <c r="E2051" s="60"/>
      <c r="F2051" s="61"/>
      <c r="G2051" s="60"/>
      <c r="H2051" s="60">
        <v>0</v>
      </c>
      <c r="I2051" s="60">
        <v>0</v>
      </c>
      <c r="J2051" s="60">
        <v>0</v>
      </c>
      <c r="K2051" s="62"/>
      <c r="L2051" s="62">
        <f t="shared" si="134"/>
        <v>0</v>
      </c>
      <c r="M2051" s="62">
        <v>0</v>
      </c>
      <c r="N2051" s="102">
        <f t="shared" si="135"/>
        <v>0</v>
      </c>
      <c r="O2051" s="64"/>
      <c r="P2051" s="145" t="str">
        <f t="shared" si="133"/>
        <v/>
      </c>
      <c r="Q2051" s="52">
        <f t="shared" si="131"/>
        <v>30</v>
      </c>
      <c r="R2051" s="8">
        <f t="shared" si="132"/>
        <v>2026</v>
      </c>
    </row>
    <row r="2052" spans="1:18" ht="15.75" hidden="1" thickBot="1" x14ac:dyDescent="0.3">
      <c r="A2052" s="225"/>
      <c r="B2052" s="98">
        <v>46229</v>
      </c>
      <c r="C2052" s="66" t="s">
        <v>59</v>
      </c>
      <c r="D2052" s="67" t="s">
        <v>38</v>
      </c>
      <c r="E2052" s="67"/>
      <c r="F2052" s="68"/>
      <c r="G2052" s="67"/>
      <c r="H2052" s="67">
        <v>0</v>
      </c>
      <c r="I2052" s="67">
        <v>0</v>
      </c>
      <c r="J2052" s="67">
        <v>0</v>
      </c>
      <c r="K2052" s="69"/>
      <c r="L2052" s="69">
        <f t="shared" si="134"/>
        <v>0</v>
      </c>
      <c r="M2052" s="69">
        <v>0</v>
      </c>
      <c r="N2052" s="103">
        <f t="shared" si="135"/>
        <v>0</v>
      </c>
      <c r="O2052" s="71"/>
      <c r="P2052" s="145" t="str">
        <f t="shared" si="133"/>
        <v/>
      </c>
      <c r="Q2052" s="52">
        <f t="shared" si="131"/>
        <v>30</v>
      </c>
      <c r="R2052" s="8">
        <f t="shared" si="132"/>
        <v>2026</v>
      </c>
    </row>
    <row r="2053" spans="1:18" hidden="1" x14ac:dyDescent="0.25">
      <c r="A2053" s="223">
        <f>_xlfn.ISOWEEKNUM(B2053)</f>
        <v>31</v>
      </c>
      <c r="B2053" s="96">
        <v>46230</v>
      </c>
      <c r="C2053" s="72" t="s">
        <v>37</v>
      </c>
      <c r="D2053" s="41" t="s">
        <v>38</v>
      </c>
      <c r="E2053" s="41"/>
      <c r="F2053" s="43"/>
      <c r="G2053" s="41"/>
      <c r="H2053" s="41">
        <v>0</v>
      </c>
      <c r="I2053" s="41">
        <v>0</v>
      </c>
      <c r="J2053" s="41">
        <v>0</v>
      </c>
      <c r="K2053" s="73"/>
      <c r="L2053" s="73">
        <f t="shared" si="134"/>
        <v>0</v>
      </c>
      <c r="M2053" s="73">
        <v>0</v>
      </c>
      <c r="N2053" s="105">
        <f t="shared" si="135"/>
        <v>0</v>
      </c>
      <c r="O2053" s="46"/>
      <c r="P2053" s="145" t="str">
        <f t="shared" si="133"/>
        <v/>
      </c>
      <c r="Q2053" s="52">
        <f t="shared" si="131"/>
        <v>31</v>
      </c>
      <c r="R2053" s="8">
        <f t="shared" si="132"/>
        <v>2026</v>
      </c>
    </row>
    <row r="2054" spans="1:18" hidden="1" x14ac:dyDescent="0.25">
      <c r="A2054" s="224"/>
      <c r="B2054" s="96">
        <v>46231</v>
      </c>
      <c r="C2054" s="52" t="s">
        <v>42</v>
      </c>
      <c r="D2054" s="53" t="s">
        <v>38</v>
      </c>
      <c r="E2054" s="53"/>
      <c r="F2054" s="54"/>
      <c r="G2054" s="53"/>
      <c r="H2054" s="53">
        <v>0</v>
      </c>
      <c r="I2054" s="53">
        <v>0</v>
      </c>
      <c r="J2054" s="53">
        <v>0</v>
      </c>
      <c r="K2054" s="55"/>
      <c r="L2054" s="55">
        <f t="shared" si="134"/>
        <v>0</v>
      </c>
      <c r="M2054" s="55">
        <v>0</v>
      </c>
      <c r="N2054" s="101">
        <f t="shared" si="135"/>
        <v>0</v>
      </c>
      <c r="O2054" s="57"/>
      <c r="P2054" s="145" t="str">
        <f t="shared" si="133"/>
        <v/>
      </c>
      <c r="Q2054" s="52">
        <f t="shared" si="131"/>
        <v>31</v>
      </c>
      <c r="R2054" s="8">
        <f t="shared" si="132"/>
        <v>2026</v>
      </c>
    </row>
    <row r="2055" spans="1:18" hidden="1" x14ac:dyDescent="0.25">
      <c r="A2055" s="224"/>
      <c r="B2055" s="96">
        <v>46232</v>
      </c>
      <c r="C2055" s="52" t="s">
        <v>46</v>
      </c>
      <c r="D2055" s="53" t="s">
        <v>38</v>
      </c>
      <c r="E2055" s="53"/>
      <c r="F2055" s="54"/>
      <c r="G2055" s="53"/>
      <c r="H2055" s="53">
        <v>0</v>
      </c>
      <c r="I2055" s="53">
        <v>0</v>
      </c>
      <c r="J2055" s="53">
        <v>0</v>
      </c>
      <c r="K2055" s="55"/>
      <c r="L2055" s="55">
        <f t="shared" si="134"/>
        <v>0</v>
      </c>
      <c r="M2055" s="55">
        <v>0</v>
      </c>
      <c r="N2055" s="101">
        <f t="shared" si="135"/>
        <v>0</v>
      </c>
      <c r="O2055" s="57"/>
      <c r="P2055" s="145" t="str">
        <f t="shared" si="133"/>
        <v/>
      </c>
      <c r="Q2055" s="52">
        <f t="shared" si="131"/>
        <v>31</v>
      </c>
      <c r="R2055" s="8">
        <f t="shared" si="132"/>
        <v>2026</v>
      </c>
    </row>
    <row r="2056" spans="1:18" hidden="1" x14ac:dyDescent="0.25">
      <c r="A2056" s="224"/>
      <c r="B2056" s="96">
        <v>46233</v>
      </c>
      <c r="C2056" s="52" t="s">
        <v>50</v>
      </c>
      <c r="D2056" s="53" t="s">
        <v>38</v>
      </c>
      <c r="E2056" s="53"/>
      <c r="F2056" s="54"/>
      <c r="G2056" s="53"/>
      <c r="H2056" s="53">
        <v>0</v>
      </c>
      <c r="I2056" s="53">
        <v>0</v>
      </c>
      <c r="J2056" s="53">
        <v>0</v>
      </c>
      <c r="K2056" s="55"/>
      <c r="L2056" s="55">
        <f t="shared" si="134"/>
        <v>0</v>
      </c>
      <c r="M2056" s="55">
        <v>0</v>
      </c>
      <c r="N2056" s="101">
        <f t="shared" si="135"/>
        <v>0</v>
      </c>
      <c r="O2056" s="57"/>
      <c r="P2056" s="145" t="str">
        <f t="shared" si="133"/>
        <v/>
      </c>
      <c r="Q2056" s="52">
        <f t="shared" si="131"/>
        <v>31</v>
      </c>
      <c r="R2056" s="8">
        <f t="shared" si="132"/>
        <v>2026</v>
      </c>
    </row>
    <row r="2057" spans="1:18" hidden="1" x14ac:dyDescent="0.25">
      <c r="A2057" s="224"/>
      <c r="B2057" s="96">
        <v>46234</v>
      </c>
      <c r="C2057" s="52" t="s">
        <v>53</v>
      </c>
      <c r="D2057" s="53" t="s">
        <v>38</v>
      </c>
      <c r="E2057" s="53"/>
      <c r="F2057" s="54"/>
      <c r="G2057" s="53"/>
      <c r="H2057" s="53">
        <v>0</v>
      </c>
      <c r="I2057" s="53">
        <v>0</v>
      </c>
      <c r="J2057" s="53">
        <v>0</v>
      </c>
      <c r="K2057" s="55"/>
      <c r="L2057" s="55">
        <f t="shared" si="134"/>
        <v>0</v>
      </c>
      <c r="M2057" s="55">
        <v>0</v>
      </c>
      <c r="N2057" s="101">
        <f t="shared" si="135"/>
        <v>0</v>
      </c>
      <c r="O2057" s="57"/>
      <c r="P2057" s="145" t="str">
        <f t="shared" si="133"/>
        <v/>
      </c>
      <c r="Q2057" s="52">
        <f t="shared" ref="Q2057:Q2120" si="136">_xlfn.ISOWEEKNUM(B2057)</f>
        <v>31</v>
      </c>
      <c r="R2057" s="8">
        <f t="shared" ref="R2057:R2120" si="137">YEAR(B2057)</f>
        <v>2026</v>
      </c>
    </row>
    <row r="2058" spans="1:18" hidden="1" x14ac:dyDescent="0.25">
      <c r="A2058" s="224"/>
      <c r="B2058" s="97">
        <v>46235</v>
      </c>
      <c r="C2058" s="58" t="s">
        <v>57</v>
      </c>
      <c r="D2058" s="60" t="s">
        <v>38</v>
      </c>
      <c r="E2058" s="60"/>
      <c r="F2058" s="61"/>
      <c r="G2058" s="60"/>
      <c r="H2058" s="60">
        <v>0</v>
      </c>
      <c r="I2058" s="60">
        <v>0</v>
      </c>
      <c r="J2058" s="60">
        <v>0</v>
      </c>
      <c r="K2058" s="62"/>
      <c r="L2058" s="62">
        <f t="shared" si="134"/>
        <v>0</v>
      </c>
      <c r="M2058" s="62">
        <v>0</v>
      </c>
      <c r="N2058" s="102">
        <f t="shared" si="135"/>
        <v>0</v>
      </c>
      <c r="O2058" s="64"/>
      <c r="P2058" s="145" t="str">
        <f t="shared" si="133"/>
        <v/>
      </c>
      <c r="Q2058" s="52">
        <f t="shared" si="136"/>
        <v>31</v>
      </c>
      <c r="R2058" s="8">
        <f t="shared" si="137"/>
        <v>2026</v>
      </c>
    </row>
    <row r="2059" spans="1:18" ht="15.75" hidden="1" thickBot="1" x14ac:dyDescent="0.3">
      <c r="A2059" s="225"/>
      <c r="B2059" s="98">
        <v>46236</v>
      </c>
      <c r="C2059" s="66" t="s">
        <v>59</v>
      </c>
      <c r="D2059" s="67" t="s">
        <v>38</v>
      </c>
      <c r="E2059" s="67"/>
      <c r="F2059" s="68"/>
      <c r="G2059" s="67"/>
      <c r="H2059" s="67">
        <v>0</v>
      </c>
      <c r="I2059" s="67">
        <v>0</v>
      </c>
      <c r="J2059" s="67">
        <v>0</v>
      </c>
      <c r="K2059" s="69"/>
      <c r="L2059" s="69">
        <f t="shared" si="134"/>
        <v>0</v>
      </c>
      <c r="M2059" s="69">
        <v>0</v>
      </c>
      <c r="N2059" s="103">
        <f t="shared" si="135"/>
        <v>0</v>
      </c>
      <c r="O2059" s="71"/>
      <c r="P2059" s="145" t="str">
        <f t="shared" si="133"/>
        <v/>
      </c>
      <c r="Q2059" s="52">
        <f t="shared" si="136"/>
        <v>31</v>
      </c>
      <c r="R2059" s="8">
        <f t="shared" si="137"/>
        <v>2026</v>
      </c>
    </row>
    <row r="2060" spans="1:18" hidden="1" x14ac:dyDescent="0.25">
      <c r="A2060" s="223">
        <f>_xlfn.ISOWEEKNUM(B2060)</f>
        <v>32</v>
      </c>
      <c r="B2060" s="96">
        <v>46237</v>
      </c>
      <c r="C2060" s="72" t="s">
        <v>37</v>
      </c>
      <c r="D2060" s="41" t="s">
        <v>38</v>
      </c>
      <c r="E2060" s="41"/>
      <c r="F2060" s="43"/>
      <c r="G2060" s="41"/>
      <c r="H2060" s="41">
        <v>0</v>
      </c>
      <c r="I2060" s="41">
        <v>0</v>
      </c>
      <c r="J2060" s="41">
        <v>0</v>
      </c>
      <c r="K2060" s="73"/>
      <c r="L2060" s="73">
        <f t="shared" si="134"/>
        <v>0</v>
      </c>
      <c r="M2060" s="73">
        <v>0</v>
      </c>
      <c r="N2060" s="105">
        <f t="shared" si="135"/>
        <v>0</v>
      </c>
      <c r="O2060" s="46"/>
      <c r="P2060" s="145" t="str">
        <f t="shared" si="133"/>
        <v/>
      </c>
      <c r="Q2060" s="52">
        <f t="shared" si="136"/>
        <v>32</v>
      </c>
      <c r="R2060" s="8">
        <f t="shared" si="137"/>
        <v>2026</v>
      </c>
    </row>
    <row r="2061" spans="1:18" hidden="1" x14ac:dyDescent="0.25">
      <c r="A2061" s="224"/>
      <c r="B2061" s="96">
        <v>46238</v>
      </c>
      <c r="C2061" s="52" t="s">
        <v>42</v>
      </c>
      <c r="D2061" s="53" t="s">
        <v>38</v>
      </c>
      <c r="E2061" s="53"/>
      <c r="F2061" s="54"/>
      <c r="G2061" s="53"/>
      <c r="H2061" s="53">
        <v>0</v>
      </c>
      <c r="I2061" s="53">
        <v>0</v>
      </c>
      <c r="J2061" s="53">
        <v>0</v>
      </c>
      <c r="K2061" s="55"/>
      <c r="L2061" s="55">
        <f t="shared" si="134"/>
        <v>0</v>
      </c>
      <c r="M2061" s="55">
        <v>0</v>
      </c>
      <c r="N2061" s="101">
        <f t="shared" si="135"/>
        <v>0</v>
      </c>
      <c r="O2061" s="57"/>
      <c r="P2061" s="145" t="str">
        <f t="shared" si="133"/>
        <v/>
      </c>
      <c r="Q2061" s="52">
        <f t="shared" si="136"/>
        <v>32</v>
      </c>
      <c r="R2061" s="8">
        <f t="shared" si="137"/>
        <v>2026</v>
      </c>
    </row>
    <row r="2062" spans="1:18" hidden="1" x14ac:dyDescent="0.25">
      <c r="A2062" s="224"/>
      <c r="B2062" s="96">
        <v>46239</v>
      </c>
      <c r="C2062" s="52" t="s">
        <v>46</v>
      </c>
      <c r="D2062" s="53" t="s">
        <v>38</v>
      </c>
      <c r="E2062" s="53"/>
      <c r="F2062" s="54"/>
      <c r="G2062" s="53"/>
      <c r="H2062" s="53">
        <v>0</v>
      </c>
      <c r="I2062" s="53">
        <v>0</v>
      </c>
      <c r="J2062" s="53">
        <v>0</v>
      </c>
      <c r="K2062" s="55"/>
      <c r="L2062" s="55">
        <f t="shared" si="134"/>
        <v>0</v>
      </c>
      <c r="M2062" s="55">
        <v>0</v>
      </c>
      <c r="N2062" s="101">
        <f t="shared" si="135"/>
        <v>0</v>
      </c>
      <c r="O2062" s="57"/>
      <c r="P2062" s="145" t="str">
        <f t="shared" si="133"/>
        <v/>
      </c>
      <c r="Q2062" s="52">
        <f t="shared" si="136"/>
        <v>32</v>
      </c>
      <c r="R2062" s="8">
        <f t="shared" si="137"/>
        <v>2026</v>
      </c>
    </row>
    <row r="2063" spans="1:18" hidden="1" x14ac:dyDescent="0.25">
      <c r="A2063" s="224"/>
      <c r="B2063" s="96">
        <v>46240</v>
      </c>
      <c r="C2063" s="52" t="s">
        <v>50</v>
      </c>
      <c r="D2063" s="53" t="s">
        <v>38</v>
      </c>
      <c r="E2063" s="53"/>
      <c r="F2063" s="54"/>
      <c r="G2063" s="53"/>
      <c r="H2063" s="53">
        <v>0</v>
      </c>
      <c r="I2063" s="53">
        <v>0</v>
      </c>
      <c r="J2063" s="53">
        <v>0</v>
      </c>
      <c r="K2063" s="55"/>
      <c r="L2063" s="55">
        <f t="shared" si="134"/>
        <v>0</v>
      </c>
      <c r="M2063" s="55">
        <v>0</v>
      </c>
      <c r="N2063" s="101">
        <f t="shared" si="135"/>
        <v>0</v>
      </c>
      <c r="O2063" s="57"/>
      <c r="P2063" s="145" t="str">
        <f t="shared" si="133"/>
        <v/>
      </c>
      <c r="Q2063" s="52">
        <f t="shared" si="136"/>
        <v>32</v>
      </c>
      <c r="R2063" s="8">
        <f t="shared" si="137"/>
        <v>2026</v>
      </c>
    </row>
    <row r="2064" spans="1:18" hidden="1" x14ac:dyDescent="0.25">
      <c r="A2064" s="224"/>
      <c r="B2064" s="96">
        <v>46241</v>
      </c>
      <c r="C2064" s="52" t="s">
        <v>53</v>
      </c>
      <c r="D2064" s="53" t="s">
        <v>38</v>
      </c>
      <c r="E2064" s="53"/>
      <c r="F2064" s="54"/>
      <c r="G2064" s="53"/>
      <c r="H2064" s="53">
        <v>0</v>
      </c>
      <c r="I2064" s="53">
        <v>0</v>
      </c>
      <c r="J2064" s="53">
        <v>0</v>
      </c>
      <c r="K2064" s="55"/>
      <c r="L2064" s="55">
        <f t="shared" si="134"/>
        <v>0</v>
      </c>
      <c r="M2064" s="55">
        <v>0</v>
      </c>
      <c r="N2064" s="101">
        <f t="shared" si="135"/>
        <v>0</v>
      </c>
      <c r="O2064" s="57"/>
      <c r="P2064" s="145" t="str">
        <f t="shared" si="133"/>
        <v/>
      </c>
      <c r="Q2064" s="52">
        <f t="shared" si="136"/>
        <v>32</v>
      </c>
      <c r="R2064" s="8">
        <f t="shared" si="137"/>
        <v>2026</v>
      </c>
    </row>
    <row r="2065" spans="1:18" hidden="1" x14ac:dyDescent="0.25">
      <c r="A2065" s="224"/>
      <c r="B2065" s="97">
        <v>46242</v>
      </c>
      <c r="C2065" s="58" t="s">
        <v>57</v>
      </c>
      <c r="D2065" s="60" t="s">
        <v>38</v>
      </c>
      <c r="E2065" s="60"/>
      <c r="F2065" s="61"/>
      <c r="G2065" s="60"/>
      <c r="H2065" s="60">
        <v>0</v>
      </c>
      <c r="I2065" s="60">
        <v>0</v>
      </c>
      <c r="J2065" s="60">
        <v>0</v>
      </c>
      <c r="K2065" s="62"/>
      <c r="L2065" s="62">
        <f t="shared" si="134"/>
        <v>0</v>
      </c>
      <c r="M2065" s="62">
        <v>0</v>
      </c>
      <c r="N2065" s="102">
        <f t="shared" si="135"/>
        <v>0</v>
      </c>
      <c r="O2065" s="64"/>
      <c r="P2065" s="145" t="str">
        <f t="shared" si="133"/>
        <v/>
      </c>
      <c r="Q2065" s="52">
        <f t="shared" si="136"/>
        <v>32</v>
      </c>
      <c r="R2065" s="8">
        <f t="shared" si="137"/>
        <v>2026</v>
      </c>
    </row>
    <row r="2066" spans="1:18" ht="15.75" hidden="1" thickBot="1" x14ac:dyDescent="0.3">
      <c r="A2066" s="225"/>
      <c r="B2066" s="98">
        <v>46243</v>
      </c>
      <c r="C2066" s="66" t="s">
        <v>59</v>
      </c>
      <c r="D2066" s="67" t="s">
        <v>38</v>
      </c>
      <c r="E2066" s="67"/>
      <c r="F2066" s="68"/>
      <c r="G2066" s="67"/>
      <c r="H2066" s="67">
        <v>0</v>
      </c>
      <c r="I2066" s="67">
        <v>0</v>
      </c>
      <c r="J2066" s="67">
        <v>0</v>
      </c>
      <c r="K2066" s="69"/>
      <c r="L2066" s="69">
        <f t="shared" si="134"/>
        <v>0</v>
      </c>
      <c r="M2066" s="69">
        <v>0</v>
      </c>
      <c r="N2066" s="103">
        <f t="shared" si="135"/>
        <v>0</v>
      </c>
      <c r="O2066" s="71"/>
      <c r="P2066" s="145" t="str">
        <f t="shared" si="133"/>
        <v/>
      </c>
      <c r="Q2066" s="52">
        <f t="shared" si="136"/>
        <v>32</v>
      </c>
      <c r="R2066" s="8">
        <f t="shared" si="137"/>
        <v>2026</v>
      </c>
    </row>
    <row r="2067" spans="1:18" hidden="1" x14ac:dyDescent="0.25">
      <c r="A2067" s="223">
        <f>_xlfn.ISOWEEKNUM(B2067)</f>
        <v>33</v>
      </c>
      <c r="B2067" s="96">
        <v>46244</v>
      </c>
      <c r="C2067" s="72" t="s">
        <v>37</v>
      </c>
      <c r="D2067" s="41" t="s">
        <v>38</v>
      </c>
      <c r="E2067" s="41"/>
      <c r="F2067" s="43"/>
      <c r="G2067" s="41"/>
      <c r="H2067" s="41">
        <v>0</v>
      </c>
      <c r="I2067" s="41">
        <v>0</v>
      </c>
      <c r="J2067" s="41">
        <v>0</v>
      </c>
      <c r="K2067" s="73"/>
      <c r="L2067" s="73">
        <f t="shared" si="134"/>
        <v>0</v>
      </c>
      <c r="M2067" s="73">
        <v>0</v>
      </c>
      <c r="N2067" s="105">
        <f t="shared" si="135"/>
        <v>0</v>
      </c>
      <c r="O2067" s="46"/>
      <c r="P2067" s="145" t="str">
        <f t="shared" si="133"/>
        <v/>
      </c>
      <c r="Q2067" s="52">
        <f t="shared" si="136"/>
        <v>33</v>
      </c>
      <c r="R2067" s="8">
        <f t="shared" si="137"/>
        <v>2026</v>
      </c>
    </row>
    <row r="2068" spans="1:18" hidden="1" x14ac:dyDescent="0.25">
      <c r="A2068" s="224"/>
      <c r="B2068" s="96">
        <v>46245</v>
      </c>
      <c r="C2068" s="52" t="s">
        <v>42</v>
      </c>
      <c r="D2068" s="53" t="s">
        <v>38</v>
      </c>
      <c r="E2068" s="53"/>
      <c r="F2068" s="54"/>
      <c r="G2068" s="53"/>
      <c r="H2068" s="53">
        <v>0</v>
      </c>
      <c r="I2068" s="53">
        <v>0</v>
      </c>
      <c r="J2068" s="53">
        <v>0</v>
      </c>
      <c r="K2068" s="55"/>
      <c r="L2068" s="55">
        <f t="shared" si="134"/>
        <v>0</v>
      </c>
      <c r="M2068" s="55">
        <v>0</v>
      </c>
      <c r="N2068" s="101">
        <f t="shared" si="135"/>
        <v>0</v>
      </c>
      <c r="O2068" s="57"/>
      <c r="P2068" s="145" t="str">
        <f t="shared" si="133"/>
        <v/>
      </c>
      <c r="Q2068" s="52">
        <f t="shared" si="136"/>
        <v>33</v>
      </c>
      <c r="R2068" s="8">
        <f t="shared" si="137"/>
        <v>2026</v>
      </c>
    </row>
    <row r="2069" spans="1:18" hidden="1" x14ac:dyDescent="0.25">
      <c r="A2069" s="224"/>
      <c r="B2069" s="96">
        <v>46246</v>
      </c>
      <c r="C2069" s="52" t="s">
        <v>46</v>
      </c>
      <c r="D2069" s="53" t="s">
        <v>38</v>
      </c>
      <c r="E2069" s="53"/>
      <c r="F2069" s="54"/>
      <c r="G2069" s="53"/>
      <c r="H2069" s="53">
        <v>0</v>
      </c>
      <c r="I2069" s="53">
        <v>0</v>
      </c>
      <c r="J2069" s="53">
        <v>0</v>
      </c>
      <c r="K2069" s="55"/>
      <c r="L2069" s="55">
        <f t="shared" si="134"/>
        <v>0</v>
      </c>
      <c r="M2069" s="55">
        <v>0</v>
      </c>
      <c r="N2069" s="101">
        <f t="shared" si="135"/>
        <v>0</v>
      </c>
      <c r="O2069" s="57"/>
      <c r="P2069" s="145" t="str">
        <f t="shared" si="133"/>
        <v/>
      </c>
      <c r="Q2069" s="52">
        <f t="shared" si="136"/>
        <v>33</v>
      </c>
      <c r="R2069" s="8">
        <f t="shared" si="137"/>
        <v>2026</v>
      </c>
    </row>
    <row r="2070" spans="1:18" hidden="1" x14ac:dyDescent="0.25">
      <c r="A2070" s="224"/>
      <c r="B2070" s="96">
        <v>46247</v>
      </c>
      <c r="C2070" s="52" t="s">
        <v>50</v>
      </c>
      <c r="D2070" s="53" t="s">
        <v>38</v>
      </c>
      <c r="E2070" s="53"/>
      <c r="F2070" s="54"/>
      <c r="G2070" s="53"/>
      <c r="H2070" s="53">
        <v>0</v>
      </c>
      <c r="I2070" s="53">
        <v>0</v>
      </c>
      <c r="J2070" s="53">
        <v>0</v>
      </c>
      <c r="K2070" s="55"/>
      <c r="L2070" s="55">
        <f t="shared" si="134"/>
        <v>0</v>
      </c>
      <c r="M2070" s="55">
        <v>0</v>
      </c>
      <c r="N2070" s="101">
        <f t="shared" si="135"/>
        <v>0</v>
      </c>
      <c r="O2070" s="57"/>
      <c r="P2070" s="145" t="str">
        <f t="shared" si="133"/>
        <v/>
      </c>
      <c r="Q2070" s="52">
        <f t="shared" si="136"/>
        <v>33</v>
      </c>
      <c r="R2070" s="8">
        <f t="shared" si="137"/>
        <v>2026</v>
      </c>
    </row>
    <row r="2071" spans="1:18" hidden="1" x14ac:dyDescent="0.25">
      <c r="A2071" s="224"/>
      <c r="B2071" s="96">
        <v>46248</v>
      </c>
      <c r="C2071" s="52" t="s">
        <v>53</v>
      </c>
      <c r="D2071" s="53" t="s">
        <v>38</v>
      </c>
      <c r="E2071" s="53"/>
      <c r="F2071" s="54"/>
      <c r="G2071" s="53"/>
      <c r="H2071" s="53">
        <v>0</v>
      </c>
      <c r="I2071" s="53">
        <v>0</v>
      </c>
      <c r="J2071" s="53">
        <v>0</v>
      </c>
      <c r="K2071" s="55"/>
      <c r="L2071" s="55">
        <f t="shared" si="134"/>
        <v>0</v>
      </c>
      <c r="M2071" s="55">
        <v>0</v>
      </c>
      <c r="N2071" s="101">
        <f t="shared" si="135"/>
        <v>0</v>
      </c>
      <c r="O2071" s="57"/>
      <c r="P2071" s="145" t="str">
        <f t="shared" si="133"/>
        <v/>
      </c>
      <c r="Q2071" s="52">
        <f t="shared" si="136"/>
        <v>33</v>
      </c>
      <c r="R2071" s="8">
        <f t="shared" si="137"/>
        <v>2026</v>
      </c>
    </row>
    <row r="2072" spans="1:18" hidden="1" x14ac:dyDescent="0.25">
      <c r="A2072" s="224"/>
      <c r="B2072" s="97">
        <v>46249</v>
      </c>
      <c r="C2072" s="58" t="s">
        <v>57</v>
      </c>
      <c r="D2072" s="60" t="s">
        <v>38</v>
      </c>
      <c r="E2072" s="60"/>
      <c r="F2072" s="61"/>
      <c r="G2072" s="60"/>
      <c r="H2072" s="60">
        <v>0</v>
      </c>
      <c r="I2072" s="60">
        <v>0</v>
      </c>
      <c r="J2072" s="60">
        <v>0</v>
      </c>
      <c r="K2072" s="62"/>
      <c r="L2072" s="62">
        <f t="shared" si="134"/>
        <v>0</v>
      </c>
      <c r="M2072" s="62">
        <v>0</v>
      </c>
      <c r="N2072" s="102">
        <f t="shared" si="135"/>
        <v>0</v>
      </c>
      <c r="O2072" s="64"/>
      <c r="P2072" s="145" t="str">
        <f t="shared" si="133"/>
        <v/>
      </c>
      <c r="Q2072" s="52">
        <f t="shared" si="136"/>
        <v>33</v>
      </c>
      <c r="R2072" s="8">
        <f t="shared" si="137"/>
        <v>2026</v>
      </c>
    </row>
    <row r="2073" spans="1:18" ht="15.75" hidden="1" thickBot="1" x14ac:dyDescent="0.3">
      <c r="A2073" s="225"/>
      <c r="B2073" s="98">
        <v>46250</v>
      </c>
      <c r="C2073" s="66" t="s">
        <v>59</v>
      </c>
      <c r="D2073" s="67" t="s">
        <v>38</v>
      </c>
      <c r="E2073" s="67"/>
      <c r="F2073" s="68"/>
      <c r="G2073" s="67"/>
      <c r="H2073" s="67">
        <v>0</v>
      </c>
      <c r="I2073" s="67">
        <v>0</v>
      </c>
      <c r="J2073" s="67">
        <v>0</v>
      </c>
      <c r="K2073" s="69"/>
      <c r="L2073" s="69">
        <f t="shared" si="134"/>
        <v>0</v>
      </c>
      <c r="M2073" s="69">
        <v>0</v>
      </c>
      <c r="N2073" s="103">
        <f t="shared" si="135"/>
        <v>0</v>
      </c>
      <c r="O2073" s="71"/>
      <c r="P2073" s="145" t="str">
        <f t="shared" si="133"/>
        <v/>
      </c>
      <c r="Q2073" s="52">
        <f t="shared" si="136"/>
        <v>33</v>
      </c>
      <c r="R2073" s="8">
        <f t="shared" si="137"/>
        <v>2026</v>
      </c>
    </row>
    <row r="2074" spans="1:18" hidden="1" x14ac:dyDescent="0.25">
      <c r="A2074" s="223">
        <f>_xlfn.ISOWEEKNUM(B2074)</f>
        <v>34</v>
      </c>
      <c r="B2074" s="96">
        <v>46251</v>
      </c>
      <c r="C2074" s="72" t="s">
        <v>37</v>
      </c>
      <c r="D2074" s="41" t="s">
        <v>38</v>
      </c>
      <c r="E2074" s="41"/>
      <c r="F2074" s="43"/>
      <c r="G2074" s="41"/>
      <c r="H2074" s="41">
        <v>0</v>
      </c>
      <c r="I2074" s="41">
        <v>0</v>
      </c>
      <c r="J2074" s="41">
        <v>0</v>
      </c>
      <c r="K2074" s="73"/>
      <c r="L2074" s="73">
        <f t="shared" si="134"/>
        <v>0</v>
      </c>
      <c r="M2074" s="73">
        <v>0</v>
      </c>
      <c r="N2074" s="105">
        <f t="shared" si="135"/>
        <v>0</v>
      </c>
      <c r="O2074" s="46"/>
      <c r="P2074" s="145" t="str">
        <f t="shared" si="133"/>
        <v/>
      </c>
      <c r="Q2074" s="52">
        <f t="shared" si="136"/>
        <v>34</v>
      </c>
      <c r="R2074" s="8">
        <f t="shared" si="137"/>
        <v>2026</v>
      </c>
    </row>
    <row r="2075" spans="1:18" hidden="1" x14ac:dyDescent="0.25">
      <c r="A2075" s="224"/>
      <c r="B2075" s="96">
        <v>46252</v>
      </c>
      <c r="C2075" s="52" t="s">
        <v>42</v>
      </c>
      <c r="D2075" s="53" t="s">
        <v>38</v>
      </c>
      <c r="E2075" s="53"/>
      <c r="F2075" s="54"/>
      <c r="G2075" s="53"/>
      <c r="H2075" s="53">
        <v>0</v>
      </c>
      <c r="I2075" s="53">
        <v>0</v>
      </c>
      <c r="J2075" s="53">
        <v>0</v>
      </c>
      <c r="K2075" s="55"/>
      <c r="L2075" s="55">
        <f t="shared" si="134"/>
        <v>0</v>
      </c>
      <c r="M2075" s="55">
        <v>0</v>
      </c>
      <c r="N2075" s="101">
        <f t="shared" si="135"/>
        <v>0</v>
      </c>
      <c r="O2075" s="57"/>
      <c r="P2075" s="145" t="str">
        <f t="shared" si="133"/>
        <v/>
      </c>
      <c r="Q2075" s="52">
        <f t="shared" si="136"/>
        <v>34</v>
      </c>
      <c r="R2075" s="8">
        <f t="shared" si="137"/>
        <v>2026</v>
      </c>
    </row>
    <row r="2076" spans="1:18" hidden="1" x14ac:dyDescent="0.25">
      <c r="A2076" s="224"/>
      <c r="B2076" s="96">
        <v>46253</v>
      </c>
      <c r="C2076" s="52" t="s">
        <v>46</v>
      </c>
      <c r="D2076" s="53" t="s">
        <v>38</v>
      </c>
      <c r="E2076" s="53"/>
      <c r="F2076" s="54"/>
      <c r="G2076" s="53"/>
      <c r="H2076" s="53">
        <v>0</v>
      </c>
      <c r="I2076" s="53">
        <v>0</v>
      </c>
      <c r="J2076" s="53">
        <v>0</v>
      </c>
      <c r="K2076" s="55"/>
      <c r="L2076" s="55">
        <f t="shared" si="134"/>
        <v>0</v>
      </c>
      <c r="M2076" s="55">
        <v>0</v>
      </c>
      <c r="N2076" s="101">
        <f t="shared" si="135"/>
        <v>0</v>
      </c>
      <c r="O2076" s="57"/>
      <c r="P2076" s="145" t="str">
        <f t="shared" si="133"/>
        <v/>
      </c>
      <c r="Q2076" s="52">
        <f t="shared" si="136"/>
        <v>34</v>
      </c>
      <c r="R2076" s="8">
        <f t="shared" si="137"/>
        <v>2026</v>
      </c>
    </row>
    <row r="2077" spans="1:18" hidden="1" x14ac:dyDescent="0.25">
      <c r="A2077" s="224"/>
      <c r="B2077" s="96">
        <v>46254</v>
      </c>
      <c r="C2077" s="52" t="s">
        <v>50</v>
      </c>
      <c r="D2077" s="53" t="s">
        <v>38</v>
      </c>
      <c r="E2077" s="53"/>
      <c r="F2077" s="54"/>
      <c r="G2077" s="53"/>
      <c r="H2077" s="53">
        <v>0</v>
      </c>
      <c r="I2077" s="53">
        <v>0</v>
      </c>
      <c r="J2077" s="53">
        <v>0</v>
      </c>
      <c r="K2077" s="55"/>
      <c r="L2077" s="55">
        <f t="shared" si="134"/>
        <v>0</v>
      </c>
      <c r="M2077" s="55">
        <v>0</v>
      </c>
      <c r="N2077" s="101">
        <f t="shared" si="135"/>
        <v>0</v>
      </c>
      <c r="O2077" s="57"/>
      <c r="P2077" s="145" t="str">
        <f t="shared" si="133"/>
        <v/>
      </c>
      <c r="Q2077" s="52">
        <f t="shared" si="136"/>
        <v>34</v>
      </c>
      <c r="R2077" s="8">
        <f t="shared" si="137"/>
        <v>2026</v>
      </c>
    </row>
    <row r="2078" spans="1:18" hidden="1" x14ac:dyDescent="0.25">
      <c r="A2078" s="224"/>
      <c r="B2078" s="96">
        <v>46255</v>
      </c>
      <c r="C2078" s="52" t="s">
        <v>53</v>
      </c>
      <c r="D2078" s="53" t="s">
        <v>38</v>
      </c>
      <c r="E2078" s="53"/>
      <c r="F2078" s="54"/>
      <c r="G2078" s="53"/>
      <c r="H2078" s="53">
        <v>0</v>
      </c>
      <c r="I2078" s="53">
        <v>0</v>
      </c>
      <c r="J2078" s="53">
        <v>0</v>
      </c>
      <c r="K2078" s="55"/>
      <c r="L2078" s="55">
        <f t="shared" si="134"/>
        <v>0</v>
      </c>
      <c r="M2078" s="55">
        <v>0</v>
      </c>
      <c r="N2078" s="101">
        <f t="shared" si="135"/>
        <v>0</v>
      </c>
      <c r="O2078" s="57"/>
      <c r="P2078" s="145" t="str">
        <f t="shared" si="133"/>
        <v/>
      </c>
      <c r="Q2078" s="52">
        <f t="shared" si="136"/>
        <v>34</v>
      </c>
      <c r="R2078" s="8">
        <f t="shared" si="137"/>
        <v>2026</v>
      </c>
    </row>
    <row r="2079" spans="1:18" hidden="1" x14ac:dyDescent="0.25">
      <c r="A2079" s="224"/>
      <c r="B2079" s="97">
        <v>46256</v>
      </c>
      <c r="C2079" s="58" t="s">
        <v>57</v>
      </c>
      <c r="D2079" s="60" t="s">
        <v>38</v>
      </c>
      <c r="E2079" s="60"/>
      <c r="F2079" s="61"/>
      <c r="G2079" s="60"/>
      <c r="H2079" s="60">
        <v>0</v>
      </c>
      <c r="I2079" s="60">
        <v>0</v>
      </c>
      <c r="J2079" s="60">
        <v>0</v>
      </c>
      <c r="K2079" s="62"/>
      <c r="L2079" s="62">
        <f t="shared" si="134"/>
        <v>0</v>
      </c>
      <c r="M2079" s="62">
        <v>0</v>
      </c>
      <c r="N2079" s="102">
        <f t="shared" si="135"/>
        <v>0</v>
      </c>
      <c r="O2079" s="64"/>
      <c r="P2079" s="145" t="str">
        <f t="shared" si="133"/>
        <v/>
      </c>
      <c r="Q2079" s="52">
        <f t="shared" si="136"/>
        <v>34</v>
      </c>
      <c r="R2079" s="8">
        <f t="shared" si="137"/>
        <v>2026</v>
      </c>
    </row>
    <row r="2080" spans="1:18" ht="15.75" hidden="1" thickBot="1" x14ac:dyDescent="0.3">
      <c r="A2080" s="225"/>
      <c r="B2080" s="98">
        <v>46257</v>
      </c>
      <c r="C2080" s="66" t="s">
        <v>59</v>
      </c>
      <c r="D2080" s="67" t="s">
        <v>38</v>
      </c>
      <c r="E2080" s="67"/>
      <c r="F2080" s="68"/>
      <c r="G2080" s="67"/>
      <c r="H2080" s="67">
        <v>0</v>
      </c>
      <c r="I2080" s="67">
        <v>0</v>
      </c>
      <c r="J2080" s="67">
        <v>0</v>
      </c>
      <c r="K2080" s="69"/>
      <c r="L2080" s="69">
        <f t="shared" si="134"/>
        <v>0</v>
      </c>
      <c r="M2080" s="69">
        <v>0</v>
      </c>
      <c r="N2080" s="103">
        <f t="shared" si="135"/>
        <v>0</v>
      </c>
      <c r="O2080" s="71"/>
      <c r="P2080" s="145" t="str">
        <f t="shared" si="133"/>
        <v/>
      </c>
      <c r="Q2080" s="52">
        <f t="shared" si="136"/>
        <v>34</v>
      </c>
      <c r="R2080" s="8">
        <f t="shared" si="137"/>
        <v>2026</v>
      </c>
    </row>
    <row r="2081" spans="1:18" hidden="1" x14ac:dyDescent="0.25">
      <c r="A2081" s="223">
        <f>_xlfn.ISOWEEKNUM(B2081)</f>
        <v>35</v>
      </c>
      <c r="B2081" s="96">
        <v>46258</v>
      </c>
      <c r="C2081" s="72" t="s">
        <v>37</v>
      </c>
      <c r="D2081" s="41" t="s">
        <v>38</v>
      </c>
      <c r="E2081" s="41"/>
      <c r="F2081" s="43"/>
      <c r="G2081" s="41"/>
      <c r="H2081" s="41">
        <v>0</v>
      </c>
      <c r="I2081" s="41">
        <v>0</v>
      </c>
      <c r="J2081" s="41">
        <v>0</v>
      </c>
      <c r="K2081" s="73"/>
      <c r="L2081" s="73">
        <f t="shared" si="134"/>
        <v>0</v>
      </c>
      <c r="M2081" s="73">
        <v>0</v>
      </c>
      <c r="N2081" s="105">
        <f t="shared" si="135"/>
        <v>0</v>
      </c>
      <c r="O2081" s="46"/>
      <c r="P2081" s="145" t="str">
        <f t="shared" si="133"/>
        <v/>
      </c>
      <c r="Q2081" s="52">
        <f t="shared" si="136"/>
        <v>35</v>
      </c>
      <c r="R2081" s="8">
        <f t="shared" si="137"/>
        <v>2026</v>
      </c>
    </row>
    <row r="2082" spans="1:18" hidden="1" x14ac:dyDescent="0.25">
      <c r="A2082" s="224"/>
      <c r="B2082" s="96">
        <v>46259</v>
      </c>
      <c r="C2082" s="52" t="s">
        <v>42</v>
      </c>
      <c r="D2082" s="53" t="s">
        <v>38</v>
      </c>
      <c r="E2082" s="53"/>
      <c r="F2082" s="54"/>
      <c r="G2082" s="53"/>
      <c r="H2082" s="53">
        <v>0</v>
      </c>
      <c r="I2082" s="53">
        <v>0</v>
      </c>
      <c r="J2082" s="53">
        <v>0</v>
      </c>
      <c r="K2082" s="55"/>
      <c r="L2082" s="55">
        <f t="shared" si="134"/>
        <v>0</v>
      </c>
      <c r="M2082" s="55">
        <v>0</v>
      </c>
      <c r="N2082" s="101">
        <f t="shared" si="135"/>
        <v>0</v>
      </c>
      <c r="O2082" s="57"/>
      <c r="P2082" s="145" t="str">
        <f t="shared" si="133"/>
        <v/>
      </c>
      <c r="Q2082" s="52">
        <f t="shared" si="136"/>
        <v>35</v>
      </c>
      <c r="R2082" s="8">
        <f t="shared" si="137"/>
        <v>2026</v>
      </c>
    </row>
    <row r="2083" spans="1:18" hidden="1" x14ac:dyDescent="0.25">
      <c r="A2083" s="224"/>
      <c r="B2083" s="96">
        <v>46260</v>
      </c>
      <c r="C2083" s="52" t="s">
        <v>46</v>
      </c>
      <c r="D2083" s="53" t="s">
        <v>38</v>
      </c>
      <c r="E2083" s="53"/>
      <c r="F2083" s="54"/>
      <c r="G2083" s="53"/>
      <c r="H2083" s="53">
        <v>0</v>
      </c>
      <c r="I2083" s="53">
        <v>0</v>
      </c>
      <c r="J2083" s="53">
        <v>0</v>
      </c>
      <c r="K2083" s="55"/>
      <c r="L2083" s="55">
        <f t="shared" si="134"/>
        <v>0</v>
      </c>
      <c r="M2083" s="55">
        <v>0</v>
      </c>
      <c r="N2083" s="101">
        <f t="shared" si="135"/>
        <v>0</v>
      </c>
      <c r="O2083" s="57"/>
      <c r="P2083" s="145" t="str">
        <f t="shared" si="133"/>
        <v/>
      </c>
      <c r="Q2083" s="52">
        <f t="shared" si="136"/>
        <v>35</v>
      </c>
      <c r="R2083" s="8">
        <f t="shared" si="137"/>
        <v>2026</v>
      </c>
    </row>
    <row r="2084" spans="1:18" hidden="1" x14ac:dyDescent="0.25">
      <c r="A2084" s="224"/>
      <c r="B2084" s="96">
        <v>46261</v>
      </c>
      <c r="C2084" s="52" t="s">
        <v>50</v>
      </c>
      <c r="D2084" s="53" t="s">
        <v>38</v>
      </c>
      <c r="E2084" s="53"/>
      <c r="F2084" s="54"/>
      <c r="G2084" s="53"/>
      <c r="H2084" s="53">
        <v>0</v>
      </c>
      <c r="I2084" s="53">
        <v>0</v>
      </c>
      <c r="J2084" s="53">
        <v>0</v>
      </c>
      <c r="K2084" s="55"/>
      <c r="L2084" s="55">
        <f t="shared" si="134"/>
        <v>0</v>
      </c>
      <c r="M2084" s="55">
        <v>0</v>
      </c>
      <c r="N2084" s="101">
        <f t="shared" si="135"/>
        <v>0</v>
      </c>
      <c r="O2084" s="57"/>
      <c r="P2084" s="145" t="str">
        <f t="shared" si="133"/>
        <v/>
      </c>
      <c r="Q2084" s="52">
        <f t="shared" si="136"/>
        <v>35</v>
      </c>
      <c r="R2084" s="8">
        <f t="shared" si="137"/>
        <v>2026</v>
      </c>
    </row>
    <row r="2085" spans="1:18" hidden="1" x14ac:dyDescent="0.25">
      <c r="A2085" s="224"/>
      <c r="B2085" s="96">
        <v>46262</v>
      </c>
      <c r="C2085" s="52" t="s">
        <v>53</v>
      </c>
      <c r="D2085" s="53" t="s">
        <v>38</v>
      </c>
      <c r="E2085" s="53"/>
      <c r="F2085" s="54"/>
      <c r="G2085" s="53"/>
      <c r="H2085" s="53">
        <v>0</v>
      </c>
      <c r="I2085" s="53">
        <v>0</v>
      </c>
      <c r="J2085" s="53">
        <v>0</v>
      </c>
      <c r="K2085" s="55"/>
      <c r="L2085" s="55">
        <f t="shared" si="134"/>
        <v>0</v>
      </c>
      <c r="M2085" s="55">
        <v>0</v>
      </c>
      <c r="N2085" s="101">
        <f t="shared" si="135"/>
        <v>0</v>
      </c>
      <c r="O2085" s="57"/>
      <c r="P2085" s="145" t="str">
        <f t="shared" si="133"/>
        <v/>
      </c>
      <c r="Q2085" s="52">
        <f t="shared" si="136"/>
        <v>35</v>
      </c>
      <c r="R2085" s="8">
        <f t="shared" si="137"/>
        <v>2026</v>
      </c>
    </row>
    <row r="2086" spans="1:18" hidden="1" x14ac:dyDescent="0.25">
      <c r="A2086" s="224"/>
      <c r="B2086" s="97">
        <v>46263</v>
      </c>
      <c r="C2086" s="58" t="s">
        <v>57</v>
      </c>
      <c r="D2086" s="60" t="s">
        <v>38</v>
      </c>
      <c r="E2086" s="60"/>
      <c r="F2086" s="61"/>
      <c r="G2086" s="60"/>
      <c r="H2086" s="60">
        <v>0</v>
      </c>
      <c r="I2086" s="60">
        <v>0</v>
      </c>
      <c r="J2086" s="60">
        <v>0</v>
      </c>
      <c r="K2086" s="62"/>
      <c r="L2086" s="62">
        <f t="shared" si="134"/>
        <v>0</v>
      </c>
      <c r="M2086" s="62">
        <v>0</v>
      </c>
      <c r="N2086" s="102">
        <f t="shared" si="135"/>
        <v>0</v>
      </c>
      <c r="O2086" s="64"/>
      <c r="P2086" s="145" t="str">
        <f t="shared" si="133"/>
        <v/>
      </c>
      <c r="Q2086" s="52">
        <f t="shared" si="136"/>
        <v>35</v>
      </c>
      <c r="R2086" s="8">
        <f t="shared" si="137"/>
        <v>2026</v>
      </c>
    </row>
    <row r="2087" spans="1:18" ht="15.75" hidden="1" thickBot="1" x14ac:dyDescent="0.3">
      <c r="A2087" s="225"/>
      <c r="B2087" s="98">
        <v>46264</v>
      </c>
      <c r="C2087" s="66" t="s">
        <v>59</v>
      </c>
      <c r="D2087" s="67" t="s">
        <v>38</v>
      </c>
      <c r="E2087" s="67"/>
      <c r="F2087" s="68"/>
      <c r="G2087" s="67"/>
      <c r="H2087" s="67">
        <v>0</v>
      </c>
      <c r="I2087" s="67">
        <v>0</v>
      </c>
      <c r="J2087" s="67">
        <v>0</v>
      </c>
      <c r="K2087" s="69"/>
      <c r="L2087" s="69">
        <f t="shared" si="134"/>
        <v>0</v>
      </c>
      <c r="M2087" s="69">
        <v>0</v>
      </c>
      <c r="N2087" s="103">
        <f t="shared" si="135"/>
        <v>0</v>
      </c>
      <c r="O2087" s="71"/>
      <c r="P2087" s="145" t="str">
        <f t="shared" si="133"/>
        <v/>
      </c>
      <c r="Q2087" s="52">
        <f t="shared" si="136"/>
        <v>35</v>
      </c>
      <c r="R2087" s="8">
        <f t="shared" si="137"/>
        <v>2026</v>
      </c>
    </row>
    <row r="2088" spans="1:18" hidden="1" x14ac:dyDescent="0.25">
      <c r="A2088" s="223">
        <f>_xlfn.ISOWEEKNUM(B2088)</f>
        <v>36</v>
      </c>
      <c r="B2088" s="96">
        <v>46265</v>
      </c>
      <c r="C2088" s="72" t="s">
        <v>37</v>
      </c>
      <c r="D2088" s="41" t="s">
        <v>38</v>
      </c>
      <c r="E2088" s="41"/>
      <c r="F2088" s="43"/>
      <c r="G2088" s="41"/>
      <c r="H2088" s="41">
        <v>0</v>
      </c>
      <c r="I2088" s="41">
        <v>0</v>
      </c>
      <c r="J2088" s="41">
        <v>0</v>
      </c>
      <c r="K2088" s="73"/>
      <c r="L2088" s="73">
        <f t="shared" si="134"/>
        <v>0</v>
      </c>
      <c r="M2088" s="73">
        <v>0</v>
      </c>
      <c r="N2088" s="105">
        <f t="shared" si="135"/>
        <v>0</v>
      </c>
      <c r="O2088" s="46"/>
      <c r="P2088" s="145" t="str">
        <f t="shared" si="133"/>
        <v/>
      </c>
      <c r="Q2088" s="52">
        <f t="shared" si="136"/>
        <v>36</v>
      </c>
      <c r="R2088" s="8">
        <f t="shared" si="137"/>
        <v>2026</v>
      </c>
    </row>
    <row r="2089" spans="1:18" hidden="1" x14ac:dyDescent="0.25">
      <c r="A2089" s="224"/>
      <c r="B2089" s="96">
        <v>46266</v>
      </c>
      <c r="C2089" s="52" t="s">
        <v>42</v>
      </c>
      <c r="D2089" s="53" t="s">
        <v>38</v>
      </c>
      <c r="E2089" s="53"/>
      <c r="F2089" s="54"/>
      <c r="G2089" s="53"/>
      <c r="H2089" s="53">
        <v>0</v>
      </c>
      <c r="I2089" s="53">
        <v>0</v>
      </c>
      <c r="J2089" s="53">
        <v>0</v>
      </c>
      <c r="K2089" s="55"/>
      <c r="L2089" s="55">
        <f t="shared" si="134"/>
        <v>0</v>
      </c>
      <c r="M2089" s="55">
        <v>0</v>
      </c>
      <c r="N2089" s="101">
        <f t="shared" si="135"/>
        <v>0</v>
      </c>
      <c r="O2089" s="57"/>
      <c r="P2089" s="145" t="str">
        <f t="shared" si="133"/>
        <v/>
      </c>
      <c r="Q2089" s="52">
        <f t="shared" si="136"/>
        <v>36</v>
      </c>
      <c r="R2089" s="8">
        <f t="shared" si="137"/>
        <v>2026</v>
      </c>
    </row>
    <row r="2090" spans="1:18" hidden="1" x14ac:dyDescent="0.25">
      <c r="A2090" s="224"/>
      <c r="B2090" s="96">
        <v>46267</v>
      </c>
      <c r="C2090" s="52" t="s">
        <v>46</v>
      </c>
      <c r="D2090" s="53" t="s">
        <v>38</v>
      </c>
      <c r="E2090" s="53"/>
      <c r="F2090" s="54"/>
      <c r="G2090" s="53"/>
      <c r="H2090" s="53">
        <v>0</v>
      </c>
      <c r="I2090" s="53">
        <v>0</v>
      </c>
      <c r="J2090" s="53">
        <v>0</v>
      </c>
      <c r="K2090" s="55"/>
      <c r="L2090" s="55">
        <f t="shared" si="134"/>
        <v>0</v>
      </c>
      <c r="M2090" s="55">
        <v>0</v>
      </c>
      <c r="N2090" s="101">
        <f t="shared" si="135"/>
        <v>0</v>
      </c>
      <c r="O2090" s="57"/>
      <c r="P2090" s="145" t="str">
        <f t="shared" si="133"/>
        <v/>
      </c>
      <c r="Q2090" s="52">
        <f t="shared" si="136"/>
        <v>36</v>
      </c>
      <c r="R2090" s="8">
        <f t="shared" si="137"/>
        <v>2026</v>
      </c>
    </row>
    <row r="2091" spans="1:18" hidden="1" x14ac:dyDescent="0.25">
      <c r="A2091" s="224"/>
      <c r="B2091" s="96">
        <v>46268</v>
      </c>
      <c r="C2091" s="52" t="s">
        <v>50</v>
      </c>
      <c r="D2091" s="53" t="s">
        <v>38</v>
      </c>
      <c r="E2091" s="53"/>
      <c r="F2091" s="54"/>
      <c r="G2091" s="53"/>
      <c r="H2091" s="53">
        <v>0</v>
      </c>
      <c r="I2091" s="53">
        <v>0</v>
      </c>
      <c r="J2091" s="53">
        <v>0</v>
      </c>
      <c r="K2091" s="55"/>
      <c r="L2091" s="55">
        <f t="shared" si="134"/>
        <v>0</v>
      </c>
      <c r="M2091" s="55">
        <v>0</v>
      </c>
      <c r="N2091" s="101">
        <f t="shared" si="135"/>
        <v>0</v>
      </c>
      <c r="O2091" s="57"/>
      <c r="P2091" s="145" t="str">
        <f t="shared" si="133"/>
        <v/>
      </c>
      <c r="Q2091" s="52">
        <f t="shared" si="136"/>
        <v>36</v>
      </c>
      <c r="R2091" s="8">
        <f t="shared" si="137"/>
        <v>2026</v>
      </c>
    </row>
    <row r="2092" spans="1:18" hidden="1" x14ac:dyDescent="0.25">
      <c r="A2092" s="224"/>
      <c r="B2092" s="96">
        <v>46269</v>
      </c>
      <c r="C2092" s="52" t="s">
        <v>53</v>
      </c>
      <c r="D2092" s="53" t="s">
        <v>38</v>
      </c>
      <c r="E2092" s="53"/>
      <c r="F2092" s="54"/>
      <c r="G2092" s="53"/>
      <c r="H2092" s="53">
        <v>0</v>
      </c>
      <c r="I2092" s="53">
        <v>0</v>
      </c>
      <c r="J2092" s="53">
        <v>0</v>
      </c>
      <c r="K2092" s="55"/>
      <c r="L2092" s="55">
        <f t="shared" si="134"/>
        <v>0</v>
      </c>
      <c r="M2092" s="55">
        <v>0</v>
      </c>
      <c r="N2092" s="101">
        <f t="shared" si="135"/>
        <v>0</v>
      </c>
      <c r="O2092" s="57"/>
      <c r="P2092" s="145" t="str">
        <f t="shared" si="133"/>
        <v/>
      </c>
      <c r="Q2092" s="52">
        <f t="shared" si="136"/>
        <v>36</v>
      </c>
      <c r="R2092" s="8">
        <f t="shared" si="137"/>
        <v>2026</v>
      </c>
    </row>
    <row r="2093" spans="1:18" hidden="1" x14ac:dyDescent="0.25">
      <c r="A2093" s="224"/>
      <c r="B2093" s="97">
        <v>46270</v>
      </c>
      <c r="C2093" s="58" t="s">
        <v>57</v>
      </c>
      <c r="D2093" s="60" t="s">
        <v>38</v>
      </c>
      <c r="E2093" s="60"/>
      <c r="F2093" s="61"/>
      <c r="G2093" s="60"/>
      <c r="H2093" s="60">
        <v>0</v>
      </c>
      <c r="I2093" s="60">
        <v>0</v>
      </c>
      <c r="J2093" s="60">
        <v>0</v>
      </c>
      <c r="K2093" s="62"/>
      <c r="L2093" s="62">
        <f t="shared" si="134"/>
        <v>0</v>
      </c>
      <c r="M2093" s="62">
        <v>0</v>
      </c>
      <c r="N2093" s="102">
        <f t="shared" si="135"/>
        <v>0</v>
      </c>
      <c r="O2093" s="64"/>
      <c r="P2093" s="145" t="str">
        <f t="shared" si="133"/>
        <v/>
      </c>
      <c r="Q2093" s="52">
        <f t="shared" si="136"/>
        <v>36</v>
      </c>
      <c r="R2093" s="8">
        <f t="shared" si="137"/>
        <v>2026</v>
      </c>
    </row>
    <row r="2094" spans="1:18" ht="15.75" hidden="1" thickBot="1" x14ac:dyDescent="0.3">
      <c r="A2094" s="225"/>
      <c r="B2094" s="98">
        <v>46271</v>
      </c>
      <c r="C2094" s="66" t="s">
        <v>59</v>
      </c>
      <c r="D2094" s="67" t="s">
        <v>38</v>
      </c>
      <c r="E2094" s="67"/>
      <c r="F2094" s="68"/>
      <c r="G2094" s="67"/>
      <c r="H2094" s="67">
        <v>0</v>
      </c>
      <c r="I2094" s="67">
        <v>0</v>
      </c>
      <c r="J2094" s="67">
        <v>0</v>
      </c>
      <c r="K2094" s="69"/>
      <c r="L2094" s="69">
        <f t="shared" si="134"/>
        <v>0</v>
      </c>
      <c r="M2094" s="69">
        <v>0</v>
      </c>
      <c r="N2094" s="103">
        <f t="shared" si="135"/>
        <v>0</v>
      </c>
      <c r="O2094" s="71"/>
      <c r="P2094" s="145" t="str">
        <f t="shared" si="133"/>
        <v/>
      </c>
      <c r="Q2094" s="52">
        <f t="shared" si="136"/>
        <v>36</v>
      </c>
      <c r="R2094" s="8">
        <f t="shared" si="137"/>
        <v>2026</v>
      </c>
    </row>
    <row r="2095" spans="1:18" hidden="1" x14ac:dyDescent="0.25">
      <c r="A2095" s="223">
        <f>_xlfn.ISOWEEKNUM(B2095)</f>
        <v>37</v>
      </c>
      <c r="B2095" s="96">
        <v>46272</v>
      </c>
      <c r="C2095" s="72" t="s">
        <v>37</v>
      </c>
      <c r="D2095" s="41" t="s">
        <v>38</v>
      </c>
      <c r="E2095" s="41"/>
      <c r="F2095" s="43"/>
      <c r="G2095" s="41"/>
      <c r="H2095" s="41">
        <v>0</v>
      </c>
      <c r="I2095" s="41">
        <v>0</v>
      </c>
      <c r="J2095" s="41">
        <v>0</v>
      </c>
      <c r="K2095" s="73"/>
      <c r="L2095" s="73">
        <f t="shared" si="134"/>
        <v>0</v>
      </c>
      <c r="M2095" s="73">
        <v>0</v>
      </c>
      <c r="N2095" s="105">
        <f t="shared" si="135"/>
        <v>0</v>
      </c>
      <c r="O2095" s="46"/>
      <c r="P2095" s="145" t="str">
        <f t="shared" ref="P2095:P2158" si="138">E2095&amp;G2095</f>
        <v/>
      </c>
      <c r="Q2095" s="52">
        <f t="shared" si="136"/>
        <v>37</v>
      </c>
      <c r="R2095" s="8">
        <f t="shared" si="137"/>
        <v>2026</v>
      </c>
    </row>
    <row r="2096" spans="1:18" hidden="1" x14ac:dyDescent="0.25">
      <c r="A2096" s="224"/>
      <c r="B2096" s="96">
        <v>46273</v>
      </c>
      <c r="C2096" s="52" t="s">
        <v>42</v>
      </c>
      <c r="D2096" s="53" t="s">
        <v>38</v>
      </c>
      <c r="E2096" s="53"/>
      <c r="F2096" s="54"/>
      <c r="G2096" s="53"/>
      <c r="H2096" s="53">
        <v>0</v>
      </c>
      <c r="I2096" s="53">
        <v>0</v>
      </c>
      <c r="J2096" s="53">
        <v>0</v>
      </c>
      <c r="K2096" s="55"/>
      <c r="L2096" s="55">
        <f t="shared" si="134"/>
        <v>0</v>
      </c>
      <c r="M2096" s="55">
        <v>0</v>
      </c>
      <c r="N2096" s="101">
        <f t="shared" si="135"/>
        <v>0</v>
      </c>
      <c r="O2096" s="57"/>
      <c r="P2096" s="145" t="str">
        <f t="shared" si="138"/>
        <v/>
      </c>
      <c r="Q2096" s="52">
        <f t="shared" si="136"/>
        <v>37</v>
      </c>
      <c r="R2096" s="8">
        <f t="shared" si="137"/>
        <v>2026</v>
      </c>
    </row>
    <row r="2097" spans="1:18" hidden="1" x14ac:dyDescent="0.25">
      <c r="A2097" s="224"/>
      <c r="B2097" s="96">
        <v>46274</v>
      </c>
      <c r="C2097" s="52" t="s">
        <v>46</v>
      </c>
      <c r="D2097" s="53" t="s">
        <v>38</v>
      </c>
      <c r="E2097" s="53"/>
      <c r="F2097" s="54"/>
      <c r="G2097" s="53"/>
      <c r="H2097" s="53">
        <v>0</v>
      </c>
      <c r="I2097" s="53">
        <v>0</v>
      </c>
      <c r="J2097" s="53">
        <v>0</v>
      </c>
      <c r="K2097" s="55"/>
      <c r="L2097" s="55">
        <f t="shared" si="134"/>
        <v>0</v>
      </c>
      <c r="M2097" s="55">
        <v>0</v>
      </c>
      <c r="N2097" s="101">
        <f t="shared" si="135"/>
        <v>0</v>
      </c>
      <c r="O2097" s="57"/>
      <c r="P2097" s="145" t="str">
        <f t="shared" si="138"/>
        <v/>
      </c>
      <c r="Q2097" s="52">
        <f t="shared" si="136"/>
        <v>37</v>
      </c>
      <c r="R2097" s="8">
        <f t="shared" si="137"/>
        <v>2026</v>
      </c>
    </row>
    <row r="2098" spans="1:18" hidden="1" x14ac:dyDescent="0.25">
      <c r="A2098" s="224"/>
      <c r="B2098" s="96">
        <v>46275</v>
      </c>
      <c r="C2098" s="52" t="s">
        <v>50</v>
      </c>
      <c r="D2098" s="53" t="s">
        <v>38</v>
      </c>
      <c r="E2098" s="53"/>
      <c r="F2098" s="54"/>
      <c r="G2098" s="53"/>
      <c r="H2098" s="53">
        <v>0</v>
      </c>
      <c r="I2098" s="53">
        <v>0</v>
      </c>
      <c r="J2098" s="53">
        <v>0</v>
      </c>
      <c r="K2098" s="55"/>
      <c r="L2098" s="55">
        <f t="shared" si="134"/>
        <v>0</v>
      </c>
      <c r="M2098" s="55">
        <v>0</v>
      </c>
      <c r="N2098" s="101">
        <f t="shared" si="135"/>
        <v>0</v>
      </c>
      <c r="O2098" s="57"/>
      <c r="P2098" s="145" t="str">
        <f t="shared" si="138"/>
        <v/>
      </c>
      <c r="Q2098" s="52">
        <f t="shared" si="136"/>
        <v>37</v>
      </c>
      <c r="R2098" s="8">
        <f t="shared" si="137"/>
        <v>2026</v>
      </c>
    </row>
    <row r="2099" spans="1:18" hidden="1" x14ac:dyDescent="0.25">
      <c r="A2099" s="224"/>
      <c r="B2099" s="96">
        <v>46276</v>
      </c>
      <c r="C2099" s="52" t="s">
        <v>53</v>
      </c>
      <c r="D2099" s="53" t="s">
        <v>38</v>
      </c>
      <c r="E2099" s="53"/>
      <c r="F2099" s="54"/>
      <c r="G2099" s="53"/>
      <c r="H2099" s="53">
        <v>0</v>
      </c>
      <c r="I2099" s="53">
        <v>0</v>
      </c>
      <c r="J2099" s="53">
        <v>0</v>
      </c>
      <c r="K2099" s="55"/>
      <c r="L2099" s="55">
        <f t="shared" si="134"/>
        <v>0</v>
      </c>
      <c r="M2099" s="55">
        <v>0</v>
      </c>
      <c r="N2099" s="101">
        <f t="shared" si="135"/>
        <v>0</v>
      </c>
      <c r="O2099" s="57"/>
      <c r="P2099" s="145" t="str">
        <f t="shared" si="138"/>
        <v/>
      </c>
      <c r="Q2099" s="52">
        <f t="shared" si="136"/>
        <v>37</v>
      </c>
      <c r="R2099" s="8">
        <f t="shared" si="137"/>
        <v>2026</v>
      </c>
    </row>
    <row r="2100" spans="1:18" hidden="1" x14ac:dyDescent="0.25">
      <c r="A2100" s="224"/>
      <c r="B2100" s="97">
        <v>46277</v>
      </c>
      <c r="C2100" s="58" t="s">
        <v>57</v>
      </c>
      <c r="D2100" s="60" t="s">
        <v>38</v>
      </c>
      <c r="E2100" s="60"/>
      <c r="F2100" s="61"/>
      <c r="G2100" s="60"/>
      <c r="H2100" s="60">
        <v>0</v>
      </c>
      <c r="I2100" s="60">
        <v>0</v>
      </c>
      <c r="J2100" s="60">
        <v>0</v>
      </c>
      <c r="K2100" s="62"/>
      <c r="L2100" s="62">
        <f t="shared" si="134"/>
        <v>0</v>
      </c>
      <c r="M2100" s="62">
        <v>0</v>
      </c>
      <c r="N2100" s="102">
        <f t="shared" si="135"/>
        <v>0</v>
      </c>
      <c r="O2100" s="64"/>
      <c r="P2100" s="145" t="str">
        <f t="shared" si="138"/>
        <v/>
      </c>
      <c r="Q2100" s="52">
        <f t="shared" si="136"/>
        <v>37</v>
      </c>
      <c r="R2100" s="8">
        <f t="shared" si="137"/>
        <v>2026</v>
      </c>
    </row>
    <row r="2101" spans="1:18" ht="15.75" hidden="1" thickBot="1" x14ac:dyDescent="0.3">
      <c r="A2101" s="225"/>
      <c r="B2101" s="98">
        <v>46278</v>
      </c>
      <c r="C2101" s="66" t="s">
        <v>59</v>
      </c>
      <c r="D2101" s="67" t="s">
        <v>38</v>
      </c>
      <c r="E2101" s="67"/>
      <c r="F2101" s="68"/>
      <c r="G2101" s="67"/>
      <c r="H2101" s="67">
        <v>0</v>
      </c>
      <c r="I2101" s="67">
        <v>0</v>
      </c>
      <c r="J2101" s="67">
        <v>0</v>
      </c>
      <c r="K2101" s="69"/>
      <c r="L2101" s="69">
        <f t="shared" si="134"/>
        <v>0</v>
      </c>
      <c r="M2101" s="69">
        <v>0</v>
      </c>
      <c r="N2101" s="103">
        <f t="shared" si="135"/>
        <v>0</v>
      </c>
      <c r="O2101" s="71"/>
      <c r="P2101" s="145" t="str">
        <f t="shared" si="138"/>
        <v/>
      </c>
      <c r="Q2101" s="52">
        <f t="shared" si="136"/>
        <v>37</v>
      </c>
      <c r="R2101" s="8">
        <f t="shared" si="137"/>
        <v>2026</v>
      </c>
    </row>
    <row r="2102" spans="1:18" hidden="1" x14ac:dyDescent="0.25">
      <c r="A2102" s="223">
        <f>_xlfn.ISOWEEKNUM(B2102)</f>
        <v>38</v>
      </c>
      <c r="B2102" s="96">
        <v>46279</v>
      </c>
      <c r="C2102" s="72" t="s">
        <v>37</v>
      </c>
      <c r="D2102" s="41" t="s">
        <v>38</v>
      </c>
      <c r="E2102" s="41"/>
      <c r="F2102" s="43"/>
      <c r="G2102" s="41"/>
      <c r="H2102" s="41">
        <v>0</v>
      </c>
      <c r="I2102" s="41">
        <v>0</v>
      </c>
      <c r="J2102" s="41">
        <v>0</v>
      </c>
      <c r="K2102" s="73"/>
      <c r="L2102" s="73">
        <f t="shared" ref="L2102:L2165" si="139">+I2102*K2102</f>
        <v>0</v>
      </c>
      <c r="M2102" s="73">
        <v>0</v>
      </c>
      <c r="N2102" s="105">
        <f t="shared" ref="N2102:N2165" si="140">+L2102*(1-M2102)</f>
        <v>0</v>
      </c>
      <c r="O2102" s="46"/>
      <c r="P2102" s="145" t="str">
        <f t="shared" si="138"/>
        <v/>
      </c>
      <c r="Q2102" s="52">
        <f t="shared" si="136"/>
        <v>38</v>
      </c>
      <c r="R2102" s="8">
        <f t="shared" si="137"/>
        <v>2026</v>
      </c>
    </row>
    <row r="2103" spans="1:18" hidden="1" x14ac:dyDescent="0.25">
      <c r="A2103" s="224"/>
      <c r="B2103" s="96">
        <v>46280</v>
      </c>
      <c r="C2103" s="52" t="s">
        <v>42</v>
      </c>
      <c r="D2103" s="53" t="s">
        <v>38</v>
      </c>
      <c r="E2103" s="53"/>
      <c r="F2103" s="54"/>
      <c r="G2103" s="53"/>
      <c r="H2103" s="53">
        <v>0</v>
      </c>
      <c r="I2103" s="53">
        <v>0</v>
      </c>
      <c r="J2103" s="53">
        <v>0</v>
      </c>
      <c r="K2103" s="55"/>
      <c r="L2103" s="55">
        <f t="shared" si="139"/>
        <v>0</v>
      </c>
      <c r="M2103" s="55">
        <v>0</v>
      </c>
      <c r="N2103" s="101">
        <f t="shared" si="140"/>
        <v>0</v>
      </c>
      <c r="O2103" s="57"/>
      <c r="P2103" s="145" t="str">
        <f t="shared" si="138"/>
        <v/>
      </c>
      <c r="Q2103" s="52">
        <f t="shared" si="136"/>
        <v>38</v>
      </c>
      <c r="R2103" s="8">
        <f t="shared" si="137"/>
        <v>2026</v>
      </c>
    </row>
    <row r="2104" spans="1:18" hidden="1" x14ac:dyDescent="0.25">
      <c r="A2104" s="224"/>
      <c r="B2104" s="96">
        <v>46281</v>
      </c>
      <c r="C2104" s="52" t="s">
        <v>46</v>
      </c>
      <c r="D2104" s="53" t="s">
        <v>38</v>
      </c>
      <c r="E2104" s="53"/>
      <c r="F2104" s="54"/>
      <c r="G2104" s="53"/>
      <c r="H2104" s="53">
        <v>0</v>
      </c>
      <c r="I2104" s="53">
        <v>0</v>
      </c>
      <c r="J2104" s="53">
        <v>0</v>
      </c>
      <c r="K2104" s="55"/>
      <c r="L2104" s="55">
        <f t="shared" si="139"/>
        <v>0</v>
      </c>
      <c r="M2104" s="55">
        <v>0</v>
      </c>
      <c r="N2104" s="101">
        <f t="shared" si="140"/>
        <v>0</v>
      </c>
      <c r="O2104" s="57"/>
      <c r="P2104" s="145" t="str">
        <f t="shared" si="138"/>
        <v/>
      </c>
      <c r="Q2104" s="52">
        <f t="shared" si="136"/>
        <v>38</v>
      </c>
      <c r="R2104" s="8">
        <f t="shared" si="137"/>
        <v>2026</v>
      </c>
    </row>
    <row r="2105" spans="1:18" hidden="1" x14ac:dyDescent="0.25">
      <c r="A2105" s="224"/>
      <c r="B2105" s="96">
        <v>46282</v>
      </c>
      <c r="C2105" s="52" t="s">
        <v>50</v>
      </c>
      <c r="D2105" s="53" t="s">
        <v>38</v>
      </c>
      <c r="E2105" s="53"/>
      <c r="F2105" s="54"/>
      <c r="G2105" s="53"/>
      <c r="H2105" s="53">
        <v>0</v>
      </c>
      <c r="I2105" s="53">
        <v>0</v>
      </c>
      <c r="J2105" s="53">
        <v>0</v>
      </c>
      <c r="K2105" s="55"/>
      <c r="L2105" s="55">
        <f t="shared" si="139"/>
        <v>0</v>
      </c>
      <c r="M2105" s="55">
        <v>0</v>
      </c>
      <c r="N2105" s="101">
        <f t="shared" si="140"/>
        <v>0</v>
      </c>
      <c r="O2105" s="57"/>
      <c r="P2105" s="145" t="str">
        <f t="shared" si="138"/>
        <v/>
      </c>
      <c r="Q2105" s="52">
        <f t="shared" si="136"/>
        <v>38</v>
      </c>
      <c r="R2105" s="8">
        <f t="shared" si="137"/>
        <v>2026</v>
      </c>
    </row>
    <row r="2106" spans="1:18" hidden="1" x14ac:dyDescent="0.25">
      <c r="A2106" s="224"/>
      <c r="B2106" s="96">
        <v>46283</v>
      </c>
      <c r="C2106" s="52" t="s">
        <v>53</v>
      </c>
      <c r="D2106" s="53" t="s">
        <v>38</v>
      </c>
      <c r="E2106" s="53"/>
      <c r="F2106" s="54"/>
      <c r="G2106" s="53"/>
      <c r="H2106" s="53">
        <v>0</v>
      </c>
      <c r="I2106" s="53">
        <v>0</v>
      </c>
      <c r="J2106" s="53">
        <v>0</v>
      </c>
      <c r="K2106" s="55"/>
      <c r="L2106" s="55">
        <f t="shared" si="139"/>
        <v>0</v>
      </c>
      <c r="M2106" s="55">
        <v>0</v>
      </c>
      <c r="N2106" s="101">
        <f t="shared" si="140"/>
        <v>0</v>
      </c>
      <c r="O2106" s="57"/>
      <c r="P2106" s="145" t="str">
        <f t="shared" si="138"/>
        <v/>
      </c>
      <c r="Q2106" s="52">
        <f t="shared" si="136"/>
        <v>38</v>
      </c>
      <c r="R2106" s="8">
        <f t="shared" si="137"/>
        <v>2026</v>
      </c>
    </row>
    <row r="2107" spans="1:18" hidden="1" x14ac:dyDescent="0.25">
      <c r="A2107" s="224"/>
      <c r="B2107" s="97">
        <v>46284</v>
      </c>
      <c r="C2107" s="58" t="s">
        <v>57</v>
      </c>
      <c r="D2107" s="60" t="s">
        <v>38</v>
      </c>
      <c r="E2107" s="60"/>
      <c r="F2107" s="61"/>
      <c r="G2107" s="60"/>
      <c r="H2107" s="60">
        <v>0</v>
      </c>
      <c r="I2107" s="60">
        <v>0</v>
      </c>
      <c r="J2107" s="60">
        <v>0</v>
      </c>
      <c r="K2107" s="62"/>
      <c r="L2107" s="62">
        <f t="shared" si="139"/>
        <v>0</v>
      </c>
      <c r="M2107" s="62">
        <v>0</v>
      </c>
      <c r="N2107" s="102">
        <f t="shared" si="140"/>
        <v>0</v>
      </c>
      <c r="O2107" s="64"/>
      <c r="P2107" s="145" t="str">
        <f t="shared" si="138"/>
        <v/>
      </c>
      <c r="Q2107" s="52">
        <f t="shared" si="136"/>
        <v>38</v>
      </c>
      <c r="R2107" s="8">
        <f t="shared" si="137"/>
        <v>2026</v>
      </c>
    </row>
    <row r="2108" spans="1:18" ht="15.75" hidden="1" thickBot="1" x14ac:dyDescent="0.3">
      <c r="A2108" s="225"/>
      <c r="B2108" s="98">
        <v>46285</v>
      </c>
      <c r="C2108" s="66" t="s">
        <v>59</v>
      </c>
      <c r="D2108" s="67" t="s">
        <v>38</v>
      </c>
      <c r="E2108" s="67"/>
      <c r="F2108" s="68"/>
      <c r="G2108" s="67"/>
      <c r="H2108" s="67">
        <v>0</v>
      </c>
      <c r="I2108" s="67">
        <v>0</v>
      </c>
      <c r="J2108" s="67">
        <v>0</v>
      </c>
      <c r="K2108" s="69"/>
      <c r="L2108" s="69">
        <f t="shared" si="139"/>
        <v>0</v>
      </c>
      <c r="M2108" s="69">
        <v>0</v>
      </c>
      <c r="N2108" s="103">
        <f t="shared" si="140"/>
        <v>0</v>
      </c>
      <c r="O2108" s="71"/>
      <c r="P2108" s="145" t="str">
        <f t="shared" si="138"/>
        <v/>
      </c>
      <c r="Q2108" s="52">
        <f t="shared" si="136"/>
        <v>38</v>
      </c>
      <c r="R2108" s="8">
        <f t="shared" si="137"/>
        <v>2026</v>
      </c>
    </row>
    <row r="2109" spans="1:18" hidden="1" x14ac:dyDescent="0.25">
      <c r="A2109" s="223">
        <f>_xlfn.ISOWEEKNUM(B2109)</f>
        <v>39</v>
      </c>
      <c r="B2109" s="96">
        <v>46286</v>
      </c>
      <c r="C2109" s="72" t="s">
        <v>37</v>
      </c>
      <c r="D2109" s="41" t="s">
        <v>38</v>
      </c>
      <c r="E2109" s="41"/>
      <c r="F2109" s="43"/>
      <c r="G2109" s="41"/>
      <c r="H2109" s="41">
        <v>0</v>
      </c>
      <c r="I2109" s="41">
        <v>0</v>
      </c>
      <c r="J2109" s="41">
        <v>0</v>
      </c>
      <c r="K2109" s="73"/>
      <c r="L2109" s="73">
        <f t="shared" si="139"/>
        <v>0</v>
      </c>
      <c r="M2109" s="73">
        <v>0</v>
      </c>
      <c r="N2109" s="105">
        <f t="shared" si="140"/>
        <v>0</v>
      </c>
      <c r="O2109" s="46"/>
      <c r="P2109" s="145" t="str">
        <f t="shared" si="138"/>
        <v/>
      </c>
      <c r="Q2109" s="52">
        <f t="shared" si="136"/>
        <v>39</v>
      </c>
      <c r="R2109" s="8">
        <f t="shared" si="137"/>
        <v>2026</v>
      </c>
    </row>
    <row r="2110" spans="1:18" hidden="1" x14ac:dyDescent="0.25">
      <c r="A2110" s="224"/>
      <c r="B2110" s="96">
        <v>46287</v>
      </c>
      <c r="C2110" s="52" t="s">
        <v>42</v>
      </c>
      <c r="D2110" s="53" t="s">
        <v>38</v>
      </c>
      <c r="E2110" s="53"/>
      <c r="F2110" s="54"/>
      <c r="G2110" s="53"/>
      <c r="H2110" s="53">
        <v>0</v>
      </c>
      <c r="I2110" s="53">
        <v>0</v>
      </c>
      <c r="J2110" s="53">
        <v>0</v>
      </c>
      <c r="K2110" s="55"/>
      <c r="L2110" s="55">
        <f t="shared" si="139"/>
        <v>0</v>
      </c>
      <c r="M2110" s="55">
        <v>0</v>
      </c>
      <c r="N2110" s="101">
        <f t="shared" si="140"/>
        <v>0</v>
      </c>
      <c r="O2110" s="57"/>
      <c r="P2110" s="145" t="str">
        <f t="shared" si="138"/>
        <v/>
      </c>
      <c r="Q2110" s="52">
        <f t="shared" si="136"/>
        <v>39</v>
      </c>
      <c r="R2110" s="8">
        <f t="shared" si="137"/>
        <v>2026</v>
      </c>
    </row>
    <row r="2111" spans="1:18" hidden="1" x14ac:dyDescent="0.25">
      <c r="A2111" s="224"/>
      <c r="B2111" s="96">
        <v>46288</v>
      </c>
      <c r="C2111" s="52" t="s">
        <v>46</v>
      </c>
      <c r="D2111" s="53" t="s">
        <v>38</v>
      </c>
      <c r="E2111" s="53"/>
      <c r="F2111" s="54"/>
      <c r="G2111" s="53"/>
      <c r="H2111" s="53">
        <v>0</v>
      </c>
      <c r="I2111" s="53">
        <v>0</v>
      </c>
      <c r="J2111" s="53">
        <v>0</v>
      </c>
      <c r="K2111" s="55"/>
      <c r="L2111" s="55">
        <f t="shared" si="139"/>
        <v>0</v>
      </c>
      <c r="M2111" s="55">
        <v>0</v>
      </c>
      <c r="N2111" s="101">
        <f t="shared" si="140"/>
        <v>0</v>
      </c>
      <c r="O2111" s="57"/>
      <c r="P2111" s="145" t="str">
        <f t="shared" si="138"/>
        <v/>
      </c>
      <c r="Q2111" s="52">
        <f t="shared" si="136"/>
        <v>39</v>
      </c>
      <c r="R2111" s="8">
        <f t="shared" si="137"/>
        <v>2026</v>
      </c>
    </row>
    <row r="2112" spans="1:18" hidden="1" x14ac:dyDescent="0.25">
      <c r="A2112" s="224"/>
      <c r="B2112" s="96">
        <v>46289</v>
      </c>
      <c r="C2112" s="52" t="s">
        <v>50</v>
      </c>
      <c r="D2112" s="53" t="s">
        <v>38</v>
      </c>
      <c r="E2112" s="53"/>
      <c r="F2112" s="54"/>
      <c r="G2112" s="53"/>
      <c r="H2112" s="53">
        <v>0</v>
      </c>
      <c r="I2112" s="53">
        <v>0</v>
      </c>
      <c r="J2112" s="53">
        <v>0</v>
      </c>
      <c r="K2112" s="55"/>
      <c r="L2112" s="55">
        <f t="shared" si="139"/>
        <v>0</v>
      </c>
      <c r="M2112" s="55">
        <v>0</v>
      </c>
      <c r="N2112" s="101">
        <f t="shared" si="140"/>
        <v>0</v>
      </c>
      <c r="O2112" s="57"/>
      <c r="P2112" s="145" t="str">
        <f t="shared" si="138"/>
        <v/>
      </c>
      <c r="Q2112" s="52">
        <f t="shared" si="136"/>
        <v>39</v>
      </c>
      <c r="R2112" s="8">
        <f t="shared" si="137"/>
        <v>2026</v>
      </c>
    </row>
    <row r="2113" spans="1:18" hidden="1" x14ac:dyDescent="0.25">
      <c r="A2113" s="224"/>
      <c r="B2113" s="96">
        <v>46290</v>
      </c>
      <c r="C2113" s="52" t="s">
        <v>53</v>
      </c>
      <c r="D2113" s="53" t="s">
        <v>38</v>
      </c>
      <c r="E2113" s="53"/>
      <c r="F2113" s="54"/>
      <c r="G2113" s="53"/>
      <c r="H2113" s="53">
        <v>0</v>
      </c>
      <c r="I2113" s="53">
        <v>0</v>
      </c>
      <c r="J2113" s="53">
        <v>0</v>
      </c>
      <c r="K2113" s="55"/>
      <c r="L2113" s="55">
        <f t="shared" si="139"/>
        <v>0</v>
      </c>
      <c r="M2113" s="55">
        <v>0</v>
      </c>
      <c r="N2113" s="101">
        <f t="shared" si="140"/>
        <v>0</v>
      </c>
      <c r="O2113" s="57"/>
      <c r="P2113" s="145" t="str">
        <f t="shared" si="138"/>
        <v/>
      </c>
      <c r="Q2113" s="52">
        <f t="shared" si="136"/>
        <v>39</v>
      </c>
      <c r="R2113" s="8">
        <f t="shared" si="137"/>
        <v>2026</v>
      </c>
    </row>
    <row r="2114" spans="1:18" hidden="1" x14ac:dyDescent="0.25">
      <c r="A2114" s="224"/>
      <c r="B2114" s="97">
        <v>46291</v>
      </c>
      <c r="C2114" s="58" t="s">
        <v>57</v>
      </c>
      <c r="D2114" s="60" t="s">
        <v>38</v>
      </c>
      <c r="E2114" s="60"/>
      <c r="F2114" s="61"/>
      <c r="G2114" s="60"/>
      <c r="H2114" s="60">
        <v>0</v>
      </c>
      <c r="I2114" s="60">
        <v>0</v>
      </c>
      <c r="J2114" s="60">
        <v>0</v>
      </c>
      <c r="K2114" s="62"/>
      <c r="L2114" s="62">
        <f t="shared" si="139"/>
        <v>0</v>
      </c>
      <c r="M2114" s="62">
        <v>0</v>
      </c>
      <c r="N2114" s="102">
        <f t="shared" si="140"/>
        <v>0</v>
      </c>
      <c r="O2114" s="64"/>
      <c r="P2114" s="145" t="str">
        <f t="shared" si="138"/>
        <v/>
      </c>
      <c r="Q2114" s="52">
        <f t="shared" si="136"/>
        <v>39</v>
      </c>
      <c r="R2114" s="8">
        <f t="shared" si="137"/>
        <v>2026</v>
      </c>
    </row>
    <row r="2115" spans="1:18" ht="15.75" hidden="1" thickBot="1" x14ac:dyDescent="0.3">
      <c r="A2115" s="225"/>
      <c r="B2115" s="98">
        <v>46292</v>
      </c>
      <c r="C2115" s="66" t="s">
        <v>59</v>
      </c>
      <c r="D2115" s="67" t="s">
        <v>38</v>
      </c>
      <c r="E2115" s="67"/>
      <c r="F2115" s="68"/>
      <c r="G2115" s="67"/>
      <c r="H2115" s="67">
        <v>0</v>
      </c>
      <c r="I2115" s="67">
        <v>0</v>
      </c>
      <c r="J2115" s="67">
        <v>0</v>
      </c>
      <c r="K2115" s="69"/>
      <c r="L2115" s="69">
        <f t="shared" si="139"/>
        <v>0</v>
      </c>
      <c r="M2115" s="69">
        <v>0</v>
      </c>
      <c r="N2115" s="103">
        <f t="shared" si="140"/>
        <v>0</v>
      </c>
      <c r="O2115" s="71"/>
      <c r="P2115" s="145" t="str">
        <f t="shared" si="138"/>
        <v/>
      </c>
      <c r="Q2115" s="52">
        <f t="shared" si="136"/>
        <v>39</v>
      </c>
      <c r="R2115" s="8">
        <f t="shared" si="137"/>
        <v>2026</v>
      </c>
    </row>
    <row r="2116" spans="1:18" hidden="1" x14ac:dyDescent="0.25">
      <c r="A2116" s="223">
        <f>_xlfn.ISOWEEKNUM(B2116)</f>
        <v>40</v>
      </c>
      <c r="B2116" s="96">
        <v>46293</v>
      </c>
      <c r="C2116" s="72" t="s">
        <v>37</v>
      </c>
      <c r="D2116" s="41" t="s">
        <v>38</v>
      </c>
      <c r="E2116" s="41"/>
      <c r="F2116" s="43"/>
      <c r="G2116" s="41"/>
      <c r="H2116" s="41">
        <v>0</v>
      </c>
      <c r="I2116" s="41">
        <v>0</v>
      </c>
      <c r="J2116" s="41">
        <v>0</v>
      </c>
      <c r="K2116" s="73"/>
      <c r="L2116" s="73">
        <f t="shared" si="139"/>
        <v>0</v>
      </c>
      <c r="M2116" s="73">
        <v>0</v>
      </c>
      <c r="N2116" s="105">
        <f t="shared" si="140"/>
        <v>0</v>
      </c>
      <c r="O2116" s="46"/>
      <c r="P2116" s="145" t="str">
        <f t="shared" si="138"/>
        <v/>
      </c>
      <c r="Q2116" s="52">
        <f t="shared" si="136"/>
        <v>40</v>
      </c>
      <c r="R2116" s="8">
        <f t="shared" si="137"/>
        <v>2026</v>
      </c>
    </row>
    <row r="2117" spans="1:18" hidden="1" x14ac:dyDescent="0.25">
      <c r="A2117" s="224"/>
      <c r="B2117" s="96">
        <v>46294</v>
      </c>
      <c r="C2117" s="52" t="s">
        <v>42</v>
      </c>
      <c r="D2117" s="53" t="s">
        <v>38</v>
      </c>
      <c r="E2117" s="53"/>
      <c r="F2117" s="54"/>
      <c r="G2117" s="53"/>
      <c r="H2117" s="53">
        <v>0</v>
      </c>
      <c r="I2117" s="53">
        <v>0</v>
      </c>
      <c r="J2117" s="53">
        <v>0</v>
      </c>
      <c r="K2117" s="55"/>
      <c r="L2117" s="55">
        <f t="shared" si="139"/>
        <v>0</v>
      </c>
      <c r="M2117" s="55">
        <v>0</v>
      </c>
      <c r="N2117" s="101">
        <f t="shared" si="140"/>
        <v>0</v>
      </c>
      <c r="O2117" s="57"/>
      <c r="P2117" s="145" t="str">
        <f t="shared" si="138"/>
        <v/>
      </c>
      <c r="Q2117" s="52">
        <f t="shared" si="136"/>
        <v>40</v>
      </c>
      <c r="R2117" s="8">
        <f t="shared" si="137"/>
        <v>2026</v>
      </c>
    </row>
    <row r="2118" spans="1:18" hidden="1" x14ac:dyDescent="0.25">
      <c r="A2118" s="224"/>
      <c r="B2118" s="96">
        <v>46295</v>
      </c>
      <c r="C2118" s="52" t="s">
        <v>46</v>
      </c>
      <c r="D2118" s="53" t="s">
        <v>38</v>
      </c>
      <c r="E2118" s="53"/>
      <c r="F2118" s="54"/>
      <c r="G2118" s="53"/>
      <c r="H2118" s="53">
        <v>0</v>
      </c>
      <c r="I2118" s="53">
        <v>0</v>
      </c>
      <c r="J2118" s="53">
        <v>0</v>
      </c>
      <c r="K2118" s="55"/>
      <c r="L2118" s="55">
        <f t="shared" si="139"/>
        <v>0</v>
      </c>
      <c r="M2118" s="55">
        <v>0</v>
      </c>
      <c r="N2118" s="101">
        <f t="shared" si="140"/>
        <v>0</v>
      </c>
      <c r="O2118" s="57"/>
      <c r="P2118" s="145" t="str">
        <f t="shared" si="138"/>
        <v/>
      </c>
      <c r="Q2118" s="52">
        <f t="shared" si="136"/>
        <v>40</v>
      </c>
      <c r="R2118" s="8">
        <f t="shared" si="137"/>
        <v>2026</v>
      </c>
    </row>
    <row r="2119" spans="1:18" hidden="1" x14ac:dyDescent="0.25">
      <c r="A2119" s="224"/>
      <c r="B2119" s="96">
        <v>46296</v>
      </c>
      <c r="C2119" s="52" t="s">
        <v>50</v>
      </c>
      <c r="D2119" s="53" t="s">
        <v>38</v>
      </c>
      <c r="E2119" s="53"/>
      <c r="F2119" s="54"/>
      <c r="G2119" s="53"/>
      <c r="H2119" s="53">
        <v>0</v>
      </c>
      <c r="I2119" s="53">
        <v>0</v>
      </c>
      <c r="J2119" s="53">
        <v>0</v>
      </c>
      <c r="K2119" s="55"/>
      <c r="L2119" s="55">
        <f t="shared" si="139"/>
        <v>0</v>
      </c>
      <c r="M2119" s="55">
        <v>0</v>
      </c>
      <c r="N2119" s="101">
        <f t="shared" si="140"/>
        <v>0</v>
      </c>
      <c r="O2119" s="57"/>
      <c r="P2119" s="145" t="str">
        <f t="shared" si="138"/>
        <v/>
      </c>
      <c r="Q2119" s="52">
        <f t="shared" si="136"/>
        <v>40</v>
      </c>
      <c r="R2119" s="8">
        <f t="shared" si="137"/>
        <v>2026</v>
      </c>
    </row>
    <row r="2120" spans="1:18" hidden="1" x14ac:dyDescent="0.25">
      <c r="A2120" s="224"/>
      <c r="B2120" s="96">
        <v>46297</v>
      </c>
      <c r="C2120" s="52" t="s">
        <v>53</v>
      </c>
      <c r="D2120" s="53" t="s">
        <v>38</v>
      </c>
      <c r="E2120" s="53"/>
      <c r="F2120" s="54"/>
      <c r="G2120" s="53"/>
      <c r="H2120" s="53">
        <v>0</v>
      </c>
      <c r="I2120" s="53">
        <v>0</v>
      </c>
      <c r="J2120" s="53">
        <v>0</v>
      </c>
      <c r="K2120" s="55"/>
      <c r="L2120" s="55">
        <f t="shared" si="139"/>
        <v>0</v>
      </c>
      <c r="M2120" s="55">
        <v>0</v>
      </c>
      <c r="N2120" s="101">
        <f t="shared" si="140"/>
        <v>0</v>
      </c>
      <c r="O2120" s="57"/>
      <c r="P2120" s="145" t="str">
        <f t="shared" si="138"/>
        <v/>
      </c>
      <c r="Q2120" s="52">
        <f t="shared" si="136"/>
        <v>40</v>
      </c>
      <c r="R2120" s="8">
        <f t="shared" si="137"/>
        <v>2026</v>
      </c>
    </row>
    <row r="2121" spans="1:18" hidden="1" x14ac:dyDescent="0.25">
      <c r="A2121" s="224"/>
      <c r="B2121" s="97">
        <v>46298</v>
      </c>
      <c r="C2121" s="58" t="s">
        <v>57</v>
      </c>
      <c r="D2121" s="60" t="s">
        <v>38</v>
      </c>
      <c r="E2121" s="60"/>
      <c r="F2121" s="61"/>
      <c r="G2121" s="60"/>
      <c r="H2121" s="60">
        <v>0</v>
      </c>
      <c r="I2121" s="60">
        <v>0</v>
      </c>
      <c r="J2121" s="60">
        <v>0</v>
      </c>
      <c r="K2121" s="62"/>
      <c r="L2121" s="62">
        <f t="shared" si="139"/>
        <v>0</v>
      </c>
      <c r="M2121" s="62">
        <v>0</v>
      </c>
      <c r="N2121" s="102">
        <f t="shared" si="140"/>
        <v>0</v>
      </c>
      <c r="O2121" s="64"/>
      <c r="P2121" s="145" t="str">
        <f t="shared" si="138"/>
        <v/>
      </c>
      <c r="Q2121" s="52">
        <f t="shared" ref="Q2121:Q2184" si="141">_xlfn.ISOWEEKNUM(B2121)</f>
        <v>40</v>
      </c>
      <c r="R2121" s="8">
        <f t="shared" ref="R2121:R2184" si="142">YEAR(B2121)</f>
        <v>2026</v>
      </c>
    </row>
    <row r="2122" spans="1:18" ht="15.75" hidden="1" thickBot="1" x14ac:dyDescent="0.3">
      <c r="A2122" s="225"/>
      <c r="B2122" s="98">
        <v>46299</v>
      </c>
      <c r="C2122" s="66" t="s">
        <v>59</v>
      </c>
      <c r="D2122" s="67" t="s">
        <v>38</v>
      </c>
      <c r="E2122" s="67"/>
      <c r="F2122" s="68"/>
      <c r="G2122" s="67"/>
      <c r="H2122" s="67">
        <v>0</v>
      </c>
      <c r="I2122" s="67">
        <v>0</v>
      </c>
      <c r="J2122" s="67">
        <v>0</v>
      </c>
      <c r="K2122" s="69"/>
      <c r="L2122" s="69">
        <f t="shared" si="139"/>
        <v>0</v>
      </c>
      <c r="M2122" s="69">
        <v>0</v>
      </c>
      <c r="N2122" s="103">
        <f t="shared" si="140"/>
        <v>0</v>
      </c>
      <c r="O2122" s="71"/>
      <c r="P2122" s="145" t="str">
        <f t="shared" si="138"/>
        <v/>
      </c>
      <c r="Q2122" s="52">
        <f t="shared" si="141"/>
        <v>40</v>
      </c>
      <c r="R2122" s="8">
        <f t="shared" si="142"/>
        <v>2026</v>
      </c>
    </row>
    <row r="2123" spans="1:18" hidden="1" x14ac:dyDescent="0.25">
      <c r="A2123" s="223">
        <f>_xlfn.ISOWEEKNUM(B2123)</f>
        <v>41</v>
      </c>
      <c r="B2123" s="96">
        <v>46300</v>
      </c>
      <c r="C2123" s="72" t="s">
        <v>37</v>
      </c>
      <c r="D2123" s="41" t="s">
        <v>38</v>
      </c>
      <c r="E2123" s="41"/>
      <c r="F2123" s="43"/>
      <c r="G2123" s="41"/>
      <c r="H2123" s="41">
        <v>0</v>
      </c>
      <c r="I2123" s="41">
        <v>0</v>
      </c>
      <c r="J2123" s="41">
        <v>0</v>
      </c>
      <c r="K2123" s="73"/>
      <c r="L2123" s="73">
        <f t="shared" si="139"/>
        <v>0</v>
      </c>
      <c r="M2123" s="73">
        <v>0</v>
      </c>
      <c r="N2123" s="105">
        <f t="shared" si="140"/>
        <v>0</v>
      </c>
      <c r="O2123" s="46"/>
      <c r="P2123" s="145" t="str">
        <f t="shared" si="138"/>
        <v/>
      </c>
      <c r="Q2123" s="52">
        <f t="shared" si="141"/>
        <v>41</v>
      </c>
      <c r="R2123" s="8">
        <f t="shared" si="142"/>
        <v>2026</v>
      </c>
    </row>
    <row r="2124" spans="1:18" hidden="1" x14ac:dyDescent="0.25">
      <c r="A2124" s="224"/>
      <c r="B2124" s="96">
        <v>46301</v>
      </c>
      <c r="C2124" s="52" t="s">
        <v>42</v>
      </c>
      <c r="D2124" s="53" t="s">
        <v>38</v>
      </c>
      <c r="E2124" s="53"/>
      <c r="F2124" s="54"/>
      <c r="G2124" s="53"/>
      <c r="H2124" s="53">
        <v>0</v>
      </c>
      <c r="I2124" s="53">
        <v>0</v>
      </c>
      <c r="J2124" s="53">
        <v>0</v>
      </c>
      <c r="K2124" s="55"/>
      <c r="L2124" s="55">
        <f t="shared" si="139"/>
        <v>0</v>
      </c>
      <c r="M2124" s="55">
        <v>0</v>
      </c>
      <c r="N2124" s="101">
        <f t="shared" si="140"/>
        <v>0</v>
      </c>
      <c r="O2124" s="57"/>
      <c r="P2124" s="145" t="str">
        <f t="shared" si="138"/>
        <v/>
      </c>
      <c r="Q2124" s="52">
        <f t="shared" si="141"/>
        <v>41</v>
      </c>
      <c r="R2124" s="8">
        <f t="shared" si="142"/>
        <v>2026</v>
      </c>
    </row>
    <row r="2125" spans="1:18" hidden="1" x14ac:dyDescent="0.25">
      <c r="A2125" s="224"/>
      <c r="B2125" s="96">
        <v>46302</v>
      </c>
      <c r="C2125" s="52" t="s">
        <v>46</v>
      </c>
      <c r="D2125" s="53" t="s">
        <v>38</v>
      </c>
      <c r="E2125" s="53"/>
      <c r="F2125" s="54"/>
      <c r="G2125" s="53"/>
      <c r="H2125" s="53">
        <v>0</v>
      </c>
      <c r="I2125" s="53">
        <v>0</v>
      </c>
      <c r="J2125" s="53">
        <v>0</v>
      </c>
      <c r="K2125" s="55"/>
      <c r="L2125" s="55">
        <f t="shared" si="139"/>
        <v>0</v>
      </c>
      <c r="M2125" s="55">
        <v>0</v>
      </c>
      <c r="N2125" s="101">
        <f t="shared" si="140"/>
        <v>0</v>
      </c>
      <c r="O2125" s="57"/>
      <c r="P2125" s="145" t="str">
        <f t="shared" si="138"/>
        <v/>
      </c>
      <c r="Q2125" s="52">
        <f t="shared" si="141"/>
        <v>41</v>
      </c>
      <c r="R2125" s="8">
        <f t="shared" si="142"/>
        <v>2026</v>
      </c>
    </row>
    <row r="2126" spans="1:18" hidden="1" x14ac:dyDescent="0.25">
      <c r="A2126" s="224"/>
      <c r="B2126" s="96">
        <v>46303</v>
      </c>
      <c r="C2126" s="52" t="s">
        <v>50</v>
      </c>
      <c r="D2126" s="53" t="s">
        <v>38</v>
      </c>
      <c r="E2126" s="53"/>
      <c r="F2126" s="54"/>
      <c r="G2126" s="53"/>
      <c r="H2126" s="53">
        <v>0</v>
      </c>
      <c r="I2126" s="53">
        <v>0</v>
      </c>
      <c r="J2126" s="53">
        <v>0</v>
      </c>
      <c r="K2126" s="55"/>
      <c r="L2126" s="55">
        <f t="shared" si="139"/>
        <v>0</v>
      </c>
      <c r="M2126" s="55">
        <v>0</v>
      </c>
      <c r="N2126" s="101">
        <f t="shared" si="140"/>
        <v>0</v>
      </c>
      <c r="O2126" s="57"/>
      <c r="P2126" s="145" t="str">
        <f t="shared" si="138"/>
        <v/>
      </c>
      <c r="Q2126" s="52">
        <f t="shared" si="141"/>
        <v>41</v>
      </c>
      <c r="R2126" s="8">
        <f t="shared" si="142"/>
        <v>2026</v>
      </c>
    </row>
    <row r="2127" spans="1:18" hidden="1" x14ac:dyDescent="0.25">
      <c r="A2127" s="224"/>
      <c r="B2127" s="96">
        <v>46304</v>
      </c>
      <c r="C2127" s="52" t="s">
        <v>53</v>
      </c>
      <c r="D2127" s="53" t="s">
        <v>38</v>
      </c>
      <c r="E2127" s="53"/>
      <c r="F2127" s="54"/>
      <c r="G2127" s="53"/>
      <c r="H2127" s="53">
        <v>0</v>
      </c>
      <c r="I2127" s="53">
        <v>0</v>
      </c>
      <c r="J2127" s="53">
        <v>0</v>
      </c>
      <c r="K2127" s="55"/>
      <c r="L2127" s="55">
        <f t="shared" si="139"/>
        <v>0</v>
      </c>
      <c r="M2127" s="55">
        <v>0</v>
      </c>
      <c r="N2127" s="101">
        <f t="shared" si="140"/>
        <v>0</v>
      </c>
      <c r="O2127" s="57"/>
      <c r="P2127" s="145" t="str">
        <f t="shared" si="138"/>
        <v/>
      </c>
      <c r="Q2127" s="52">
        <f t="shared" si="141"/>
        <v>41</v>
      </c>
      <c r="R2127" s="8">
        <f t="shared" si="142"/>
        <v>2026</v>
      </c>
    </row>
    <row r="2128" spans="1:18" hidden="1" x14ac:dyDescent="0.25">
      <c r="A2128" s="224"/>
      <c r="B2128" s="97">
        <v>46305</v>
      </c>
      <c r="C2128" s="58" t="s">
        <v>57</v>
      </c>
      <c r="D2128" s="60" t="s">
        <v>38</v>
      </c>
      <c r="E2128" s="60"/>
      <c r="F2128" s="61"/>
      <c r="G2128" s="60"/>
      <c r="H2128" s="60">
        <v>0</v>
      </c>
      <c r="I2128" s="60">
        <v>0</v>
      </c>
      <c r="J2128" s="60">
        <v>0</v>
      </c>
      <c r="K2128" s="62"/>
      <c r="L2128" s="62">
        <f t="shared" si="139"/>
        <v>0</v>
      </c>
      <c r="M2128" s="62">
        <v>0</v>
      </c>
      <c r="N2128" s="102">
        <f t="shared" si="140"/>
        <v>0</v>
      </c>
      <c r="O2128" s="64"/>
      <c r="P2128" s="145" t="str">
        <f t="shared" si="138"/>
        <v/>
      </c>
      <c r="Q2128" s="52">
        <f t="shared" si="141"/>
        <v>41</v>
      </c>
      <c r="R2128" s="8">
        <f t="shared" si="142"/>
        <v>2026</v>
      </c>
    </row>
    <row r="2129" spans="1:18" ht="15.75" hidden="1" thickBot="1" x14ac:dyDescent="0.3">
      <c r="A2129" s="225"/>
      <c r="B2129" s="98">
        <v>46306</v>
      </c>
      <c r="C2129" s="66" t="s">
        <v>59</v>
      </c>
      <c r="D2129" s="67" t="s">
        <v>38</v>
      </c>
      <c r="E2129" s="67"/>
      <c r="F2129" s="68"/>
      <c r="G2129" s="67"/>
      <c r="H2129" s="67">
        <v>0</v>
      </c>
      <c r="I2129" s="67">
        <v>0</v>
      </c>
      <c r="J2129" s="67">
        <v>0</v>
      </c>
      <c r="K2129" s="69"/>
      <c r="L2129" s="69">
        <f t="shared" si="139"/>
        <v>0</v>
      </c>
      <c r="M2129" s="69">
        <v>0</v>
      </c>
      <c r="N2129" s="103">
        <f t="shared" si="140"/>
        <v>0</v>
      </c>
      <c r="O2129" s="71"/>
      <c r="P2129" s="145" t="str">
        <f t="shared" si="138"/>
        <v/>
      </c>
      <c r="Q2129" s="52">
        <f t="shared" si="141"/>
        <v>41</v>
      </c>
      <c r="R2129" s="8">
        <f t="shared" si="142"/>
        <v>2026</v>
      </c>
    </row>
    <row r="2130" spans="1:18" hidden="1" x14ac:dyDescent="0.25">
      <c r="A2130" s="223">
        <f>_xlfn.ISOWEEKNUM(B2130)</f>
        <v>42</v>
      </c>
      <c r="B2130" s="96">
        <v>46307</v>
      </c>
      <c r="C2130" s="72" t="s">
        <v>37</v>
      </c>
      <c r="D2130" s="41" t="s">
        <v>38</v>
      </c>
      <c r="E2130" s="41"/>
      <c r="F2130" s="43"/>
      <c r="G2130" s="41"/>
      <c r="H2130" s="41">
        <v>0</v>
      </c>
      <c r="I2130" s="41">
        <v>0</v>
      </c>
      <c r="J2130" s="41">
        <v>0</v>
      </c>
      <c r="K2130" s="73"/>
      <c r="L2130" s="73">
        <f t="shared" si="139"/>
        <v>0</v>
      </c>
      <c r="M2130" s="73">
        <v>0</v>
      </c>
      <c r="N2130" s="105">
        <f t="shared" si="140"/>
        <v>0</v>
      </c>
      <c r="O2130" s="46"/>
      <c r="P2130" s="145" t="str">
        <f t="shared" si="138"/>
        <v/>
      </c>
      <c r="Q2130" s="52">
        <f t="shared" si="141"/>
        <v>42</v>
      </c>
      <c r="R2130" s="8">
        <f t="shared" si="142"/>
        <v>2026</v>
      </c>
    </row>
    <row r="2131" spans="1:18" hidden="1" x14ac:dyDescent="0.25">
      <c r="A2131" s="224"/>
      <c r="B2131" s="96">
        <v>46308</v>
      </c>
      <c r="C2131" s="52" t="s">
        <v>42</v>
      </c>
      <c r="D2131" s="53" t="s">
        <v>38</v>
      </c>
      <c r="E2131" s="53"/>
      <c r="F2131" s="54"/>
      <c r="G2131" s="53"/>
      <c r="H2131" s="53">
        <v>0</v>
      </c>
      <c r="I2131" s="53">
        <v>0</v>
      </c>
      <c r="J2131" s="53">
        <v>0</v>
      </c>
      <c r="K2131" s="55"/>
      <c r="L2131" s="55">
        <f t="shared" si="139"/>
        <v>0</v>
      </c>
      <c r="M2131" s="55">
        <v>0</v>
      </c>
      <c r="N2131" s="101">
        <f t="shared" si="140"/>
        <v>0</v>
      </c>
      <c r="O2131" s="57"/>
      <c r="P2131" s="145" t="str">
        <f t="shared" si="138"/>
        <v/>
      </c>
      <c r="Q2131" s="52">
        <f t="shared" si="141"/>
        <v>42</v>
      </c>
      <c r="R2131" s="8">
        <f t="shared" si="142"/>
        <v>2026</v>
      </c>
    </row>
    <row r="2132" spans="1:18" hidden="1" x14ac:dyDescent="0.25">
      <c r="A2132" s="224"/>
      <c r="B2132" s="96">
        <v>46309</v>
      </c>
      <c r="C2132" s="52" t="s">
        <v>46</v>
      </c>
      <c r="D2132" s="53" t="s">
        <v>38</v>
      </c>
      <c r="E2132" s="53"/>
      <c r="F2132" s="54"/>
      <c r="G2132" s="53"/>
      <c r="H2132" s="53">
        <v>0</v>
      </c>
      <c r="I2132" s="53">
        <v>0</v>
      </c>
      <c r="J2132" s="53">
        <v>0</v>
      </c>
      <c r="K2132" s="55"/>
      <c r="L2132" s="55">
        <f t="shared" si="139"/>
        <v>0</v>
      </c>
      <c r="M2132" s="55">
        <v>0</v>
      </c>
      <c r="N2132" s="101">
        <f t="shared" si="140"/>
        <v>0</v>
      </c>
      <c r="O2132" s="57"/>
      <c r="P2132" s="145" t="str">
        <f t="shared" si="138"/>
        <v/>
      </c>
      <c r="Q2132" s="52">
        <f t="shared" si="141"/>
        <v>42</v>
      </c>
      <c r="R2132" s="8">
        <f t="shared" si="142"/>
        <v>2026</v>
      </c>
    </row>
    <row r="2133" spans="1:18" hidden="1" x14ac:dyDescent="0.25">
      <c r="A2133" s="224"/>
      <c r="B2133" s="96">
        <v>46310</v>
      </c>
      <c r="C2133" s="52" t="s">
        <v>50</v>
      </c>
      <c r="D2133" s="53" t="s">
        <v>38</v>
      </c>
      <c r="E2133" s="53"/>
      <c r="F2133" s="54"/>
      <c r="G2133" s="53"/>
      <c r="H2133" s="53">
        <v>0</v>
      </c>
      <c r="I2133" s="53">
        <v>0</v>
      </c>
      <c r="J2133" s="53">
        <v>0</v>
      </c>
      <c r="K2133" s="55"/>
      <c r="L2133" s="55">
        <f t="shared" si="139"/>
        <v>0</v>
      </c>
      <c r="M2133" s="55">
        <v>0</v>
      </c>
      <c r="N2133" s="101">
        <f t="shared" si="140"/>
        <v>0</v>
      </c>
      <c r="O2133" s="57"/>
      <c r="P2133" s="145" t="str">
        <f t="shared" si="138"/>
        <v/>
      </c>
      <c r="Q2133" s="52">
        <f t="shared" si="141"/>
        <v>42</v>
      </c>
      <c r="R2133" s="8">
        <f t="shared" si="142"/>
        <v>2026</v>
      </c>
    </row>
    <row r="2134" spans="1:18" hidden="1" x14ac:dyDescent="0.25">
      <c r="A2134" s="224"/>
      <c r="B2134" s="96">
        <v>46311</v>
      </c>
      <c r="C2134" s="52" t="s">
        <v>53</v>
      </c>
      <c r="D2134" s="53" t="s">
        <v>38</v>
      </c>
      <c r="E2134" s="53"/>
      <c r="F2134" s="54"/>
      <c r="G2134" s="53"/>
      <c r="H2134" s="53">
        <v>0</v>
      </c>
      <c r="I2134" s="53">
        <v>0</v>
      </c>
      <c r="J2134" s="53">
        <v>0</v>
      </c>
      <c r="K2134" s="55"/>
      <c r="L2134" s="55">
        <f t="shared" si="139"/>
        <v>0</v>
      </c>
      <c r="M2134" s="55">
        <v>0</v>
      </c>
      <c r="N2134" s="101">
        <f t="shared" si="140"/>
        <v>0</v>
      </c>
      <c r="O2134" s="57"/>
      <c r="P2134" s="145" t="str">
        <f t="shared" si="138"/>
        <v/>
      </c>
      <c r="Q2134" s="52">
        <f t="shared" si="141"/>
        <v>42</v>
      </c>
      <c r="R2134" s="8">
        <f t="shared" si="142"/>
        <v>2026</v>
      </c>
    </row>
    <row r="2135" spans="1:18" hidden="1" x14ac:dyDescent="0.25">
      <c r="A2135" s="224"/>
      <c r="B2135" s="97">
        <v>46312</v>
      </c>
      <c r="C2135" s="58" t="s">
        <v>57</v>
      </c>
      <c r="D2135" s="60" t="s">
        <v>38</v>
      </c>
      <c r="E2135" s="60"/>
      <c r="F2135" s="61"/>
      <c r="G2135" s="60"/>
      <c r="H2135" s="60">
        <v>0</v>
      </c>
      <c r="I2135" s="60">
        <v>0</v>
      </c>
      <c r="J2135" s="60">
        <v>0</v>
      </c>
      <c r="K2135" s="62"/>
      <c r="L2135" s="62">
        <f t="shared" si="139"/>
        <v>0</v>
      </c>
      <c r="M2135" s="62">
        <v>0</v>
      </c>
      <c r="N2135" s="102">
        <f t="shared" si="140"/>
        <v>0</v>
      </c>
      <c r="O2135" s="64"/>
      <c r="P2135" s="145" t="str">
        <f t="shared" si="138"/>
        <v/>
      </c>
      <c r="Q2135" s="52">
        <f t="shared" si="141"/>
        <v>42</v>
      </c>
      <c r="R2135" s="8">
        <f t="shared" si="142"/>
        <v>2026</v>
      </c>
    </row>
    <row r="2136" spans="1:18" ht="15.75" hidden="1" thickBot="1" x14ac:dyDescent="0.3">
      <c r="A2136" s="225"/>
      <c r="B2136" s="98">
        <v>46313</v>
      </c>
      <c r="C2136" s="66" t="s">
        <v>59</v>
      </c>
      <c r="D2136" s="67" t="s">
        <v>38</v>
      </c>
      <c r="E2136" s="67"/>
      <c r="F2136" s="68"/>
      <c r="G2136" s="67"/>
      <c r="H2136" s="67">
        <v>0</v>
      </c>
      <c r="I2136" s="67">
        <v>0</v>
      </c>
      <c r="J2136" s="67">
        <v>0</v>
      </c>
      <c r="K2136" s="69"/>
      <c r="L2136" s="69">
        <f t="shared" si="139"/>
        <v>0</v>
      </c>
      <c r="M2136" s="69">
        <v>0</v>
      </c>
      <c r="N2136" s="103">
        <f t="shared" si="140"/>
        <v>0</v>
      </c>
      <c r="O2136" s="71"/>
      <c r="P2136" s="145" t="str">
        <f t="shared" si="138"/>
        <v/>
      </c>
      <c r="Q2136" s="52">
        <f t="shared" si="141"/>
        <v>42</v>
      </c>
      <c r="R2136" s="8">
        <f t="shared" si="142"/>
        <v>2026</v>
      </c>
    </row>
    <row r="2137" spans="1:18" hidden="1" x14ac:dyDescent="0.25">
      <c r="A2137" s="223">
        <f>_xlfn.ISOWEEKNUM(B2137)</f>
        <v>43</v>
      </c>
      <c r="B2137" s="96">
        <v>46314</v>
      </c>
      <c r="C2137" s="72" t="s">
        <v>37</v>
      </c>
      <c r="D2137" s="41" t="s">
        <v>38</v>
      </c>
      <c r="E2137" s="41"/>
      <c r="F2137" s="43"/>
      <c r="G2137" s="41"/>
      <c r="H2137" s="41">
        <v>0</v>
      </c>
      <c r="I2137" s="41">
        <v>0</v>
      </c>
      <c r="J2137" s="41">
        <v>0</v>
      </c>
      <c r="K2137" s="73"/>
      <c r="L2137" s="73">
        <f t="shared" si="139"/>
        <v>0</v>
      </c>
      <c r="M2137" s="73">
        <v>0</v>
      </c>
      <c r="N2137" s="105">
        <f t="shared" si="140"/>
        <v>0</v>
      </c>
      <c r="O2137" s="46"/>
      <c r="P2137" s="145" t="str">
        <f t="shared" si="138"/>
        <v/>
      </c>
      <c r="Q2137" s="52">
        <f t="shared" si="141"/>
        <v>43</v>
      </c>
      <c r="R2137" s="8">
        <f t="shared" si="142"/>
        <v>2026</v>
      </c>
    </row>
    <row r="2138" spans="1:18" hidden="1" x14ac:dyDescent="0.25">
      <c r="A2138" s="224"/>
      <c r="B2138" s="96">
        <v>46315</v>
      </c>
      <c r="C2138" s="52" t="s">
        <v>42</v>
      </c>
      <c r="D2138" s="53" t="s">
        <v>38</v>
      </c>
      <c r="E2138" s="53"/>
      <c r="F2138" s="54"/>
      <c r="G2138" s="53"/>
      <c r="H2138" s="53">
        <v>0</v>
      </c>
      <c r="I2138" s="53">
        <v>0</v>
      </c>
      <c r="J2138" s="53">
        <v>0</v>
      </c>
      <c r="K2138" s="55"/>
      <c r="L2138" s="55">
        <f t="shared" si="139"/>
        <v>0</v>
      </c>
      <c r="M2138" s="55">
        <v>0</v>
      </c>
      <c r="N2138" s="101">
        <f t="shared" si="140"/>
        <v>0</v>
      </c>
      <c r="O2138" s="57"/>
      <c r="P2138" s="145" t="str">
        <f t="shared" si="138"/>
        <v/>
      </c>
      <c r="Q2138" s="52">
        <f t="shared" si="141"/>
        <v>43</v>
      </c>
      <c r="R2138" s="8">
        <f t="shared" si="142"/>
        <v>2026</v>
      </c>
    </row>
    <row r="2139" spans="1:18" hidden="1" x14ac:dyDescent="0.25">
      <c r="A2139" s="224"/>
      <c r="B2139" s="96">
        <v>46316</v>
      </c>
      <c r="C2139" s="52" t="s">
        <v>46</v>
      </c>
      <c r="D2139" s="53" t="s">
        <v>38</v>
      </c>
      <c r="E2139" s="53"/>
      <c r="F2139" s="54"/>
      <c r="G2139" s="53"/>
      <c r="H2139" s="53">
        <v>0</v>
      </c>
      <c r="I2139" s="53">
        <v>0</v>
      </c>
      <c r="J2139" s="53">
        <v>0</v>
      </c>
      <c r="K2139" s="55"/>
      <c r="L2139" s="55">
        <f t="shared" si="139"/>
        <v>0</v>
      </c>
      <c r="M2139" s="55">
        <v>0</v>
      </c>
      <c r="N2139" s="101">
        <f t="shared" si="140"/>
        <v>0</v>
      </c>
      <c r="O2139" s="57"/>
      <c r="P2139" s="145" t="str">
        <f t="shared" si="138"/>
        <v/>
      </c>
      <c r="Q2139" s="52">
        <f t="shared" si="141"/>
        <v>43</v>
      </c>
      <c r="R2139" s="8">
        <f t="shared" si="142"/>
        <v>2026</v>
      </c>
    </row>
    <row r="2140" spans="1:18" hidden="1" x14ac:dyDescent="0.25">
      <c r="A2140" s="224"/>
      <c r="B2140" s="96">
        <v>46317</v>
      </c>
      <c r="C2140" s="52" t="s">
        <v>50</v>
      </c>
      <c r="D2140" s="53" t="s">
        <v>38</v>
      </c>
      <c r="E2140" s="53"/>
      <c r="F2140" s="54"/>
      <c r="G2140" s="53"/>
      <c r="H2140" s="53">
        <v>0</v>
      </c>
      <c r="I2140" s="53">
        <v>0</v>
      </c>
      <c r="J2140" s="53">
        <v>0</v>
      </c>
      <c r="K2140" s="55"/>
      <c r="L2140" s="55">
        <f t="shared" si="139"/>
        <v>0</v>
      </c>
      <c r="M2140" s="55">
        <v>0</v>
      </c>
      <c r="N2140" s="101">
        <f t="shared" si="140"/>
        <v>0</v>
      </c>
      <c r="O2140" s="57"/>
      <c r="P2140" s="145" t="str">
        <f t="shared" si="138"/>
        <v/>
      </c>
      <c r="Q2140" s="52">
        <f t="shared" si="141"/>
        <v>43</v>
      </c>
      <c r="R2140" s="8">
        <f t="shared" si="142"/>
        <v>2026</v>
      </c>
    </row>
    <row r="2141" spans="1:18" hidden="1" x14ac:dyDescent="0.25">
      <c r="A2141" s="224"/>
      <c r="B2141" s="96">
        <v>46318</v>
      </c>
      <c r="C2141" s="52" t="s">
        <v>53</v>
      </c>
      <c r="D2141" s="53" t="s">
        <v>38</v>
      </c>
      <c r="E2141" s="53"/>
      <c r="F2141" s="54"/>
      <c r="G2141" s="53"/>
      <c r="H2141" s="53">
        <v>0</v>
      </c>
      <c r="I2141" s="53">
        <v>0</v>
      </c>
      <c r="J2141" s="53">
        <v>0</v>
      </c>
      <c r="K2141" s="55"/>
      <c r="L2141" s="55">
        <f t="shared" si="139"/>
        <v>0</v>
      </c>
      <c r="M2141" s="55">
        <v>0</v>
      </c>
      <c r="N2141" s="101">
        <f t="shared" si="140"/>
        <v>0</v>
      </c>
      <c r="O2141" s="57"/>
      <c r="P2141" s="145" t="str">
        <f t="shared" si="138"/>
        <v/>
      </c>
      <c r="Q2141" s="52">
        <f t="shared" si="141"/>
        <v>43</v>
      </c>
      <c r="R2141" s="8">
        <f t="shared" si="142"/>
        <v>2026</v>
      </c>
    </row>
    <row r="2142" spans="1:18" hidden="1" x14ac:dyDescent="0.25">
      <c r="A2142" s="224"/>
      <c r="B2142" s="97">
        <v>46319</v>
      </c>
      <c r="C2142" s="58" t="s">
        <v>57</v>
      </c>
      <c r="D2142" s="60" t="s">
        <v>38</v>
      </c>
      <c r="E2142" s="60"/>
      <c r="F2142" s="61"/>
      <c r="G2142" s="60"/>
      <c r="H2142" s="60">
        <v>0</v>
      </c>
      <c r="I2142" s="60">
        <v>0</v>
      </c>
      <c r="J2142" s="60">
        <v>0</v>
      </c>
      <c r="K2142" s="62"/>
      <c r="L2142" s="62">
        <f t="shared" si="139"/>
        <v>0</v>
      </c>
      <c r="M2142" s="62">
        <v>0</v>
      </c>
      <c r="N2142" s="102">
        <f t="shared" si="140"/>
        <v>0</v>
      </c>
      <c r="O2142" s="64"/>
      <c r="P2142" s="145" t="str">
        <f t="shared" si="138"/>
        <v/>
      </c>
      <c r="Q2142" s="52">
        <f t="shared" si="141"/>
        <v>43</v>
      </c>
      <c r="R2142" s="8">
        <f t="shared" si="142"/>
        <v>2026</v>
      </c>
    </row>
    <row r="2143" spans="1:18" ht="15.75" hidden="1" thickBot="1" x14ac:dyDescent="0.3">
      <c r="A2143" s="225"/>
      <c r="B2143" s="98">
        <v>46320</v>
      </c>
      <c r="C2143" s="66" t="s">
        <v>59</v>
      </c>
      <c r="D2143" s="67" t="s">
        <v>38</v>
      </c>
      <c r="E2143" s="67"/>
      <c r="F2143" s="68"/>
      <c r="G2143" s="67"/>
      <c r="H2143" s="67">
        <v>0</v>
      </c>
      <c r="I2143" s="67">
        <v>0</v>
      </c>
      <c r="J2143" s="67">
        <v>0</v>
      </c>
      <c r="K2143" s="69"/>
      <c r="L2143" s="69">
        <f t="shared" si="139"/>
        <v>0</v>
      </c>
      <c r="M2143" s="69">
        <v>0</v>
      </c>
      <c r="N2143" s="103">
        <f t="shared" si="140"/>
        <v>0</v>
      </c>
      <c r="O2143" s="71"/>
      <c r="P2143" s="145" t="str">
        <f t="shared" si="138"/>
        <v/>
      </c>
      <c r="Q2143" s="52">
        <f t="shared" si="141"/>
        <v>43</v>
      </c>
      <c r="R2143" s="8">
        <f t="shared" si="142"/>
        <v>2026</v>
      </c>
    </row>
    <row r="2144" spans="1:18" hidden="1" x14ac:dyDescent="0.25">
      <c r="A2144" s="223">
        <f>_xlfn.ISOWEEKNUM(B2144)</f>
        <v>44</v>
      </c>
      <c r="B2144" s="96">
        <v>46321</v>
      </c>
      <c r="C2144" s="72" t="s">
        <v>37</v>
      </c>
      <c r="D2144" s="41" t="s">
        <v>38</v>
      </c>
      <c r="E2144" s="41"/>
      <c r="F2144" s="43"/>
      <c r="G2144" s="41"/>
      <c r="H2144" s="41">
        <v>0</v>
      </c>
      <c r="I2144" s="41">
        <v>0</v>
      </c>
      <c r="J2144" s="41">
        <v>0</v>
      </c>
      <c r="K2144" s="73"/>
      <c r="L2144" s="73">
        <f t="shared" si="139"/>
        <v>0</v>
      </c>
      <c r="M2144" s="73">
        <v>0</v>
      </c>
      <c r="N2144" s="105">
        <f t="shared" si="140"/>
        <v>0</v>
      </c>
      <c r="O2144" s="46"/>
      <c r="P2144" s="145" t="str">
        <f t="shared" si="138"/>
        <v/>
      </c>
      <c r="Q2144" s="52">
        <f t="shared" si="141"/>
        <v>44</v>
      </c>
      <c r="R2144" s="8">
        <f t="shared" si="142"/>
        <v>2026</v>
      </c>
    </row>
    <row r="2145" spans="1:18" hidden="1" x14ac:dyDescent="0.25">
      <c r="A2145" s="224"/>
      <c r="B2145" s="96">
        <v>46322</v>
      </c>
      <c r="C2145" s="52" t="s">
        <v>42</v>
      </c>
      <c r="D2145" s="53" t="s">
        <v>38</v>
      </c>
      <c r="E2145" s="53"/>
      <c r="F2145" s="54"/>
      <c r="G2145" s="53"/>
      <c r="H2145" s="53">
        <v>0</v>
      </c>
      <c r="I2145" s="53">
        <v>0</v>
      </c>
      <c r="J2145" s="53">
        <v>0</v>
      </c>
      <c r="K2145" s="55"/>
      <c r="L2145" s="55">
        <f t="shared" si="139"/>
        <v>0</v>
      </c>
      <c r="M2145" s="55">
        <v>0</v>
      </c>
      <c r="N2145" s="101">
        <f t="shared" si="140"/>
        <v>0</v>
      </c>
      <c r="O2145" s="57"/>
      <c r="P2145" s="145" t="str">
        <f t="shared" si="138"/>
        <v/>
      </c>
      <c r="Q2145" s="52">
        <f t="shared" si="141"/>
        <v>44</v>
      </c>
      <c r="R2145" s="8">
        <f t="shared" si="142"/>
        <v>2026</v>
      </c>
    </row>
    <row r="2146" spans="1:18" hidden="1" x14ac:dyDescent="0.25">
      <c r="A2146" s="224"/>
      <c r="B2146" s="96">
        <v>46323</v>
      </c>
      <c r="C2146" s="52" t="s">
        <v>46</v>
      </c>
      <c r="D2146" s="53" t="s">
        <v>38</v>
      </c>
      <c r="E2146" s="53"/>
      <c r="F2146" s="54"/>
      <c r="G2146" s="53"/>
      <c r="H2146" s="53">
        <v>0</v>
      </c>
      <c r="I2146" s="53">
        <v>0</v>
      </c>
      <c r="J2146" s="53">
        <v>0</v>
      </c>
      <c r="K2146" s="55"/>
      <c r="L2146" s="55">
        <f t="shared" si="139"/>
        <v>0</v>
      </c>
      <c r="M2146" s="55">
        <v>0</v>
      </c>
      <c r="N2146" s="101">
        <f t="shared" si="140"/>
        <v>0</v>
      </c>
      <c r="O2146" s="57"/>
      <c r="P2146" s="145" t="str">
        <f t="shared" si="138"/>
        <v/>
      </c>
      <c r="Q2146" s="52">
        <f t="shared" si="141"/>
        <v>44</v>
      </c>
      <c r="R2146" s="8">
        <f t="shared" si="142"/>
        <v>2026</v>
      </c>
    </row>
    <row r="2147" spans="1:18" hidden="1" x14ac:dyDescent="0.25">
      <c r="A2147" s="224"/>
      <c r="B2147" s="96">
        <v>46324</v>
      </c>
      <c r="C2147" s="52" t="s">
        <v>50</v>
      </c>
      <c r="D2147" s="53" t="s">
        <v>38</v>
      </c>
      <c r="E2147" s="53"/>
      <c r="F2147" s="54"/>
      <c r="G2147" s="53"/>
      <c r="H2147" s="53">
        <v>0</v>
      </c>
      <c r="I2147" s="53">
        <v>0</v>
      </c>
      <c r="J2147" s="53">
        <v>0</v>
      </c>
      <c r="K2147" s="55"/>
      <c r="L2147" s="55">
        <f t="shared" si="139"/>
        <v>0</v>
      </c>
      <c r="M2147" s="55">
        <v>0</v>
      </c>
      <c r="N2147" s="101">
        <f t="shared" si="140"/>
        <v>0</v>
      </c>
      <c r="O2147" s="57"/>
      <c r="P2147" s="145" t="str">
        <f t="shared" si="138"/>
        <v/>
      </c>
      <c r="Q2147" s="52">
        <f t="shared" si="141"/>
        <v>44</v>
      </c>
      <c r="R2147" s="8">
        <f t="shared" si="142"/>
        <v>2026</v>
      </c>
    </row>
    <row r="2148" spans="1:18" hidden="1" x14ac:dyDescent="0.25">
      <c r="A2148" s="224"/>
      <c r="B2148" s="96">
        <v>46325</v>
      </c>
      <c r="C2148" s="52" t="s">
        <v>53</v>
      </c>
      <c r="D2148" s="53" t="s">
        <v>38</v>
      </c>
      <c r="E2148" s="53"/>
      <c r="F2148" s="54"/>
      <c r="G2148" s="53"/>
      <c r="H2148" s="53">
        <v>0</v>
      </c>
      <c r="I2148" s="53">
        <v>0</v>
      </c>
      <c r="J2148" s="53">
        <v>0</v>
      </c>
      <c r="K2148" s="55"/>
      <c r="L2148" s="55">
        <f t="shared" si="139"/>
        <v>0</v>
      </c>
      <c r="M2148" s="55">
        <v>0</v>
      </c>
      <c r="N2148" s="101">
        <f t="shared" si="140"/>
        <v>0</v>
      </c>
      <c r="O2148" s="57"/>
      <c r="P2148" s="145" t="str">
        <f t="shared" si="138"/>
        <v/>
      </c>
      <c r="Q2148" s="52">
        <f t="shared" si="141"/>
        <v>44</v>
      </c>
      <c r="R2148" s="8">
        <f t="shared" si="142"/>
        <v>2026</v>
      </c>
    </row>
    <row r="2149" spans="1:18" hidden="1" x14ac:dyDescent="0.25">
      <c r="A2149" s="224"/>
      <c r="B2149" s="97">
        <v>46326</v>
      </c>
      <c r="C2149" s="58" t="s">
        <v>57</v>
      </c>
      <c r="D2149" s="60" t="s">
        <v>38</v>
      </c>
      <c r="E2149" s="60"/>
      <c r="F2149" s="61"/>
      <c r="G2149" s="60"/>
      <c r="H2149" s="60">
        <v>0</v>
      </c>
      <c r="I2149" s="60">
        <v>0</v>
      </c>
      <c r="J2149" s="60">
        <v>0</v>
      </c>
      <c r="K2149" s="62"/>
      <c r="L2149" s="62">
        <f t="shared" si="139"/>
        <v>0</v>
      </c>
      <c r="M2149" s="62">
        <v>0</v>
      </c>
      <c r="N2149" s="102">
        <f t="shared" si="140"/>
        <v>0</v>
      </c>
      <c r="O2149" s="64"/>
      <c r="P2149" s="145" t="str">
        <f t="shared" si="138"/>
        <v/>
      </c>
      <c r="Q2149" s="52">
        <f t="shared" si="141"/>
        <v>44</v>
      </c>
      <c r="R2149" s="8">
        <f t="shared" si="142"/>
        <v>2026</v>
      </c>
    </row>
    <row r="2150" spans="1:18" ht="15.75" hidden="1" thickBot="1" x14ac:dyDescent="0.3">
      <c r="A2150" s="225"/>
      <c r="B2150" s="98">
        <v>46327</v>
      </c>
      <c r="C2150" s="66" t="s">
        <v>59</v>
      </c>
      <c r="D2150" s="67" t="s">
        <v>38</v>
      </c>
      <c r="E2150" s="67"/>
      <c r="F2150" s="68"/>
      <c r="G2150" s="67"/>
      <c r="H2150" s="67">
        <v>0</v>
      </c>
      <c r="I2150" s="67">
        <v>0</v>
      </c>
      <c r="J2150" s="67">
        <v>0</v>
      </c>
      <c r="K2150" s="69"/>
      <c r="L2150" s="69">
        <f t="shared" si="139"/>
        <v>0</v>
      </c>
      <c r="M2150" s="69">
        <v>0</v>
      </c>
      <c r="N2150" s="103">
        <f t="shared" si="140"/>
        <v>0</v>
      </c>
      <c r="O2150" s="71"/>
      <c r="P2150" s="145" t="str">
        <f t="shared" si="138"/>
        <v/>
      </c>
      <c r="Q2150" s="52">
        <f t="shared" si="141"/>
        <v>44</v>
      </c>
      <c r="R2150" s="8">
        <f t="shared" si="142"/>
        <v>2026</v>
      </c>
    </row>
    <row r="2151" spans="1:18" hidden="1" x14ac:dyDescent="0.25">
      <c r="A2151" s="223">
        <f>_xlfn.ISOWEEKNUM(B2151)</f>
        <v>45</v>
      </c>
      <c r="B2151" s="96">
        <v>46328</v>
      </c>
      <c r="C2151" s="72" t="s">
        <v>37</v>
      </c>
      <c r="D2151" s="41" t="s">
        <v>38</v>
      </c>
      <c r="E2151" s="41"/>
      <c r="F2151" s="43"/>
      <c r="G2151" s="41"/>
      <c r="H2151" s="41">
        <v>0</v>
      </c>
      <c r="I2151" s="41">
        <v>0</v>
      </c>
      <c r="J2151" s="41">
        <v>0</v>
      </c>
      <c r="K2151" s="73"/>
      <c r="L2151" s="73">
        <f t="shared" si="139"/>
        <v>0</v>
      </c>
      <c r="M2151" s="73">
        <v>0</v>
      </c>
      <c r="N2151" s="105">
        <f t="shared" si="140"/>
        <v>0</v>
      </c>
      <c r="O2151" s="46"/>
      <c r="P2151" s="145" t="str">
        <f t="shared" si="138"/>
        <v/>
      </c>
      <c r="Q2151" s="52">
        <f t="shared" si="141"/>
        <v>45</v>
      </c>
      <c r="R2151" s="8">
        <f t="shared" si="142"/>
        <v>2026</v>
      </c>
    </row>
    <row r="2152" spans="1:18" hidden="1" x14ac:dyDescent="0.25">
      <c r="A2152" s="224"/>
      <c r="B2152" s="96">
        <v>46329</v>
      </c>
      <c r="C2152" s="52" t="s">
        <v>42</v>
      </c>
      <c r="D2152" s="53" t="s">
        <v>38</v>
      </c>
      <c r="E2152" s="53"/>
      <c r="F2152" s="54"/>
      <c r="G2152" s="53"/>
      <c r="H2152" s="53">
        <v>0</v>
      </c>
      <c r="I2152" s="53">
        <v>0</v>
      </c>
      <c r="J2152" s="53">
        <v>0</v>
      </c>
      <c r="K2152" s="55"/>
      <c r="L2152" s="55">
        <f t="shared" si="139"/>
        <v>0</v>
      </c>
      <c r="M2152" s="55">
        <v>0</v>
      </c>
      <c r="N2152" s="101">
        <f t="shared" si="140"/>
        <v>0</v>
      </c>
      <c r="O2152" s="57"/>
      <c r="P2152" s="145" t="str">
        <f t="shared" si="138"/>
        <v/>
      </c>
      <c r="Q2152" s="52">
        <f t="shared" si="141"/>
        <v>45</v>
      </c>
      <c r="R2152" s="8">
        <f t="shared" si="142"/>
        <v>2026</v>
      </c>
    </row>
    <row r="2153" spans="1:18" hidden="1" x14ac:dyDescent="0.25">
      <c r="A2153" s="224"/>
      <c r="B2153" s="96">
        <v>46330</v>
      </c>
      <c r="C2153" s="52" t="s">
        <v>46</v>
      </c>
      <c r="D2153" s="53" t="s">
        <v>38</v>
      </c>
      <c r="E2153" s="53"/>
      <c r="F2153" s="54"/>
      <c r="G2153" s="53"/>
      <c r="H2153" s="53">
        <v>0</v>
      </c>
      <c r="I2153" s="53">
        <v>0</v>
      </c>
      <c r="J2153" s="53">
        <v>0</v>
      </c>
      <c r="K2153" s="55"/>
      <c r="L2153" s="55">
        <f t="shared" si="139"/>
        <v>0</v>
      </c>
      <c r="M2153" s="55">
        <v>0</v>
      </c>
      <c r="N2153" s="101">
        <f t="shared" si="140"/>
        <v>0</v>
      </c>
      <c r="O2153" s="57"/>
      <c r="P2153" s="145" t="str">
        <f t="shared" si="138"/>
        <v/>
      </c>
      <c r="Q2153" s="52">
        <f t="shared" si="141"/>
        <v>45</v>
      </c>
      <c r="R2153" s="8">
        <f t="shared" si="142"/>
        <v>2026</v>
      </c>
    </row>
    <row r="2154" spans="1:18" hidden="1" x14ac:dyDescent="0.25">
      <c r="A2154" s="224"/>
      <c r="B2154" s="96">
        <v>46331</v>
      </c>
      <c r="C2154" s="52" t="s">
        <v>50</v>
      </c>
      <c r="D2154" s="53" t="s">
        <v>38</v>
      </c>
      <c r="E2154" s="53"/>
      <c r="F2154" s="54"/>
      <c r="G2154" s="53"/>
      <c r="H2154" s="53">
        <v>0</v>
      </c>
      <c r="I2154" s="53">
        <v>0</v>
      </c>
      <c r="J2154" s="53">
        <v>0</v>
      </c>
      <c r="K2154" s="55"/>
      <c r="L2154" s="55">
        <f t="shared" si="139"/>
        <v>0</v>
      </c>
      <c r="M2154" s="55">
        <v>0</v>
      </c>
      <c r="N2154" s="101">
        <f t="shared" si="140"/>
        <v>0</v>
      </c>
      <c r="O2154" s="57"/>
      <c r="P2154" s="145" t="str">
        <f t="shared" si="138"/>
        <v/>
      </c>
      <c r="Q2154" s="52">
        <f t="shared" si="141"/>
        <v>45</v>
      </c>
      <c r="R2154" s="8">
        <f t="shared" si="142"/>
        <v>2026</v>
      </c>
    </row>
    <row r="2155" spans="1:18" hidden="1" x14ac:dyDescent="0.25">
      <c r="A2155" s="224"/>
      <c r="B2155" s="96">
        <v>46332</v>
      </c>
      <c r="C2155" s="52" t="s">
        <v>53</v>
      </c>
      <c r="D2155" s="53" t="s">
        <v>38</v>
      </c>
      <c r="E2155" s="53"/>
      <c r="F2155" s="54"/>
      <c r="G2155" s="53"/>
      <c r="H2155" s="53">
        <v>0</v>
      </c>
      <c r="I2155" s="53">
        <v>0</v>
      </c>
      <c r="J2155" s="53">
        <v>0</v>
      </c>
      <c r="K2155" s="55"/>
      <c r="L2155" s="55">
        <f t="shared" si="139"/>
        <v>0</v>
      </c>
      <c r="M2155" s="55">
        <v>0</v>
      </c>
      <c r="N2155" s="101">
        <f t="shared" si="140"/>
        <v>0</v>
      </c>
      <c r="O2155" s="57"/>
      <c r="P2155" s="145" t="str">
        <f t="shared" si="138"/>
        <v/>
      </c>
      <c r="Q2155" s="52">
        <f t="shared" si="141"/>
        <v>45</v>
      </c>
      <c r="R2155" s="8">
        <f t="shared" si="142"/>
        <v>2026</v>
      </c>
    </row>
    <row r="2156" spans="1:18" hidden="1" x14ac:dyDescent="0.25">
      <c r="A2156" s="224"/>
      <c r="B2156" s="97">
        <v>46333</v>
      </c>
      <c r="C2156" s="58" t="s">
        <v>57</v>
      </c>
      <c r="D2156" s="60" t="s">
        <v>38</v>
      </c>
      <c r="E2156" s="60"/>
      <c r="F2156" s="61"/>
      <c r="G2156" s="60"/>
      <c r="H2156" s="60">
        <v>0</v>
      </c>
      <c r="I2156" s="60">
        <v>0</v>
      </c>
      <c r="J2156" s="60">
        <v>0</v>
      </c>
      <c r="K2156" s="62"/>
      <c r="L2156" s="62">
        <f t="shared" si="139"/>
        <v>0</v>
      </c>
      <c r="M2156" s="62">
        <v>0</v>
      </c>
      <c r="N2156" s="102">
        <f t="shared" si="140"/>
        <v>0</v>
      </c>
      <c r="O2156" s="64"/>
      <c r="P2156" s="145" t="str">
        <f t="shared" si="138"/>
        <v/>
      </c>
      <c r="Q2156" s="52">
        <f t="shared" si="141"/>
        <v>45</v>
      </c>
      <c r="R2156" s="8">
        <f t="shared" si="142"/>
        <v>2026</v>
      </c>
    </row>
    <row r="2157" spans="1:18" ht="15.75" hidden="1" thickBot="1" x14ac:dyDescent="0.3">
      <c r="A2157" s="225"/>
      <c r="B2157" s="98">
        <v>46334</v>
      </c>
      <c r="C2157" s="66" t="s">
        <v>59</v>
      </c>
      <c r="D2157" s="67" t="s">
        <v>38</v>
      </c>
      <c r="E2157" s="67"/>
      <c r="F2157" s="68"/>
      <c r="G2157" s="67"/>
      <c r="H2157" s="67">
        <v>0</v>
      </c>
      <c r="I2157" s="67">
        <v>0</v>
      </c>
      <c r="J2157" s="67">
        <v>0</v>
      </c>
      <c r="K2157" s="69"/>
      <c r="L2157" s="69">
        <f t="shared" si="139"/>
        <v>0</v>
      </c>
      <c r="M2157" s="69">
        <v>0</v>
      </c>
      <c r="N2157" s="103">
        <f t="shared" si="140"/>
        <v>0</v>
      </c>
      <c r="O2157" s="71"/>
      <c r="P2157" s="145" t="str">
        <f t="shared" si="138"/>
        <v/>
      </c>
      <c r="Q2157" s="52">
        <f t="shared" si="141"/>
        <v>45</v>
      </c>
      <c r="R2157" s="8">
        <f t="shared" si="142"/>
        <v>2026</v>
      </c>
    </row>
    <row r="2158" spans="1:18" hidden="1" x14ac:dyDescent="0.25">
      <c r="A2158" s="223">
        <f>_xlfn.ISOWEEKNUM(B2158)</f>
        <v>46</v>
      </c>
      <c r="B2158" s="96">
        <v>46335</v>
      </c>
      <c r="C2158" s="72" t="s">
        <v>37</v>
      </c>
      <c r="D2158" s="41" t="s">
        <v>38</v>
      </c>
      <c r="E2158" s="41"/>
      <c r="F2158" s="43"/>
      <c r="G2158" s="41"/>
      <c r="H2158" s="41">
        <v>0</v>
      </c>
      <c r="I2158" s="41">
        <v>0</v>
      </c>
      <c r="J2158" s="41">
        <v>0</v>
      </c>
      <c r="K2158" s="73"/>
      <c r="L2158" s="73">
        <f t="shared" si="139"/>
        <v>0</v>
      </c>
      <c r="M2158" s="73">
        <v>0</v>
      </c>
      <c r="N2158" s="105">
        <f t="shared" si="140"/>
        <v>0</v>
      </c>
      <c r="O2158" s="46"/>
      <c r="P2158" s="145" t="str">
        <f t="shared" si="138"/>
        <v/>
      </c>
      <c r="Q2158" s="52">
        <f t="shared" si="141"/>
        <v>46</v>
      </c>
      <c r="R2158" s="8">
        <f t="shared" si="142"/>
        <v>2026</v>
      </c>
    </row>
    <row r="2159" spans="1:18" hidden="1" x14ac:dyDescent="0.25">
      <c r="A2159" s="224"/>
      <c r="B2159" s="96">
        <v>46336</v>
      </c>
      <c r="C2159" s="52" t="s">
        <v>42</v>
      </c>
      <c r="D2159" s="53" t="s">
        <v>38</v>
      </c>
      <c r="E2159" s="53"/>
      <c r="F2159" s="54"/>
      <c r="G2159" s="53"/>
      <c r="H2159" s="53">
        <v>0</v>
      </c>
      <c r="I2159" s="53">
        <v>0</v>
      </c>
      <c r="J2159" s="53">
        <v>0</v>
      </c>
      <c r="K2159" s="55"/>
      <c r="L2159" s="55">
        <f t="shared" si="139"/>
        <v>0</v>
      </c>
      <c r="M2159" s="55">
        <v>0</v>
      </c>
      <c r="N2159" s="101">
        <f t="shared" si="140"/>
        <v>0</v>
      </c>
      <c r="O2159" s="57"/>
      <c r="P2159" s="145" t="str">
        <f t="shared" ref="P2159:P2222" si="143">E2159&amp;G2159</f>
        <v/>
      </c>
      <c r="Q2159" s="52">
        <f t="shared" si="141"/>
        <v>46</v>
      </c>
      <c r="R2159" s="8">
        <f t="shared" si="142"/>
        <v>2026</v>
      </c>
    </row>
    <row r="2160" spans="1:18" hidden="1" x14ac:dyDescent="0.25">
      <c r="A2160" s="224"/>
      <c r="B2160" s="96">
        <v>46337</v>
      </c>
      <c r="C2160" s="52" t="s">
        <v>46</v>
      </c>
      <c r="D2160" s="53" t="s">
        <v>38</v>
      </c>
      <c r="E2160" s="53"/>
      <c r="F2160" s="54"/>
      <c r="G2160" s="53"/>
      <c r="H2160" s="53">
        <v>0</v>
      </c>
      <c r="I2160" s="53">
        <v>0</v>
      </c>
      <c r="J2160" s="53">
        <v>0</v>
      </c>
      <c r="K2160" s="55"/>
      <c r="L2160" s="55">
        <f t="shared" si="139"/>
        <v>0</v>
      </c>
      <c r="M2160" s="55">
        <v>0</v>
      </c>
      <c r="N2160" s="101">
        <f t="shared" si="140"/>
        <v>0</v>
      </c>
      <c r="O2160" s="57"/>
      <c r="P2160" s="145" t="str">
        <f t="shared" si="143"/>
        <v/>
      </c>
      <c r="Q2160" s="52">
        <f t="shared" si="141"/>
        <v>46</v>
      </c>
      <c r="R2160" s="8">
        <f t="shared" si="142"/>
        <v>2026</v>
      </c>
    </row>
    <row r="2161" spans="1:18" hidden="1" x14ac:dyDescent="0.25">
      <c r="A2161" s="224"/>
      <c r="B2161" s="96">
        <v>46338</v>
      </c>
      <c r="C2161" s="52" t="s">
        <v>50</v>
      </c>
      <c r="D2161" s="53" t="s">
        <v>38</v>
      </c>
      <c r="E2161" s="53"/>
      <c r="F2161" s="54"/>
      <c r="G2161" s="53"/>
      <c r="H2161" s="53">
        <v>0</v>
      </c>
      <c r="I2161" s="53">
        <v>0</v>
      </c>
      <c r="J2161" s="53">
        <v>0</v>
      </c>
      <c r="K2161" s="55"/>
      <c r="L2161" s="55">
        <f t="shared" si="139"/>
        <v>0</v>
      </c>
      <c r="M2161" s="55">
        <v>0</v>
      </c>
      <c r="N2161" s="101">
        <f t="shared" si="140"/>
        <v>0</v>
      </c>
      <c r="O2161" s="57"/>
      <c r="P2161" s="145" t="str">
        <f t="shared" si="143"/>
        <v/>
      </c>
      <c r="Q2161" s="52">
        <f t="shared" si="141"/>
        <v>46</v>
      </c>
      <c r="R2161" s="8">
        <f t="shared" si="142"/>
        <v>2026</v>
      </c>
    </row>
    <row r="2162" spans="1:18" hidden="1" x14ac:dyDescent="0.25">
      <c r="A2162" s="224"/>
      <c r="B2162" s="96">
        <v>46339</v>
      </c>
      <c r="C2162" s="52" t="s">
        <v>53</v>
      </c>
      <c r="D2162" s="53" t="s">
        <v>38</v>
      </c>
      <c r="E2162" s="53"/>
      <c r="F2162" s="54"/>
      <c r="G2162" s="53"/>
      <c r="H2162" s="53">
        <v>0</v>
      </c>
      <c r="I2162" s="53">
        <v>0</v>
      </c>
      <c r="J2162" s="53">
        <v>0</v>
      </c>
      <c r="K2162" s="55"/>
      <c r="L2162" s="55">
        <f t="shared" si="139"/>
        <v>0</v>
      </c>
      <c r="M2162" s="55">
        <v>0</v>
      </c>
      <c r="N2162" s="101">
        <f t="shared" si="140"/>
        <v>0</v>
      </c>
      <c r="O2162" s="57"/>
      <c r="P2162" s="145" t="str">
        <f t="shared" si="143"/>
        <v/>
      </c>
      <c r="Q2162" s="52">
        <f t="shared" si="141"/>
        <v>46</v>
      </c>
      <c r="R2162" s="8">
        <f t="shared" si="142"/>
        <v>2026</v>
      </c>
    </row>
    <row r="2163" spans="1:18" hidden="1" x14ac:dyDescent="0.25">
      <c r="A2163" s="224"/>
      <c r="B2163" s="97">
        <v>46340</v>
      </c>
      <c r="C2163" s="58" t="s">
        <v>57</v>
      </c>
      <c r="D2163" s="60" t="s">
        <v>38</v>
      </c>
      <c r="E2163" s="60"/>
      <c r="F2163" s="61"/>
      <c r="G2163" s="60"/>
      <c r="H2163" s="60">
        <v>0</v>
      </c>
      <c r="I2163" s="60">
        <v>0</v>
      </c>
      <c r="J2163" s="60">
        <v>0</v>
      </c>
      <c r="K2163" s="62"/>
      <c r="L2163" s="62">
        <f t="shared" si="139"/>
        <v>0</v>
      </c>
      <c r="M2163" s="62">
        <v>0</v>
      </c>
      <c r="N2163" s="102">
        <f t="shared" si="140"/>
        <v>0</v>
      </c>
      <c r="O2163" s="64"/>
      <c r="P2163" s="145" t="str">
        <f t="shared" si="143"/>
        <v/>
      </c>
      <c r="Q2163" s="52">
        <f t="shared" si="141"/>
        <v>46</v>
      </c>
      <c r="R2163" s="8">
        <f t="shared" si="142"/>
        <v>2026</v>
      </c>
    </row>
    <row r="2164" spans="1:18" ht="15.75" hidden="1" thickBot="1" x14ac:dyDescent="0.3">
      <c r="A2164" s="225"/>
      <c r="B2164" s="98">
        <v>46341</v>
      </c>
      <c r="C2164" s="66" t="s">
        <v>59</v>
      </c>
      <c r="D2164" s="67" t="s">
        <v>38</v>
      </c>
      <c r="E2164" s="67"/>
      <c r="F2164" s="68"/>
      <c r="G2164" s="67"/>
      <c r="H2164" s="67">
        <v>0</v>
      </c>
      <c r="I2164" s="67">
        <v>0</v>
      </c>
      <c r="J2164" s="67">
        <v>0</v>
      </c>
      <c r="K2164" s="69"/>
      <c r="L2164" s="69">
        <f t="shared" si="139"/>
        <v>0</v>
      </c>
      <c r="M2164" s="69">
        <v>0</v>
      </c>
      <c r="N2164" s="103">
        <f t="shared" si="140"/>
        <v>0</v>
      </c>
      <c r="O2164" s="71"/>
      <c r="P2164" s="145" t="str">
        <f t="shared" si="143"/>
        <v/>
      </c>
      <c r="Q2164" s="52">
        <f t="shared" si="141"/>
        <v>46</v>
      </c>
      <c r="R2164" s="8">
        <f t="shared" si="142"/>
        <v>2026</v>
      </c>
    </row>
    <row r="2165" spans="1:18" hidden="1" x14ac:dyDescent="0.25">
      <c r="A2165" s="223">
        <f>_xlfn.ISOWEEKNUM(B2165)</f>
        <v>47</v>
      </c>
      <c r="B2165" s="96">
        <v>46342</v>
      </c>
      <c r="C2165" s="72" t="s">
        <v>37</v>
      </c>
      <c r="D2165" s="41" t="s">
        <v>38</v>
      </c>
      <c r="E2165" s="41"/>
      <c r="F2165" s="43"/>
      <c r="G2165" s="41"/>
      <c r="H2165" s="41">
        <v>0</v>
      </c>
      <c r="I2165" s="41">
        <v>0</v>
      </c>
      <c r="J2165" s="41">
        <v>0</v>
      </c>
      <c r="K2165" s="73"/>
      <c r="L2165" s="73">
        <f t="shared" si="139"/>
        <v>0</v>
      </c>
      <c r="M2165" s="73">
        <v>0</v>
      </c>
      <c r="N2165" s="105">
        <f t="shared" si="140"/>
        <v>0</v>
      </c>
      <c r="O2165" s="46"/>
      <c r="P2165" s="145" t="str">
        <f t="shared" si="143"/>
        <v/>
      </c>
      <c r="Q2165" s="52">
        <f t="shared" si="141"/>
        <v>47</v>
      </c>
      <c r="R2165" s="8">
        <f t="shared" si="142"/>
        <v>2026</v>
      </c>
    </row>
    <row r="2166" spans="1:18" hidden="1" x14ac:dyDescent="0.25">
      <c r="A2166" s="224"/>
      <c r="B2166" s="96">
        <v>46343</v>
      </c>
      <c r="C2166" s="52" t="s">
        <v>42</v>
      </c>
      <c r="D2166" s="53" t="s">
        <v>38</v>
      </c>
      <c r="E2166" s="53"/>
      <c r="F2166" s="54"/>
      <c r="G2166" s="53"/>
      <c r="H2166" s="53">
        <v>0</v>
      </c>
      <c r="I2166" s="53">
        <v>0</v>
      </c>
      <c r="J2166" s="53">
        <v>0</v>
      </c>
      <c r="K2166" s="55"/>
      <c r="L2166" s="55">
        <f t="shared" ref="L2166:L2229" si="144">+I2166*K2166</f>
        <v>0</v>
      </c>
      <c r="M2166" s="55">
        <v>0</v>
      </c>
      <c r="N2166" s="101">
        <f t="shared" ref="N2166:N2229" si="145">+L2166*(1-M2166)</f>
        <v>0</v>
      </c>
      <c r="O2166" s="57"/>
      <c r="P2166" s="145" t="str">
        <f t="shared" si="143"/>
        <v/>
      </c>
      <c r="Q2166" s="52">
        <f t="shared" si="141"/>
        <v>47</v>
      </c>
      <c r="R2166" s="8">
        <f t="shared" si="142"/>
        <v>2026</v>
      </c>
    </row>
    <row r="2167" spans="1:18" hidden="1" x14ac:dyDescent="0.25">
      <c r="A2167" s="224"/>
      <c r="B2167" s="96">
        <v>46344</v>
      </c>
      <c r="C2167" s="52" t="s">
        <v>46</v>
      </c>
      <c r="D2167" s="53" t="s">
        <v>38</v>
      </c>
      <c r="E2167" s="53"/>
      <c r="F2167" s="54"/>
      <c r="G2167" s="53"/>
      <c r="H2167" s="53">
        <v>0</v>
      </c>
      <c r="I2167" s="53">
        <v>0</v>
      </c>
      <c r="J2167" s="53">
        <v>0</v>
      </c>
      <c r="K2167" s="55"/>
      <c r="L2167" s="55">
        <f t="shared" si="144"/>
        <v>0</v>
      </c>
      <c r="M2167" s="55">
        <v>0</v>
      </c>
      <c r="N2167" s="101">
        <f t="shared" si="145"/>
        <v>0</v>
      </c>
      <c r="O2167" s="57"/>
      <c r="P2167" s="145" t="str">
        <f t="shared" si="143"/>
        <v/>
      </c>
      <c r="Q2167" s="52">
        <f t="shared" si="141"/>
        <v>47</v>
      </c>
      <c r="R2167" s="8">
        <f t="shared" si="142"/>
        <v>2026</v>
      </c>
    </row>
    <row r="2168" spans="1:18" hidden="1" x14ac:dyDescent="0.25">
      <c r="A2168" s="224"/>
      <c r="B2168" s="96">
        <v>46345</v>
      </c>
      <c r="C2168" s="52" t="s">
        <v>50</v>
      </c>
      <c r="D2168" s="53" t="s">
        <v>38</v>
      </c>
      <c r="E2168" s="53"/>
      <c r="F2168" s="54"/>
      <c r="G2168" s="53"/>
      <c r="H2168" s="53">
        <v>0</v>
      </c>
      <c r="I2168" s="53">
        <v>0</v>
      </c>
      <c r="J2168" s="53">
        <v>0</v>
      </c>
      <c r="K2168" s="55"/>
      <c r="L2168" s="55">
        <f t="shared" si="144"/>
        <v>0</v>
      </c>
      <c r="M2168" s="55">
        <v>0</v>
      </c>
      <c r="N2168" s="101">
        <f t="shared" si="145"/>
        <v>0</v>
      </c>
      <c r="O2168" s="57"/>
      <c r="P2168" s="145" t="str">
        <f t="shared" si="143"/>
        <v/>
      </c>
      <c r="Q2168" s="52">
        <f t="shared" si="141"/>
        <v>47</v>
      </c>
      <c r="R2168" s="8">
        <f t="shared" si="142"/>
        <v>2026</v>
      </c>
    </row>
    <row r="2169" spans="1:18" hidden="1" x14ac:dyDescent="0.25">
      <c r="A2169" s="224"/>
      <c r="B2169" s="96">
        <v>46346</v>
      </c>
      <c r="C2169" s="52" t="s">
        <v>53</v>
      </c>
      <c r="D2169" s="53" t="s">
        <v>38</v>
      </c>
      <c r="E2169" s="53"/>
      <c r="F2169" s="54"/>
      <c r="G2169" s="53"/>
      <c r="H2169" s="53">
        <v>0</v>
      </c>
      <c r="I2169" s="53">
        <v>0</v>
      </c>
      <c r="J2169" s="53">
        <v>0</v>
      </c>
      <c r="K2169" s="55"/>
      <c r="L2169" s="55">
        <f t="shared" si="144"/>
        <v>0</v>
      </c>
      <c r="M2169" s="55">
        <v>0</v>
      </c>
      <c r="N2169" s="101">
        <f t="shared" si="145"/>
        <v>0</v>
      </c>
      <c r="O2169" s="57"/>
      <c r="P2169" s="145" t="str">
        <f t="shared" si="143"/>
        <v/>
      </c>
      <c r="Q2169" s="52">
        <f t="shared" si="141"/>
        <v>47</v>
      </c>
      <c r="R2169" s="8">
        <f t="shared" si="142"/>
        <v>2026</v>
      </c>
    </row>
    <row r="2170" spans="1:18" hidden="1" x14ac:dyDescent="0.25">
      <c r="A2170" s="224"/>
      <c r="B2170" s="97">
        <v>46347</v>
      </c>
      <c r="C2170" s="58" t="s">
        <v>57</v>
      </c>
      <c r="D2170" s="60" t="s">
        <v>38</v>
      </c>
      <c r="E2170" s="60"/>
      <c r="F2170" s="61"/>
      <c r="G2170" s="60"/>
      <c r="H2170" s="60">
        <v>0</v>
      </c>
      <c r="I2170" s="60">
        <v>0</v>
      </c>
      <c r="J2170" s="60">
        <v>0</v>
      </c>
      <c r="K2170" s="62"/>
      <c r="L2170" s="62">
        <f t="shared" si="144"/>
        <v>0</v>
      </c>
      <c r="M2170" s="62">
        <v>0</v>
      </c>
      <c r="N2170" s="102">
        <f t="shared" si="145"/>
        <v>0</v>
      </c>
      <c r="O2170" s="64"/>
      <c r="P2170" s="145" t="str">
        <f t="shared" si="143"/>
        <v/>
      </c>
      <c r="Q2170" s="52">
        <f t="shared" si="141"/>
        <v>47</v>
      </c>
      <c r="R2170" s="8">
        <f t="shared" si="142"/>
        <v>2026</v>
      </c>
    </row>
    <row r="2171" spans="1:18" ht="15.75" hidden="1" thickBot="1" x14ac:dyDescent="0.3">
      <c r="A2171" s="225"/>
      <c r="B2171" s="98">
        <v>46348</v>
      </c>
      <c r="C2171" s="66" t="s">
        <v>59</v>
      </c>
      <c r="D2171" s="67" t="s">
        <v>38</v>
      </c>
      <c r="E2171" s="67"/>
      <c r="F2171" s="68"/>
      <c r="G2171" s="67"/>
      <c r="H2171" s="67">
        <v>0</v>
      </c>
      <c r="I2171" s="67">
        <v>0</v>
      </c>
      <c r="J2171" s="67">
        <v>0</v>
      </c>
      <c r="K2171" s="69"/>
      <c r="L2171" s="69">
        <f t="shared" si="144"/>
        <v>0</v>
      </c>
      <c r="M2171" s="69">
        <v>0</v>
      </c>
      <c r="N2171" s="103">
        <f t="shared" si="145"/>
        <v>0</v>
      </c>
      <c r="O2171" s="71"/>
      <c r="P2171" s="145" t="str">
        <f t="shared" si="143"/>
        <v/>
      </c>
      <c r="Q2171" s="52">
        <f t="shared" si="141"/>
        <v>47</v>
      </c>
      <c r="R2171" s="8">
        <f t="shared" si="142"/>
        <v>2026</v>
      </c>
    </row>
    <row r="2172" spans="1:18" hidden="1" x14ac:dyDescent="0.25">
      <c r="A2172" s="223">
        <f>_xlfn.ISOWEEKNUM(B2172)</f>
        <v>48</v>
      </c>
      <c r="B2172" s="96">
        <v>46349</v>
      </c>
      <c r="C2172" s="72" t="s">
        <v>37</v>
      </c>
      <c r="D2172" s="41" t="s">
        <v>38</v>
      </c>
      <c r="E2172" s="41"/>
      <c r="F2172" s="43"/>
      <c r="G2172" s="41"/>
      <c r="H2172" s="41">
        <v>0</v>
      </c>
      <c r="I2172" s="41">
        <v>0</v>
      </c>
      <c r="J2172" s="41">
        <v>0</v>
      </c>
      <c r="K2172" s="73"/>
      <c r="L2172" s="73">
        <f t="shared" si="144"/>
        <v>0</v>
      </c>
      <c r="M2172" s="73">
        <v>0</v>
      </c>
      <c r="N2172" s="105">
        <f t="shared" si="145"/>
        <v>0</v>
      </c>
      <c r="O2172" s="46"/>
      <c r="P2172" s="145" t="str">
        <f t="shared" si="143"/>
        <v/>
      </c>
      <c r="Q2172" s="52">
        <f t="shared" si="141"/>
        <v>48</v>
      </c>
      <c r="R2172" s="8">
        <f t="shared" si="142"/>
        <v>2026</v>
      </c>
    </row>
    <row r="2173" spans="1:18" hidden="1" x14ac:dyDescent="0.25">
      <c r="A2173" s="224"/>
      <c r="B2173" s="96">
        <v>46350</v>
      </c>
      <c r="C2173" s="52" t="s">
        <v>42</v>
      </c>
      <c r="D2173" s="53" t="s">
        <v>38</v>
      </c>
      <c r="E2173" s="53"/>
      <c r="F2173" s="54"/>
      <c r="G2173" s="53"/>
      <c r="H2173" s="53">
        <v>0</v>
      </c>
      <c r="I2173" s="53">
        <v>0</v>
      </c>
      <c r="J2173" s="53">
        <v>0</v>
      </c>
      <c r="K2173" s="55"/>
      <c r="L2173" s="55">
        <f t="shared" si="144"/>
        <v>0</v>
      </c>
      <c r="M2173" s="55">
        <v>0</v>
      </c>
      <c r="N2173" s="101">
        <f t="shared" si="145"/>
        <v>0</v>
      </c>
      <c r="O2173" s="57"/>
      <c r="P2173" s="145" t="str">
        <f t="shared" si="143"/>
        <v/>
      </c>
      <c r="Q2173" s="52">
        <f t="shared" si="141"/>
        <v>48</v>
      </c>
      <c r="R2173" s="8">
        <f t="shared" si="142"/>
        <v>2026</v>
      </c>
    </row>
    <row r="2174" spans="1:18" hidden="1" x14ac:dyDescent="0.25">
      <c r="A2174" s="224"/>
      <c r="B2174" s="96">
        <v>46351</v>
      </c>
      <c r="C2174" s="52" t="s">
        <v>46</v>
      </c>
      <c r="D2174" s="53" t="s">
        <v>38</v>
      </c>
      <c r="E2174" s="53"/>
      <c r="F2174" s="54"/>
      <c r="G2174" s="53"/>
      <c r="H2174" s="53">
        <v>0</v>
      </c>
      <c r="I2174" s="53">
        <v>0</v>
      </c>
      <c r="J2174" s="53">
        <v>0</v>
      </c>
      <c r="K2174" s="55"/>
      <c r="L2174" s="55">
        <f t="shared" si="144"/>
        <v>0</v>
      </c>
      <c r="M2174" s="55">
        <v>0</v>
      </c>
      <c r="N2174" s="101">
        <f t="shared" si="145"/>
        <v>0</v>
      </c>
      <c r="O2174" s="57"/>
      <c r="P2174" s="145" t="str">
        <f t="shared" si="143"/>
        <v/>
      </c>
      <c r="Q2174" s="52">
        <f t="shared" si="141"/>
        <v>48</v>
      </c>
      <c r="R2174" s="8">
        <f t="shared" si="142"/>
        <v>2026</v>
      </c>
    </row>
    <row r="2175" spans="1:18" hidden="1" x14ac:dyDescent="0.25">
      <c r="A2175" s="224"/>
      <c r="B2175" s="96">
        <v>46352</v>
      </c>
      <c r="C2175" s="52" t="s">
        <v>50</v>
      </c>
      <c r="D2175" s="53" t="s">
        <v>38</v>
      </c>
      <c r="E2175" s="53"/>
      <c r="F2175" s="54"/>
      <c r="G2175" s="53"/>
      <c r="H2175" s="53">
        <v>0</v>
      </c>
      <c r="I2175" s="53">
        <v>0</v>
      </c>
      <c r="J2175" s="53">
        <v>0</v>
      </c>
      <c r="K2175" s="55"/>
      <c r="L2175" s="55">
        <f t="shared" si="144"/>
        <v>0</v>
      </c>
      <c r="M2175" s="55">
        <v>0</v>
      </c>
      <c r="N2175" s="101">
        <f t="shared" si="145"/>
        <v>0</v>
      </c>
      <c r="O2175" s="57"/>
      <c r="P2175" s="145" t="str">
        <f t="shared" si="143"/>
        <v/>
      </c>
      <c r="Q2175" s="52">
        <f t="shared" si="141"/>
        <v>48</v>
      </c>
      <c r="R2175" s="8">
        <f t="shared" si="142"/>
        <v>2026</v>
      </c>
    </row>
    <row r="2176" spans="1:18" hidden="1" x14ac:dyDescent="0.25">
      <c r="A2176" s="224"/>
      <c r="B2176" s="96">
        <v>46353</v>
      </c>
      <c r="C2176" s="52" t="s">
        <v>53</v>
      </c>
      <c r="D2176" s="53" t="s">
        <v>38</v>
      </c>
      <c r="E2176" s="53"/>
      <c r="F2176" s="54"/>
      <c r="G2176" s="53"/>
      <c r="H2176" s="53">
        <v>0</v>
      </c>
      <c r="I2176" s="53">
        <v>0</v>
      </c>
      <c r="J2176" s="53">
        <v>0</v>
      </c>
      <c r="K2176" s="55"/>
      <c r="L2176" s="55">
        <f t="shared" si="144"/>
        <v>0</v>
      </c>
      <c r="M2176" s="55">
        <v>0</v>
      </c>
      <c r="N2176" s="101">
        <f t="shared" si="145"/>
        <v>0</v>
      </c>
      <c r="O2176" s="57"/>
      <c r="P2176" s="145" t="str">
        <f t="shared" si="143"/>
        <v/>
      </c>
      <c r="Q2176" s="52">
        <f t="shared" si="141"/>
        <v>48</v>
      </c>
      <c r="R2176" s="8">
        <f t="shared" si="142"/>
        <v>2026</v>
      </c>
    </row>
    <row r="2177" spans="1:18" hidden="1" x14ac:dyDescent="0.25">
      <c r="A2177" s="224"/>
      <c r="B2177" s="97">
        <v>46354</v>
      </c>
      <c r="C2177" s="58" t="s">
        <v>57</v>
      </c>
      <c r="D2177" s="60" t="s">
        <v>38</v>
      </c>
      <c r="E2177" s="60"/>
      <c r="F2177" s="61"/>
      <c r="G2177" s="60"/>
      <c r="H2177" s="60">
        <v>0</v>
      </c>
      <c r="I2177" s="60">
        <v>0</v>
      </c>
      <c r="J2177" s="60">
        <v>0</v>
      </c>
      <c r="K2177" s="62"/>
      <c r="L2177" s="62">
        <f t="shared" si="144"/>
        <v>0</v>
      </c>
      <c r="M2177" s="62">
        <v>0</v>
      </c>
      <c r="N2177" s="102">
        <f t="shared" si="145"/>
        <v>0</v>
      </c>
      <c r="O2177" s="64"/>
      <c r="P2177" s="145" t="str">
        <f t="shared" si="143"/>
        <v/>
      </c>
      <c r="Q2177" s="52">
        <f t="shared" si="141"/>
        <v>48</v>
      </c>
      <c r="R2177" s="8">
        <f t="shared" si="142"/>
        <v>2026</v>
      </c>
    </row>
    <row r="2178" spans="1:18" ht="15.75" hidden="1" thickBot="1" x14ac:dyDescent="0.3">
      <c r="A2178" s="225"/>
      <c r="B2178" s="98">
        <v>46355</v>
      </c>
      <c r="C2178" s="66" t="s">
        <v>59</v>
      </c>
      <c r="D2178" s="67" t="s">
        <v>38</v>
      </c>
      <c r="E2178" s="67"/>
      <c r="F2178" s="68"/>
      <c r="G2178" s="67"/>
      <c r="H2178" s="67">
        <v>0</v>
      </c>
      <c r="I2178" s="67">
        <v>0</v>
      </c>
      <c r="J2178" s="67">
        <v>0</v>
      </c>
      <c r="K2178" s="69"/>
      <c r="L2178" s="69">
        <f t="shared" si="144"/>
        <v>0</v>
      </c>
      <c r="M2178" s="69">
        <v>0</v>
      </c>
      <c r="N2178" s="103">
        <f t="shared" si="145"/>
        <v>0</v>
      </c>
      <c r="O2178" s="71"/>
      <c r="P2178" s="145" t="str">
        <f t="shared" si="143"/>
        <v/>
      </c>
      <c r="Q2178" s="52">
        <f t="shared" si="141"/>
        <v>48</v>
      </c>
      <c r="R2178" s="8">
        <f t="shared" si="142"/>
        <v>2026</v>
      </c>
    </row>
    <row r="2179" spans="1:18" hidden="1" x14ac:dyDescent="0.25">
      <c r="A2179" s="223">
        <f>_xlfn.ISOWEEKNUM(B2179)</f>
        <v>49</v>
      </c>
      <c r="B2179" s="96">
        <v>46356</v>
      </c>
      <c r="C2179" s="72" t="s">
        <v>37</v>
      </c>
      <c r="D2179" s="41" t="s">
        <v>38</v>
      </c>
      <c r="E2179" s="41"/>
      <c r="F2179" s="43"/>
      <c r="G2179" s="41"/>
      <c r="H2179" s="41">
        <v>0</v>
      </c>
      <c r="I2179" s="41">
        <v>0</v>
      </c>
      <c r="J2179" s="41">
        <v>0</v>
      </c>
      <c r="K2179" s="73"/>
      <c r="L2179" s="73">
        <f t="shared" si="144"/>
        <v>0</v>
      </c>
      <c r="M2179" s="73">
        <v>0</v>
      </c>
      <c r="N2179" s="105">
        <f t="shared" si="145"/>
        <v>0</v>
      </c>
      <c r="O2179" s="46"/>
      <c r="P2179" s="145" t="str">
        <f t="shared" si="143"/>
        <v/>
      </c>
      <c r="Q2179" s="52">
        <f t="shared" si="141"/>
        <v>49</v>
      </c>
      <c r="R2179" s="8">
        <f t="shared" si="142"/>
        <v>2026</v>
      </c>
    </row>
    <row r="2180" spans="1:18" hidden="1" x14ac:dyDescent="0.25">
      <c r="A2180" s="224"/>
      <c r="B2180" s="96">
        <v>46357</v>
      </c>
      <c r="C2180" s="52" t="s">
        <v>42</v>
      </c>
      <c r="D2180" s="53" t="s">
        <v>38</v>
      </c>
      <c r="E2180" s="53"/>
      <c r="F2180" s="54"/>
      <c r="G2180" s="53"/>
      <c r="H2180" s="53">
        <v>0</v>
      </c>
      <c r="I2180" s="53">
        <v>0</v>
      </c>
      <c r="J2180" s="53">
        <v>0</v>
      </c>
      <c r="K2180" s="55"/>
      <c r="L2180" s="55">
        <f t="shared" si="144"/>
        <v>0</v>
      </c>
      <c r="M2180" s="55">
        <v>0</v>
      </c>
      <c r="N2180" s="101">
        <f t="shared" si="145"/>
        <v>0</v>
      </c>
      <c r="O2180" s="57"/>
      <c r="P2180" s="145" t="str">
        <f t="shared" si="143"/>
        <v/>
      </c>
      <c r="Q2180" s="52">
        <f t="shared" si="141"/>
        <v>49</v>
      </c>
      <c r="R2180" s="8">
        <f t="shared" si="142"/>
        <v>2026</v>
      </c>
    </row>
    <row r="2181" spans="1:18" hidden="1" x14ac:dyDescent="0.25">
      <c r="A2181" s="224"/>
      <c r="B2181" s="96">
        <v>46358</v>
      </c>
      <c r="C2181" s="52" t="s">
        <v>46</v>
      </c>
      <c r="D2181" s="53" t="s">
        <v>38</v>
      </c>
      <c r="E2181" s="53"/>
      <c r="F2181" s="54"/>
      <c r="G2181" s="53"/>
      <c r="H2181" s="53">
        <v>0</v>
      </c>
      <c r="I2181" s="53">
        <v>0</v>
      </c>
      <c r="J2181" s="53">
        <v>0</v>
      </c>
      <c r="K2181" s="55"/>
      <c r="L2181" s="55">
        <f t="shared" si="144"/>
        <v>0</v>
      </c>
      <c r="M2181" s="55">
        <v>0</v>
      </c>
      <c r="N2181" s="101">
        <f t="shared" si="145"/>
        <v>0</v>
      </c>
      <c r="O2181" s="57"/>
      <c r="P2181" s="145" t="str">
        <f t="shared" si="143"/>
        <v/>
      </c>
      <c r="Q2181" s="52">
        <f t="shared" si="141"/>
        <v>49</v>
      </c>
      <c r="R2181" s="8">
        <f t="shared" si="142"/>
        <v>2026</v>
      </c>
    </row>
    <row r="2182" spans="1:18" hidden="1" x14ac:dyDescent="0.25">
      <c r="A2182" s="224"/>
      <c r="B2182" s="96">
        <v>46359</v>
      </c>
      <c r="C2182" s="52" t="s">
        <v>50</v>
      </c>
      <c r="D2182" s="53" t="s">
        <v>38</v>
      </c>
      <c r="E2182" s="53"/>
      <c r="F2182" s="54"/>
      <c r="G2182" s="53"/>
      <c r="H2182" s="53">
        <v>0</v>
      </c>
      <c r="I2182" s="53">
        <v>0</v>
      </c>
      <c r="J2182" s="53">
        <v>0</v>
      </c>
      <c r="K2182" s="55"/>
      <c r="L2182" s="55">
        <f t="shared" si="144"/>
        <v>0</v>
      </c>
      <c r="M2182" s="55">
        <v>0</v>
      </c>
      <c r="N2182" s="101">
        <f t="shared" si="145"/>
        <v>0</v>
      </c>
      <c r="O2182" s="57"/>
      <c r="P2182" s="145" t="str">
        <f t="shared" si="143"/>
        <v/>
      </c>
      <c r="Q2182" s="52">
        <f t="shared" si="141"/>
        <v>49</v>
      </c>
      <c r="R2182" s="8">
        <f t="shared" si="142"/>
        <v>2026</v>
      </c>
    </row>
    <row r="2183" spans="1:18" hidden="1" x14ac:dyDescent="0.25">
      <c r="A2183" s="224"/>
      <c r="B2183" s="96">
        <v>46360</v>
      </c>
      <c r="C2183" s="52" t="s">
        <v>53</v>
      </c>
      <c r="D2183" s="53" t="s">
        <v>38</v>
      </c>
      <c r="E2183" s="53"/>
      <c r="F2183" s="54"/>
      <c r="G2183" s="53"/>
      <c r="H2183" s="53">
        <v>0</v>
      </c>
      <c r="I2183" s="53">
        <v>0</v>
      </c>
      <c r="J2183" s="53">
        <v>0</v>
      </c>
      <c r="K2183" s="55"/>
      <c r="L2183" s="55">
        <f t="shared" si="144"/>
        <v>0</v>
      </c>
      <c r="M2183" s="55">
        <v>0</v>
      </c>
      <c r="N2183" s="101">
        <f t="shared" si="145"/>
        <v>0</v>
      </c>
      <c r="O2183" s="57"/>
      <c r="P2183" s="145" t="str">
        <f t="shared" si="143"/>
        <v/>
      </c>
      <c r="Q2183" s="52">
        <f t="shared" si="141"/>
        <v>49</v>
      </c>
      <c r="R2183" s="8">
        <f t="shared" si="142"/>
        <v>2026</v>
      </c>
    </row>
    <row r="2184" spans="1:18" hidden="1" x14ac:dyDescent="0.25">
      <c r="A2184" s="224"/>
      <c r="B2184" s="97">
        <v>46361</v>
      </c>
      <c r="C2184" s="58" t="s">
        <v>57</v>
      </c>
      <c r="D2184" s="60" t="s">
        <v>38</v>
      </c>
      <c r="E2184" s="60"/>
      <c r="F2184" s="61"/>
      <c r="G2184" s="60"/>
      <c r="H2184" s="60">
        <v>0</v>
      </c>
      <c r="I2184" s="60">
        <v>0</v>
      </c>
      <c r="J2184" s="60">
        <v>0</v>
      </c>
      <c r="K2184" s="62"/>
      <c r="L2184" s="62">
        <f t="shared" si="144"/>
        <v>0</v>
      </c>
      <c r="M2184" s="62">
        <v>0</v>
      </c>
      <c r="N2184" s="102">
        <f t="shared" si="145"/>
        <v>0</v>
      </c>
      <c r="O2184" s="64"/>
      <c r="P2184" s="145" t="str">
        <f t="shared" si="143"/>
        <v/>
      </c>
      <c r="Q2184" s="52">
        <f t="shared" si="141"/>
        <v>49</v>
      </c>
      <c r="R2184" s="8">
        <f t="shared" si="142"/>
        <v>2026</v>
      </c>
    </row>
    <row r="2185" spans="1:18" ht="15.75" hidden="1" thickBot="1" x14ac:dyDescent="0.3">
      <c r="A2185" s="225"/>
      <c r="B2185" s="98">
        <v>46362</v>
      </c>
      <c r="C2185" s="66" t="s">
        <v>59</v>
      </c>
      <c r="D2185" s="67" t="s">
        <v>38</v>
      </c>
      <c r="E2185" s="67"/>
      <c r="F2185" s="68"/>
      <c r="G2185" s="67"/>
      <c r="H2185" s="67">
        <v>0</v>
      </c>
      <c r="I2185" s="67">
        <v>0</v>
      </c>
      <c r="J2185" s="67">
        <v>0</v>
      </c>
      <c r="K2185" s="69"/>
      <c r="L2185" s="69">
        <f t="shared" si="144"/>
        <v>0</v>
      </c>
      <c r="M2185" s="69">
        <v>0</v>
      </c>
      <c r="N2185" s="103">
        <f t="shared" si="145"/>
        <v>0</v>
      </c>
      <c r="O2185" s="71"/>
      <c r="P2185" s="145" t="str">
        <f t="shared" si="143"/>
        <v/>
      </c>
      <c r="Q2185" s="52">
        <f t="shared" ref="Q2185:Q2248" si="146">_xlfn.ISOWEEKNUM(B2185)</f>
        <v>49</v>
      </c>
      <c r="R2185" s="8">
        <f t="shared" ref="R2185:R2248" si="147">YEAR(B2185)</f>
        <v>2026</v>
      </c>
    </row>
    <row r="2186" spans="1:18" hidden="1" x14ac:dyDescent="0.25">
      <c r="A2186" s="223">
        <f>_xlfn.ISOWEEKNUM(B2186)</f>
        <v>50</v>
      </c>
      <c r="B2186" s="96">
        <v>46363</v>
      </c>
      <c r="C2186" s="72" t="s">
        <v>37</v>
      </c>
      <c r="D2186" s="41" t="s">
        <v>38</v>
      </c>
      <c r="E2186" s="41"/>
      <c r="F2186" s="43"/>
      <c r="G2186" s="41"/>
      <c r="H2186" s="41">
        <v>0</v>
      </c>
      <c r="I2186" s="41">
        <v>0</v>
      </c>
      <c r="J2186" s="41">
        <v>0</v>
      </c>
      <c r="K2186" s="73"/>
      <c r="L2186" s="73">
        <f t="shared" si="144"/>
        <v>0</v>
      </c>
      <c r="M2186" s="73">
        <v>0</v>
      </c>
      <c r="N2186" s="105">
        <f t="shared" si="145"/>
        <v>0</v>
      </c>
      <c r="O2186" s="46"/>
      <c r="P2186" s="145" t="str">
        <f t="shared" si="143"/>
        <v/>
      </c>
      <c r="Q2186" s="52">
        <f t="shared" si="146"/>
        <v>50</v>
      </c>
      <c r="R2186" s="8">
        <f t="shared" si="147"/>
        <v>2026</v>
      </c>
    </row>
    <row r="2187" spans="1:18" hidden="1" x14ac:dyDescent="0.25">
      <c r="A2187" s="224"/>
      <c r="B2187" s="96">
        <v>46364</v>
      </c>
      <c r="C2187" s="52" t="s">
        <v>42</v>
      </c>
      <c r="D2187" s="53" t="s">
        <v>38</v>
      </c>
      <c r="E2187" s="53"/>
      <c r="F2187" s="54"/>
      <c r="G2187" s="53"/>
      <c r="H2187" s="53">
        <v>0</v>
      </c>
      <c r="I2187" s="53">
        <v>0</v>
      </c>
      <c r="J2187" s="53">
        <v>0</v>
      </c>
      <c r="K2187" s="55"/>
      <c r="L2187" s="55">
        <f t="shared" si="144"/>
        <v>0</v>
      </c>
      <c r="M2187" s="55">
        <v>0</v>
      </c>
      <c r="N2187" s="101">
        <f t="shared" si="145"/>
        <v>0</v>
      </c>
      <c r="O2187" s="57"/>
      <c r="P2187" s="145" t="str">
        <f t="shared" si="143"/>
        <v/>
      </c>
      <c r="Q2187" s="52">
        <f t="shared" si="146"/>
        <v>50</v>
      </c>
      <c r="R2187" s="8">
        <f t="shared" si="147"/>
        <v>2026</v>
      </c>
    </row>
    <row r="2188" spans="1:18" hidden="1" x14ac:dyDescent="0.25">
      <c r="A2188" s="224"/>
      <c r="B2188" s="96">
        <v>46365</v>
      </c>
      <c r="C2188" s="52" t="s">
        <v>46</v>
      </c>
      <c r="D2188" s="53" t="s">
        <v>38</v>
      </c>
      <c r="E2188" s="53"/>
      <c r="F2188" s="54"/>
      <c r="G2188" s="53"/>
      <c r="H2188" s="53">
        <v>0</v>
      </c>
      <c r="I2188" s="53">
        <v>0</v>
      </c>
      <c r="J2188" s="53">
        <v>0</v>
      </c>
      <c r="K2188" s="55"/>
      <c r="L2188" s="55">
        <f t="shared" si="144"/>
        <v>0</v>
      </c>
      <c r="M2188" s="55">
        <v>0</v>
      </c>
      <c r="N2188" s="101">
        <f t="shared" si="145"/>
        <v>0</v>
      </c>
      <c r="O2188" s="57"/>
      <c r="P2188" s="145" t="str">
        <f t="shared" si="143"/>
        <v/>
      </c>
      <c r="Q2188" s="52">
        <f t="shared" si="146"/>
        <v>50</v>
      </c>
      <c r="R2188" s="8">
        <f t="shared" si="147"/>
        <v>2026</v>
      </c>
    </row>
    <row r="2189" spans="1:18" hidden="1" x14ac:dyDescent="0.25">
      <c r="A2189" s="224"/>
      <c r="B2189" s="96">
        <v>46366</v>
      </c>
      <c r="C2189" s="52" t="s">
        <v>50</v>
      </c>
      <c r="D2189" s="53" t="s">
        <v>38</v>
      </c>
      <c r="E2189" s="53"/>
      <c r="F2189" s="54"/>
      <c r="G2189" s="53"/>
      <c r="H2189" s="53">
        <v>0</v>
      </c>
      <c r="I2189" s="53">
        <v>0</v>
      </c>
      <c r="J2189" s="53">
        <v>0</v>
      </c>
      <c r="K2189" s="55"/>
      <c r="L2189" s="55">
        <f t="shared" si="144"/>
        <v>0</v>
      </c>
      <c r="M2189" s="55">
        <v>0</v>
      </c>
      <c r="N2189" s="101">
        <f t="shared" si="145"/>
        <v>0</v>
      </c>
      <c r="O2189" s="57"/>
      <c r="P2189" s="145" t="str">
        <f t="shared" si="143"/>
        <v/>
      </c>
      <c r="Q2189" s="52">
        <f t="shared" si="146"/>
        <v>50</v>
      </c>
      <c r="R2189" s="8">
        <f t="shared" si="147"/>
        <v>2026</v>
      </c>
    </row>
    <row r="2190" spans="1:18" hidden="1" x14ac:dyDescent="0.25">
      <c r="A2190" s="224"/>
      <c r="B2190" s="96">
        <v>46367</v>
      </c>
      <c r="C2190" s="52" t="s">
        <v>53</v>
      </c>
      <c r="D2190" s="53" t="s">
        <v>38</v>
      </c>
      <c r="E2190" s="53"/>
      <c r="F2190" s="54"/>
      <c r="G2190" s="53"/>
      <c r="H2190" s="53">
        <v>0</v>
      </c>
      <c r="I2190" s="53">
        <v>0</v>
      </c>
      <c r="J2190" s="53">
        <v>0</v>
      </c>
      <c r="K2190" s="55"/>
      <c r="L2190" s="55">
        <f t="shared" si="144"/>
        <v>0</v>
      </c>
      <c r="M2190" s="55">
        <v>0</v>
      </c>
      <c r="N2190" s="101">
        <f t="shared" si="145"/>
        <v>0</v>
      </c>
      <c r="O2190" s="57"/>
      <c r="P2190" s="145" t="str">
        <f t="shared" si="143"/>
        <v/>
      </c>
      <c r="Q2190" s="52">
        <f t="shared" si="146"/>
        <v>50</v>
      </c>
      <c r="R2190" s="8">
        <f t="shared" si="147"/>
        <v>2026</v>
      </c>
    </row>
    <row r="2191" spans="1:18" hidden="1" x14ac:dyDescent="0.25">
      <c r="A2191" s="224"/>
      <c r="B2191" s="97">
        <v>46368</v>
      </c>
      <c r="C2191" s="58" t="s">
        <v>57</v>
      </c>
      <c r="D2191" s="60" t="s">
        <v>38</v>
      </c>
      <c r="E2191" s="60"/>
      <c r="F2191" s="61"/>
      <c r="G2191" s="60"/>
      <c r="H2191" s="60">
        <v>0</v>
      </c>
      <c r="I2191" s="60">
        <v>0</v>
      </c>
      <c r="J2191" s="60">
        <v>0</v>
      </c>
      <c r="K2191" s="62"/>
      <c r="L2191" s="62">
        <f t="shared" si="144"/>
        <v>0</v>
      </c>
      <c r="M2191" s="62">
        <v>0</v>
      </c>
      <c r="N2191" s="102">
        <f t="shared" si="145"/>
        <v>0</v>
      </c>
      <c r="O2191" s="64"/>
      <c r="P2191" s="145" t="str">
        <f t="shared" si="143"/>
        <v/>
      </c>
      <c r="Q2191" s="52">
        <f t="shared" si="146"/>
        <v>50</v>
      </c>
      <c r="R2191" s="8">
        <f t="shared" si="147"/>
        <v>2026</v>
      </c>
    </row>
    <row r="2192" spans="1:18" ht="15.75" hidden="1" thickBot="1" x14ac:dyDescent="0.3">
      <c r="A2192" s="225"/>
      <c r="B2192" s="98">
        <v>46369</v>
      </c>
      <c r="C2192" s="66" t="s">
        <v>59</v>
      </c>
      <c r="D2192" s="67" t="s">
        <v>38</v>
      </c>
      <c r="E2192" s="67"/>
      <c r="F2192" s="68"/>
      <c r="G2192" s="67"/>
      <c r="H2192" s="67">
        <v>0</v>
      </c>
      <c r="I2192" s="67">
        <v>0</v>
      </c>
      <c r="J2192" s="67">
        <v>0</v>
      </c>
      <c r="K2192" s="69"/>
      <c r="L2192" s="69">
        <f t="shared" si="144"/>
        <v>0</v>
      </c>
      <c r="M2192" s="69">
        <v>0</v>
      </c>
      <c r="N2192" s="103">
        <f t="shared" si="145"/>
        <v>0</v>
      </c>
      <c r="O2192" s="71"/>
      <c r="P2192" s="145" t="str">
        <f t="shared" si="143"/>
        <v/>
      </c>
      <c r="Q2192" s="52">
        <f t="shared" si="146"/>
        <v>50</v>
      </c>
      <c r="R2192" s="8">
        <f t="shared" si="147"/>
        <v>2026</v>
      </c>
    </row>
    <row r="2193" spans="1:18" hidden="1" x14ac:dyDescent="0.25">
      <c r="A2193" s="223">
        <f>_xlfn.ISOWEEKNUM(B2193)</f>
        <v>51</v>
      </c>
      <c r="B2193" s="96">
        <v>46370</v>
      </c>
      <c r="C2193" s="72" t="s">
        <v>37</v>
      </c>
      <c r="D2193" s="41" t="s">
        <v>38</v>
      </c>
      <c r="E2193" s="41"/>
      <c r="F2193" s="43"/>
      <c r="G2193" s="41"/>
      <c r="H2193" s="41">
        <v>0</v>
      </c>
      <c r="I2193" s="41">
        <v>0</v>
      </c>
      <c r="J2193" s="41">
        <v>0</v>
      </c>
      <c r="K2193" s="73"/>
      <c r="L2193" s="73">
        <f t="shared" si="144"/>
        <v>0</v>
      </c>
      <c r="M2193" s="73">
        <v>0</v>
      </c>
      <c r="N2193" s="105">
        <f t="shared" si="145"/>
        <v>0</v>
      </c>
      <c r="O2193" s="46"/>
      <c r="P2193" s="145" t="str">
        <f t="shared" si="143"/>
        <v/>
      </c>
      <c r="Q2193" s="52">
        <f t="shared" si="146"/>
        <v>51</v>
      </c>
      <c r="R2193" s="8">
        <f t="shared" si="147"/>
        <v>2026</v>
      </c>
    </row>
    <row r="2194" spans="1:18" hidden="1" x14ac:dyDescent="0.25">
      <c r="A2194" s="224"/>
      <c r="B2194" s="96">
        <v>46371</v>
      </c>
      <c r="C2194" s="52" t="s">
        <v>42</v>
      </c>
      <c r="D2194" s="53" t="s">
        <v>38</v>
      </c>
      <c r="E2194" s="53"/>
      <c r="F2194" s="54"/>
      <c r="G2194" s="53"/>
      <c r="H2194" s="53">
        <v>0</v>
      </c>
      <c r="I2194" s="53">
        <v>0</v>
      </c>
      <c r="J2194" s="53">
        <v>0</v>
      </c>
      <c r="K2194" s="55"/>
      <c r="L2194" s="55">
        <f t="shared" si="144"/>
        <v>0</v>
      </c>
      <c r="M2194" s="55">
        <v>0</v>
      </c>
      <c r="N2194" s="101">
        <f t="shared" si="145"/>
        <v>0</v>
      </c>
      <c r="O2194" s="57"/>
      <c r="P2194" s="145" t="str">
        <f t="shared" si="143"/>
        <v/>
      </c>
      <c r="Q2194" s="52">
        <f t="shared" si="146"/>
        <v>51</v>
      </c>
      <c r="R2194" s="8">
        <f t="shared" si="147"/>
        <v>2026</v>
      </c>
    </row>
    <row r="2195" spans="1:18" hidden="1" x14ac:dyDescent="0.25">
      <c r="A2195" s="224"/>
      <c r="B2195" s="96">
        <v>46372</v>
      </c>
      <c r="C2195" s="52" t="s">
        <v>46</v>
      </c>
      <c r="D2195" s="53" t="s">
        <v>38</v>
      </c>
      <c r="E2195" s="53"/>
      <c r="F2195" s="54"/>
      <c r="G2195" s="53"/>
      <c r="H2195" s="53">
        <v>0</v>
      </c>
      <c r="I2195" s="53">
        <v>0</v>
      </c>
      <c r="J2195" s="53">
        <v>0</v>
      </c>
      <c r="K2195" s="55"/>
      <c r="L2195" s="55">
        <f t="shared" si="144"/>
        <v>0</v>
      </c>
      <c r="M2195" s="55">
        <v>0</v>
      </c>
      <c r="N2195" s="101">
        <f t="shared" si="145"/>
        <v>0</v>
      </c>
      <c r="O2195" s="57"/>
      <c r="P2195" s="145" t="str">
        <f t="shared" si="143"/>
        <v/>
      </c>
      <c r="Q2195" s="52">
        <f t="shared" si="146"/>
        <v>51</v>
      </c>
      <c r="R2195" s="8">
        <f t="shared" si="147"/>
        <v>2026</v>
      </c>
    </row>
    <row r="2196" spans="1:18" hidden="1" x14ac:dyDescent="0.25">
      <c r="A2196" s="224"/>
      <c r="B2196" s="96">
        <v>46373</v>
      </c>
      <c r="C2196" s="52" t="s">
        <v>50</v>
      </c>
      <c r="D2196" s="53" t="s">
        <v>38</v>
      </c>
      <c r="E2196" s="53"/>
      <c r="F2196" s="54"/>
      <c r="G2196" s="53"/>
      <c r="H2196" s="53">
        <v>0</v>
      </c>
      <c r="I2196" s="53">
        <v>0</v>
      </c>
      <c r="J2196" s="53">
        <v>0</v>
      </c>
      <c r="K2196" s="55"/>
      <c r="L2196" s="55">
        <f t="shared" si="144"/>
        <v>0</v>
      </c>
      <c r="M2196" s="55">
        <v>0</v>
      </c>
      <c r="N2196" s="101">
        <f t="shared" si="145"/>
        <v>0</v>
      </c>
      <c r="O2196" s="57"/>
      <c r="P2196" s="145" t="str">
        <f t="shared" si="143"/>
        <v/>
      </c>
      <c r="Q2196" s="52">
        <f t="shared" si="146"/>
        <v>51</v>
      </c>
      <c r="R2196" s="8">
        <f t="shared" si="147"/>
        <v>2026</v>
      </c>
    </row>
    <row r="2197" spans="1:18" hidden="1" x14ac:dyDescent="0.25">
      <c r="A2197" s="224"/>
      <c r="B2197" s="96">
        <v>46374</v>
      </c>
      <c r="C2197" s="52" t="s">
        <v>53</v>
      </c>
      <c r="D2197" s="53" t="s">
        <v>38</v>
      </c>
      <c r="E2197" s="53"/>
      <c r="F2197" s="54"/>
      <c r="G2197" s="53"/>
      <c r="H2197" s="53">
        <v>0</v>
      </c>
      <c r="I2197" s="53">
        <v>0</v>
      </c>
      <c r="J2197" s="53">
        <v>0</v>
      </c>
      <c r="K2197" s="55"/>
      <c r="L2197" s="55">
        <f t="shared" si="144"/>
        <v>0</v>
      </c>
      <c r="M2197" s="55">
        <v>0</v>
      </c>
      <c r="N2197" s="101">
        <f t="shared" si="145"/>
        <v>0</v>
      </c>
      <c r="O2197" s="57"/>
      <c r="P2197" s="145" t="str">
        <f t="shared" si="143"/>
        <v/>
      </c>
      <c r="Q2197" s="52">
        <f t="shared" si="146"/>
        <v>51</v>
      </c>
      <c r="R2197" s="8">
        <f t="shared" si="147"/>
        <v>2026</v>
      </c>
    </row>
    <row r="2198" spans="1:18" hidden="1" x14ac:dyDescent="0.25">
      <c r="A2198" s="224"/>
      <c r="B2198" s="97">
        <v>46375</v>
      </c>
      <c r="C2198" s="58" t="s">
        <v>57</v>
      </c>
      <c r="D2198" s="60" t="s">
        <v>38</v>
      </c>
      <c r="E2198" s="60"/>
      <c r="F2198" s="61"/>
      <c r="G2198" s="60"/>
      <c r="H2198" s="60">
        <v>0</v>
      </c>
      <c r="I2198" s="60">
        <v>0</v>
      </c>
      <c r="J2198" s="60">
        <v>0</v>
      </c>
      <c r="K2198" s="62"/>
      <c r="L2198" s="62">
        <f t="shared" si="144"/>
        <v>0</v>
      </c>
      <c r="M2198" s="62">
        <v>0</v>
      </c>
      <c r="N2198" s="102">
        <f t="shared" si="145"/>
        <v>0</v>
      </c>
      <c r="O2198" s="64"/>
      <c r="P2198" s="145" t="str">
        <f t="shared" si="143"/>
        <v/>
      </c>
      <c r="Q2198" s="52">
        <f t="shared" si="146"/>
        <v>51</v>
      </c>
      <c r="R2198" s="8">
        <f t="shared" si="147"/>
        <v>2026</v>
      </c>
    </row>
    <row r="2199" spans="1:18" ht="15.75" hidden="1" thickBot="1" x14ac:dyDescent="0.3">
      <c r="A2199" s="225"/>
      <c r="B2199" s="98">
        <v>46376</v>
      </c>
      <c r="C2199" s="66" t="s">
        <v>59</v>
      </c>
      <c r="D2199" s="67" t="s">
        <v>38</v>
      </c>
      <c r="E2199" s="67"/>
      <c r="F2199" s="68"/>
      <c r="G2199" s="67"/>
      <c r="H2199" s="67">
        <v>0</v>
      </c>
      <c r="I2199" s="67">
        <v>0</v>
      </c>
      <c r="J2199" s="67">
        <v>0</v>
      </c>
      <c r="K2199" s="69"/>
      <c r="L2199" s="69">
        <f t="shared" si="144"/>
        <v>0</v>
      </c>
      <c r="M2199" s="69">
        <v>0</v>
      </c>
      <c r="N2199" s="103">
        <f t="shared" si="145"/>
        <v>0</v>
      </c>
      <c r="O2199" s="71"/>
      <c r="P2199" s="145" t="str">
        <f t="shared" si="143"/>
        <v/>
      </c>
      <c r="Q2199" s="52">
        <f t="shared" si="146"/>
        <v>51</v>
      </c>
      <c r="R2199" s="8">
        <f t="shared" si="147"/>
        <v>2026</v>
      </c>
    </row>
    <row r="2200" spans="1:18" hidden="1" x14ac:dyDescent="0.25">
      <c r="A2200" s="223">
        <f>_xlfn.ISOWEEKNUM(B2200)</f>
        <v>52</v>
      </c>
      <c r="B2200" s="96">
        <v>46377</v>
      </c>
      <c r="C2200" s="72" t="s">
        <v>37</v>
      </c>
      <c r="D2200" s="41" t="s">
        <v>38</v>
      </c>
      <c r="E2200" s="41"/>
      <c r="F2200" s="43"/>
      <c r="G2200" s="41"/>
      <c r="H2200" s="41">
        <v>0</v>
      </c>
      <c r="I2200" s="41">
        <v>0</v>
      </c>
      <c r="J2200" s="41">
        <v>0</v>
      </c>
      <c r="K2200" s="73"/>
      <c r="L2200" s="73">
        <f t="shared" si="144"/>
        <v>0</v>
      </c>
      <c r="M2200" s="73">
        <v>0</v>
      </c>
      <c r="N2200" s="105">
        <f t="shared" si="145"/>
        <v>0</v>
      </c>
      <c r="O2200" s="46"/>
      <c r="P2200" s="145" t="str">
        <f t="shared" si="143"/>
        <v/>
      </c>
      <c r="Q2200" s="52">
        <f t="shared" si="146"/>
        <v>52</v>
      </c>
      <c r="R2200" s="8">
        <f t="shared" si="147"/>
        <v>2026</v>
      </c>
    </row>
    <row r="2201" spans="1:18" hidden="1" x14ac:dyDescent="0.25">
      <c r="A2201" s="224"/>
      <c r="B2201" s="96">
        <v>46378</v>
      </c>
      <c r="C2201" s="52" t="s">
        <v>42</v>
      </c>
      <c r="D2201" s="53" t="s">
        <v>38</v>
      </c>
      <c r="E2201" s="53"/>
      <c r="F2201" s="54"/>
      <c r="G2201" s="53"/>
      <c r="H2201" s="53">
        <v>0</v>
      </c>
      <c r="I2201" s="53">
        <v>0</v>
      </c>
      <c r="J2201" s="53">
        <v>0</v>
      </c>
      <c r="K2201" s="55"/>
      <c r="L2201" s="55">
        <f t="shared" si="144"/>
        <v>0</v>
      </c>
      <c r="M2201" s="55">
        <v>0</v>
      </c>
      <c r="N2201" s="101">
        <f t="shared" si="145"/>
        <v>0</v>
      </c>
      <c r="O2201" s="57"/>
      <c r="P2201" s="145" t="str">
        <f t="shared" si="143"/>
        <v/>
      </c>
      <c r="Q2201" s="52">
        <f t="shared" si="146"/>
        <v>52</v>
      </c>
      <c r="R2201" s="8">
        <f t="shared" si="147"/>
        <v>2026</v>
      </c>
    </row>
    <row r="2202" spans="1:18" hidden="1" x14ac:dyDescent="0.25">
      <c r="A2202" s="224"/>
      <c r="B2202" s="96">
        <v>46379</v>
      </c>
      <c r="C2202" s="52" t="s">
        <v>46</v>
      </c>
      <c r="D2202" s="53" t="s">
        <v>38</v>
      </c>
      <c r="E2202" s="53"/>
      <c r="F2202" s="54"/>
      <c r="G2202" s="53"/>
      <c r="H2202" s="53">
        <v>0</v>
      </c>
      <c r="I2202" s="53">
        <v>0</v>
      </c>
      <c r="J2202" s="53">
        <v>0</v>
      </c>
      <c r="K2202" s="55"/>
      <c r="L2202" s="55">
        <f t="shared" si="144"/>
        <v>0</v>
      </c>
      <c r="M2202" s="55">
        <v>0</v>
      </c>
      <c r="N2202" s="101">
        <f t="shared" si="145"/>
        <v>0</v>
      </c>
      <c r="O2202" s="57"/>
      <c r="P2202" s="145" t="str">
        <f t="shared" si="143"/>
        <v/>
      </c>
      <c r="Q2202" s="52">
        <f t="shared" si="146"/>
        <v>52</v>
      </c>
      <c r="R2202" s="8">
        <f t="shared" si="147"/>
        <v>2026</v>
      </c>
    </row>
    <row r="2203" spans="1:18" hidden="1" x14ac:dyDescent="0.25">
      <c r="A2203" s="224"/>
      <c r="B2203" s="96">
        <v>46380</v>
      </c>
      <c r="C2203" s="52" t="s">
        <v>50</v>
      </c>
      <c r="D2203" s="53" t="s">
        <v>38</v>
      </c>
      <c r="E2203" s="53"/>
      <c r="F2203" s="54"/>
      <c r="G2203" s="53"/>
      <c r="H2203" s="53">
        <v>0</v>
      </c>
      <c r="I2203" s="53">
        <v>0</v>
      </c>
      <c r="J2203" s="53">
        <v>0</v>
      </c>
      <c r="K2203" s="55"/>
      <c r="L2203" s="55">
        <f t="shared" si="144"/>
        <v>0</v>
      </c>
      <c r="M2203" s="55">
        <v>0</v>
      </c>
      <c r="N2203" s="101">
        <f t="shared" si="145"/>
        <v>0</v>
      </c>
      <c r="O2203" s="57"/>
      <c r="P2203" s="145" t="str">
        <f t="shared" si="143"/>
        <v/>
      </c>
      <c r="Q2203" s="52">
        <f t="shared" si="146"/>
        <v>52</v>
      </c>
      <c r="R2203" s="8">
        <f t="shared" si="147"/>
        <v>2026</v>
      </c>
    </row>
    <row r="2204" spans="1:18" hidden="1" x14ac:dyDescent="0.25">
      <c r="A2204" s="224"/>
      <c r="B2204" s="96">
        <v>46381</v>
      </c>
      <c r="C2204" s="52" t="s">
        <v>53</v>
      </c>
      <c r="D2204" s="53" t="s">
        <v>38</v>
      </c>
      <c r="E2204" s="53"/>
      <c r="F2204" s="54"/>
      <c r="G2204" s="53"/>
      <c r="H2204" s="53">
        <v>0</v>
      </c>
      <c r="I2204" s="53">
        <v>0</v>
      </c>
      <c r="J2204" s="53">
        <v>0</v>
      </c>
      <c r="K2204" s="55"/>
      <c r="L2204" s="55">
        <f t="shared" si="144"/>
        <v>0</v>
      </c>
      <c r="M2204" s="55">
        <v>0</v>
      </c>
      <c r="N2204" s="101">
        <f t="shared" si="145"/>
        <v>0</v>
      </c>
      <c r="O2204" s="57"/>
      <c r="P2204" s="145" t="str">
        <f t="shared" si="143"/>
        <v/>
      </c>
      <c r="Q2204" s="52">
        <f t="shared" si="146"/>
        <v>52</v>
      </c>
      <c r="R2204" s="8">
        <f t="shared" si="147"/>
        <v>2026</v>
      </c>
    </row>
    <row r="2205" spans="1:18" hidden="1" x14ac:dyDescent="0.25">
      <c r="A2205" s="224"/>
      <c r="B2205" s="97">
        <v>46382</v>
      </c>
      <c r="C2205" s="58" t="s">
        <v>57</v>
      </c>
      <c r="D2205" s="60" t="s">
        <v>38</v>
      </c>
      <c r="E2205" s="60"/>
      <c r="F2205" s="61"/>
      <c r="G2205" s="60"/>
      <c r="H2205" s="60">
        <v>0</v>
      </c>
      <c r="I2205" s="60">
        <v>0</v>
      </c>
      <c r="J2205" s="60">
        <v>0</v>
      </c>
      <c r="K2205" s="62"/>
      <c r="L2205" s="62">
        <f t="shared" si="144"/>
        <v>0</v>
      </c>
      <c r="M2205" s="62">
        <v>0</v>
      </c>
      <c r="N2205" s="102">
        <f t="shared" si="145"/>
        <v>0</v>
      </c>
      <c r="O2205" s="64"/>
      <c r="P2205" s="145" t="str">
        <f t="shared" si="143"/>
        <v/>
      </c>
      <c r="Q2205" s="52">
        <f t="shared" si="146"/>
        <v>52</v>
      </c>
      <c r="R2205" s="8">
        <f t="shared" si="147"/>
        <v>2026</v>
      </c>
    </row>
    <row r="2206" spans="1:18" ht="15.75" hidden="1" thickBot="1" x14ac:dyDescent="0.3">
      <c r="A2206" s="225"/>
      <c r="B2206" s="98">
        <v>46383</v>
      </c>
      <c r="C2206" s="66" t="s">
        <v>59</v>
      </c>
      <c r="D2206" s="67" t="s">
        <v>38</v>
      </c>
      <c r="E2206" s="67"/>
      <c r="F2206" s="68"/>
      <c r="G2206" s="67"/>
      <c r="H2206" s="67">
        <v>0</v>
      </c>
      <c r="I2206" s="67">
        <v>0</v>
      </c>
      <c r="J2206" s="67">
        <v>0</v>
      </c>
      <c r="K2206" s="69"/>
      <c r="L2206" s="69">
        <f t="shared" si="144"/>
        <v>0</v>
      </c>
      <c r="M2206" s="69">
        <v>0</v>
      </c>
      <c r="N2206" s="103">
        <f t="shared" si="145"/>
        <v>0</v>
      </c>
      <c r="O2206" s="71"/>
      <c r="P2206" s="145" t="str">
        <f t="shared" si="143"/>
        <v/>
      </c>
      <c r="Q2206" s="52">
        <f t="shared" si="146"/>
        <v>52</v>
      </c>
      <c r="R2206" s="8">
        <f t="shared" si="147"/>
        <v>2026</v>
      </c>
    </row>
    <row r="2207" spans="1:18" hidden="1" x14ac:dyDescent="0.25">
      <c r="A2207" s="223">
        <f>_xlfn.ISOWEEKNUM(B2207)</f>
        <v>53</v>
      </c>
      <c r="B2207" s="96">
        <v>46384</v>
      </c>
      <c r="C2207" s="72" t="s">
        <v>37</v>
      </c>
      <c r="D2207" s="41" t="s">
        <v>38</v>
      </c>
      <c r="E2207" s="41"/>
      <c r="F2207" s="43"/>
      <c r="G2207" s="41"/>
      <c r="H2207" s="41">
        <v>0</v>
      </c>
      <c r="I2207" s="41">
        <v>0</v>
      </c>
      <c r="J2207" s="41">
        <v>0</v>
      </c>
      <c r="K2207" s="73"/>
      <c r="L2207" s="73">
        <f t="shared" si="144"/>
        <v>0</v>
      </c>
      <c r="M2207" s="73">
        <v>0</v>
      </c>
      <c r="N2207" s="105">
        <f t="shared" si="145"/>
        <v>0</v>
      </c>
      <c r="O2207" s="46"/>
      <c r="P2207" s="145" t="str">
        <f t="shared" si="143"/>
        <v/>
      </c>
      <c r="Q2207" s="52">
        <f t="shared" si="146"/>
        <v>53</v>
      </c>
      <c r="R2207" s="8">
        <f t="shared" si="147"/>
        <v>2026</v>
      </c>
    </row>
    <row r="2208" spans="1:18" hidden="1" x14ac:dyDescent="0.25">
      <c r="A2208" s="224"/>
      <c r="B2208" s="96">
        <v>46385</v>
      </c>
      <c r="C2208" s="52" t="s">
        <v>42</v>
      </c>
      <c r="D2208" s="53" t="s">
        <v>38</v>
      </c>
      <c r="E2208" s="53"/>
      <c r="F2208" s="54"/>
      <c r="G2208" s="53"/>
      <c r="H2208" s="53">
        <v>0</v>
      </c>
      <c r="I2208" s="53">
        <v>0</v>
      </c>
      <c r="J2208" s="53">
        <v>0</v>
      </c>
      <c r="K2208" s="55"/>
      <c r="L2208" s="55">
        <f t="shared" si="144"/>
        <v>0</v>
      </c>
      <c r="M2208" s="55">
        <v>0</v>
      </c>
      <c r="N2208" s="101">
        <f t="shared" si="145"/>
        <v>0</v>
      </c>
      <c r="O2208" s="57"/>
      <c r="P2208" s="145" t="str">
        <f t="shared" si="143"/>
        <v/>
      </c>
      <c r="Q2208" s="52">
        <f t="shared" si="146"/>
        <v>53</v>
      </c>
      <c r="R2208" s="8">
        <f t="shared" si="147"/>
        <v>2026</v>
      </c>
    </row>
    <row r="2209" spans="1:18" hidden="1" x14ac:dyDescent="0.25">
      <c r="A2209" s="224"/>
      <c r="B2209" s="96">
        <v>46386</v>
      </c>
      <c r="C2209" s="52" t="s">
        <v>46</v>
      </c>
      <c r="D2209" s="53" t="s">
        <v>38</v>
      </c>
      <c r="E2209" s="53"/>
      <c r="F2209" s="54"/>
      <c r="G2209" s="53"/>
      <c r="H2209" s="53">
        <v>0</v>
      </c>
      <c r="I2209" s="53">
        <v>0</v>
      </c>
      <c r="J2209" s="53">
        <v>0</v>
      </c>
      <c r="K2209" s="55"/>
      <c r="L2209" s="55">
        <f t="shared" si="144"/>
        <v>0</v>
      </c>
      <c r="M2209" s="55">
        <v>0</v>
      </c>
      <c r="N2209" s="101">
        <f t="shared" si="145"/>
        <v>0</v>
      </c>
      <c r="O2209" s="57"/>
      <c r="P2209" s="145" t="str">
        <f t="shared" si="143"/>
        <v/>
      </c>
      <c r="Q2209" s="52">
        <f t="shared" si="146"/>
        <v>53</v>
      </c>
      <c r="R2209" s="8">
        <f t="shared" si="147"/>
        <v>2026</v>
      </c>
    </row>
    <row r="2210" spans="1:18" hidden="1" x14ac:dyDescent="0.25">
      <c r="A2210" s="224"/>
      <c r="B2210" s="96">
        <v>46387</v>
      </c>
      <c r="C2210" s="52" t="s">
        <v>50</v>
      </c>
      <c r="D2210" s="53" t="s">
        <v>38</v>
      </c>
      <c r="E2210" s="53"/>
      <c r="F2210" s="54"/>
      <c r="G2210" s="53"/>
      <c r="H2210" s="53">
        <v>0</v>
      </c>
      <c r="I2210" s="53">
        <v>0</v>
      </c>
      <c r="J2210" s="53">
        <v>0</v>
      </c>
      <c r="K2210" s="55"/>
      <c r="L2210" s="55">
        <f t="shared" si="144"/>
        <v>0</v>
      </c>
      <c r="M2210" s="55">
        <v>0</v>
      </c>
      <c r="N2210" s="101">
        <f t="shared" si="145"/>
        <v>0</v>
      </c>
      <c r="O2210" s="57"/>
      <c r="P2210" s="145" t="str">
        <f t="shared" si="143"/>
        <v/>
      </c>
      <c r="Q2210" s="52">
        <f t="shared" si="146"/>
        <v>53</v>
      </c>
      <c r="R2210" s="8">
        <f t="shared" si="147"/>
        <v>2026</v>
      </c>
    </row>
    <row r="2211" spans="1:18" hidden="1" x14ac:dyDescent="0.25">
      <c r="A2211" s="224"/>
      <c r="B2211" s="96">
        <v>46388</v>
      </c>
      <c r="C2211" s="52" t="s">
        <v>53</v>
      </c>
      <c r="D2211" s="53" t="s">
        <v>38</v>
      </c>
      <c r="E2211" s="53"/>
      <c r="F2211" s="54"/>
      <c r="G2211" s="53"/>
      <c r="H2211" s="53">
        <v>0</v>
      </c>
      <c r="I2211" s="53">
        <v>0</v>
      </c>
      <c r="J2211" s="53">
        <v>0</v>
      </c>
      <c r="K2211" s="55"/>
      <c r="L2211" s="55">
        <f t="shared" si="144"/>
        <v>0</v>
      </c>
      <c r="M2211" s="55">
        <v>0</v>
      </c>
      <c r="N2211" s="101">
        <f t="shared" si="145"/>
        <v>0</v>
      </c>
      <c r="O2211" s="57"/>
      <c r="P2211" s="145" t="str">
        <f t="shared" si="143"/>
        <v/>
      </c>
      <c r="Q2211" s="52">
        <f t="shared" si="146"/>
        <v>53</v>
      </c>
      <c r="R2211" s="8">
        <f t="shared" si="147"/>
        <v>2027</v>
      </c>
    </row>
    <row r="2212" spans="1:18" hidden="1" x14ac:dyDescent="0.25">
      <c r="A2212" s="224"/>
      <c r="B2212" s="97">
        <v>46389</v>
      </c>
      <c r="C2212" s="58" t="s">
        <v>57</v>
      </c>
      <c r="D2212" s="60" t="s">
        <v>38</v>
      </c>
      <c r="E2212" s="60"/>
      <c r="F2212" s="61"/>
      <c r="G2212" s="60"/>
      <c r="H2212" s="60">
        <v>0</v>
      </c>
      <c r="I2212" s="60">
        <v>0</v>
      </c>
      <c r="J2212" s="60">
        <v>0</v>
      </c>
      <c r="K2212" s="62"/>
      <c r="L2212" s="62">
        <f t="shared" si="144"/>
        <v>0</v>
      </c>
      <c r="M2212" s="62">
        <v>0</v>
      </c>
      <c r="N2212" s="102">
        <f t="shared" si="145"/>
        <v>0</v>
      </c>
      <c r="O2212" s="64"/>
      <c r="P2212" s="145" t="str">
        <f t="shared" si="143"/>
        <v/>
      </c>
      <c r="Q2212" s="52">
        <f t="shared" si="146"/>
        <v>53</v>
      </c>
      <c r="R2212" s="8">
        <f t="shared" si="147"/>
        <v>2027</v>
      </c>
    </row>
    <row r="2213" spans="1:18" ht="15.75" hidden="1" thickBot="1" x14ac:dyDescent="0.3">
      <c r="A2213" s="225"/>
      <c r="B2213" s="98">
        <v>46390</v>
      </c>
      <c r="C2213" s="66" t="s">
        <v>59</v>
      </c>
      <c r="D2213" s="67" t="s">
        <v>38</v>
      </c>
      <c r="E2213" s="67"/>
      <c r="F2213" s="68"/>
      <c r="G2213" s="67"/>
      <c r="H2213" s="67">
        <v>0</v>
      </c>
      <c r="I2213" s="67">
        <v>0</v>
      </c>
      <c r="J2213" s="67">
        <v>0</v>
      </c>
      <c r="K2213" s="69"/>
      <c r="L2213" s="69">
        <f t="shared" si="144"/>
        <v>0</v>
      </c>
      <c r="M2213" s="69">
        <v>0</v>
      </c>
      <c r="N2213" s="103">
        <f t="shared" si="145"/>
        <v>0</v>
      </c>
      <c r="O2213" s="71"/>
      <c r="P2213" s="145" t="str">
        <f t="shared" si="143"/>
        <v/>
      </c>
      <c r="Q2213" s="52">
        <f t="shared" si="146"/>
        <v>53</v>
      </c>
      <c r="R2213" s="8">
        <f t="shared" si="147"/>
        <v>2027</v>
      </c>
    </row>
    <row r="2214" spans="1:18" hidden="1" x14ac:dyDescent="0.25">
      <c r="A2214" s="223">
        <f>_xlfn.ISOWEEKNUM(B2214)</f>
        <v>1</v>
      </c>
      <c r="B2214" s="96">
        <v>46391</v>
      </c>
      <c r="C2214" s="72" t="s">
        <v>37</v>
      </c>
      <c r="D2214" s="41" t="s">
        <v>38</v>
      </c>
      <c r="E2214" s="41"/>
      <c r="F2214" s="43"/>
      <c r="G2214" s="41"/>
      <c r="H2214" s="41">
        <v>0</v>
      </c>
      <c r="I2214" s="41">
        <v>0</v>
      </c>
      <c r="J2214" s="41">
        <v>0</v>
      </c>
      <c r="K2214" s="73"/>
      <c r="L2214" s="73">
        <f t="shared" si="144"/>
        <v>0</v>
      </c>
      <c r="M2214" s="73">
        <v>0</v>
      </c>
      <c r="N2214" s="105">
        <f t="shared" si="145"/>
        <v>0</v>
      </c>
      <c r="O2214" s="46"/>
      <c r="P2214" s="145" t="str">
        <f t="shared" si="143"/>
        <v/>
      </c>
      <c r="Q2214" s="52">
        <f t="shared" si="146"/>
        <v>1</v>
      </c>
      <c r="R2214" s="8">
        <f t="shared" si="147"/>
        <v>2027</v>
      </c>
    </row>
    <row r="2215" spans="1:18" hidden="1" x14ac:dyDescent="0.25">
      <c r="A2215" s="224"/>
      <c r="B2215" s="96">
        <v>46392</v>
      </c>
      <c r="C2215" s="52" t="s">
        <v>42</v>
      </c>
      <c r="D2215" s="53" t="s">
        <v>38</v>
      </c>
      <c r="E2215" s="53"/>
      <c r="F2215" s="54"/>
      <c r="G2215" s="53"/>
      <c r="H2215" s="53">
        <v>0</v>
      </c>
      <c r="I2215" s="53">
        <v>0</v>
      </c>
      <c r="J2215" s="53">
        <v>0</v>
      </c>
      <c r="K2215" s="55"/>
      <c r="L2215" s="55">
        <f t="shared" si="144"/>
        <v>0</v>
      </c>
      <c r="M2215" s="55">
        <v>0</v>
      </c>
      <c r="N2215" s="101">
        <f t="shared" si="145"/>
        <v>0</v>
      </c>
      <c r="O2215" s="57"/>
      <c r="P2215" s="145" t="str">
        <f t="shared" si="143"/>
        <v/>
      </c>
      <c r="Q2215" s="52">
        <f t="shared" si="146"/>
        <v>1</v>
      </c>
      <c r="R2215" s="8">
        <f t="shared" si="147"/>
        <v>2027</v>
      </c>
    </row>
    <row r="2216" spans="1:18" hidden="1" x14ac:dyDescent="0.25">
      <c r="A2216" s="224"/>
      <c r="B2216" s="96">
        <v>46393</v>
      </c>
      <c r="C2216" s="52" t="s">
        <v>46</v>
      </c>
      <c r="D2216" s="53" t="s">
        <v>38</v>
      </c>
      <c r="E2216" s="53"/>
      <c r="F2216" s="54"/>
      <c r="G2216" s="53"/>
      <c r="H2216" s="53">
        <v>0</v>
      </c>
      <c r="I2216" s="53">
        <v>0</v>
      </c>
      <c r="J2216" s="53">
        <v>0</v>
      </c>
      <c r="K2216" s="55"/>
      <c r="L2216" s="55">
        <f t="shared" si="144"/>
        <v>0</v>
      </c>
      <c r="M2216" s="55">
        <v>0</v>
      </c>
      <c r="N2216" s="101">
        <f t="shared" si="145"/>
        <v>0</v>
      </c>
      <c r="O2216" s="57"/>
      <c r="P2216" s="145" t="str">
        <f t="shared" si="143"/>
        <v/>
      </c>
      <c r="Q2216" s="52">
        <f t="shared" si="146"/>
        <v>1</v>
      </c>
      <c r="R2216" s="8">
        <f t="shared" si="147"/>
        <v>2027</v>
      </c>
    </row>
    <row r="2217" spans="1:18" hidden="1" x14ac:dyDescent="0.25">
      <c r="A2217" s="224"/>
      <c r="B2217" s="96">
        <v>46394</v>
      </c>
      <c r="C2217" s="52" t="s">
        <v>50</v>
      </c>
      <c r="D2217" s="53" t="s">
        <v>38</v>
      </c>
      <c r="E2217" s="53"/>
      <c r="F2217" s="54"/>
      <c r="G2217" s="53"/>
      <c r="H2217" s="53">
        <v>0</v>
      </c>
      <c r="I2217" s="53">
        <v>0</v>
      </c>
      <c r="J2217" s="53">
        <v>0</v>
      </c>
      <c r="K2217" s="55"/>
      <c r="L2217" s="55">
        <f t="shared" si="144"/>
        <v>0</v>
      </c>
      <c r="M2217" s="55">
        <v>0</v>
      </c>
      <c r="N2217" s="101">
        <f t="shared" si="145"/>
        <v>0</v>
      </c>
      <c r="O2217" s="57"/>
      <c r="P2217" s="145" t="str">
        <f t="shared" si="143"/>
        <v/>
      </c>
      <c r="Q2217" s="52">
        <f t="shared" si="146"/>
        <v>1</v>
      </c>
      <c r="R2217" s="8">
        <f t="shared" si="147"/>
        <v>2027</v>
      </c>
    </row>
    <row r="2218" spans="1:18" hidden="1" x14ac:dyDescent="0.25">
      <c r="A2218" s="224"/>
      <c r="B2218" s="96">
        <v>46395</v>
      </c>
      <c r="C2218" s="52" t="s">
        <v>53</v>
      </c>
      <c r="D2218" s="53" t="s">
        <v>38</v>
      </c>
      <c r="E2218" s="53"/>
      <c r="F2218" s="54"/>
      <c r="G2218" s="53"/>
      <c r="H2218" s="53">
        <v>0</v>
      </c>
      <c r="I2218" s="53">
        <v>0</v>
      </c>
      <c r="J2218" s="53">
        <v>0</v>
      </c>
      <c r="K2218" s="55"/>
      <c r="L2218" s="55">
        <f t="shared" si="144"/>
        <v>0</v>
      </c>
      <c r="M2218" s="55">
        <v>0</v>
      </c>
      <c r="N2218" s="101">
        <f t="shared" si="145"/>
        <v>0</v>
      </c>
      <c r="O2218" s="57"/>
      <c r="P2218" s="145" t="str">
        <f t="shared" si="143"/>
        <v/>
      </c>
      <c r="Q2218" s="52">
        <f t="shared" si="146"/>
        <v>1</v>
      </c>
      <c r="R2218" s="8">
        <f t="shared" si="147"/>
        <v>2027</v>
      </c>
    </row>
    <row r="2219" spans="1:18" hidden="1" x14ac:dyDescent="0.25">
      <c r="A2219" s="224"/>
      <c r="B2219" s="97">
        <v>46396</v>
      </c>
      <c r="C2219" s="58" t="s">
        <v>57</v>
      </c>
      <c r="D2219" s="60" t="s">
        <v>38</v>
      </c>
      <c r="E2219" s="60"/>
      <c r="F2219" s="61"/>
      <c r="G2219" s="60"/>
      <c r="H2219" s="60">
        <v>0</v>
      </c>
      <c r="I2219" s="60">
        <v>0</v>
      </c>
      <c r="J2219" s="60">
        <v>0</v>
      </c>
      <c r="K2219" s="62"/>
      <c r="L2219" s="62">
        <f t="shared" si="144"/>
        <v>0</v>
      </c>
      <c r="M2219" s="62">
        <v>0</v>
      </c>
      <c r="N2219" s="102">
        <f t="shared" si="145"/>
        <v>0</v>
      </c>
      <c r="O2219" s="64"/>
      <c r="P2219" s="145" t="str">
        <f t="shared" si="143"/>
        <v/>
      </c>
      <c r="Q2219" s="52">
        <f t="shared" si="146"/>
        <v>1</v>
      </c>
      <c r="R2219" s="8">
        <f t="shared" si="147"/>
        <v>2027</v>
      </c>
    </row>
    <row r="2220" spans="1:18" ht="15.75" hidden="1" thickBot="1" x14ac:dyDescent="0.3">
      <c r="A2220" s="225"/>
      <c r="B2220" s="98">
        <v>46397</v>
      </c>
      <c r="C2220" s="66" t="s">
        <v>59</v>
      </c>
      <c r="D2220" s="67" t="s">
        <v>38</v>
      </c>
      <c r="E2220" s="67"/>
      <c r="F2220" s="68"/>
      <c r="G2220" s="67"/>
      <c r="H2220" s="67">
        <v>0</v>
      </c>
      <c r="I2220" s="67">
        <v>0</v>
      </c>
      <c r="J2220" s="67">
        <v>0</v>
      </c>
      <c r="K2220" s="69"/>
      <c r="L2220" s="69">
        <f t="shared" si="144"/>
        <v>0</v>
      </c>
      <c r="M2220" s="69">
        <v>0</v>
      </c>
      <c r="N2220" s="103">
        <f t="shared" si="145"/>
        <v>0</v>
      </c>
      <c r="O2220" s="71"/>
      <c r="P2220" s="145" t="str">
        <f t="shared" si="143"/>
        <v/>
      </c>
      <c r="Q2220" s="52">
        <f t="shared" si="146"/>
        <v>1</v>
      </c>
      <c r="R2220" s="8">
        <f t="shared" si="147"/>
        <v>2027</v>
      </c>
    </row>
    <row r="2221" spans="1:18" hidden="1" x14ac:dyDescent="0.25">
      <c r="A2221" s="223">
        <f>_xlfn.ISOWEEKNUM(B2221)</f>
        <v>2</v>
      </c>
      <c r="B2221" s="96">
        <v>46398</v>
      </c>
      <c r="C2221" s="72" t="s">
        <v>37</v>
      </c>
      <c r="D2221" s="41" t="s">
        <v>38</v>
      </c>
      <c r="E2221" s="41"/>
      <c r="F2221" s="43"/>
      <c r="G2221" s="41"/>
      <c r="H2221" s="41">
        <v>0</v>
      </c>
      <c r="I2221" s="41">
        <v>0</v>
      </c>
      <c r="J2221" s="41">
        <v>0</v>
      </c>
      <c r="K2221" s="73"/>
      <c r="L2221" s="73">
        <f t="shared" si="144"/>
        <v>0</v>
      </c>
      <c r="M2221" s="73">
        <v>0</v>
      </c>
      <c r="N2221" s="105">
        <f t="shared" si="145"/>
        <v>0</v>
      </c>
      <c r="O2221" s="46"/>
      <c r="P2221" s="145" t="str">
        <f t="shared" si="143"/>
        <v/>
      </c>
      <c r="Q2221" s="52">
        <f t="shared" si="146"/>
        <v>2</v>
      </c>
      <c r="R2221" s="8">
        <f t="shared" si="147"/>
        <v>2027</v>
      </c>
    </row>
    <row r="2222" spans="1:18" hidden="1" x14ac:dyDescent="0.25">
      <c r="A2222" s="224"/>
      <c r="B2222" s="96">
        <v>46399</v>
      </c>
      <c r="C2222" s="52" t="s">
        <v>42</v>
      </c>
      <c r="D2222" s="53" t="s">
        <v>38</v>
      </c>
      <c r="E2222" s="53"/>
      <c r="F2222" s="54"/>
      <c r="G2222" s="53"/>
      <c r="H2222" s="53">
        <v>0</v>
      </c>
      <c r="I2222" s="53">
        <v>0</v>
      </c>
      <c r="J2222" s="53">
        <v>0</v>
      </c>
      <c r="K2222" s="55"/>
      <c r="L2222" s="55">
        <f t="shared" si="144"/>
        <v>0</v>
      </c>
      <c r="M2222" s="55">
        <v>0</v>
      </c>
      <c r="N2222" s="101">
        <f t="shared" si="145"/>
        <v>0</v>
      </c>
      <c r="O2222" s="57"/>
      <c r="P2222" s="145" t="str">
        <f t="shared" si="143"/>
        <v/>
      </c>
      <c r="Q2222" s="52">
        <f t="shared" si="146"/>
        <v>2</v>
      </c>
      <c r="R2222" s="8">
        <f t="shared" si="147"/>
        <v>2027</v>
      </c>
    </row>
    <row r="2223" spans="1:18" hidden="1" x14ac:dyDescent="0.25">
      <c r="A2223" s="224"/>
      <c r="B2223" s="96">
        <v>46400</v>
      </c>
      <c r="C2223" s="52" t="s">
        <v>46</v>
      </c>
      <c r="D2223" s="53" t="s">
        <v>38</v>
      </c>
      <c r="E2223" s="53"/>
      <c r="F2223" s="54"/>
      <c r="G2223" s="53"/>
      <c r="H2223" s="53">
        <v>0</v>
      </c>
      <c r="I2223" s="53">
        <v>0</v>
      </c>
      <c r="J2223" s="53">
        <v>0</v>
      </c>
      <c r="K2223" s="55"/>
      <c r="L2223" s="55">
        <f t="shared" si="144"/>
        <v>0</v>
      </c>
      <c r="M2223" s="55">
        <v>0</v>
      </c>
      <c r="N2223" s="101">
        <f t="shared" si="145"/>
        <v>0</v>
      </c>
      <c r="O2223" s="57"/>
      <c r="P2223" s="145" t="str">
        <f t="shared" ref="P2223:P2286" si="148">E2223&amp;G2223</f>
        <v/>
      </c>
      <c r="Q2223" s="52">
        <f t="shared" si="146"/>
        <v>2</v>
      </c>
      <c r="R2223" s="8">
        <f t="shared" si="147"/>
        <v>2027</v>
      </c>
    </row>
    <row r="2224" spans="1:18" hidden="1" x14ac:dyDescent="0.25">
      <c r="A2224" s="224"/>
      <c r="B2224" s="96">
        <v>46401</v>
      </c>
      <c r="C2224" s="52" t="s">
        <v>50</v>
      </c>
      <c r="D2224" s="53" t="s">
        <v>38</v>
      </c>
      <c r="E2224" s="53"/>
      <c r="F2224" s="54"/>
      <c r="G2224" s="53"/>
      <c r="H2224" s="53">
        <v>0</v>
      </c>
      <c r="I2224" s="53">
        <v>0</v>
      </c>
      <c r="J2224" s="53">
        <v>0</v>
      </c>
      <c r="K2224" s="55"/>
      <c r="L2224" s="55">
        <f t="shared" si="144"/>
        <v>0</v>
      </c>
      <c r="M2224" s="55">
        <v>0</v>
      </c>
      <c r="N2224" s="101">
        <f t="shared" si="145"/>
        <v>0</v>
      </c>
      <c r="O2224" s="57"/>
      <c r="P2224" s="145" t="str">
        <f t="shared" si="148"/>
        <v/>
      </c>
      <c r="Q2224" s="52">
        <f t="shared" si="146"/>
        <v>2</v>
      </c>
      <c r="R2224" s="8">
        <f t="shared" si="147"/>
        <v>2027</v>
      </c>
    </row>
    <row r="2225" spans="1:18" hidden="1" x14ac:dyDescent="0.25">
      <c r="A2225" s="224"/>
      <c r="B2225" s="96">
        <v>46402</v>
      </c>
      <c r="C2225" s="52" t="s">
        <v>53</v>
      </c>
      <c r="D2225" s="53" t="s">
        <v>38</v>
      </c>
      <c r="E2225" s="53"/>
      <c r="F2225" s="54"/>
      <c r="G2225" s="53"/>
      <c r="H2225" s="53">
        <v>0</v>
      </c>
      <c r="I2225" s="53">
        <v>0</v>
      </c>
      <c r="J2225" s="53">
        <v>0</v>
      </c>
      <c r="K2225" s="55"/>
      <c r="L2225" s="55">
        <f t="shared" si="144"/>
        <v>0</v>
      </c>
      <c r="M2225" s="55">
        <v>0</v>
      </c>
      <c r="N2225" s="101">
        <f t="shared" si="145"/>
        <v>0</v>
      </c>
      <c r="O2225" s="57"/>
      <c r="P2225" s="145" t="str">
        <f t="shared" si="148"/>
        <v/>
      </c>
      <c r="Q2225" s="52">
        <f t="shared" si="146"/>
        <v>2</v>
      </c>
      <c r="R2225" s="8">
        <f t="shared" si="147"/>
        <v>2027</v>
      </c>
    </row>
    <row r="2226" spans="1:18" hidden="1" x14ac:dyDescent="0.25">
      <c r="A2226" s="224"/>
      <c r="B2226" s="97">
        <v>46403</v>
      </c>
      <c r="C2226" s="58" t="s">
        <v>57</v>
      </c>
      <c r="D2226" s="60" t="s">
        <v>38</v>
      </c>
      <c r="E2226" s="60"/>
      <c r="F2226" s="61"/>
      <c r="G2226" s="60"/>
      <c r="H2226" s="60">
        <v>0</v>
      </c>
      <c r="I2226" s="60">
        <v>0</v>
      </c>
      <c r="J2226" s="60">
        <v>0</v>
      </c>
      <c r="K2226" s="62"/>
      <c r="L2226" s="62">
        <f t="shared" si="144"/>
        <v>0</v>
      </c>
      <c r="M2226" s="62">
        <v>0</v>
      </c>
      <c r="N2226" s="102">
        <f t="shared" si="145"/>
        <v>0</v>
      </c>
      <c r="O2226" s="64"/>
      <c r="P2226" s="145" t="str">
        <f t="shared" si="148"/>
        <v/>
      </c>
      <c r="Q2226" s="52">
        <f t="shared" si="146"/>
        <v>2</v>
      </c>
      <c r="R2226" s="8">
        <f t="shared" si="147"/>
        <v>2027</v>
      </c>
    </row>
    <row r="2227" spans="1:18" ht="15.75" hidden="1" thickBot="1" x14ac:dyDescent="0.3">
      <c r="A2227" s="225"/>
      <c r="B2227" s="98">
        <v>46404</v>
      </c>
      <c r="C2227" s="66" t="s">
        <v>59</v>
      </c>
      <c r="D2227" s="67" t="s">
        <v>38</v>
      </c>
      <c r="E2227" s="67"/>
      <c r="F2227" s="68"/>
      <c r="G2227" s="67"/>
      <c r="H2227" s="67">
        <v>0</v>
      </c>
      <c r="I2227" s="67">
        <v>0</v>
      </c>
      <c r="J2227" s="67">
        <v>0</v>
      </c>
      <c r="K2227" s="69"/>
      <c r="L2227" s="69">
        <f t="shared" si="144"/>
        <v>0</v>
      </c>
      <c r="M2227" s="69">
        <v>0</v>
      </c>
      <c r="N2227" s="103">
        <f t="shared" si="145"/>
        <v>0</v>
      </c>
      <c r="O2227" s="71"/>
      <c r="P2227" s="145" t="str">
        <f t="shared" si="148"/>
        <v/>
      </c>
      <c r="Q2227" s="52">
        <f t="shared" si="146"/>
        <v>2</v>
      </c>
      <c r="R2227" s="8">
        <f t="shared" si="147"/>
        <v>2027</v>
      </c>
    </row>
    <row r="2228" spans="1:18" hidden="1" x14ac:dyDescent="0.25">
      <c r="A2228" s="223">
        <f>_xlfn.ISOWEEKNUM(B2228)</f>
        <v>3</v>
      </c>
      <c r="B2228" s="96">
        <v>46405</v>
      </c>
      <c r="C2228" s="72" t="s">
        <v>37</v>
      </c>
      <c r="D2228" s="41" t="s">
        <v>38</v>
      </c>
      <c r="E2228" s="41"/>
      <c r="F2228" s="43"/>
      <c r="G2228" s="41"/>
      <c r="H2228" s="41">
        <v>0</v>
      </c>
      <c r="I2228" s="41">
        <v>0</v>
      </c>
      <c r="J2228" s="41">
        <v>0</v>
      </c>
      <c r="K2228" s="73"/>
      <c r="L2228" s="73">
        <f t="shared" si="144"/>
        <v>0</v>
      </c>
      <c r="M2228" s="73">
        <v>0</v>
      </c>
      <c r="N2228" s="105">
        <f t="shared" si="145"/>
        <v>0</v>
      </c>
      <c r="O2228" s="46"/>
      <c r="P2228" s="145" t="str">
        <f t="shared" si="148"/>
        <v/>
      </c>
      <c r="Q2228" s="52">
        <f t="shared" si="146"/>
        <v>3</v>
      </c>
      <c r="R2228" s="8">
        <f t="shared" si="147"/>
        <v>2027</v>
      </c>
    </row>
    <row r="2229" spans="1:18" hidden="1" x14ac:dyDescent="0.25">
      <c r="A2229" s="224"/>
      <c r="B2229" s="96">
        <v>46406</v>
      </c>
      <c r="C2229" s="52" t="s">
        <v>42</v>
      </c>
      <c r="D2229" s="53" t="s">
        <v>38</v>
      </c>
      <c r="E2229" s="53"/>
      <c r="F2229" s="54"/>
      <c r="G2229" s="53"/>
      <c r="H2229" s="53">
        <v>0</v>
      </c>
      <c r="I2229" s="53">
        <v>0</v>
      </c>
      <c r="J2229" s="53">
        <v>0</v>
      </c>
      <c r="K2229" s="55"/>
      <c r="L2229" s="55">
        <f t="shared" si="144"/>
        <v>0</v>
      </c>
      <c r="M2229" s="55">
        <v>0</v>
      </c>
      <c r="N2229" s="101">
        <f t="shared" si="145"/>
        <v>0</v>
      </c>
      <c r="O2229" s="57"/>
      <c r="P2229" s="145" t="str">
        <f t="shared" si="148"/>
        <v/>
      </c>
      <c r="Q2229" s="52">
        <f t="shared" si="146"/>
        <v>3</v>
      </c>
      <c r="R2229" s="8">
        <f t="shared" si="147"/>
        <v>2027</v>
      </c>
    </row>
    <row r="2230" spans="1:18" hidden="1" x14ac:dyDescent="0.25">
      <c r="A2230" s="224"/>
      <c r="B2230" s="96">
        <v>46407</v>
      </c>
      <c r="C2230" s="52" t="s">
        <v>46</v>
      </c>
      <c r="D2230" s="53" t="s">
        <v>38</v>
      </c>
      <c r="E2230" s="53"/>
      <c r="F2230" s="54"/>
      <c r="G2230" s="53"/>
      <c r="H2230" s="53">
        <v>0</v>
      </c>
      <c r="I2230" s="53">
        <v>0</v>
      </c>
      <c r="J2230" s="53">
        <v>0</v>
      </c>
      <c r="K2230" s="55"/>
      <c r="L2230" s="55">
        <f t="shared" ref="L2230:L2293" si="149">+I2230*K2230</f>
        <v>0</v>
      </c>
      <c r="M2230" s="55">
        <v>0</v>
      </c>
      <c r="N2230" s="101">
        <f t="shared" ref="N2230:N2293" si="150">+L2230*(1-M2230)</f>
        <v>0</v>
      </c>
      <c r="O2230" s="57"/>
      <c r="P2230" s="145" t="str">
        <f t="shared" si="148"/>
        <v/>
      </c>
      <c r="Q2230" s="52">
        <f t="shared" si="146"/>
        <v>3</v>
      </c>
      <c r="R2230" s="8">
        <f t="shared" si="147"/>
        <v>2027</v>
      </c>
    </row>
    <row r="2231" spans="1:18" hidden="1" x14ac:dyDescent="0.25">
      <c r="A2231" s="224"/>
      <c r="B2231" s="96">
        <v>46408</v>
      </c>
      <c r="C2231" s="52" t="s">
        <v>50</v>
      </c>
      <c r="D2231" s="53" t="s">
        <v>38</v>
      </c>
      <c r="E2231" s="53"/>
      <c r="F2231" s="54"/>
      <c r="G2231" s="53"/>
      <c r="H2231" s="53">
        <v>0</v>
      </c>
      <c r="I2231" s="53">
        <v>0</v>
      </c>
      <c r="J2231" s="53">
        <v>0</v>
      </c>
      <c r="K2231" s="55"/>
      <c r="L2231" s="55">
        <f t="shared" si="149"/>
        <v>0</v>
      </c>
      <c r="M2231" s="55">
        <v>0</v>
      </c>
      <c r="N2231" s="101">
        <f t="shared" si="150"/>
        <v>0</v>
      </c>
      <c r="O2231" s="57"/>
      <c r="P2231" s="145" t="str">
        <f t="shared" si="148"/>
        <v/>
      </c>
      <c r="Q2231" s="52">
        <f t="shared" si="146"/>
        <v>3</v>
      </c>
      <c r="R2231" s="8">
        <f t="shared" si="147"/>
        <v>2027</v>
      </c>
    </row>
    <row r="2232" spans="1:18" hidden="1" x14ac:dyDescent="0.25">
      <c r="A2232" s="224"/>
      <c r="B2232" s="96">
        <v>46409</v>
      </c>
      <c r="C2232" s="52" t="s">
        <v>53</v>
      </c>
      <c r="D2232" s="53" t="s">
        <v>38</v>
      </c>
      <c r="E2232" s="53"/>
      <c r="F2232" s="54"/>
      <c r="G2232" s="53"/>
      <c r="H2232" s="53">
        <v>0</v>
      </c>
      <c r="I2232" s="53">
        <v>0</v>
      </c>
      <c r="J2232" s="53">
        <v>0</v>
      </c>
      <c r="K2232" s="55"/>
      <c r="L2232" s="55">
        <f t="shared" si="149"/>
        <v>0</v>
      </c>
      <c r="M2232" s="55">
        <v>0</v>
      </c>
      <c r="N2232" s="101">
        <f t="shared" si="150"/>
        <v>0</v>
      </c>
      <c r="O2232" s="57"/>
      <c r="P2232" s="145" t="str">
        <f t="shared" si="148"/>
        <v/>
      </c>
      <c r="Q2232" s="52">
        <f t="shared" si="146"/>
        <v>3</v>
      </c>
      <c r="R2232" s="8">
        <f t="shared" si="147"/>
        <v>2027</v>
      </c>
    </row>
    <row r="2233" spans="1:18" hidden="1" x14ac:dyDescent="0.25">
      <c r="A2233" s="224"/>
      <c r="B2233" s="97">
        <v>46410</v>
      </c>
      <c r="C2233" s="58" t="s">
        <v>57</v>
      </c>
      <c r="D2233" s="60" t="s">
        <v>38</v>
      </c>
      <c r="E2233" s="60"/>
      <c r="F2233" s="61"/>
      <c r="G2233" s="60"/>
      <c r="H2233" s="60">
        <v>0</v>
      </c>
      <c r="I2233" s="60">
        <v>0</v>
      </c>
      <c r="J2233" s="60">
        <v>0</v>
      </c>
      <c r="K2233" s="62"/>
      <c r="L2233" s="62">
        <f t="shared" si="149"/>
        <v>0</v>
      </c>
      <c r="M2233" s="62">
        <v>0</v>
      </c>
      <c r="N2233" s="102">
        <f t="shared" si="150"/>
        <v>0</v>
      </c>
      <c r="O2233" s="64"/>
      <c r="P2233" s="145" t="str">
        <f t="shared" si="148"/>
        <v/>
      </c>
      <c r="Q2233" s="52">
        <f t="shared" si="146"/>
        <v>3</v>
      </c>
      <c r="R2233" s="8">
        <f t="shared" si="147"/>
        <v>2027</v>
      </c>
    </row>
    <row r="2234" spans="1:18" ht="15.75" hidden="1" thickBot="1" x14ac:dyDescent="0.3">
      <c r="A2234" s="225"/>
      <c r="B2234" s="98">
        <v>46411</v>
      </c>
      <c r="C2234" s="66" t="s">
        <v>59</v>
      </c>
      <c r="D2234" s="67" t="s">
        <v>38</v>
      </c>
      <c r="E2234" s="67"/>
      <c r="F2234" s="68"/>
      <c r="G2234" s="67"/>
      <c r="H2234" s="67">
        <v>0</v>
      </c>
      <c r="I2234" s="67">
        <v>0</v>
      </c>
      <c r="J2234" s="67">
        <v>0</v>
      </c>
      <c r="K2234" s="69"/>
      <c r="L2234" s="69">
        <f t="shared" si="149"/>
        <v>0</v>
      </c>
      <c r="M2234" s="69">
        <v>0</v>
      </c>
      <c r="N2234" s="103">
        <f t="shared" si="150"/>
        <v>0</v>
      </c>
      <c r="O2234" s="71"/>
      <c r="P2234" s="145" t="str">
        <f t="shared" si="148"/>
        <v/>
      </c>
      <c r="Q2234" s="52">
        <f t="shared" si="146"/>
        <v>3</v>
      </c>
      <c r="R2234" s="8">
        <f t="shared" si="147"/>
        <v>2027</v>
      </c>
    </row>
    <row r="2235" spans="1:18" hidden="1" x14ac:dyDescent="0.25">
      <c r="A2235" s="223">
        <f>_xlfn.ISOWEEKNUM(B2235)</f>
        <v>4</v>
      </c>
      <c r="B2235" s="96">
        <v>46412</v>
      </c>
      <c r="C2235" s="72" t="s">
        <v>37</v>
      </c>
      <c r="D2235" s="41" t="s">
        <v>38</v>
      </c>
      <c r="E2235" s="41"/>
      <c r="F2235" s="43"/>
      <c r="G2235" s="41"/>
      <c r="H2235" s="41">
        <v>0</v>
      </c>
      <c r="I2235" s="41">
        <v>0</v>
      </c>
      <c r="J2235" s="41">
        <v>0</v>
      </c>
      <c r="K2235" s="73"/>
      <c r="L2235" s="73">
        <f t="shared" si="149"/>
        <v>0</v>
      </c>
      <c r="M2235" s="73">
        <v>0</v>
      </c>
      <c r="N2235" s="105">
        <f t="shared" si="150"/>
        <v>0</v>
      </c>
      <c r="O2235" s="46"/>
      <c r="P2235" s="145" t="str">
        <f t="shared" si="148"/>
        <v/>
      </c>
      <c r="Q2235" s="52">
        <f t="shared" si="146"/>
        <v>4</v>
      </c>
      <c r="R2235" s="8">
        <f t="shared" si="147"/>
        <v>2027</v>
      </c>
    </row>
    <row r="2236" spans="1:18" hidden="1" x14ac:dyDescent="0.25">
      <c r="A2236" s="224"/>
      <c r="B2236" s="96">
        <v>46413</v>
      </c>
      <c r="C2236" s="52" t="s">
        <v>42</v>
      </c>
      <c r="D2236" s="53" t="s">
        <v>38</v>
      </c>
      <c r="E2236" s="53"/>
      <c r="F2236" s="54"/>
      <c r="G2236" s="53"/>
      <c r="H2236" s="53">
        <v>0</v>
      </c>
      <c r="I2236" s="53">
        <v>0</v>
      </c>
      <c r="J2236" s="53">
        <v>0</v>
      </c>
      <c r="K2236" s="55"/>
      <c r="L2236" s="55">
        <f t="shared" si="149"/>
        <v>0</v>
      </c>
      <c r="M2236" s="55">
        <v>0</v>
      </c>
      <c r="N2236" s="101">
        <f t="shared" si="150"/>
        <v>0</v>
      </c>
      <c r="O2236" s="57"/>
      <c r="P2236" s="145" t="str">
        <f t="shared" si="148"/>
        <v/>
      </c>
      <c r="Q2236" s="52">
        <f t="shared" si="146"/>
        <v>4</v>
      </c>
      <c r="R2236" s="8">
        <f t="shared" si="147"/>
        <v>2027</v>
      </c>
    </row>
    <row r="2237" spans="1:18" hidden="1" x14ac:dyDescent="0.25">
      <c r="A2237" s="224"/>
      <c r="B2237" s="96">
        <v>46414</v>
      </c>
      <c r="C2237" s="52" t="s">
        <v>46</v>
      </c>
      <c r="D2237" s="53" t="s">
        <v>38</v>
      </c>
      <c r="E2237" s="53"/>
      <c r="F2237" s="54"/>
      <c r="G2237" s="53"/>
      <c r="H2237" s="53">
        <v>0</v>
      </c>
      <c r="I2237" s="53">
        <v>0</v>
      </c>
      <c r="J2237" s="53">
        <v>0</v>
      </c>
      <c r="K2237" s="55"/>
      <c r="L2237" s="55">
        <f t="shared" si="149"/>
        <v>0</v>
      </c>
      <c r="M2237" s="55">
        <v>0</v>
      </c>
      <c r="N2237" s="101">
        <f t="shared" si="150"/>
        <v>0</v>
      </c>
      <c r="O2237" s="57"/>
      <c r="P2237" s="145" t="str">
        <f t="shared" si="148"/>
        <v/>
      </c>
      <c r="Q2237" s="52">
        <f t="shared" si="146"/>
        <v>4</v>
      </c>
      <c r="R2237" s="8">
        <f t="shared" si="147"/>
        <v>2027</v>
      </c>
    </row>
    <row r="2238" spans="1:18" hidden="1" x14ac:dyDescent="0.25">
      <c r="A2238" s="224"/>
      <c r="B2238" s="96">
        <v>46415</v>
      </c>
      <c r="C2238" s="52" t="s">
        <v>50</v>
      </c>
      <c r="D2238" s="53" t="s">
        <v>38</v>
      </c>
      <c r="E2238" s="53"/>
      <c r="F2238" s="54"/>
      <c r="G2238" s="53"/>
      <c r="H2238" s="53">
        <v>0</v>
      </c>
      <c r="I2238" s="53">
        <v>0</v>
      </c>
      <c r="J2238" s="53">
        <v>0</v>
      </c>
      <c r="K2238" s="55"/>
      <c r="L2238" s="55">
        <f t="shared" si="149"/>
        <v>0</v>
      </c>
      <c r="M2238" s="55">
        <v>0</v>
      </c>
      <c r="N2238" s="101">
        <f t="shared" si="150"/>
        <v>0</v>
      </c>
      <c r="O2238" s="57"/>
      <c r="P2238" s="145" t="str">
        <f t="shared" si="148"/>
        <v/>
      </c>
      <c r="Q2238" s="52">
        <f t="shared" si="146"/>
        <v>4</v>
      </c>
      <c r="R2238" s="8">
        <f t="shared" si="147"/>
        <v>2027</v>
      </c>
    </row>
    <row r="2239" spans="1:18" hidden="1" x14ac:dyDescent="0.25">
      <c r="A2239" s="224"/>
      <c r="B2239" s="96">
        <v>46416</v>
      </c>
      <c r="C2239" s="52" t="s">
        <v>53</v>
      </c>
      <c r="D2239" s="53" t="s">
        <v>38</v>
      </c>
      <c r="E2239" s="53"/>
      <c r="F2239" s="54"/>
      <c r="G2239" s="53"/>
      <c r="H2239" s="53">
        <v>0</v>
      </c>
      <c r="I2239" s="53">
        <v>0</v>
      </c>
      <c r="J2239" s="53">
        <v>0</v>
      </c>
      <c r="K2239" s="55"/>
      <c r="L2239" s="55">
        <f t="shared" si="149"/>
        <v>0</v>
      </c>
      <c r="M2239" s="55">
        <v>0</v>
      </c>
      <c r="N2239" s="101">
        <f t="shared" si="150"/>
        <v>0</v>
      </c>
      <c r="O2239" s="57"/>
      <c r="P2239" s="145" t="str">
        <f t="shared" si="148"/>
        <v/>
      </c>
      <c r="Q2239" s="52">
        <f t="shared" si="146"/>
        <v>4</v>
      </c>
      <c r="R2239" s="8">
        <f t="shared" si="147"/>
        <v>2027</v>
      </c>
    </row>
    <row r="2240" spans="1:18" hidden="1" x14ac:dyDescent="0.25">
      <c r="A2240" s="224"/>
      <c r="B2240" s="97">
        <v>46417</v>
      </c>
      <c r="C2240" s="58" t="s">
        <v>57</v>
      </c>
      <c r="D2240" s="60" t="s">
        <v>38</v>
      </c>
      <c r="E2240" s="60"/>
      <c r="F2240" s="61"/>
      <c r="G2240" s="60"/>
      <c r="H2240" s="60">
        <v>0</v>
      </c>
      <c r="I2240" s="60">
        <v>0</v>
      </c>
      <c r="J2240" s="60">
        <v>0</v>
      </c>
      <c r="K2240" s="62"/>
      <c r="L2240" s="62">
        <f t="shared" si="149"/>
        <v>0</v>
      </c>
      <c r="M2240" s="62">
        <v>0</v>
      </c>
      <c r="N2240" s="102">
        <f t="shared" si="150"/>
        <v>0</v>
      </c>
      <c r="O2240" s="64"/>
      <c r="P2240" s="145" t="str">
        <f t="shared" si="148"/>
        <v/>
      </c>
      <c r="Q2240" s="52">
        <f t="shared" si="146"/>
        <v>4</v>
      </c>
      <c r="R2240" s="8">
        <f t="shared" si="147"/>
        <v>2027</v>
      </c>
    </row>
    <row r="2241" spans="1:18" ht="15.75" hidden="1" thickBot="1" x14ac:dyDescent="0.3">
      <c r="A2241" s="225"/>
      <c r="B2241" s="98">
        <v>46418</v>
      </c>
      <c r="C2241" s="66" t="s">
        <v>59</v>
      </c>
      <c r="D2241" s="67" t="s">
        <v>38</v>
      </c>
      <c r="E2241" s="67"/>
      <c r="F2241" s="68"/>
      <c r="G2241" s="67"/>
      <c r="H2241" s="67">
        <v>0</v>
      </c>
      <c r="I2241" s="67">
        <v>0</v>
      </c>
      <c r="J2241" s="67">
        <v>0</v>
      </c>
      <c r="K2241" s="69"/>
      <c r="L2241" s="69">
        <f t="shared" si="149"/>
        <v>0</v>
      </c>
      <c r="M2241" s="69">
        <v>0</v>
      </c>
      <c r="N2241" s="103">
        <f t="shared" si="150"/>
        <v>0</v>
      </c>
      <c r="O2241" s="71"/>
      <c r="P2241" s="145" t="str">
        <f t="shared" si="148"/>
        <v/>
      </c>
      <c r="Q2241" s="52">
        <f t="shared" si="146"/>
        <v>4</v>
      </c>
      <c r="R2241" s="8">
        <f t="shared" si="147"/>
        <v>2027</v>
      </c>
    </row>
    <row r="2242" spans="1:18" hidden="1" x14ac:dyDescent="0.25">
      <c r="A2242" s="223">
        <f>_xlfn.ISOWEEKNUM(B2242)</f>
        <v>5</v>
      </c>
      <c r="B2242" s="96">
        <v>46419</v>
      </c>
      <c r="C2242" s="72" t="s">
        <v>37</v>
      </c>
      <c r="D2242" s="41" t="s">
        <v>38</v>
      </c>
      <c r="E2242" s="41"/>
      <c r="F2242" s="43"/>
      <c r="G2242" s="41"/>
      <c r="H2242" s="41">
        <v>0</v>
      </c>
      <c r="I2242" s="41">
        <v>0</v>
      </c>
      <c r="J2242" s="41">
        <v>0</v>
      </c>
      <c r="K2242" s="73"/>
      <c r="L2242" s="73">
        <f t="shared" si="149"/>
        <v>0</v>
      </c>
      <c r="M2242" s="73">
        <v>0</v>
      </c>
      <c r="N2242" s="105">
        <f t="shared" si="150"/>
        <v>0</v>
      </c>
      <c r="O2242" s="46"/>
      <c r="P2242" s="145" t="str">
        <f t="shared" si="148"/>
        <v/>
      </c>
      <c r="Q2242" s="52">
        <f t="shared" si="146"/>
        <v>5</v>
      </c>
      <c r="R2242" s="8">
        <f t="shared" si="147"/>
        <v>2027</v>
      </c>
    </row>
    <row r="2243" spans="1:18" hidden="1" x14ac:dyDescent="0.25">
      <c r="A2243" s="224"/>
      <c r="B2243" s="96">
        <v>46420</v>
      </c>
      <c r="C2243" s="52" t="s">
        <v>42</v>
      </c>
      <c r="D2243" s="53" t="s">
        <v>38</v>
      </c>
      <c r="E2243" s="53"/>
      <c r="F2243" s="54"/>
      <c r="G2243" s="53"/>
      <c r="H2243" s="53">
        <v>0</v>
      </c>
      <c r="I2243" s="53">
        <v>0</v>
      </c>
      <c r="J2243" s="53">
        <v>0</v>
      </c>
      <c r="K2243" s="55"/>
      <c r="L2243" s="55">
        <f t="shared" si="149"/>
        <v>0</v>
      </c>
      <c r="M2243" s="55">
        <v>0</v>
      </c>
      <c r="N2243" s="101">
        <f t="shared" si="150"/>
        <v>0</v>
      </c>
      <c r="O2243" s="57"/>
      <c r="P2243" s="145" t="str">
        <f t="shared" si="148"/>
        <v/>
      </c>
      <c r="Q2243" s="52">
        <f t="shared" si="146"/>
        <v>5</v>
      </c>
      <c r="R2243" s="8">
        <f t="shared" si="147"/>
        <v>2027</v>
      </c>
    </row>
    <row r="2244" spans="1:18" hidden="1" x14ac:dyDescent="0.25">
      <c r="A2244" s="224"/>
      <c r="B2244" s="96">
        <v>46421</v>
      </c>
      <c r="C2244" s="52" t="s">
        <v>46</v>
      </c>
      <c r="D2244" s="53" t="s">
        <v>38</v>
      </c>
      <c r="E2244" s="53"/>
      <c r="F2244" s="54"/>
      <c r="G2244" s="53"/>
      <c r="H2244" s="53">
        <v>0</v>
      </c>
      <c r="I2244" s="53">
        <v>0</v>
      </c>
      <c r="J2244" s="53">
        <v>0</v>
      </c>
      <c r="K2244" s="55"/>
      <c r="L2244" s="55">
        <f t="shared" si="149"/>
        <v>0</v>
      </c>
      <c r="M2244" s="55">
        <v>0</v>
      </c>
      <c r="N2244" s="101">
        <f t="shared" si="150"/>
        <v>0</v>
      </c>
      <c r="O2244" s="57"/>
      <c r="P2244" s="145" t="str">
        <f t="shared" si="148"/>
        <v/>
      </c>
      <c r="Q2244" s="52">
        <f t="shared" si="146"/>
        <v>5</v>
      </c>
      <c r="R2244" s="8">
        <f t="shared" si="147"/>
        <v>2027</v>
      </c>
    </row>
    <row r="2245" spans="1:18" hidden="1" x14ac:dyDescent="0.25">
      <c r="A2245" s="224"/>
      <c r="B2245" s="96">
        <v>46422</v>
      </c>
      <c r="C2245" s="52" t="s">
        <v>50</v>
      </c>
      <c r="D2245" s="53" t="s">
        <v>38</v>
      </c>
      <c r="E2245" s="53"/>
      <c r="F2245" s="54"/>
      <c r="G2245" s="53"/>
      <c r="H2245" s="53">
        <v>0</v>
      </c>
      <c r="I2245" s="53">
        <v>0</v>
      </c>
      <c r="J2245" s="53">
        <v>0</v>
      </c>
      <c r="K2245" s="55"/>
      <c r="L2245" s="55">
        <f t="shared" si="149"/>
        <v>0</v>
      </c>
      <c r="M2245" s="55">
        <v>0</v>
      </c>
      <c r="N2245" s="101">
        <f t="shared" si="150"/>
        <v>0</v>
      </c>
      <c r="O2245" s="57"/>
      <c r="P2245" s="145" t="str">
        <f t="shared" si="148"/>
        <v/>
      </c>
      <c r="Q2245" s="52">
        <f t="shared" si="146"/>
        <v>5</v>
      </c>
      <c r="R2245" s="8">
        <f t="shared" si="147"/>
        <v>2027</v>
      </c>
    </row>
    <row r="2246" spans="1:18" hidden="1" x14ac:dyDescent="0.25">
      <c r="A2246" s="224"/>
      <c r="B2246" s="96">
        <v>46423</v>
      </c>
      <c r="C2246" s="52" t="s">
        <v>53</v>
      </c>
      <c r="D2246" s="53" t="s">
        <v>38</v>
      </c>
      <c r="E2246" s="53"/>
      <c r="F2246" s="54"/>
      <c r="G2246" s="53"/>
      <c r="H2246" s="53">
        <v>0</v>
      </c>
      <c r="I2246" s="53">
        <v>0</v>
      </c>
      <c r="J2246" s="53">
        <v>0</v>
      </c>
      <c r="K2246" s="55"/>
      <c r="L2246" s="55">
        <f t="shared" si="149"/>
        <v>0</v>
      </c>
      <c r="M2246" s="55">
        <v>0</v>
      </c>
      <c r="N2246" s="101">
        <f t="shared" si="150"/>
        <v>0</v>
      </c>
      <c r="O2246" s="57"/>
      <c r="P2246" s="145" t="str">
        <f t="shared" si="148"/>
        <v/>
      </c>
      <c r="Q2246" s="52">
        <f t="shared" si="146"/>
        <v>5</v>
      </c>
      <c r="R2246" s="8">
        <f t="shared" si="147"/>
        <v>2027</v>
      </c>
    </row>
    <row r="2247" spans="1:18" hidden="1" x14ac:dyDescent="0.25">
      <c r="A2247" s="224"/>
      <c r="B2247" s="97">
        <v>46424</v>
      </c>
      <c r="C2247" s="58" t="s">
        <v>57</v>
      </c>
      <c r="D2247" s="60" t="s">
        <v>38</v>
      </c>
      <c r="E2247" s="60"/>
      <c r="F2247" s="61"/>
      <c r="G2247" s="60"/>
      <c r="H2247" s="60">
        <v>0</v>
      </c>
      <c r="I2247" s="60">
        <v>0</v>
      </c>
      <c r="J2247" s="60">
        <v>0</v>
      </c>
      <c r="K2247" s="62"/>
      <c r="L2247" s="62">
        <f t="shared" si="149"/>
        <v>0</v>
      </c>
      <c r="M2247" s="62">
        <v>0</v>
      </c>
      <c r="N2247" s="102">
        <f t="shared" si="150"/>
        <v>0</v>
      </c>
      <c r="O2247" s="64"/>
      <c r="P2247" s="145" t="str">
        <f t="shared" si="148"/>
        <v/>
      </c>
      <c r="Q2247" s="52">
        <f t="shared" si="146"/>
        <v>5</v>
      </c>
      <c r="R2247" s="8">
        <f t="shared" si="147"/>
        <v>2027</v>
      </c>
    </row>
    <row r="2248" spans="1:18" ht="15.75" hidden="1" thickBot="1" x14ac:dyDescent="0.3">
      <c r="A2248" s="225"/>
      <c r="B2248" s="98">
        <v>46425</v>
      </c>
      <c r="C2248" s="66" t="s">
        <v>59</v>
      </c>
      <c r="D2248" s="67" t="s">
        <v>38</v>
      </c>
      <c r="E2248" s="67"/>
      <c r="F2248" s="68"/>
      <c r="G2248" s="67"/>
      <c r="H2248" s="67">
        <v>0</v>
      </c>
      <c r="I2248" s="67">
        <v>0</v>
      </c>
      <c r="J2248" s="67">
        <v>0</v>
      </c>
      <c r="K2248" s="69"/>
      <c r="L2248" s="69">
        <f t="shared" si="149"/>
        <v>0</v>
      </c>
      <c r="M2248" s="69">
        <v>0</v>
      </c>
      <c r="N2248" s="103">
        <f t="shared" si="150"/>
        <v>0</v>
      </c>
      <c r="O2248" s="71"/>
      <c r="P2248" s="145" t="str">
        <f t="shared" si="148"/>
        <v/>
      </c>
      <c r="Q2248" s="52">
        <f t="shared" si="146"/>
        <v>5</v>
      </c>
      <c r="R2248" s="8">
        <f t="shared" si="147"/>
        <v>2027</v>
      </c>
    </row>
    <row r="2249" spans="1:18" hidden="1" x14ac:dyDescent="0.25">
      <c r="A2249" s="223">
        <f>_xlfn.ISOWEEKNUM(B2249)</f>
        <v>6</v>
      </c>
      <c r="B2249" s="96">
        <v>46426</v>
      </c>
      <c r="C2249" s="72" t="s">
        <v>37</v>
      </c>
      <c r="D2249" s="41" t="s">
        <v>38</v>
      </c>
      <c r="E2249" s="41"/>
      <c r="F2249" s="43"/>
      <c r="G2249" s="41"/>
      <c r="H2249" s="41">
        <v>0</v>
      </c>
      <c r="I2249" s="41">
        <v>0</v>
      </c>
      <c r="J2249" s="41">
        <v>0</v>
      </c>
      <c r="K2249" s="73"/>
      <c r="L2249" s="73">
        <f t="shared" si="149"/>
        <v>0</v>
      </c>
      <c r="M2249" s="73">
        <v>0</v>
      </c>
      <c r="N2249" s="105">
        <f t="shared" si="150"/>
        <v>0</v>
      </c>
      <c r="O2249" s="46"/>
      <c r="P2249" s="145" t="str">
        <f t="shared" si="148"/>
        <v/>
      </c>
      <c r="Q2249" s="52">
        <f t="shared" ref="Q2249:Q2312" si="151">_xlfn.ISOWEEKNUM(B2249)</f>
        <v>6</v>
      </c>
      <c r="R2249" s="8">
        <f t="shared" ref="R2249:R2312" si="152">YEAR(B2249)</f>
        <v>2027</v>
      </c>
    </row>
    <row r="2250" spans="1:18" hidden="1" x14ac:dyDescent="0.25">
      <c r="A2250" s="224"/>
      <c r="B2250" s="96">
        <v>46427</v>
      </c>
      <c r="C2250" s="52" t="s">
        <v>42</v>
      </c>
      <c r="D2250" s="53" t="s">
        <v>38</v>
      </c>
      <c r="E2250" s="53"/>
      <c r="F2250" s="54"/>
      <c r="G2250" s="53"/>
      <c r="H2250" s="53">
        <v>0</v>
      </c>
      <c r="I2250" s="53">
        <v>0</v>
      </c>
      <c r="J2250" s="53">
        <v>0</v>
      </c>
      <c r="K2250" s="55"/>
      <c r="L2250" s="55">
        <f t="shared" si="149"/>
        <v>0</v>
      </c>
      <c r="M2250" s="55">
        <v>0</v>
      </c>
      <c r="N2250" s="101">
        <f t="shared" si="150"/>
        <v>0</v>
      </c>
      <c r="O2250" s="57"/>
      <c r="P2250" s="145" t="str">
        <f t="shared" si="148"/>
        <v/>
      </c>
      <c r="Q2250" s="52">
        <f t="shared" si="151"/>
        <v>6</v>
      </c>
      <c r="R2250" s="8">
        <f t="shared" si="152"/>
        <v>2027</v>
      </c>
    </row>
    <row r="2251" spans="1:18" hidden="1" x14ac:dyDescent="0.25">
      <c r="A2251" s="224"/>
      <c r="B2251" s="96">
        <v>46428</v>
      </c>
      <c r="C2251" s="52" t="s">
        <v>46</v>
      </c>
      <c r="D2251" s="53" t="s">
        <v>38</v>
      </c>
      <c r="E2251" s="53"/>
      <c r="F2251" s="54"/>
      <c r="G2251" s="53"/>
      <c r="H2251" s="53">
        <v>0</v>
      </c>
      <c r="I2251" s="53">
        <v>0</v>
      </c>
      <c r="J2251" s="53">
        <v>0</v>
      </c>
      <c r="K2251" s="55"/>
      <c r="L2251" s="55">
        <f t="shared" si="149"/>
        <v>0</v>
      </c>
      <c r="M2251" s="55">
        <v>0</v>
      </c>
      <c r="N2251" s="101">
        <f t="shared" si="150"/>
        <v>0</v>
      </c>
      <c r="O2251" s="57"/>
      <c r="P2251" s="145" t="str">
        <f t="shared" si="148"/>
        <v/>
      </c>
      <c r="Q2251" s="52">
        <f t="shared" si="151"/>
        <v>6</v>
      </c>
      <c r="R2251" s="8">
        <f t="shared" si="152"/>
        <v>2027</v>
      </c>
    </row>
    <row r="2252" spans="1:18" hidden="1" x14ac:dyDescent="0.25">
      <c r="A2252" s="224"/>
      <c r="B2252" s="96">
        <v>46429</v>
      </c>
      <c r="C2252" s="52" t="s">
        <v>50</v>
      </c>
      <c r="D2252" s="53" t="s">
        <v>38</v>
      </c>
      <c r="E2252" s="53"/>
      <c r="F2252" s="54"/>
      <c r="G2252" s="53"/>
      <c r="H2252" s="53">
        <v>0</v>
      </c>
      <c r="I2252" s="53">
        <v>0</v>
      </c>
      <c r="J2252" s="53">
        <v>0</v>
      </c>
      <c r="K2252" s="55"/>
      <c r="L2252" s="55">
        <f t="shared" si="149"/>
        <v>0</v>
      </c>
      <c r="M2252" s="55">
        <v>0</v>
      </c>
      <c r="N2252" s="101">
        <f t="shared" si="150"/>
        <v>0</v>
      </c>
      <c r="O2252" s="57"/>
      <c r="P2252" s="145" t="str">
        <f t="shared" si="148"/>
        <v/>
      </c>
      <c r="Q2252" s="52">
        <f t="shared" si="151"/>
        <v>6</v>
      </c>
      <c r="R2252" s="8">
        <f t="shared" si="152"/>
        <v>2027</v>
      </c>
    </row>
    <row r="2253" spans="1:18" hidden="1" x14ac:dyDescent="0.25">
      <c r="A2253" s="224"/>
      <c r="B2253" s="96">
        <v>46430</v>
      </c>
      <c r="C2253" s="52" t="s">
        <v>53</v>
      </c>
      <c r="D2253" s="53" t="s">
        <v>38</v>
      </c>
      <c r="E2253" s="53"/>
      <c r="F2253" s="54"/>
      <c r="G2253" s="53"/>
      <c r="H2253" s="53">
        <v>0</v>
      </c>
      <c r="I2253" s="53">
        <v>0</v>
      </c>
      <c r="J2253" s="53">
        <v>0</v>
      </c>
      <c r="K2253" s="55"/>
      <c r="L2253" s="55">
        <f t="shared" si="149"/>
        <v>0</v>
      </c>
      <c r="M2253" s="55">
        <v>0</v>
      </c>
      <c r="N2253" s="101">
        <f t="shared" si="150"/>
        <v>0</v>
      </c>
      <c r="O2253" s="57"/>
      <c r="P2253" s="145" t="str">
        <f t="shared" si="148"/>
        <v/>
      </c>
      <c r="Q2253" s="52">
        <f t="shared" si="151"/>
        <v>6</v>
      </c>
      <c r="R2253" s="8">
        <f t="shared" si="152"/>
        <v>2027</v>
      </c>
    </row>
    <row r="2254" spans="1:18" hidden="1" x14ac:dyDescent="0.25">
      <c r="A2254" s="224"/>
      <c r="B2254" s="97">
        <v>46431</v>
      </c>
      <c r="C2254" s="58" t="s">
        <v>57</v>
      </c>
      <c r="D2254" s="60" t="s">
        <v>38</v>
      </c>
      <c r="E2254" s="60"/>
      <c r="F2254" s="61"/>
      <c r="G2254" s="60"/>
      <c r="H2254" s="60">
        <v>0</v>
      </c>
      <c r="I2254" s="60">
        <v>0</v>
      </c>
      <c r="J2254" s="60">
        <v>0</v>
      </c>
      <c r="K2254" s="62"/>
      <c r="L2254" s="62">
        <f t="shared" si="149"/>
        <v>0</v>
      </c>
      <c r="M2254" s="62">
        <v>0</v>
      </c>
      <c r="N2254" s="102">
        <f t="shared" si="150"/>
        <v>0</v>
      </c>
      <c r="O2254" s="64"/>
      <c r="P2254" s="145" t="str">
        <f t="shared" si="148"/>
        <v/>
      </c>
      <c r="Q2254" s="52">
        <f t="shared" si="151"/>
        <v>6</v>
      </c>
      <c r="R2254" s="8">
        <f t="shared" si="152"/>
        <v>2027</v>
      </c>
    </row>
    <row r="2255" spans="1:18" ht="15.75" hidden="1" thickBot="1" x14ac:dyDescent="0.3">
      <c r="A2255" s="225"/>
      <c r="B2255" s="98">
        <v>46432</v>
      </c>
      <c r="C2255" s="66" t="s">
        <v>59</v>
      </c>
      <c r="D2255" s="67" t="s">
        <v>38</v>
      </c>
      <c r="E2255" s="67"/>
      <c r="F2255" s="68"/>
      <c r="G2255" s="67"/>
      <c r="H2255" s="67">
        <v>0</v>
      </c>
      <c r="I2255" s="67">
        <v>0</v>
      </c>
      <c r="J2255" s="67">
        <v>0</v>
      </c>
      <c r="K2255" s="69"/>
      <c r="L2255" s="69">
        <f t="shared" si="149"/>
        <v>0</v>
      </c>
      <c r="M2255" s="69">
        <v>0</v>
      </c>
      <c r="N2255" s="103">
        <f t="shared" si="150"/>
        <v>0</v>
      </c>
      <c r="O2255" s="71"/>
      <c r="P2255" s="145" t="str">
        <f t="shared" si="148"/>
        <v/>
      </c>
      <c r="Q2255" s="52">
        <f t="shared" si="151"/>
        <v>6</v>
      </c>
      <c r="R2255" s="8">
        <f t="shared" si="152"/>
        <v>2027</v>
      </c>
    </row>
    <row r="2256" spans="1:18" hidden="1" x14ac:dyDescent="0.25">
      <c r="A2256" s="223">
        <f>_xlfn.ISOWEEKNUM(B2256)</f>
        <v>7</v>
      </c>
      <c r="B2256" s="96">
        <v>46433</v>
      </c>
      <c r="C2256" s="72" t="s">
        <v>37</v>
      </c>
      <c r="D2256" s="41" t="s">
        <v>38</v>
      </c>
      <c r="E2256" s="41"/>
      <c r="F2256" s="43"/>
      <c r="G2256" s="41"/>
      <c r="H2256" s="41">
        <v>0</v>
      </c>
      <c r="I2256" s="41">
        <v>0</v>
      </c>
      <c r="J2256" s="41">
        <v>0</v>
      </c>
      <c r="K2256" s="73"/>
      <c r="L2256" s="73">
        <f t="shared" si="149"/>
        <v>0</v>
      </c>
      <c r="M2256" s="73">
        <v>0</v>
      </c>
      <c r="N2256" s="105">
        <f t="shared" si="150"/>
        <v>0</v>
      </c>
      <c r="O2256" s="46"/>
      <c r="P2256" s="145" t="str">
        <f t="shared" si="148"/>
        <v/>
      </c>
      <c r="Q2256" s="52">
        <f t="shared" si="151"/>
        <v>7</v>
      </c>
      <c r="R2256" s="8">
        <f t="shared" si="152"/>
        <v>2027</v>
      </c>
    </row>
    <row r="2257" spans="1:18" hidden="1" x14ac:dyDescent="0.25">
      <c r="A2257" s="224"/>
      <c r="B2257" s="96">
        <v>46434</v>
      </c>
      <c r="C2257" s="52" t="s">
        <v>42</v>
      </c>
      <c r="D2257" s="53" t="s">
        <v>38</v>
      </c>
      <c r="E2257" s="53"/>
      <c r="F2257" s="54"/>
      <c r="G2257" s="53"/>
      <c r="H2257" s="53">
        <v>0</v>
      </c>
      <c r="I2257" s="53">
        <v>0</v>
      </c>
      <c r="J2257" s="53">
        <v>0</v>
      </c>
      <c r="K2257" s="55"/>
      <c r="L2257" s="55">
        <f t="shared" si="149"/>
        <v>0</v>
      </c>
      <c r="M2257" s="55">
        <v>0</v>
      </c>
      <c r="N2257" s="101">
        <f t="shared" si="150"/>
        <v>0</v>
      </c>
      <c r="O2257" s="57"/>
      <c r="P2257" s="145" t="str">
        <f t="shared" si="148"/>
        <v/>
      </c>
      <c r="Q2257" s="52">
        <f t="shared" si="151"/>
        <v>7</v>
      </c>
      <c r="R2257" s="8">
        <f t="shared" si="152"/>
        <v>2027</v>
      </c>
    </row>
    <row r="2258" spans="1:18" hidden="1" x14ac:dyDescent="0.25">
      <c r="A2258" s="224"/>
      <c r="B2258" s="96">
        <v>46435</v>
      </c>
      <c r="C2258" s="52" t="s">
        <v>46</v>
      </c>
      <c r="D2258" s="53" t="s">
        <v>38</v>
      </c>
      <c r="E2258" s="53"/>
      <c r="F2258" s="54"/>
      <c r="G2258" s="53"/>
      <c r="H2258" s="53">
        <v>0</v>
      </c>
      <c r="I2258" s="53">
        <v>0</v>
      </c>
      <c r="J2258" s="53">
        <v>0</v>
      </c>
      <c r="K2258" s="55"/>
      <c r="L2258" s="55">
        <f t="shared" si="149"/>
        <v>0</v>
      </c>
      <c r="M2258" s="55">
        <v>0</v>
      </c>
      <c r="N2258" s="101">
        <f t="shared" si="150"/>
        <v>0</v>
      </c>
      <c r="O2258" s="57"/>
      <c r="P2258" s="145" t="str">
        <f t="shared" si="148"/>
        <v/>
      </c>
      <c r="Q2258" s="52">
        <f t="shared" si="151"/>
        <v>7</v>
      </c>
      <c r="R2258" s="8">
        <f t="shared" si="152"/>
        <v>2027</v>
      </c>
    </row>
    <row r="2259" spans="1:18" hidden="1" x14ac:dyDescent="0.25">
      <c r="A2259" s="224"/>
      <c r="B2259" s="96">
        <v>46436</v>
      </c>
      <c r="C2259" s="52" t="s">
        <v>50</v>
      </c>
      <c r="D2259" s="53" t="s">
        <v>38</v>
      </c>
      <c r="E2259" s="53"/>
      <c r="F2259" s="54"/>
      <c r="G2259" s="53"/>
      <c r="H2259" s="53">
        <v>0</v>
      </c>
      <c r="I2259" s="53">
        <v>0</v>
      </c>
      <c r="J2259" s="53">
        <v>0</v>
      </c>
      <c r="K2259" s="55"/>
      <c r="L2259" s="55">
        <f t="shared" si="149"/>
        <v>0</v>
      </c>
      <c r="M2259" s="55">
        <v>0</v>
      </c>
      <c r="N2259" s="101">
        <f t="shared" si="150"/>
        <v>0</v>
      </c>
      <c r="O2259" s="57"/>
      <c r="P2259" s="145" t="str">
        <f t="shared" si="148"/>
        <v/>
      </c>
      <c r="Q2259" s="52">
        <f t="shared" si="151"/>
        <v>7</v>
      </c>
      <c r="R2259" s="8">
        <f t="shared" si="152"/>
        <v>2027</v>
      </c>
    </row>
    <row r="2260" spans="1:18" hidden="1" x14ac:dyDescent="0.25">
      <c r="A2260" s="224"/>
      <c r="B2260" s="96">
        <v>46437</v>
      </c>
      <c r="C2260" s="52" t="s">
        <v>53</v>
      </c>
      <c r="D2260" s="53" t="s">
        <v>38</v>
      </c>
      <c r="E2260" s="53"/>
      <c r="F2260" s="54"/>
      <c r="G2260" s="53"/>
      <c r="H2260" s="53">
        <v>0</v>
      </c>
      <c r="I2260" s="53">
        <v>0</v>
      </c>
      <c r="J2260" s="53">
        <v>0</v>
      </c>
      <c r="K2260" s="55"/>
      <c r="L2260" s="55">
        <f t="shared" si="149"/>
        <v>0</v>
      </c>
      <c r="M2260" s="55">
        <v>0</v>
      </c>
      <c r="N2260" s="101">
        <f t="shared" si="150"/>
        <v>0</v>
      </c>
      <c r="O2260" s="57"/>
      <c r="P2260" s="145" t="str">
        <f t="shared" si="148"/>
        <v/>
      </c>
      <c r="Q2260" s="52">
        <f t="shared" si="151"/>
        <v>7</v>
      </c>
      <c r="R2260" s="8">
        <f t="shared" si="152"/>
        <v>2027</v>
      </c>
    </row>
    <row r="2261" spans="1:18" hidden="1" x14ac:dyDescent="0.25">
      <c r="A2261" s="224"/>
      <c r="B2261" s="97">
        <v>46438</v>
      </c>
      <c r="C2261" s="58" t="s">
        <v>57</v>
      </c>
      <c r="D2261" s="60" t="s">
        <v>38</v>
      </c>
      <c r="E2261" s="60"/>
      <c r="F2261" s="61"/>
      <c r="G2261" s="60"/>
      <c r="H2261" s="60">
        <v>0</v>
      </c>
      <c r="I2261" s="60">
        <v>0</v>
      </c>
      <c r="J2261" s="60">
        <v>0</v>
      </c>
      <c r="K2261" s="62"/>
      <c r="L2261" s="62">
        <f t="shared" si="149"/>
        <v>0</v>
      </c>
      <c r="M2261" s="62">
        <v>0</v>
      </c>
      <c r="N2261" s="102">
        <f t="shared" si="150"/>
        <v>0</v>
      </c>
      <c r="O2261" s="64"/>
      <c r="P2261" s="145" t="str">
        <f t="shared" si="148"/>
        <v/>
      </c>
      <c r="Q2261" s="52">
        <f t="shared" si="151"/>
        <v>7</v>
      </c>
      <c r="R2261" s="8">
        <f t="shared" si="152"/>
        <v>2027</v>
      </c>
    </row>
    <row r="2262" spans="1:18" ht="15.75" hidden="1" thickBot="1" x14ac:dyDescent="0.3">
      <c r="A2262" s="225"/>
      <c r="B2262" s="98">
        <v>46439</v>
      </c>
      <c r="C2262" s="66" t="s">
        <v>59</v>
      </c>
      <c r="D2262" s="67" t="s">
        <v>38</v>
      </c>
      <c r="E2262" s="67"/>
      <c r="F2262" s="68"/>
      <c r="G2262" s="67"/>
      <c r="H2262" s="67">
        <v>0</v>
      </c>
      <c r="I2262" s="67">
        <v>0</v>
      </c>
      <c r="J2262" s="67">
        <v>0</v>
      </c>
      <c r="K2262" s="69"/>
      <c r="L2262" s="69">
        <f t="shared" si="149"/>
        <v>0</v>
      </c>
      <c r="M2262" s="69">
        <v>0</v>
      </c>
      <c r="N2262" s="103">
        <f t="shared" si="150"/>
        <v>0</v>
      </c>
      <c r="O2262" s="71"/>
      <c r="P2262" s="145" t="str">
        <f t="shared" si="148"/>
        <v/>
      </c>
      <c r="Q2262" s="52">
        <f t="shared" si="151"/>
        <v>7</v>
      </c>
      <c r="R2262" s="8">
        <f t="shared" si="152"/>
        <v>2027</v>
      </c>
    </row>
    <row r="2263" spans="1:18" hidden="1" x14ac:dyDescent="0.25">
      <c r="A2263" s="223">
        <f>_xlfn.ISOWEEKNUM(B2263)</f>
        <v>8</v>
      </c>
      <c r="B2263" s="96">
        <v>46440</v>
      </c>
      <c r="C2263" s="72" t="s">
        <v>37</v>
      </c>
      <c r="D2263" s="41" t="s">
        <v>38</v>
      </c>
      <c r="E2263" s="41"/>
      <c r="F2263" s="43"/>
      <c r="G2263" s="41"/>
      <c r="H2263" s="41">
        <v>0</v>
      </c>
      <c r="I2263" s="41">
        <v>0</v>
      </c>
      <c r="J2263" s="41">
        <v>0</v>
      </c>
      <c r="K2263" s="73"/>
      <c r="L2263" s="73">
        <f t="shared" si="149"/>
        <v>0</v>
      </c>
      <c r="M2263" s="73">
        <v>0</v>
      </c>
      <c r="N2263" s="105">
        <f t="shared" si="150"/>
        <v>0</v>
      </c>
      <c r="O2263" s="46"/>
      <c r="P2263" s="145" t="str">
        <f t="shared" si="148"/>
        <v/>
      </c>
      <c r="Q2263" s="52">
        <f t="shared" si="151"/>
        <v>8</v>
      </c>
      <c r="R2263" s="8">
        <f t="shared" si="152"/>
        <v>2027</v>
      </c>
    </row>
    <row r="2264" spans="1:18" hidden="1" x14ac:dyDescent="0.25">
      <c r="A2264" s="224"/>
      <c r="B2264" s="96">
        <v>46441</v>
      </c>
      <c r="C2264" s="52" t="s">
        <v>42</v>
      </c>
      <c r="D2264" s="53" t="s">
        <v>38</v>
      </c>
      <c r="E2264" s="53"/>
      <c r="F2264" s="54"/>
      <c r="G2264" s="53"/>
      <c r="H2264" s="53">
        <v>0</v>
      </c>
      <c r="I2264" s="53">
        <v>0</v>
      </c>
      <c r="J2264" s="53">
        <v>0</v>
      </c>
      <c r="K2264" s="55"/>
      <c r="L2264" s="55">
        <f t="shared" si="149"/>
        <v>0</v>
      </c>
      <c r="M2264" s="55">
        <v>0</v>
      </c>
      <c r="N2264" s="101">
        <f t="shared" si="150"/>
        <v>0</v>
      </c>
      <c r="O2264" s="57"/>
      <c r="P2264" s="145" t="str">
        <f t="shared" si="148"/>
        <v/>
      </c>
      <c r="Q2264" s="52">
        <f t="shared" si="151"/>
        <v>8</v>
      </c>
      <c r="R2264" s="8">
        <f t="shared" si="152"/>
        <v>2027</v>
      </c>
    </row>
    <row r="2265" spans="1:18" hidden="1" x14ac:dyDescent="0.25">
      <c r="A2265" s="224"/>
      <c r="B2265" s="96">
        <v>46442</v>
      </c>
      <c r="C2265" s="52" t="s">
        <v>46</v>
      </c>
      <c r="D2265" s="53" t="s">
        <v>38</v>
      </c>
      <c r="E2265" s="53"/>
      <c r="F2265" s="54"/>
      <c r="G2265" s="53"/>
      <c r="H2265" s="53">
        <v>0</v>
      </c>
      <c r="I2265" s="53">
        <v>0</v>
      </c>
      <c r="J2265" s="53">
        <v>0</v>
      </c>
      <c r="K2265" s="55"/>
      <c r="L2265" s="55">
        <f t="shared" si="149"/>
        <v>0</v>
      </c>
      <c r="M2265" s="55">
        <v>0</v>
      </c>
      <c r="N2265" s="101">
        <f t="shared" si="150"/>
        <v>0</v>
      </c>
      <c r="O2265" s="57"/>
      <c r="P2265" s="145" t="str">
        <f t="shared" si="148"/>
        <v/>
      </c>
      <c r="Q2265" s="52">
        <f t="shared" si="151"/>
        <v>8</v>
      </c>
      <c r="R2265" s="8">
        <f t="shared" si="152"/>
        <v>2027</v>
      </c>
    </row>
    <row r="2266" spans="1:18" hidden="1" x14ac:dyDescent="0.25">
      <c r="A2266" s="224"/>
      <c r="B2266" s="96">
        <v>46443</v>
      </c>
      <c r="C2266" s="52" t="s">
        <v>50</v>
      </c>
      <c r="D2266" s="53" t="s">
        <v>38</v>
      </c>
      <c r="E2266" s="53"/>
      <c r="F2266" s="54"/>
      <c r="G2266" s="53"/>
      <c r="H2266" s="53">
        <v>0</v>
      </c>
      <c r="I2266" s="53">
        <v>0</v>
      </c>
      <c r="J2266" s="53">
        <v>0</v>
      </c>
      <c r="K2266" s="55"/>
      <c r="L2266" s="55">
        <f t="shared" si="149"/>
        <v>0</v>
      </c>
      <c r="M2266" s="55">
        <v>0</v>
      </c>
      <c r="N2266" s="101">
        <f t="shared" si="150"/>
        <v>0</v>
      </c>
      <c r="O2266" s="57"/>
      <c r="P2266" s="145" t="str">
        <f t="shared" si="148"/>
        <v/>
      </c>
      <c r="Q2266" s="52">
        <f t="shared" si="151"/>
        <v>8</v>
      </c>
      <c r="R2266" s="8">
        <f t="shared" si="152"/>
        <v>2027</v>
      </c>
    </row>
    <row r="2267" spans="1:18" hidden="1" x14ac:dyDescent="0.25">
      <c r="A2267" s="224"/>
      <c r="B2267" s="96">
        <v>46444</v>
      </c>
      <c r="C2267" s="52" t="s">
        <v>53</v>
      </c>
      <c r="D2267" s="53" t="s">
        <v>38</v>
      </c>
      <c r="E2267" s="53"/>
      <c r="F2267" s="54"/>
      <c r="G2267" s="53"/>
      <c r="H2267" s="53">
        <v>0</v>
      </c>
      <c r="I2267" s="53">
        <v>0</v>
      </c>
      <c r="J2267" s="53">
        <v>0</v>
      </c>
      <c r="K2267" s="55"/>
      <c r="L2267" s="55">
        <f t="shared" si="149"/>
        <v>0</v>
      </c>
      <c r="M2267" s="55">
        <v>0</v>
      </c>
      <c r="N2267" s="101">
        <f t="shared" si="150"/>
        <v>0</v>
      </c>
      <c r="O2267" s="57"/>
      <c r="P2267" s="145" t="str">
        <f t="shared" si="148"/>
        <v/>
      </c>
      <c r="Q2267" s="52">
        <f t="shared" si="151"/>
        <v>8</v>
      </c>
      <c r="R2267" s="8">
        <f t="shared" si="152"/>
        <v>2027</v>
      </c>
    </row>
    <row r="2268" spans="1:18" hidden="1" x14ac:dyDescent="0.25">
      <c r="A2268" s="224"/>
      <c r="B2268" s="97">
        <v>46445</v>
      </c>
      <c r="C2268" s="58" t="s">
        <v>57</v>
      </c>
      <c r="D2268" s="60" t="s">
        <v>38</v>
      </c>
      <c r="E2268" s="60"/>
      <c r="F2268" s="61"/>
      <c r="G2268" s="60"/>
      <c r="H2268" s="60">
        <v>0</v>
      </c>
      <c r="I2268" s="60">
        <v>0</v>
      </c>
      <c r="J2268" s="60">
        <v>0</v>
      </c>
      <c r="K2268" s="62"/>
      <c r="L2268" s="62">
        <f t="shared" si="149"/>
        <v>0</v>
      </c>
      <c r="M2268" s="62">
        <v>0</v>
      </c>
      <c r="N2268" s="102">
        <f t="shared" si="150"/>
        <v>0</v>
      </c>
      <c r="O2268" s="64"/>
      <c r="P2268" s="145" t="str">
        <f t="shared" si="148"/>
        <v/>
      </c>
      <c r="Q2268" s="52">
        <f t="shared" si="151"/>
        <v>8</v>
      </c>
      <c r="R2268" s="8">
        <f t="shared" si="152"/>
        <v>2027</v>
      </c>
    </row>
    <row r="2269" spans="1:18" ht="15.75" hidden="1" thickBot="1" x14ac:dyDescent="0.3">
      <c r="A2269" s="225"/>
      <c r="B2269" s="98">
        <v>46446</v>
      </c>
      <c r="C2269" s="66" t="s">
        <v>59</v>
      </c>
      <c r="D2269" s="67" t="s">
        <v>38</v>
      </c>
      <c r="E2269" s="67"/>
      <c r="F2269" s="68"/>
      <c r="G2269" s="67"/>
      <c r="H2269" s="67">
        <v>0</v>
      </c>
      <c r="I2269" s="67">
        <v>0</v>
      </c>
      <c r="J2269" s="67">
        <v>0</v>
      </c>
      <c r="K2269" s="69"/>
      <c r="L2269" s="69">
        <f t="shared" si="149"/>
        <v>0</v>
      </c>
      <c r="M2269" s="69">
        <v>0</v>
      </c>
      <c r="N2269" s="103">
        <f t="shared" si="150"/>
        <v>0</v>
      </c>
      <c r="O2269" s="71"/>
      <c r="P2269" s="145" t="str">
        <f t="shared" si="148"/>
        <v/>
      </c>
      <c r="Q2269" s="52">
        <f t="shared" si="151"/>
        <v>8</v>
      </c>
      <c r="R2269" s="8">
        <f t="shared" si="152"/>
        <v>2027</v>
      </c>
    </row>
    <row r="2270" spans="1:18" hidden="1" x14ac:dyDescent="0.25">
      <c r="A2270" s="223">
        <f>_xlfn.ISOWEEKNUM(B2270)</f>
        <v>9</v>
      </c>
      <c r="B2270" s="96">
        <v>46447</v>
      </c>
      <c r="C2270" s="72" t="s">
        <v>37</v>
      </c>
      <c r="D2270" s="41" t="s">
        <v>38</v>
      </c>
      <c r="E2270" s="41"/>
      <c r="F2270" s="43"/>
      <c r="G2270" s="41"/>
      <c r="H2270" s="41">
        <v>0</v>
      </c>
      <c r="I2270" s="41">
        <v>0</v>
      </c>
      <c r="J2270" s="41">
        <v>0</v>
      </c>
      <c r="K2270" s="73"/>
      <c r="L2270" s="73">
        <f t="shared" si="149"/>
        <v>0</v>
      </c>
      <c r="M2270" s="73">
        <v>0</v>
      </c>
      <c r="N2270" s="105">
        <f t="shared" si="150"/>
        <v>0</v>
      </c>
      <c r="O2270" s="46"/>
      <c r="P2270" s="145" t="str">
        <f t="shared" si="148"/>
        <v/>
      </c>
      <c r="Q2270" s="52">
        <f t="shared" si="151"/>
        <v>9</v>
      </c>
      <c r="R2270" s="8">
        <f t="shared" si="152"/>
        <v>2027</v>
      </c>
    </row>
    <row r="2271" spans="1:18" hidden="1" x14ac:dyDescent="0.25">
      <c r="A2271" s="224"/>
      <c r="B2271" s="96">
        <v>46448</v>
      </c>
      <c r="C2271" s="52" t="s">
        <v>42</v>
      </c>
      <c r="D2271" s="53" t="s">
        <v>38</v>
      </c>
      <c r="E2271" s="53"/>
      <c r="F2271" s="54"/>
      <c r="G2271" s="53"/>
      <c r="H2271" s="53">
        <v>0</v>
      </c>
      <c r="I2271" s="53">
        <v>0</v>
      </c>
      <c r="J2271" s="53">
        <v>0</v>
      </c>
      <c r="K2271" s="55"/>
      <c r="L2271" s="55">
        <f t="shared" si="149"/>
        <v>0</v>
      </c>
      <c r="M2271" s="55">
        <v>0</v>
      </c>
      <c r="N2271" s="101">
        <f t="shared" si="150"/>
        <v>0</v>
      </c>
      <c r="O2271" s="57"/>
      <c r="P2271" s="145" t="str">
        <f t="shared" si="148"/>
        <v/>
      </c>
      <c r="Q2271" s="52">
        <f t="shared" si="151"/>
        <v>9</v>
      </c>
      <c r="R2271" s="8">
        <f t="shared" si="152"/>
        <v>2027</v>
      </c>
    </row>
    <row r="2272" spans="1:18" hidden="1" x14ac:dyDescent="0.25">
      <c r="A2272" s="224"/>
      <c r="B2272" s="96">
        <v>46449</v>
      </c>
      <c r="C2272" s="52" t="s">
        <v>46</v>
      </c>
      <c r="D2272" s="53" t="s">
        <v>38</v>
      </c>
      <c r="E2272" s="53"/>
      <c r="F2272" s="54"/>
      <c r="G2272" s="53"/>
      <c r="H2272" s="53">
        <v>0</v>
      </c>
      <c r="I2272" s="53">
        <v>0</v>
      </c>
      <c r="J2272" s="53">
        <v>0</v>
      </c>
      <c r="K2272" s="55"/>
      <c r="L2272" s="55">
        <f t="shared" si="149"/>
        <v>0</v>
      </c>
      <c r="M2272" s="55">
        <v>0</v>
      </c>
      <c r="N2272" s="101">
        <f t="shared" si="150"/>
        <v>0</v>
      </c>
      <c r="O2272" s="57"/>
      <c r="P2272" s="145" t="str">
        <f t="shared" si="148"/>
        <v/>
      </c>
      <c r="Q2272" s="52">
        <f t="shared" si="151"/>
        <v>9</v>
      </c>
      <c r="R2272" s="8">
        <f t="shared" si="152"/>
        <v>2027</v>
      </c>
    </row>
    <row r="2273" spans="1:18" hidden="1" x14ac:dyDescent="0.25">
      <c r="A2273" s="224"/>
      <c r="B2273" s="96">
        <v>46450</v>
      </c>
      <c r="C2273" s="52" t="s">
        <v>50</v>
      </c>
      <c r="D2273" s="53" t="s">
        <v>38</v>
      </c>
      <c r="E2273" s="53"/>
      <c r="F2273" s="54"/>
      <c r="G2273" s="53"/>
      <c r="H2273" s="53">
        <v>0</v>
      </c>
      <c r="I2273" s="53">
        <v>0</v>
      </c>
      <c r="J2273" s="53">
        <v>0</v>
      </c>
      <c r="K2273" s="55"/>
      <c r="L2273" s="55">
        <f t="shared" si="149"/>
        <v>0</v>
      </c>
      <c r="M2273" s="55">
        <v>0</v>
      </c>
      <c r="N2273" s="101">
        <f t="shared" si="150"/>
        <v>0</v>
      </c>
      <c r="O2273" s="57"/>
      <c r="P2273" s="145" t="str">
        <f t="shared" si="148"/>
        <v/>
      </c>
      <c r="Q2273" s="52">
        <f t="shared" si="151"/>
        <v>9</v>
      </c>
      <c r="R2273" s="8">
        <f t="shared" si="152"/>
        <v>2027</v>
      </c>
    </row>
    <row r="2274" spans="1:18" hidden="1" x14ac:dyDescent="0.25">
      <c r="A2274" s="224"/>
      <c r="B2274" s="96">
        <v>46451</v>
      </c>
      <c r="C2274" s="52" t="s">
        <v>53</v>
      </c>
      <c r="D2274" s="53" t="s">
        <v>38</v>
      </c>
      <c r="E2274" s="53"/>
      <c r="F2274" s="54"/>
      <c r="G2274" s="53"/>
      <c r="H2274" s="53">
        <v>0</v>
      </c>
      <c r="I2274" s="53">
        <v>0</v>
      </c>
      <c r="J2274" s="53">
        <v>0</v>
      </c>
      <c r="K2274" s="55"/>
      <c r="L2274" s="55">
        <f t="shared" si="149"/>
        <v>0</v>
      </c>
      <c r="M2274" s="55">
        <v>0</v>
      </c>
      <c r="N2274" s="101">
        <f t="shared" si="150"/>
        <v>0</v>
      </c>
      <c r="O2274" s="57"/>
      <c r="P2274" s="145" t="str">
        <f t="shared" si="148"/>
        <v/>
      </c>
      <c r="Q2274" s="52">
        <f t="shared" si="151"/>
        <v>9</v>
      </c>
      <c r="R2274" s="8">
        <f t="shared" si="152"/>
        <v>2027</v>
      </c>
    </row>
    <row r="2275" spans="1:18" hidden="1" x14ac:dyDescent="0.25">
      <c r="A2275" s="224"/>
      <c r="B2275" s="97">
        <v>46452</v>
      </c>
      <c r="C2275" s="58" t="s">
        <v>57</v>
      </c>
      <c r="D2275" s="60" t="s">
        <v>38</v>
      </c>
      <c r="E2275" s="60"/>
      <c r="F2275" s="61"/>
      <c r="G2275" s="60"/>
      <c r="H2275" s="60">
        <v>0</v>
      </c>
      <c r="I2275" s="60">
        <v>0</v>
      </c>
      <c r="J2275" s="60">
        <v>0</v>
      </c>
      <c r="K2275" s="62"/>
      <c r="L2275" s="62">
        <f t="shared" si="149"/>
        <v>0</v>
      </c>
      <c r="M2275" s="62">
        <v>0</v>
      </c>
      <c r="N2275" s="102">
        <f t="shared" si="150"/>
        <v>0</v>
      </c>
      <c r="O2275" s="64"/>
      <c r="P2275" s="145" t="str">
        <f t="shared" si="148"/>
        <v/>
      </c>
      <c r="Q2275" s="52">
        <f t="shared" si="151"/>
        <v>9</v>
      </c>
      <c r="R2275" s="8">
        <f t="shared" si="152"/>
        <v>2027</v>
      </c>
    </row>
    <row r="2276" spans="1:18" ht="15.75" hidden="1" thickBot="1" x14ac:dyDescent="0.3">
      <c r="A2276" s="225"/>
      <c r="B2276" s="98">
        <v>46453</v>
      </c>
      <c r="C2276" s="66" t="s">
        <v>59</v>
      </c>
      <c r="D2276" s="67" t="s">
        <v>38</v>
      </c>
      <c r="E2276" s="67"/>
      <c r="F2276" s="68"/>
      <c r="G2276" s="67"/>
      <c r="H2276" s="67">
        <v>0</v>
      </c>
      <c r="I2276" s="67">
        <v>0</v>
      </c>
      <c r="J2276" s="67">
        <v>0</v>
      </c>
      <c r="K2276" s="69"/>
      <c r="L2276" s="69">
        <f t="shared" si="149"/>
        <v>0</v>
      </c>
      <c r="M2276" s="69">
        <v>0</v>
      </c>
      <c r="N2276" s="103">
        <f t="shared" si="150"/>
        <v>0</v>
      </c>
      <c r="O2276" s="71"/>
      <c r="P2276" s="145" t="str">
        <f t="shared" si="148"/>
        <v/>
      </c>
      <c r="Q2276" s="52">
        <f t="shared" si="151"/>
        <v>9</v>
      </c>
      <c r="R2276" s="8">
        <f t="shared" si="152"/>
        <v>2027</v>
      </c>
    </row>
    <row r="2277" spans="1:18" hidden="1" x14ac:dyDescent="0.25">
      <c r="A2277" s="223">
        <f>_xlfn.ISOWEEKNUM(B2277)</f>
        <v>10</v>
      </c>
      <c r="B2277" s="96">
        <v>46454</v>
      </c>
      <c r="C2277" s="72" t="s">
        <v>37</v>
      </c>
      <c r="D2277" s="41" t="s">
        <v>38</v>
      </c>
      <c r="E2277" s="41"/>
      <c r="F2277" s="43"/>
      <c r="G2277" s="41"/>
      <c r="H2277" s="41">
        <v>0</v>
      </c>
      <c r="I2277" s="41">
        <v>0</v>
      </c>
      <c r="J2277" s="41">
        <v>0</v>
      </c>
      <c r="K2277" s="73"/>
      <c r="L2277" s="73">
        <f t="shared" si="149"/>
        <v>0</v>
      </c>
      <c r="M2277" s="73">
        <v>0</v>
      </c>
      <c r="N2277" s="105">
        <f t="shared" si="150"/>
        <v>0</v>
      </c>
      <c r="O2277" s="46"/>
      <c r="P2277" s="145" t="str">
        <f t="shared" si="148"/>
        <v/>
      </c>
      <c r="Q2277" s="52">
        <f t="shared" si="151"/>
        <v>10</v>
      </c>
      <c r="R2277" s="8">
        <f t="shared" si="152"/>
        <v>2027</v>
      </c>
    </row>
    <row r="2278" spans="1:18" hidden="1" x14ac:dyDescent="0.25">
      <c r="A2278" s="224"/>
      <c r="B2278" s="96">
        <v>46455</v>
      </c>
      <c r="C2278" s="52" t="s">
        <v>42</v>
      </c>
      <c r="D2278" s="53" t="s">
        <v>38</v>
      </c>
      <c r="E2278" s="53"/>
      <c r="F2278" s="54"/>
      <c r="G2278" s="53"/>
      <c r="H2278" s="53">
        <v>0</v>
      </c>
      <c r="I2278" s="53">
        <v>0</v>
      </c>
      <c r="J2278" s="53">
        <v>0</v>
      </c>
      <c r="K2278" s="55"/>
      <c r="L2278" s="55">
        <f t="shared" si="149"/>
        <v>0</v>
      </c>
      <c r="M2278" s="55">
        <v>0</v>
      </c>
      <c r="N2278" s="101">
        <f t="shared" si="150"/>
        <v>0</v>
      </c>
      <c r="O2278" s="57"/>
      <c r="P2278" s="145" t="str">
        <f t="shared" si="148"/>
        <v/>
      </c>
      <c r="Q2278" s="52">
        <f t="shared" si="151"/>
        <v>10</v>
      </c>
      <c r="R2278" s="8">
        <f t="shared" si="152"/>
        <v>2027</v>
      </c>
    </row>
    <row r="2279" spans="1:18" hidden="1" x14ac:dyDescent="0.25">
      <c r="A2279" s="224"/>
      <c r="B2279" s="96">
        <v>46456</v>
      </c>
      <c r="C2279" s="52" t="s">
        <v>46</v>
      </c>
      <c r="D2279" s="53" t="s">
        <v>38</v>
      </c>
      <c r="E2279" s="53"/>
      <c r="F2279" s="54"/>
      <c r="G2279" s="53"/>
      <c r="H2279" s="53">
        <v>0</v>
      </c>
      <c r="I2279" s="53">
        <v>0</v>
      </c>
      <c r="J2279" s="53">
        <v>0</v>
      </c>
      <c r="K2279" s="55"/>
      <c r="L2279" s="55">
        <f t="shared" si="149"/>
        <v>0</v>
      </c>
      <c r="M2279" s="55">
        <v>0</v>
      </c>
      <c r="N2279" s="101">
        <f t="shared" si="150"/>
        <v>0</v>
      </c>
      <c r="O2279" s="57"/>
      <c r="P2279" s="145" t="str">
        <f t="shared" si="148"/>
        <v/>
      </c>
      <c r="Q2279" s="52">
        <f t="shared" si="151"/>
        <v>10</v>
      </c>
      <c r="R2279" s="8">
        <f t="shared" si="152"/>
        <v>2027</v>
      </c>
    </row>
    <row r="2280" spans="1:18" hidden="1" x14ac:dyDescent="0.25">
      <c r="A2280" s="224"/>
      <c r="B2280" s="96">
        <v>46457</v>
      </c>
      <c r="C2280" s="52" t="s">
        <v>50</v>
      </c>
      <c r="D2280" s="53" t="s">
        <v>38</v>
      </c>
      <c r="E2280" s="53"/>
      <c r="F2280" s="54"/>
      <c r="G2280" s="53"/>
      <c r="H2280" s="53">
        <v>0</v>
      </c>
      <c r="I2280" s="53">
        <v>0</v>
      </c>
      <c r="J2280" s="53">
        <v>0</v>
      </c>
      <c r="K2280" s="55"/>
      <c r="L2280" s="55">
        <f t="shared" si="149"/>
        <v>0</v>
      </c>
      <c r="M2280" s="55">
        <v>0</v>
      </c>
      <c r="N2280" s="101">
        <f t="shared" si="150"/>
        <v>0</v>
      </c>
      <c r="O2280" s="57"/>
      <c r="P2280" s="145" t="str">
        <f t="shared" si="148"/>
        <v/>
      </c>
      <c r="Q2280" s="52">
        <f t="shared" si="151"/>
        <v>10</v>
      </c>
      <c r="R2280" s="8">
        <f t="shared" si="152"/>
        <v>2027</v>
      </c>
    </row>
    <row r="2281" spans="1:18" hidden="1" x14ac:dyDescent="0.25">
      <c r="A2281" s="224"/>
      <c r="B2281" s="96">
        <v>46458</v>
      </c>
      <c r="C2281" s="52" t="s">
        <v>53</v>
      </c>
      <c r="D2281" s="53" t="s">
        <v>38</v>
      </c>
      <c r="E2281" s="53"/>
      <c r="F2281" s="54"/>
      <c r="G2281" s="53"/>
      <c r="H2281" s="53">
        <v>0</v>
      </c>
      <c r="I2281" s="53">
        <v>0</v>
      </c>
      <c r="J2281" s="53">
        <v>0</v>
      </c>
      <c r="K2281" s="55"/>
      <c r="L2281" s="55">
        <f t="shared" si="149"/>
        <v>0</v>
      </c>
      <c r="M2281" s="55">
        <v>0</v>
      </c>
      <c r="N2281" s="101">
        <f t="shared" si="150"/>
        <v>0</v>
      </c>
      <c r="O2281" s="57"/>
      <c r="P2281" s="145" t="str">
        <f t="shared" si="148"/>
        <v/>
      </c>
      <c r="Q2281" s="52">
        <f t="shared" si="151"/>
        <v>10</v>
      </c>
      <c r="R2281" s="8">
        <f t="shared" si="152"/>
        <v>2027</v>
      </c>
    </row>
    <row r="2282" spans="1:18" hidden="1" x14ac:dyDescent="0.25">
      <c r="A2282" s="224"/>
      <c r="B2282" s="97">
        <v>46459</v>
      </c>
      <c r="C2282" s="58" t="s">
        <v>57</v>
      </c>
      <c r="D2282" s="60" t="s">
        <v>38</v>
      </c>
      <c r="E2282" s="60"/>
      <c r="F2282" s="61"/>
      <c r="G2282" s="60"/>
      <c r="H2282" s="60">
        <v>0</v>
      </c>
      <c r="I2282" s="60">
        <v>0</v>
      </c>
      <c r="J2282" s="60">
        <v>0</v>
      </c>
      <c r="K2282" s="62"/>
      <c r="L2282" s="62">
        <f t="shared" si="149"/>
        <v>0</v>
      </c>
      <c r="M2282" s="62">
        <v>0</v>
      </c>
      <c r="N2282" s="102">
        <f t="shared" si="150"/>
        <v>0</v>
      </c>
      <c r="O2282" s="64"/>
      <c r="P2282" s="145" t="str">
        <f t="shared" si="148"/>
        <v/>
      </c>
      <c r="Q2282" s="52">
        <f t="shared" si="151"/>
        <v>10</v>
      </c>
      <c r="R2282" s="8">
        <f t="shared" si="152"/>
        <v>2027</v>
      </c>
    </row>
    <row r="2283" spans="1:18" ht="15.75" hidden="1" thickBot="1" x14ac:dyDescent="0.3">
      <c r="A2283" s="225"/>
      <c r="B2283" s="98">
        <v>46460</v>
      </c>
      <c r="C2283" s="66" t="s">
        <v>59</v>
      </c>
      <c r="D2283" s="67" t="s">
        <v>38</v>
      </c>
      <c r="E2283" s="67"/>
      <c r="F2283" s="68"/>
      <c r="G2283" s="67"/>
      <c r="H2283" s="67">
        <v>0</v>
      </c>
      <c r="I2283" s="67">
        <v>0</v>
      </c>
      <c r="J2283" s="67">
        <v>0</v>
      </c>
      <c r="K2283" s="69"/>
      <c r="L2283" s="69">
        <f t="shared" si="149"/>
        <v>0</v>
      </c>
      <c r="M2283" s="69">
        <v>0</v>
      </c>
      <c r="N2283" s="103">
        <f t="shared" si="150"/>
        <v>0</v>
      </c>
      <c r="O2283" s="71"/>
      <c r="P2283" s="145" t="str">
        <f t="shared" si="148"/>
        <v/>
      </c>
      <c r="Q2283" s="52">
        <f t="shared" si="151"/>
        <v>10</v>
      </c>
      <c r="R2283" s="8">
        <f t="shared" si="152"/>
        <v>2027</v>
      </c>
    </row>
    <row r="2284" spans="1:18" hidden="1" x14ac:dyDescent="0.25">
      <c r="A2284" s="223">
        <f>_xlfn.ISOWEEKNUM(B2284)</f>
        <v>11</v>
      </c>
      <c r="B2284" s="96">
        <v>46461</v>
      </c>
      <c r="C2284" s="72" t="s">
        <v>37</v>
      </c>
      <c r="D2284" s="41" t="s">
        <v>38</v>
      </c>
      <c r="E2284" s="41"/>
      <c r="F2284" s="43"/>
      <c r="G2284" s="41"/>
      <c r="H2284" s="41">
        <v>0</v>
      </c>
      <c r="I2284" s="41">
        <v>0</v>
      </c>
      <c r="J2284" s="41">
        <v>0</v>
      </c>
      <c r="K2284" s="73"/>
      <c r="L2284" s="73">
        <f t="shared" si="149"/>
        <v>0</v>
      </c>
      <c r="M2284" s="73">
        <v>0</v>
      </c>
      <c r="N2284" s="105">
        <f t="shared" si="150"/>
        <v>0</v>
      </c>
      <c r="O2284" s="46"/>
      <c r="P2284" s="145" t="str">
        <f t="shared" si="148"/>
        <v/>
      </c>
      <c r="Q2284" s="52">
        <f t="shared" si="151"/>
        <v>11</v>
      </c>
      <c r="R2284" s="8">
        <f t="shared" si="152"/>
        <v>2027</v>
      </c>
    </row>
    <row r="2285" spans="1:18" hidden="1" x14ac:dyDescent="0.25">
      <c r="A2285" s="224"/>
      <c r="B2285" s="96">
        <v>46462</v>
      </c>
      <c r="C2285" s="52" t="s">
        <v>42</v>
      </c>
      <c r="D2285" s="53" t="s">
        <v>38</v>
      </c>
      <c r="E2285" s="53"/>
      <c r="F2285" s="54"/>
      <c r="G2285" s="53"/>
      <c r="H2285" s="53">
        <v>0</v>
      </c>
      <c r="I2285" s="53">
        <v>0</v>
      </c>
      <c r="J2285" s="53">
        <v>0</v>
      </c>
      <c r="K2285" s="55"/>
      <c r="L2285" s="55">
        <f t="shared" si="149"/>
        <v>0</v>
      </c>
      <c r="M2285" s="55">
        <v>0</v>
      </c>
      <c r="N2285" s="101">
        <f t="shared" si="150"/>
        <v>0</v>
      </c>
      <c r="O2285" s="57"/>
      <c r="P2285" s="145" t="str">
        <f t="shared" si="148"/>
        <v/>
      </c>
      <c r="Q2285" s="52">
        <f t="shared" si="151"/>
        <v>11</v>
      </c>
      <c r="R2285" s="8">
        <f t="shared" si="152"/>
        <v>2027</v>
      </c>
    </row>
    <row r="2286" spans="1:18" hidden="1" x14ac:dyDescent="0.25">
      <c r="A2286" s="224"/>
      <c r="B2286" s="96">
        <v>46463</v>
      </c>
      <c r="C2286" s="52" t="s">
        <v>46</v>
      </c>
      <c r="D2286" s="53" t="s">
        <v>38</v>
      </c>
      <c r="E2286" s="53"/>
      <c r="F2286" s="54"/>
      <c r="G2286" s="53"/>
      <c r="H2286" s="53">
        <v>0</v>
      </c>
      <c r="I2286" s="53">
        <v>0</v>
      </c>
      <c r="J2286" s="53">
        <v>0</v>
      </c>
      <c r="K2286" s="55"/>
      <c r="L2286" s="55">
        <f t="shared" si="149"/>
        <v>0</v>
      </c>
      <c r="M2286" s="55">
        <v>0</v>
      </c>
      <c r="N2286" s="101">
        <f t="shared" si="150"/>
        <v>0</v>
      </c>
      <c r="O2286" s="57"/>
      <c r="P2286" s="145" t="str">
        <f t="shared" si="148"/>
        <v/>
      </c>
      <c r="Q2286" s="52">
        <f t="shared" si="151"/>
        <v>11</v>
      </c>
      <c r="R2286" s="8">
        <f t="shared" si="152"/>
        <v>2027</v>
      </c>
    </row>
    <row r="2287" spans="1:18" hidden="1" x14ac:dyDescent="0.25">
      <c r="A2287" s="224"/>
      <c r="B2287" s="96">
        <v>46464</v>
      </c>
      <c r="C2287" s="52" t="s">
        <v>50</v>
      </c>
      <c r="D2287" s="53" t="s">
        <v>38</v>
      </c>
      <c r="E2287" s="53"/>
      <c r="F2287" s="54"/>
      <c r="G2287" s="53"/>
      <c r="H2287" s="53">
        <v>0</v>
      </c>
      <c r="I2287" s="53">
        <v>0</v>
      </c>
      <c r="J2287" s="53">
        <v>0</v>
      </c>
      <c r="K2287" s="55"/>
      <c r="L2287" s="55">
        <f t="shared" si="149"/>
        <v>0</v>
      </c>
      <c r="M2287" s="55">
        <v>0</v>
      </c>
      <c r="N2287" s="101">
        <f t="shared" si="150"/>
        <v>0</v>
      </c>
      <c r="O2287" s="57"/>
      <c r="P2287" s="145" t="str">
        <f t="shared" ref="P2287:P2350" si="153">E2287&amp;G2287</f>
        <v/>
      </c>
      <c r="Q2287" s="52">
        <f t="shared" si="151"/>
        <v>11</v>
      </c>
      <c r="R2287" s="8">
        <f t="shared" si="152"/>
        <v>2027</v>
      </c>
    </row>
    <row r="2288" spans="1:18" hidden="1" x14ac:dyDescent="0.25">
      <c r="A2288" s="224"/>
      <c r="B2288" s="96">
        <v>46465</v>
      </c>
      <c r="C2288" s="52" t="s">
        <v>53</v>
      </c>
      <c r="D2288" s="53" t="s">
        <v>38</v>
      </c>
      <c r="E2288" s="53"/>
      <c r="F2288" s="54"/>
      <c r="G2288" s="53"/>
      <c r="H2288" s="53">
        <v>0</v>
      </c>
      <c r="I2288" s="53">
        <v>0</v>
      </c>
      <c r="J2288" s="53">
        <v>0</v>
      </c>
      <c r="K2288" s="55"/>
      <c r="L2288" s="55">
        <f t="shared" si="149"/>
        <v>0</v>
      </c>
      <c r="M2288" s="55">
        <v>0</v>
      </c>
      <c r="N2288" s="101">
        <f t="shared" si="150"/>
        <v>0</v>
      </c>
      <c r="O2288" s="57"/>
      <c r="P2288" s="145" t="str">
        <f t="shared" si="153"/>
        <v/>
      </c>
      <c r="Q2288" s="52">
        <f t="shared" si="151"/>
        <v>11</v>
      </c>
      <c r="R2288" s="8">
        <f t="shared" si="152"/>
        <v>2027</v>
      </c>
    </row>
    <row r="2289" spans="1:18" hidden="1" x14ac:dyDescent="0.25">
      <c r="A2289" s="224"/>
      <c r="B2289" s="97">
        <v>46466</v>
      </c>
      <c r="C2289" s="58" t="s">
        <v>57</v>
      </c>
      <c r="D2289" s="60" t="s">
        <v>38</v>
      </c>
      <c r="E2289" s="60"/>
      <c r="F2289" s="61"/>
      <c r="G2289" s="60"/>
      <c r="H2289" s="60">
        <v>0</v>
      </c>
      <c r="I2289" s="60">
        <v>0</v>
      </c>
      <c r="J2289" s="60">
        <v>0</v>
      </c>
      <c r="K2289" s="62"/>
      <c r="L2289" s="62">
        <f t="shared" si="149"/>
        <v>0</v>
      </c>
      <c r="M2289" s="62">
        <v>0</v>
      </c>
      <c r="N2289" s="102">
        <f t="shared" si="150"/>
        <v>0</v>
      </c>
      <c r="O2289" s="64"/>
      <c r="P2289" s="145" t="str">
        <f t="shared" si="153"/>
        <v/>
      </c>
      <c r="Q2289" s="52">
        <f t="shared" si="151"/>
        <v>11</v>
      </c>
      <c r="R2289" s="8">
        <f t="shared" si="152"/>
        <v>2027</v>
      </c>
    </row>
    <row r="2290" spans="1:18" ht="15.75" hidden="1" thickBot="1" x14ac:dyDescent="0.3">
      <c r="A2290" s="225"/>
      <c r="B2290" s="98">
        <v>46467</v>
      </c>
      <c r="C2290" s="66" t="s">
        <v>59</v>
      </c>
      <c r="D2290" s="67" t="s">
        <v>38</v>
      </c>
      <c r="E2290" s="67"/>
      <c r="F2290" s="68"/>
      <c r="G2290" s="67"/>
      <c r="H2290" s="67">
        <v>0</v>
      </c>
      <c r="I2290" s="67">
        <v>0</v>
      </c>
      <c r="J2290" s="67">
        <v>0</v>
      </c>
      <c r="K2290" s="69"/>
      <c r="L2290" s="69">
        <f t="shared" si="149"/>
        <v>0</v>
      </c>
      <c r="M2290" s="69">
        <v>0</v>
      </c>
      <c r="N2290" s="103">
        <f t="shared" si="150"/>
        <v>0</v>
      </c>
      <c r="O2290" s="71"/>
      <c r="P2290" s="145" t="str">
        <f t="shared" si="153"/>
        <v/>
      </c>
      <c r="Q2290" s="52">
        <f t="shared" si="151"/>
        <v>11</v>
      </c>
      <c r="R2290" s="8">
        <f t="shared" si="152"/>
        <v>2027</v>
      </c>
    </row>
    <row r="2291" spans="1:18" hidden="1" x14ac:dyDescent="0.25">
      <c r="A2291" s="223">
        <f>_xlfn.ISOWEEKNUM(B2291)</f>
        <v>12</v>
      </c>
      <c r="B2291" s="96">
        <v>46468</v>
      </c>
      <c r="C2291" s="72" t="s">
        <v>37</v>
      </c>
      <c r="D2291" s="41" t="s">
        <v>38</v>
      </c>
      <c r="E2291" s="41"/>
      <c r="F2291" s="43"/>
      <c r="G2291" s="41"/>
      <c r="H2291" s="41">
        <v>0</v>
      </c>
      <c r="I2291" s="41">
        <v>0</v>
      </c>
      <c r="J2291" s="41">
        <v>0</v>
      </c>
      <c r="K2291" s="73"/>
      <c r="L2291" s="73">
        <f t="shared" si="149"/>
        <v>0</v>
      </c>
      <c r="M2291" s="73">
        <v>0</v>
      </c>
      <c r="N2291" s="105">
        <f t="shared" si="150"/>
        <v>0</v>
      </c>
      <c r="O2291" s="46"/>
      <c r="P2291" s="145" t="str">
        <f t="shared" si="153"/>
        <v/>
      </c>
      <c r="Q2291" s="52">
        <f t="shared" si="151"/>
        <v>12</v>
      </c>
      <c r="R2291" s="8">
        <f t="shared" si="152"/>
        <v>2027</v>
      </c>
    </row>
    <row r="2292" spans="1:18" hidden="1" x14ac:dyDescent="0.25">
      <c r="A2292" s="224"/>
      <c r="B2292" s="96">
        <v>46469</v>
      </c>
      <c r="C2292" s="52" t="s">
        <v>42</v>
      </c>
      <c r="D2292" s="53" t="s">
        <v>38</v>
      </c>
      <c r="E2292" s="53"/>
      <c r="F2292" s="54"/>
      <c r="G2292" s="53"/>
      <c r="H2292" s="53">
        <v>0</v>
      </c>
      <c r="I2292" s="53">
        <v>0</v>
      </c>
      <c r="J2292" s="53">
        <v>0</v>
      </c>
      <c r="K2292" s="55"/>
      <c r="L2292" s="55">
        <f t="shared" si="149"/>
        <v>0</v>
      </c>
      <c r="M2292" s="55">
        <v>0</v>
      </c>
      <c r="N2292" s="101">
        <f t="shared" si="150"/>
        <v>0</v>
      </c>
      <c r="O2292" s="57"/>
      <c r="P2292" s="145" t="str">
        <f t="shared" si="153"/>
        <v/>
      </c>
      <c r="Q2292" s="52">
        <f t="shared" si="151"/>
        <v>12</v>
      </c>
      <c r="R2292" s="8">
        <f t="shared" si="152"/>
        <v>2027</v>
      </c>
    </row>
    <row r="2293" spans="1:18" hidden="1" x14ac:dyDescent="0.25">
      <c r="A2293" s="224"/>
      <c r="B2293" s="96">
        <v>46470</v>
      </c>
      <c r="C2293" s="52" t="s">
        <v>46</v>
      </c>
      <c r="D2293" s="53" t="s">
        <v>38</v>
      </c>
      <c r="E2293" s="53"/>
      <c r="F2293" s="54"/>
      <c r="G2293" s="53"/>
      <c r="H2293" s="53">
        <v>0</v>
      </c>
      <c r="I2293" s="53">
        <v>0</v>
      </c>
      <c r="J2293" s="53">
        <v>0</v>
      </c>
      <c r="K2293" s="55"/>
      <c r="L2293" s="55">
        <f t="shared" si="149"/>
        <v>0</v>
      </c>
      <c r="M2293" s="55">
        <v>0</v>
      </c>
      <c r="N2293" s="101">
        <f t="shared" si="150"/>
        <v>0</v>
      </c>
      <c r="O2293" s="57"/>
      <c r="P2293" s="145" t="str">
        <f t="shared" si="153"/>
        <v/>
      </c>
      <c r="Q2293" s="52">
        <f t="shared" si="151"/>
        <v>12</v>
      </c>
      <c r="R2293" s="8">
        <f t="shared" si="152"/>
        <v>2027</v>
      </c>
    </row>
    <row r="2294" spans="1:18" hidden="1" x14ac:dyDescent="0.25">
      <c r="A2294" s="224"/>
      <c r="B2294" s="96">
        <v>46471</v>
      </c>
      <c r="C2294" s="52" t="s">
        <v>50</v>
      </c>
      <c r="D2294" s="53" t="s">
        <v>38</v>
      </c>
      <c r="E2294" s="53"/>
      <c r="F2294" s="54"/>
      <c r="G2294" s="53"/>
      <c r="H2294" s="53">
        <v>0</v>
      </c>
      <c r="I2294" s="53">
        <v>0</v>
      </c>
      <c r="J2294" s="53">
        <v>0</v>
      </c>
      <c r="K2294" s="55"/>
      <c r="L2294" s="55">
        <f t="shared" ref="L2294:L2357" si="154">+I2294*K2294</f>
        <v>0</v>
      </c>
      <c r="M2294" s="55">
        <v>0</v>
      </c>
      <c r="N2294" s="101">
        <f t="shared" ref="N2294:N2357" si="155">+L2294*(1-M2294)</f>
        <v>0</v>
      </c>
      <c r="O2294" s="57"/>
      <c r="P2294" s="145" t="str">
        <f t="shared" si="153"/>
        <v/>
      </c>
      <c r="Q2294" s="52">
        <f t="shared" si="151"/>
        <v>12</v>
      </c>
      <c r="R2294" s="8">
        <f t="shared" si="152"/>
        <v>2027</v>
      </c>
    </row>
    <row r="2295" spans="1:18" hidden="1" x14ac:dyDescent="0.25">
      <c r="A2295" s="224"/>
      <c r="B2295" s="96">
        <v>46472</v>
      </c>
      <c r="C2295" s="52" t="s">
        <v>53</v>
      </c>
      <c r="D2295" s="53" t="s">
        <v>38</v>
      </c>
      <c r="E2295" s="53"/>
      <c r="F2295" s="54"/>
      <c r="G2295" s="53"/>
      <c r="H2295" s="53">
        <v>0</v>
      </c>
      <c r="I2295" s="53">
        <v>0</v>
      </c>
      <c r="J2295" s="53">
        <v>0</v>
      </c>
      <c r="K2295" s="55"/>
      <c r="L2295" s="55">
        <f t="shared" si="154"/>
        <v>0</v>
      </c>
      <c r="M2295" s="55">
        <v>0</v>
      </c>
      <c r="N2295" s="101">
        <f t="shared" si="155"/>
        <v>0</v>
      </c>
      <c r="O2295" s="57"/>
      <c r="P2295" s="145" t="str">
        <f t="shared" si="153"/>
        <v/>
      </c>
      <c r="Q2295" s="52">
        <f t="shared" si="151"/>
        <v>12</v>
      </c>
      <c r="R2295" s="8">
        <f t="shared" si="152"/>
        <v>2027</v>
      </c>
    </row>
    <row r="2296" spans="1:18" hidden="1" x14ac:dyDescent="0.25">
      <c r="A2296" s="224"/>
      <c r="B2296" s="97">
        <v>46473</v>
      </c>
      <c r="C2296" s="58" t="s">
        <v>57</v>
      </c>
      <c r="D2296" s="60" t="s">
        <v>38</v>
      </c>
      <c r="E2296" s="60"/>
      <c r="F2296" s="61"/>
      <c r="G2296" s="60"/>
      <c r="H2296" s="60">
        <v>0</v>
      </c>
      <c r="I2296" s="60">
        <v>0</v>
      </c>
      <c r="J2296" s="60">
        <v>0</v>
      </c>
      <c r="K2296" s="62"/>
      <c r="L2296" s="62">
        <f t="shared" si="154"/>
        <v>0</v>
      </c>
      <c r="M2296" s="62">
        <v>0</v>
      </c>
      <c r="N2296" s="102">
        <f t="shared" si="155"/>
        <v>0</v>
      </c>
      <c r="O2296" s="64"/>
      <c r="P2296" s="145" t="str">
        <f t="shared" si="153"/>
        <v/>
      </c>
      <c r="Q2296" s="52">
        <f t="shared" si="151"/>
        <v>12</v>
      </c>
      <c r="R2296" s="8">
        <f t="shared" si="152"/>
        <v>2027</v>
      </c>
    </row>
    <row r="2297" spans="1:18" ht="15.75" hidden="1" thickBot="1" x14ac:dyDescent="0.3">
      <c r="A2297" s="225"/>
      <c r="B2297" s="98">
        <v>46474</v>
      </c>
      <c r="C2297" s="66" t="s">
        <v>59</v>
      </c>
      <c r="D2297" s="67" t="s">
        <v>38</v>
      </c>
      <c r="E2297" s="67"/>
      <c r="F2297" s="68"/>
      <c r="G2297" s="67"/>
      <c r="H2297" s="67">
        <v>0</v>
      </c>
      <c r="I2297" s="67">
        <v>0</v>
      </c>
      <c r="J2297" s="67">
        <v>0</v>
      </c>
      <c r="K2297" s="69"/>
      <c r="L2297" s="69">
        <f t="shared" si="154"/>
        <v>0</v>
      </c>
      <c r="M2297" s="69">
        <v>0</v>
      </c>
      <c r="N2297" s="103">
        <f t="shared" si="155"/>
        <v>0</v>
      </c>
      <c r="O2297" s="71"/>
      <c r="P2297" s="145" t="str">
        <f t="shared" si="153"/>
        <v/>
      </c>
      <c r="Q2297" s="52">
        <f t="shared" si="151"/>
        <v>12</v>
      </c>
      <c r="R2297" s="8">
        <f t="shared" si="152"/>
        <v>2027</v>
      </c>
    </row>
    <row r="2298" spans="1:18" hidden="1" x14ac:dyDescent="0.25">
      <c r="A2298" s="223">
        <f>_xlfn.ISOWEEKNUM(B2298)</f>
        <v>13</v>
      </c>
      <c r="B2298" s="96">
        <v>46475</v>
      </c>
      <c r="C2298" s="72" t="s">
        <v>37</v>
      </c>
      <c r="D2298" s="41" t="s">
        <v>38</v>
      </c>
      <c r="E2298" s="41"/>
      <c r="F2298" s="43"/>
      <c r="G2298" s="41"/>
      <c r="H2298" s="41">
        <v>0</v>
      </c>
      <c r="I2298" s="41">
        <v>0</v>
      </c>
      <c r="J2298" s="41">
        <v>0</v>
      </c>
      <c r="K2298" s="73"/>
      <c r="L2298" s="73">
        <f t="shared" si="154"/>
        <v>0</v>
      </c>
      <c r="M2298" s="73">
        <v>0</v>
      </c>
      <c r="N2298" s="105">
        <f t="shared" si="155"/>
        <v>0</v>
      </c>
      <c r="O2298" s="46"/>
      <c r="P2298" s="145" t="str">
        <f t="shared" si="153"/>
        <v/>
      </c>
      <c r="Q2298" s="52">
        <f t="shared" si="151"/>
        <v>13</v>
      </c>
      <c r="R2298" s="8">
        <f t="shared" si="152"/>
        <v>2027</v>
      </c>
    </row>
    <row r="2299" spans="1:18" hidden="1" x14ac:dyDescent="0.25">
      <c r="A2299" s="224"/>
      <c r="B2299" s="96">
        <v>46476</v>
      </c>
      <c r="C2299" s="52" t="s">
        <v>42</v>
      </c>
      <c r="D2299" s="53" t="s">
        <v>38</v>
      </c>
      <c r="E2299" s="53"/>
      <c r="F2299" s="54"/>
      <c r="G2299" s="53"/>
      <c r="H2299" s="53">
        <v>0</v>
      </c>
      <c r="I2299" s="53">
        <v>0</v>
      </c>
      <c r="J2299" s="53">
        <v>0</v>
      </c>
      <c r="K2299" s="55"/>
      <c r="L2299" s="55">
        <f t="shared" si="154"/>
        <v>0</v>
      </c>
      <c r="M2299" s="55">
        <v>0</v>
      </c>
      <c r="N2299" s="101">
        <f t="shared" si="155"/>
        <v>0</v>
      </c>
      <c r="O2299" s="57"/>
      <c r="P2299" s="145" t="str">
        <f t="shared" si="153"/>
        <v/>
      </c>
      <c r="Q2299" s="52">
        <f t="shared" si="151"/>
        <v>13</v>
      </c>
      <c r="R2299" s="8">
        <f t="shared" si="152"/>
        <v>2027</v>
      </c>
    </row>
    <row r="2300" spans="1:18" hidden="1" x14ac:dyDescent="0.25">
      <c r="A2300" s="224"/>
      <c r="B2300" s="96">
        <v>46477</v>
      </c>
      <c r="C2300" s="52" t="s">
        <v>46</v>
      </c>
      <c r="D2300" s="53" t="s">
        <v>38</v>
      </c>
      <c r="E2300" s="53"/>
      <c r="F2300" s="54"/>
      <c r="G2300" s="53"/>
      <c r="H2300" s="53">
        <v>0</v>
      </c>
      <c r="I2300" s="53">
        <v>0</v>
      </c>
      <c r="J2300" s="53">
        <v>0</v>
      </c>
      <c r="K2300" s="55"/>
      <c r="L2300" s="55">
        <f t="shared" si="154"/>
        <v>0</v>
      </c>
      <c r="M2300" s="55">
        <v>0</v>
      </c>
      <c r="N2300" s="101">
        <f t="shared" si="155"/>
        <v>0</v>
      </c>
      <c r="O2300" s="57"/>
      <c r="P2300" s="145" t="str">
        <f t="shared" si="153"/>
        <v/>
      </c>
      <c r="Q2300" s="52">
        <f t="shared" si="151"/>
        <v>13</v>
      </c>
      <c r="R2300" s="8">
        <f t="shared" si="152"/>
        <v>2027</v>
      </c>
    </row>
    <row r="2301" spans="1:18" hidden="1" x14ac:dyDescent="0.25">
      <c r="A2301" s="224"/>
      <c r="B2301" s="96">
        <v>46478</v>
      </c>
      <c r="C2301" s="52" t="s">
        <v>50</v>
      </c>
      <c r="D2301" s="53" t="s">
        <v>38</v>
      </c>
      <c r="E2301" s="53"/>
      <c r="F2301" s="54"/>
      <c r="G2301" s="53"/>
      <c r="H2301" s="53">
        <v>0</v>
      </c>
      <c r="I2301" s="53">
        <v>0</v>
      </c>
      <c r="J2301" s="53">
        <v>0</v>
      </c>
      <c r="K2301" s="55"/>
      <c r="L2301" s="55">
        <f t="shared" si="154"/>
        <v>0</v>
      </c>
      <c r="M2301" s="55">
        <v>0</v>
      </c>
      <c r="N2301" s="101">
        <f t="shared" si="155"/>
        <v>0</v>
      </c>
      <c r="O2301" s="57"/>
      <c r="P2301" s="145" t="str">
        <f t="shared" si="153"/>
        <v/>
      </c>
      <c r="Q2301" s="52">
        <f t="shared" si="151"/>
        <v>13</v>
      </c>
      <c r="R2301" s="8">
        <f t="shared" si="152"/>
        <v>2027</v>
      </c>
    </row>
    <row r="2302" spans="1:18" hidden="1" x14ac:dyDescent="0.25">
      <c r="A2302" s="224"/>
      <c r="B2302" s="96">
        <v>46479</v>
      </c>
      <c r="C2302" s="52" t="s">
        <v>53</v>
      </c>
      <c r="D2302" s="53" t="s">
        <v>38</v>
      </c>
      <c r="E2302" s="53"/>
      <c r="F2302" s="54"/>
      <c r="G2302" s="53"/>
      <c r="H2302" s="53">
        <v>0</v>
      </c>
      <c r="I2302" s="53">
        <v>0</v>
      </c>
      <c r="J2302" s="53">
        <v>0</v>
      </c>
      <c r="K2302" s="55"/>
      <c r="L2302" s="55">
        <f t="shared" si="154"/>
        <v>0</v>
      </c>
      <c r="M2302" s="55">
        <v>0</v>
      </c>
      <c r="N2302" s="101">
        <f t="shared" si="155"/>
        <v>0</v>
      </c>
      <c r="O2302" s="57"/>
      <c r="P2302" s="145" t="str">
        <f t="shared" si="153"/>
        <v/>
      </c>
      <c r="Q2302" s="52">
        <f t="shared" si="151"/>
        <v>13</v>
      </c>
      <c r="R2302" s="8">
        <f t="shared" si="152"/>
        <v>2027</v>
      </c>
    </row>
    <row r="2303" spans="1:18" hidden="1" x14ac:dyDescent="0.25">
      <c r="A2303" s="224"/>
      <c r="B2303" s="97">
        <v>46480</v>
      </c>
      <c r="C2303" s="58" t="s">
        <v>57</v>
      </c>
      <c r="D2303" s="60" t="s">
        <v>38</v>
      </c>
      <c r="E2303" s="60"/>
      <c r="F2303" s="61"/>
      <c r="G2303" s="60"/>
      <c r="H2303" s="60">
        <v>0</v>
      </c>
      <c r="I2303" s="60">
        <v>0</v>
      </c>
      <c r="J2303" s="60">
        <v>0</v>
      </c>
      <c r="K2303" s="62"/>
      <c r="L2303" s="62">
        <f t="shared" si="154"/>
        <v>0</v>
      </c>
      <c r="M2303" s="62">
        <v>0</v>
      </c>
      <c r="N2303" s="102">
        <f t="shared" si="155"/>
        <v>0</v>
      </c>
      <c r="O2303" s="64"/>
      <c r="P2303" s="145" t="str">
        <f t="shared" si="153"/>
        <v/>
      </c>
      <c r="Q2303" s="52">
        <f t="shared" si="151"/>
        <v>13</v>
      </c>
      <c r="R2303" s="8">
        <f t="shared" si="152"/>
        <v>2027</v>
      </c>
    </row>
    <row r="2304" spans="1:18" ht="15.75" hidden="1" thickBot="1" x14ac:dyDescent="0.3">
      <c r="A2304" s="225"/>
      <c r="B2304" s="98">
        <v>46481</v>
      </c>
      <c r="C2304" s="66" t="s">
        <v>59</v>
      </c>
      <c r="D2304" s="67" t="s">
        <v>38</v>
      </c>
      <c r="E2304" s="67"/>
      <c r="F2304" s="68"/>
      <c r="G2304" s="67"/>
      <c r="H2304" s="67">
        <v>0</v>
      </c>
      <c r="I2304" s="67">
        <v>0</v>
      </c>
      <c r="J2304" s="67">
        <v>0</v>
      </c>
      <c r="K2304" s="69"/>
      <c r="L2304" s="69">
        <f t="shared" si="154"/>
        <v>0</v>
      </c>
      <c r="M2304" s="69">
        <v>0</v>
      </c>
      <c r="N2304" s="103">
        <f t="shared" si="155"/>
        <v>0</v>
      </c>
      <c r="O2304" s="71"/>
      <c r="P2304" s="145" t="str">
        <f t="shared" si="153"/>
        <v/>
      </c>
      <c r="Q2304" s="52">
        <f t="shared" si="151"/>
        <v>13</v>
      </c>
      <c r="R2304" s="8">
        <f t="shared" si="152"/>
        <v>2027</v>
      </c>
    </row>
    <row r="2305" spans="1:18" hidden="1" x14ac:dyDescent="0.25">
      <c r="A2305" s="223">
        <f>_xlfn.ISOWEEKNUM(B2305)</f>
        <v>14</v>
      </c>
      <c r="B2305" s="96">
        <v>46482</v>
      </c>
      <c r="C2305" s="72" t="s">
        <v>37</v>
      </c>
      <c r="D2305" s="41" t="s">
        <v>38</v>
      </c>
      <c r="E2305" s="41"/>
      <c r="F2305" s="43"/>
      <c r="G2305" s="41"/>
      <c r="H2305" s="41">
        <v>0</v>
      </c>
      <c r="I2305" s="41">
        <v>0</v>
      </c>
      <c r="J2305" s="41">
        <v>0</v>
      </c>
      <c r="K2305" s="73"/>
      <c r="L2305" s="73">
        <f t="shared" si="154"/>
        <v>0</v>
      </c>
      <c r="M2305" s="73">
        <v>0</v>
      </c>
      <c r="N2305" s="105">
        <f t="shared" si="155"/>
        <v>0</v>
      </c>
      <c r="O2305" s="46"/>
      <c r="P2305" s="145" t="str">
        <f t="shared" si="153"/>
        <v/>
      </c>
      <c r="Q2305" s="52">
        <f t="shared" si="151"/>
        <v>14</v>
      </c>
      <c r="R2305" s="8">
        <f t="shared" si="152"/>
        <v>2027</v>
      </c>
    </row>
    <row r="2306" spans="1:18" hidden="1" x14ac:dyDescent="0.25">
      <c r="A2306" s="224"/>
      <c r="B2306" s="96">
        <v>46483</v>
      </c>
      <c r="C2306" s="52" t="s">
        <v>42</v>
      </c>
      <c r="D2306" s="53" t="s">
        <v>38</v>
      </c>
      <c r="E2306" s="53"/>
      <c r="F2306" s="54"/>
      <c r="G2306" s="53"/>
      <c r="H2306" s="53">
        <v>0</v>
      </c>
      <c r="I2306" s="53">
        <v>0</v>
      </c>
      <c r="J2306" s="53">
        <v>0</v>
      </c>
      <c r="K2306" s="55"/>
      <c r="L2306" s="55">
        <f t="shared" si="154"/>
        <v>0</v>
      </c>
      <c r="M2306" s="55">
        <v>0</v>
      </c>
      <c r="N2306" s="101">
        <f t="shared" si="155"/>
        <v>0</v>
      </c>
      <c r="O2306" s="57"/>
      <c r="P2306" s="145" t="str">
        <f t="shared" si="153"/>
        <v/>
      </c>
      <c r="Q2306" s="52">
        <f t="shared" si="151"/>
        <v>14</v>
      </c>
      <c r="R2306" s="8">
        <f t="shared" si="152"/>
        <v>2027</v>
      </c>
    </row>
    <row r="2307" spans="1:18" hidden="1" x14ac:dyDescent="0.25">
      <c r="A2307" s="224"/>
      <c r="B2307" s="96">
        <v>46484</v>
      </c>
      <c r="C2307" s="52" t="s">
        <v>46</v>
      </c>
      <c r="D2307" s="53" t="s">
        <v>38</v>
      </c>
      <c r="E2307" s="53"/>
      <c r="F2307" s="54"/>
      <c r="G2307" s="53"/>
      <c r="H2307" s="53">
        <v>0</v>
      </c>
      <c r="I2307" s="53">
        <v>0</v>
      </c>
      <c r="J2307" s="53">
        <v>0</v>
      </c>
      <c r="K2307" s="55"/>
      <c r="L2307" s="55">
        <f t="shared" si="154"/>
        <v>0</v>
      </c>
      <c r="M2307" s="55">
        <v>0</v>
      </c>
      <c r="N2307" s="101">
        <f t="shared" si="155"/>
        <v>0</v>
      </c>
      <c r="O2307" s="57"/>
      <c r="P2307" s="145" t="str">
        <f t="shared" si="153"/>
        <v/>
      </c>
      <c r="Q2307" s="52">
        <f t="shared" si="151"/>
        <v>14</v>
      </c>
      <c r="R2307" s="8">
        <f t="shared" si="152"/>
        <v>2027</v>
      </c>
    </row>
    <row r="2308" spans="1:18" hidden="1" x14ac:dyDescent="0.25">
      <c r="A2308" s="224"/>
      <c r="B2308" s="96">
        <v>46485</v>
      </c>
      <c r="C2308" s="52" t="s">
        <v>50</v>
      </c>
      <c r="D2308" s="53" t="s">
        <v>38</v>
      </c>
      <c r="E2308" s="53"/>
      <c r="F2308" s="54"/>
      <c r="G2308" s="53"/>
      <c r="H2308" s="53">
        <v>0</v>
      </c>
      <c r="I2308" s="53">
        <v>0</v>
      </c>
      <c r="J2308" s="53">
        <v>0</v>
      </c>
      <c r="K2308" s="55"/>
      <c r="L2308" s="55">
        <f t="shared" si="154"/>
        <v>0</v>
      </c>
      <c r="M2308" s="55">
        <v>0</v>
      </c>
      <c r="N2308" s="101">
        <f t="shared" si="155"/>
        <v>0</v>
      </c>
      <c r="O2308" s="57"/>
      <c r="P2308" s="145" t="str">
        <f t="shared" si="153"/>
        <v/>
      </c>
      <c r="Q2308" s="52">
        <f t="shared" si="151"/>
        <v>14</v>
      </c>
      <c r="R2308" s="8">
        <f t="shared" si="152"/>
        <v>2027</v>
      </c>
    </row>
    <row r="2309" spans="1:18" hidden="1" x14ac:dyDescent="0.25">
      <c r="A2309" s="224"/>
      <c r="B2309" s="96">
        <v>46486</v>
      </c>
      <c r="C2309" s="52" t="s">
        <v>53</v>
      </c>
      <c r="D2309" s="53" t="s">
        <v>38</v>
      </c>
      <c r="E2309" s="53"/>
      <c r="F2309" s="54"/>
      <c r="G2309" s="53"/>
      <c r="H2309" s="53">
        <v>0</v>
      </c>
      <c r="I2309" s="53">
        <v>0</v>
      </c>
      <c r="J2309" s="53">
        <v>0</v>
      </c>
      <c r="K2309" s="55"/>
      <c r="L2309" s="55">
        <f t="shared" si="154"/>
        <v>0</v>
      </c>
      <c r="M2309" s="55">
        <v>0</v>
      </c>
      <c r="N2309" s="101">
        <f t="shared" si="155"/>
        <v>0</v>
      </c>
      <c r="O2309" s="57"/>
      <c r="P2309" s="145" t="str">
        <f t="shared" si="153"/>
        <v/>
      </c>
      <c r="Q2309" s="52">
        <f t="shared" si="151"/>
        <v>14</v>
      </c>
      <c r="R2309" s="8">
        <f t="shared" si="152"/>
        <v>2027</v>
      </c>
    </row>
    <row r="2310" spans="1:18" hidden="1" x14ac:dyDescent="0.25">
      <c r="A2310" s="224"/>
      <c r="B2310" s="97">
        <v>46487</v>
      </c>
      <c r="C2310" s="58" t="s">
        <v>57</v>
      </c>
      <c r="D2310" s="60" t="s">
        <v>38</v>
      </c>
      <c r="E2310" s="60"/>
      <c r="F2310" s="61"/>
      <c r="G2310" s="60"/>
      <c r="H2310" s="60">
        <v>0</v>
      </c>
      <c r="I2310" s="60">
        <v>0</v>
      </c>
      <c r="J2310" s="60">
        <v>0</v>
      </c>
      <c r="K2310" s="62"/>
      <c r="L2310" s="62">
        <f t="shared" si="154"/>
        <v>0</v>
      </c>
      <c r="M2310" s="62">
        <v>0</v>
      </c>
      <c r="N2310" s="102">
        <f t="shared" si="155"/>
        <v>0</v>
      </c>
      <c r="O2310" s="64"/>
      <c r="P2310" s="145" t="str">
        <f t="shared" si="153"/>
        <v/>
      </c>
      <c r="Q2310" s="52">
        <f t="shared" si="151"/>
        <v>14</v>
      </c>
      <c r="R2310" s="8">
        <f t="shared" si="152"/>
        <v>2027</v>
      </c>
    </row>
    <row r="2311" spans="1:18" ht="15.75" hidden="1" thickBot="1" x14ac:dyDescent="0.3">
      <c r="A2311" s="225"/>
      <c r="B2311" s="98">
        <v>46488</v>
      </c>
      <c r="C2311" s="66" t="s">
        <v>59</v>
      </c>
      <c r="D2311" s="67" t="s">
        <v>38</v>
      </c>
      <c r="E2311" s="67"/>
      <c r="F2311" s="68"/>
      <c r="G2311" s="67"/>
      <c r="H2311" s="67">
        <v>0</v>
      </c>
      <c r="I2311" s="67">
        <v>0</v>
      </c>
      <c r="J2311" s="67">
        <v>0</v>
      </c>
      <c r="K2311" s="69"/>
      <c r="L2311" s="69">
        <f t="shared" si="154"/>
        <v>0</v>
      </c>
      <c r="M2311" s="69">
        <v>0</v>
      </c>
      <c r="N2311" s="103">
        <f t="shared" si="155"/>
        <v>0</v>
      </c>
      <c r="O2311" s="71"/>
      <c r="P2311" s="145" t="str">
        <f t="shared" si="153"/>
        <v/>
      </c>
      <c r="Q2311" s="52">
        <f t="shared" si="151"/>
        <v>14</v>
      </c>
      <c r="R2311" s="8">
        <f t="shared" si="152"/>
        <v>2027</v>
      </c>
    </row>
    <row r="2312" spans="1:18" hidden="1" x14ac:dyDescent="0.25">
      <c r="A2312" s="223">
        <f>_xlfn.ISOWEEKNUM(B2312)</f>
        <v>15</v>
      </c>
      <c r="B2312" s="96">
        <v>46489</v>
      </c>
      <c r="C2312" s="72" t="s">
        <v>37</v>
      </c>
      <c r="D2312" s="41" t="s">
        <v>38</v>
      </c>
      <c r="E2312" s="41"/>
      <c r="F2312" s="43"/>
      <c r="G2312" s="41"/>
      <c r="H2312" s="41">
        <v>0</v>
      </c>
      <c r="I2312" s="41">
        <v>0</v>
      </c>
      <c r="J2312" s="41">
        <v>0</v>
      </c>
      <c r="K2312" s="73"/>
      <c r="L2312" s="73">
        <f t="shared" si="154"/>
        <v>0</v>
      </c>
      <c r="M2312" s="73">
        <v>0</v>
      </c>
      <c r="N2312" s="105">
        <f t="shared" si="155"/>
        <v>0</v>
      </c>
      <c r="O2312" s="46"/>
      <c r="P2312" s="145" t="str">
        <f t="shared" si="153"/>
        <v/>
      </c>
      <c r="Q2312" s="52">
        <f t="shared" si="151"/>
        <v>15</v>
      </c>
      <c r="R2312" s="8">
        <f t="shared" si="152"/>
        <v>2027</v>
      </c>
    </row>
    <row r="2313" spans="1:18" hidden="1" x14ac:dyDescent="0.25">
      <c r="A2313" s="224"/>
      <c r="B2313" s="96">
        <v>46490</v>
      </c>
      <c r="C2313" s="52" t="s">
        <v>42</v>
      </c>
      <c r="D2313" s="53" t="s">
        <v>38</v>
      </c>
      <c r="E2313" s="53"/>
      <c r="F2313" s="54"/>
      <c r="G2313" s="53"/>
      <c r="H2313" s="53">
        <v>0</v>
      </c>
      <c r="I2313" s="53">
        <v>0</v>
      </c>
      <c r="J2313" s="53">
        <v>0</v>
      </c>
      <c r="K2313" s="55"/>
      <c r="L2313" s="55">
        <f t="shared" si="154"/>
        <v>0</v>
      </c>
      <c r="M2313" s="55">
        <v>0</v>
      </c>
      <c r="N2313" s="101">
        <f t="shared" si="155"/>
        <v>0</v>
      </c>
      <c r="O2313" s="57"/>
      <c r="P2313" s="145" t="str">
        <f t="shared" si="153"/>
        <v/>
      </c>
      <c r="Q2313" s="52">
        <f t="shared" ref="Q2313:Q2376" si="156">_xlfn.ISOWEEKNUM(B2313)</f>
        <v>15</v>
      </c>
      <c r="R2313" s="8">
        <f t="shared" ref="R2313:R2376" si="157">YEAR(B2313)</f>
        <v>2027</v>
      </c>
    </row>
    <row r="2314" spans="1:18" hidden="1" x14ac:dyDescent="0.25">
      <c r="A2314" s="224"/>
      <c r="B2314" s="96">
        <v>46491</v>
      </c>
      <c r="C2314" s="52" t="s">
        <v>46</v>
      </c>
      <c r="D2314" s="53" t="s">
        <v>38</v>
      </c>
      <c r="E2314" s="53"/>
      <c r="F2314" s="54"/>
      <c r="G2314" s="53"/>
      <c r="H2314" s="53">
        <v>0</v>
      </c>
      <c r="I2314" s="53">
        <v>0</v>
      </c>
      <c r="J2314" s="53">
        <v>0</v>
      </c>
      <c r="K2314" s="55"/>
      <c r="L2314" s="55">
        <f t="shared" si="154"/>
        <v>0</v>
      </c>
      <c r="M2314" s="55">
        <v>0</v>
      </c>
      <c r="N2314" s="101">
        <f t="shared" si="155"/>
        <v>0</v>
      </c>
      <c r="O2314" s="57"/>
      <c r="P2314" s="145" t="str">
        <f t="shared" si="153"/>
        <v/>
      </c>
      <c r="Q2314" s="52">
        <f t="shared" si="156"/>
        <v>15</v>
      </c>
      <c r="R2314" s="8">
        <f t="shared" si="157"/>
        <v>2027</v>
      </c>
    </row>
    <row r="2315" spans="1:18" hidden="1" x14ac:dyDescent="0.25">
      <c r="A2315" s="224"/>
      <c r="B2315" s="96">
        <v>46492</v>
      </c>
      <c r="C2315" s="52" t="s">
        <v>50</v>
      </c>
      <c r="D2315" s="53" t="s">
        <v>38</v>
      </c>
      <c r="E2315" s="53"/>
      <c r="F2315" s="54"/>
      <c r="G2315" s="53"/>
      <c r="H2315" s="53">
        <v>0</v>
      </c>
      <c r="I2315" s="53">
        <v>0</v>
      </c>
      <c r="J2315" s="53">
        <v>0</v>
      </c>
      <c r="K2315" s="55"/>
      <c r="L2315" s="55">
        <f t="shared" si="154"/>
        <v>0</v>
      </c>
      <c r="M2315" s="55">
        <v>0</v>
      </c>
      <c r="N2315" s="101">
        <f t="shared" si="155"/>
        <v>0</v>
      </c>
      <c r="O2315" s="57"/>
      <c r="P2315" s="145" t="str">
        <f t="shared" si="153"/>
        <v/>
      </c>
      <c r="Q2315" s="52">
        <f t="shared" si="156"/>
        <v>15</v>
      </c>
      <c r="R2315" s="8">
        <f t="shared" si="157"/>
        <v>2027</v>
      </c>
    </row>
    <row r="2316" spans="1:18" hidden="1" x14ac:dyDescent="0.25">
      <c r="A2316" s="224"/>
      <c r="B2316" s="96">
        <v>46493</v>
      </c>
      <c r="C2316" s="52" t="s">
        <v>53</v>
      </c>
      <c r="D2316" s="53" t="s">
        <v>38</v>
      </c>
      <c r="E2316" s="53"/>
      <c r="F2316" s="54"/>
      <c r="G2316" s="53"/>
      <c r="H2316" s="53">
        <v>0</v>
      </c>
      <c r="I2316" s="53">
        <v>0</v>
      </c>
      <c r="J2316" s="53">
        <v>0</v>
      </c>
      <c r="K2316" s="55"/>
      <c r="L2316" s="55">
        <f t="shared" si="154"/>
        <v>0</v>
      </c>
      <c r="M2316" s="55">
        <v>0</v>
      </c>
      <c r="N2316" s="101">
        <f t="shared" si="155"/>
        <v>0</v>
      </c>
      <c r="O2316" s="57"/>
      <c r="P2316" s="145" t="str">
        <f t="shared" si="153"/>
        <v/>
      </c>
      <c r="Q2316" s="52">
        <f t="shared" si="156"/>
        <v>15</v>
      </c>
      <c r="R2316" s="8">
        <f t="shared" si="157"/>
        <v>2027</v>
      </c>
    </row>
    <row r="2317" spans="1:18" hidden="1" x14ac:dyDescent="0.25">
      <c r="A2317" s="224"/>
      <c r="B2317" s="97">
        <v>46494</v>
      </c>
      <c r="C2317" s="58" t="s">
        <v>57</v>
      </c>
      <c r="D2317" s="60" t="s">
        <v>38</v>
      </c>
      <c r="E2317" s="60"/>
      <c r="F2317" s="61"/>
      <c r="G2317" s="60"/>
      <c r="H2317" s="60">
        <v>0</v>
      </c>
      <c r="I2317" s="60">
        <v>0</v>
      </c>
      <c r="J2317" s="60">
        <v>0</v>
      </c>
      <c r="K2317" s="62"/>
      <c r="L2317" s="62">
        <f t="shared" si="154"/>
        <v>0</v>
      </c>
      <c r="M2317" s="62">
        <v>0</v>
      </c>
      <c r="N2317" s="102">
        <f t="shared" si="155"/>
        <v>0</v>
      </c>
      <c r="O2317" s="64"/>
      <c r="P2317" s="145" t="str">
        <f t="shared" si="153"/>
        <v/>
      </c>
      <c r="Q2317" s="52">
        <f t="shared" si="156"/>
        <v>15</v>
      </c>
      <c r="R2317" s="8">
        <f t="shared" si="157"/>
        <v>2027</v>
      </c>
    </row>
    <row r="2318" spans="1:18" ht="15.75" hidden="1" thickBot="1" x14ac:dyDescent="0.3">
      <c r="A2318" s="225"/>
      <c r="B2318" s="98">
        <v>46495</v>
      </c>
      <c r="C2318" s="66" t="s">
        <v>59</v>
      </c>
      <c r="D2318" s="67" t="s">
        <v>38</v>
      </c>
      <c r="E2318" s="67"/>
      <c r="F2318" s="68"/>
      <c r="G2318" s="67"/>
      <c r="H2318" s="67">
        <v>0</v>
      </c>
      <c r="I2318" s="67">
        <v>0</v>
      </c>
      <c r="J2318" s="67">
        <v>0</v>
      </c>
      <c r="K2318" s="69"/>
      <c r="L2318" s="69">
        <f t="shared" si="154"/>
        <v>0</v>
      </c>
      <c r="M2318" s="69">
        <v>0</v>
      </c>
      <c r="N2318" s="103">
        <f t="shared" si="155"/>
        <v>0</v>
      </c>
      <c r="O2318" s="71"/>
      <c r="P2318" s="145" t="str">
        <f t="shared" si="153"/>
        <v/>
      </c>
      <c r="Q2318" s="52">
        <f t="shared" si="156"/>
        <v>15</v>
      </c>
      <c r="R2318" s="8">
        <f t="shared" si="157"/>
        <v>2027</v>
      </c>
    </row>
    <row r="2319" spans="1:18" hidden="1" x14ac:dyDescent="0.25">
      <c r="A2319" s="223">
        <f>_xlfn.ISOWEEKNUM(B2319)</f>
        <v>16</v>
      </c>
      <c r="B2319" s="96">
        <v>46496</v>
      </c>
      <c r="C2319" s="72" t="s">
        <v>37</v>
      </c>
      <c r="D2319" s="41" t="s">
        <v>38</v>
      </c>
      <c r="E2319" s="41"/>
      <c r="F2319" s="43"/>
      <c r="G2319" s="41"/>
      <c r="H2319" s="41">
        <v>0</v>
      </c>
      <c r="I2319" s="41">
        <v>0</v>
      </c>
      <c r="J2319" s="41">
        <v>0</v>
      </c>
      <c r="K2319" s="73"/>
      <c r="L2319" s="73">
        <f t="shared" si="154"/>
        <v>0</v>
      </c>
      <c r="M2319" s="73">
        <v>0</v>
      </c>
      <c r="N2319" s="105">
        <f t="shared" si="155"/>
        <v>0</v>
      </c>
      <c r="O2319" s="46"/>
      <c r="P2319" s="145" t="str">
        <f t="shared" si="153"/>
        <v/>
      </c>
      <c r="Q2319" s="52">
        <f t="shared" si="156"/>
        <v>16</v>
      </c>
      <c r="R2319" s="8">
        <f t="shared" si="157"/>
        <v>2027</v>
      </c>
    </row>
    <row r="2320" spans="1:18" hidden="1" x14ac:dyDescent="0.25">
      <c r="A2320" s="224"/>
      <c r="B2320" s="96">
        <v>46497</v>
      </c>
      <c r="C2320" s="52" t="s">
        <v>42</v>
      </c>
      <c r="D2320" s="53" t="s">
        <v>38</v>
      </c>
      <c r="E2320" s="53"/>
      <c r="F2320" s="54"/>
      <c r="G2320" s="53"/>
      <c r="H2320" s="53">
        <v>0</v>
      </c>
      <c r="I2320" s="53">
        <v>0</v>
      </c>
      <c r="J2320" s="53">
        <v>0</v>
      </c>
      <c r="K2320" s="55"/>
      <c r="L2320" s="55">
        <f t="shared" si="154"/>
        <v>0</v>
      </c>
      <c r="M2320" s="55">
        <v>0</v>
      </c>
      <c r="N2320" s="101">
        <f t="shared" si="155"/>
        <v>0</v>
      </c>
      <c r="O2320" s="57"/>
      <c r="P2320" s="145" t="str">
        <f t="shared" si="153"/>
        <v/>
      </c>
      <c r="Q2320" s="52">
        <f t="shared" si="156"/>
        <v>16</v>
      </c>
      <c r="R2320" s="8">
        <f t="shared" si="157"/>
        <v>2027</v>
      </c>
    </row>
    <row r="2321" spans="1:18" hidden="1" x14ac:dyDescent="0.25">
      <c r="A2321" s="224"/>
      <c r="B2321" s="96">
        <v>46498</v>
      </c>
      <c r="C2321" s="52" t="s">
        <v>46</v>
      </c>
      <c r="D2321" s="53" t="s">
        <v>38</v>
      </c>
      <c r="E2321" s="53"/>
      <c r="F2321" s="54"/>
      <c r="G2321" s="53"/>
      <c r="H2321" s="53">
        <v>0</v>
      </c>
      <c r="I2321" s="53">
        <v>0</v>
      </c>
      <c r="J2321" s="53">
        <v>0</v>
      </c>
      <c r="K2321" s="55"/>
      <c r="L2321" s="55">
        <f t="shared" si="154"/>
        <v>0</v>
      </c>
      <c r="M2321" s="55">
        <v>0</v>
      </c>
      <c r="N2321" s="101">
        <f t="shared" si="155"/>
        <v>0</v>
      </c>
      <c r="O2321" s="57"/>
      <c r="P2321" s="145" t="str">
        <f t="shared" si="153"/>
        <v/>
      </c>
      <c r="Q2321" s="52">
        <f t="shared" si="156"/>
        <v>16</v>
      </c>
      <c r="R2321" s="8">
        <f t="shared" si="157"/>
        <v>2027</v>
      </c>
    </row>
    <row r="2322" spans="1:18" hidden="1" x14ac:dyDescent="0.25">
      <c r="A2322" s="224"/>
      <c r="B2322" s="96">
        <v>46499</v>
      </c>
      <c r="C2322" s="52" t="s">
        <v>50</v>
      </c>
      <c r="D2322" s="53" t="s">
        <v>38</v>
      </c>
      <c r="E2322" s="53"/>
      <c r="F2322" s="54"/>
      <c r="G2322" s="53"/>
      <c r="H2322" s="53">
        <v>0</v>
      </c>
      <c r="I2322" s="53">
        <v>0</v>
      </c>
      <c r="J2322" s="53">
        <v>0</v>
      </c>
      <c r="K2322" s="55"/>
      <c r="L2322" s="55">
        <f t="shared" si="154"/>
        <v>0</v>
      </c>
      <c r="M2322" s="55">
        <v>0</v>
      </c>
      <c r="N2322" s="101">
        <f t="shared" si="155"/>
        <v>0</v>
      </c>
      <c r="O2322" s="57"/>
      <c r="P2322" s="145" t="str">
        <f t="shared" si="153"/>
        <v/>
      </c>
      <c r="Q2322" s="52">
        <f t="shared" si="156"/>
        <v>16</v>
      </c>
      <c r="R2322" s="8">
        <f t="shared" si="157"/>
        <v>2027</v>
      </c>
    </row>
    <row r="2323" spans="1:18" hidden="1" x14ac:dyDescent="0.25">
      <c r="A2323" s="224"/>
      <c r="B2323" s="96">
        <v>46500</v>
      </c>
      <c r="C2323" s="52" t="s">
        <v>53</v>
      </c>
      <c r="D2323" s="53" t="s">
        <v>38</v>
      </c>
      <c r="E2323" s="53"/>
      <c r="F2323" s="54"/>
      <c r="G2323" s="53"/>
      <c r="H2323" s="53">
        <v>0</v>
      </c>
      <c r="I2323" s="53">
        <v>0</v>
      </c>
      <c r="J2323" s="53">
        <v>0</v>
      </c>
      <c r="K2323" s="55"/>
      <c r="L2323" s="55">
        <f t="shared" si="154"/>
        <v>0</v>
      </c>
      <c r="M2323" s="55">
        <v>0</v>
      </c>
      <c r="N2323" s="101">
        <f t="shared" si="155"/>
        <v>0</v>
      </c>
      <c r="O2323" s="57"/>
      <c r="P2323" s="145" t="str">
        <f t="shared" si="153"/>
        <v/>
      </c>
      <c r="Q2323" s="52">
        <f t="shared" si="156"/>
        <v>16</v>
      </c>
      <c r="R2323" s="8">
        <f t="shared" si="157"/>
        <v>2027</v>
      </c>
    </row>
    <row r="2324" spans="1:18" hidden="1" x14ac:dyDescent="0.25">
      <c r="A2324" s="224"/>
      <c r="B2324" s="97">
        <v>46501</v>
      </c>
      <c r="C2324" s="58" t="s">
        <v>57</v>
      </c>
      <c r="D2324" s="60" t="s">
        <v>38</v>
      </c>
      <c r="E2324" s="60"/>
      <c r="F2324" s="61"/>
      <c r="G2324" s="60"/>
      <c r="H2324" s="60">
        <v>0</v>
      </c>
      <c r="I2324" s="60">
        <v>0</v>
      </c>
      <c r="J2324" s="60">
        <v>0</v>
      </c>
      <c r="K2324" s="62"/>
      <c r="L2324" s="62">
        <f t="shared" si="154"/>
        <v>0</v>
      </c>
      <c r="M2324" s="62">
        <v>0</v>
      </c>
      <c r="N2324" s="102">
        <f t="shared" si="155"/>
        <v>0</v>
      </c>
      <c r="O2324" s="64"/>
      <c r="P2324" s="145" t="str">
        <f t="shared" si="153"/>
        <v/>
      </c>
      <c r="Q2324" s="52">
        <f t="shared" si="156"/>
        <v>16</v>
      </c>
      <c r="R2324" s="8">
        <f t="shared" si="157"/>
        <v>2027</v>
      </c>
    </row>
    <row r="2325" spans="1:18" ht="15.75" hidden="1" thickBot="1" x14ac:dyDescent="0.3">
      <c r="A2325" s="225"/>
      <c r="B2325" s="98">
        <v>46502</v>
      </c>
      <c r="C2325" s="66" t="s">
        <v>59</v>
      </c>
      <c r="D2325" s="67" t="s">
        <v>38</v>
      </c>
      <c r="E2325" s="67"/>
      <c r="F2325" s="68"/>
      <c r="G2325" s="67"/>
      <c r="H2325" s="67">
        <v>0</v>
      </c>
      <c r="I2325" s="67">
        <v>0</v>
      </c>
      <c r="J2325" s="67">
        <v>0</v>
      </c>
      <c r="K2325" s="69"/>
      <c r="L2325" s="69">
        <f t="shared" si="154"/>
        <v>0</v>
      </c>
      <c r="M2325" s="69">
        <v>0</v>
      </c>
      <c r="N2325" s="103">
        <f t="shared" si="155"/>
        <v>0</v>
      </c>
      <c r="O2325" s="71"/>
      <c r="P2325" s="145" t="str">
        <f t="shared" si="153"/>
        <v/>
      </c>
      <c r="Q2325" s="52">
        <f t="shared" si="156"/>
        <v>16</v>
      </c>
      <c r="R2325" s="8">
        <f t="shared" si="157"/>
        <v>2027</v>
      </c>
    </row>
    <row r="2326" spans="1:18" hidden="1" x14ac:dyDescent="0.25">
      <c r="A2326" s="223">
        <f>_xlfn.ISOWEEKNUM(B2326)</f>
        <v>17</v>
      </c>
      <c r="B2326" s="96">
        <v>46503</v>
      </c>
      <c r="C2326" s="72" t="s">
        <v>37</v>
      </c>
      <c r="D2326" s="41" t="s">
        <v>38</v>
      </c>
      <c r="E2326" s="41"/>
      <c r="F2326" s="43"/>
      <c r="G2326" s="41"/>
      <c r="H2326" s="41">
        <v>0</v>
      </c>
      <c r="I2326" s="41">
        <v>0</v>
      </c>
      <c r="J2326" s="41">
        <v>0</v>
      </c>
      <c r="K2326" s="73"/>
      <c r="L2326" s="73">
        <f t="shared" si="154"/>
        <v>0</v>
      </c>
      <c r="M2326" s="73">
        <v>0</v>
      </c>
      <c r="N2326" s="105">
        <f t="shared" si="155"/>
        <v>0</v>
      </c>
      <c r="O2326" s="46"/>
      <c r="P2326" s="145" t="str">
        <f t="shared" si="153"/>
        <v/>
      </c>
      <c r="Q2326" s="52">
        <f t="shared" si="156"/>
        <v>17</v>
      </c>
      <c r="R2326" s="8">
        <f t="shared" si="157"/>
        <v>2027</v>
      </c>
    </row>
    <row r="2327" spans="1:18" hidden="1" x14ac:dyDescent="0.25">
      <c r="A2327" s="224"/>
      <c r="B2327" s="96">
        <v>46504</v>
      </c>
      <c r="C2327" s="52" t="s">
        <v>42</v>
      </c>
      <c r="D2327" s="53" t="s">
        <v>38</v>
      </c>
      <c r="E2327" s="53"/>
      <c r="F2327" s="54"/>
      <c r="G2327" s="53"/>
      <c r="H2327" s="53">
        <v>0</v>
      </c>
      <c r="I2327" s="53">
        <v>0</v>
      </c>
      <c r="J2327" s="53">
        <v>0</v>
      </c>
      <c r="K2327" s="55"/>
      <c r="L2327" s="55">
        <f t="shared" si="154"/>
        <v>0</v>
      </c>
      <c r="M2327" s="55">
        <v>0</v>
      </c>
      <c r="N2327" s="101">
        <f t="shared" si="155"/>
        <v>0</v>
      </c>
      <c r="O2327" s="57"/>
      <c r="P2327" s="145" t="str">
        <f t="shared" si="153"/>
        <v/>
      </c>
      <c r="Q2327" s="52">
        <f t="shared" si="156"/>
        <v>17</v>
      </c>
      <c r="R2327" s="8">
        <f t="shared" si="157"/>
        <v>2027</v>
      </c>
    </row>
    <row r="2328" spans="1:18" hidden="1" x14ac:dyDescent="0.25">
      <c r="A2328" s="224"/>
      <c r="B2328" s="96">
        <v>46505</v>
      </c>
      <c r="C2328" s="52" t="s">
        <v>46</v>
      </c>
      <c r="D2328" s="53" t="s">
        <v>38</v>
      </c>
      <c r="E2328" s="53"/>
      <c r="F2328" s="54"/>
      <c r="G2328" s="53"/>
      <c r="H2328" s="53">
        <v>0</v>
      </c>
      <c r="I2328" s="53">
        <v>0</v>
      </c>
      <c r="J2328" s="53">
        <v>0</v>
      </c>
      <c r="K2328" s="55"/>
      <c r="L2328" s="55">
        <f t="shared" si="154"/>
        <v>0</v>
      </c>
      <c r="M2328" s="55">
        <v>0</v>
      </c>
      <c r="N2328" s="101">
        <f t="shared" si="155"/>
        <v>0</v>
      </c>
      <c r="O2328" s="57"/>
      <c r="P2328" s="145" t="str">
        <f t="shared" si="153"/>
        <v/>
      </c>
      <c r="Q2328" s="52">
        <f t="shared" si="156"/>
        <v>17</v>
      </c>
      <c r="R2328" s="8">
        <f t="shared" si="157"/>
        <v>2027</v>
      </c>
    </row>
    <row r="2329" spans="1:18" hidden="1" x14ac:dyDescent="0.25">
      <c r="A2329" s="224"/>
      <c r="B2329" s="96">
        <v>46506</v>
      </c>
      <c r="C2329" s="52" t="s">
        <v>50</v>
      </c>
      <c r="D2329" s="53" t="s">
        <v>38</v>
      </c>
      <c r="E2329" s="53"/>
      <c r="F2329" s="54"/>
      <c r="G2329" s="53"/>
      <c r="H2329" s="53">
        <v>0</v>
      </c>
      <c r="I2329" s="53">
        <v>0</v>
      </c>
      <c r="J2329" s="53">
        <v>0</v>
      </c>
      <c r="K2329" s="55"/>
      <c r="L2329" s="55">
        <f t="shared" si="154"/>
        <v>0</v>
      </c>
      <c r="M2329" s="55">
        <v>0</v>
      </c>
      <c r="N2329" s="101">
        <f t="shared" si="155"/>
        <v>0</v>
      </c>
      <c r="O2329" s="57"/>
      <c r="P2329" s="145" t="str">
        <f t="shared" si="153"/>
        <v/>
      </c>
      <c r="Q2329" s="52">
        <f t="shared" si="156"/>
        <v>17</v>
      </c>
      <c r="R2329" s="8">
        <f t="shared" si="157"/>
        <v>2027</v>
      </c>
    </row>
    <row r="2330" spans="1:18" hidden="1" x14ac:dyDescent="0.25">
      <c r="A2330" s="224"/>
      <c r="B2330" s="96">
        <v>46507</v>
      </c>
      <c r="C2330" s="52" t="s">
        <v>53</v>
      </c>
      <c r="D2330" s="53" t="s">
        <v>38</v>
      </c>
      <c r="E2330" s="53"/>
      <c r="F2330" s="54"/>
      <c r="G2330" s="53"/>
      <c r="H2330" s="53">
        <v>0</v>
      </c>
      <c r="I2330" s="53">
        <v>0</v>
      </c>
      <c r="J2330" s="53">
        <v>0</v>
      </c>
      <c r="K2330" s="55"/>
      <c r="L2330" s="55">
        <f t="shared" si="154"/>
        <v>0</v>
      </c>
      <c r="M2330" s="55">
        <v>0</v>
      </c>
      <c r="N2330" s="101">
        <f t="shared" si="155"/>
        <v>0</v>
      </c>
      <c r="O2330" s="57"/>
      <c r="P2330" s="145" t="str">
        <f t="shared" si="153"/>
        <v/>
      </c>
      <c r="Q2330" s="52">
        <f t="shared" si="156"/>
        <v>17</v>
      </c>
      <c r="R2330" s="8">
        <f t="shared" si="157"/>
        <v>2027</v>
      </c>
    </row>
    <row r="2331" spans="1:18" hidden="1" x14ac:dyDescent="0.25">
      <c r="A2331" s="224"/>
      <c r="B2331" s="97">
        <v>46508</v>
      </c>
      <c r="C2331" s="58" t="s">
        <v>57</v>
      </c>
      <c r="D2331" s="60" t="s">
        <v>38</v>
      </c>
      <c r="E2331" s="60"/>
      <c r="F2331" s="61"/>
      <c r="G2331" s="60"/>
      <c r="H2331" s="60">
        <v>0</v>
      </c>
      <c r="I2331" s="60">
        <v>0</v>
      </c>
      <c r="J2331" s="60">
        <v>0</v>
      </c>
      <c r="K2331" s="62"/>
      <c r="L2331" s="62">
        <f t="shared" si="154"/>
        <v>0</v>
      </c>
      <c r="M2331" s="62">
        <v>0</v>
      </c>
      <c r="N2331" s="102">
        <f t="shared" si="155"/>
        <v>0</v>
      </c>
      <c r="O2331" s="64"/>
      <c r="P2331" s="145" t="str">
        <f t="shared" si="153"/>
        <v/>
      </c>
      <c r="Q2331" s="52">
        <f t="shared" si="156"/>
        <v>17</v>
      </c>
      <c r="R2331" s="8">
        <f t="shared" si="157"/>
        <v>2027</v>
      </c>
    </row>
    <row r="2332" spans="1:18" ht="15.75" hidden="1" thickBot="1" x14ac:dyDescent="0.3">
      <c r="A2332" s="225"/>
      <c r="B2332" s="98">
        <v>46509</v>
      </c>
      <c r="C2332" s="66" t="s">
        <v>59</v>
      </c>
      <c r="D2332" s="67" t="s">
        <v>38</v>
      </c>
      <c r="E2332" s="67"/>
      <c r="F2332" s="68"/>
      <c r="G2332" s="67"/>
      <c r="H2332" s="67">
        <v>0</v>
      </c>
      <c r="I2332" s="67">
        <v>0</v>
      </c>
      <c r="J2332" s="67">
        <v>0</v>
      </c>
      <c r="K2332" s="69"/>
      <c r="L2332" s="69">
        <f t="shared" si="154"/>
        <v>0</v>
      </c>
      <c r="M2332" s="69">
        <v>0</v>
      </c>
      <c r="N2332" s="103">
        <f t="shared" si="155"/>
        <v>0</v>
      </c>
      <c r="O2332" s="71"/>
      <c r="P2332" s="145" t="str">
        <f t="shared" si="153"/>
        <v/>
      </c>
      <c r="Q2332" s="52">
        <f t="shared" si="156"/>
        <v>17</v>
      </c>
      <c r="R2332" s="8">
        <f t="shared" si="157"/>
        <v>2027</v>
      </c>
    </row>
    <row r="2333" spans="1:18" hidden="1" x14ac:dyDescent="0.25">
      <c r="A2333" s="223">
        <f>_xlfn.ISOWEEKNUM(B2333)</f>
        <v>18</v>
      </c>
      <c r="B2333" s="96">
        <v>46510</v>
      </c>
      <c r="C2333" s="72" t="s">
        <v>37</v>
      </c>
      <c r="D2333" s="41" t="s">
        <v>38</v>
      </c>
      <c r="E2333" s="41"/>
      <c r="F2333" s="43"/>
      <c r="G2333" s="41"/>
      <c r="H2333" s="41">
        <v>0</v>
      </c>
      <c r="I2333" s="41">
        <v>0</v>
      </c>
      <c r="J2333" s="41">
        <v>0</v>
      </c>
      <c r="K2333" s="73"/>
      <c r="L2333" s="73">
        <f t="shared" si="154"/>
        <v>0</v>
      </c>
      <c r="M2333" s="73">
        <v>0</v>
      </c>
      <c r="N2333" s="105">
        <f t="shared" si="155"/>
        <v>0</v>
      </c>
      <c r="O2333" s="46"/>
      <c r="P2333" s="145" t="str">
        <f t="shared" si="153"/>
        <v/>
      </c>
      <c r="Q2333" s="52">
        <f t="shared" si="156"/>
        <v>18</v>
      </c>
      <c r="R2333" s="8">
        <f t="shared" si="157"/>
        <v>2027</v>
      </c>
    </row>
    <row r="2334" spans="1:18" hidden="1" x14ac:dyDescent="0.25">
      <c r="A2334" s="224"/>
      <c r="B2334" s="96">
        <v>46511</v>
      </c>
      <c r="C2334" s="52" t="s">
        <v>42</v>
      </c>
      <c r="D2334" s="53" t="s">
        <v>38</v>
      </c>
      <c r="E2334" s="53"/>
      <c r="F2334" s="54"/>
      <c r="G2334" s="53"/>
      <c r="H2334" s="53">
        <v>0</v>
      </c>
      <c r="I2334" s="53">
        <v>0</v>
      </c>
      <c r="J2334" s="53">
        <v>0</v>
      </c>
      <c r="K2334" s="55"/>
      <c r="L2334" s="55">
        <f t="shared" si="154"/>
        <v>0</v>
      </c>
      <c r="M2334" s="55">
        <v>0</v>
      </c>
      <c r="N2334" s="101">
        <f t="shared" si="155"/>
        <v>0</v>
      </c>
      <c r="O2334" s="57"/>
      <c r="P2334" s="145" t="str">
        <f t="shared" si="153"/>
        <v/>
      </c>
      <c r="Q2334" s="52">
        <f t="shared" si="156"/>
        <v>18</v>
      </c>
      <c r="R2334" s="8">
        <f t="shared" si="157"/>
        <v>2027</v>
      </c>
    </row>
    <row r="2335" spans="1:18" hidden="1" x14ac:dyDescent="0.25">
      <c r="A2335" s="224"/>
      <c r="B2335" s="96">
        <v>46512</v>
      </c>
      <c r="C2335" s="52" t="s">
        <v>46</v>
      </c>
      <c r="D2335" s="53" t="s">
        <v>38</v>
      </c>
      <c r="E2335" s="53"/>
      <c r="F2335" s="54"/>
      <c r="G2335" s="53"/>
      <c r="H2335" s="53">
        <v>0</v>
      </c>
      <c r="I2335" s="53">
        <v>0</v>
      </c>
      <c r="J2335" s="53">
        <v>0</v>
      </c>
      <c r="K2335" s="55"/>
      <c r="L2335" s="55">
        <f t="shared" si="154"/>
        <v>0</v>
      </c>
      <c r="M2335" s="55">
        <v>0</v>
      </c>
      <c r="N2335" s="101">
        <f t="shared" si="155"/>
        <v>0</v>
      </c>
      <c r="O2335" s="57"/>
      <c r="P2335" s="145" t="str">
        <f t="shared" si="153"/>
        <v/>
      </c>
      <c r="Q2335" s="52">
        <f t="shared" si="156"/>
        <v>18</v>
      </c>
      <c r="R2335" s="8">
        <f t="shared" si="157"/>
        <v>2027</v>
      </c>
    </row>
    <row r="2336" spans="1:18" hidden="1" x14ac:dyDescent="0.25">
      <c r="A2336" s="224"/>
      <c r="B2336" s="96">
        <v>46513</v>
      </c>
      <c r="C2336" s="52" t="s">
        <v>50</v>
      </c>
      <c r="D2336" s="53" t="s">
        <v>38</v>
      </c>
      <c r="E2336" s="53"/>
      <c r="F2336" s="54"/>
      <c r="G2336" s="53"/>
      <c r="H2336" s="53">
        <v>0</v>
      </c>
      <c r="I2336" s="53">
        <v>0</v>
      </c>
      <c r="J2336" s="53">
        <v>0</v>
      </c>
      <c r="K2336" s="55"/>
      <c r="L2336" s="55">
        <f t="shared" si="154"/>
        <v>0</v>
      </c>
      <c r="M2336" s="55">
        <v>0</v>
      </c>
      <c r="N2336" s="101">
        <f t="shared" si="155"/>
        <v>0</v>
      </c>
      <c r="O2336" s="57"/>
      <c r="P2336" s="145" t="str">
        <f t="shared" si="153"/>
        <v/>
      </c>
      <c r="Q2336" s="52">
        <f t="shared" si="156"/>
        <v>18</v>
      </c>
      <c r="R2336" s="8">
        <f t="shared" si="157"/>
        <v>2027</v>
      </c>
    </row>
    <row r="2337" spans="1:18" hidden="1" x14ac:dyDescent="0.25">
      <c r="A2337" s="224"/>
      <c r="B2337" s="96">
        <v>46514</v>
      </c>
      <c r="C2337" s="52" t="s">
        <v>53</v>
      </c>
      <c r="D2337" s="53" t="s">
        <v>38</v>
      </c>
      <c r="E2337" s="53"/>
      <c r="F2337" s="54"/>
      <c r="G2337" s="53"/>
      <c r="H2337" s="53">
        <v>0</v>
      </c>
      <c r="I2337" s="53">
        <v>0</v>
      </c>
      <c r="J2337" s="53">
        <v>0</v>
      </c>
      <c r="K2337" s="55"/>
      <c r="L2337" s="55">
        <f t="shared" si="154"/>
        <v>0</v>
      </c>
      <c r="M2337" s="55">
        <v>0</v>
      </c>
      <c r="N2337" s="101">
        <f t="shared" si="155"/>
        <v>0</v>
      </c>
      <c r="O2337" s="57"/>
      <c r="P2337" s="145" t="str">
        <f t="shared" si="153"/>
        <v/>
      </c>
      <c r="Q2337" s="52">
        <f t="shared" si="156"/>
        <v>18</v>
      </c>
      <c r="R2337" s="8">
        <f t="shared" si="157"/>
        <v>2027</v>
      </c>
    </row>
    <row r="2338" spans="1:18" hidden="1" x14ac:dyDescent="0.25">
      <c r="A2338" s="224"/>
      <c r="B2338" s="97">
        <v>46515</v>
      </c>
      <c r="C2338" s="58" t="s">
        <v>57</v>
      </c>
      <c r="D2338" s="60" t="s">
        <v>38</v>
      </c>
      <c r="E2338" s="60"/>
      <c r="F2338" s="61"/>
      <c r="G2338" s="60"/>
      <c r="H2338" s="60">
        <v>0</v>
      </c>
      <c r="I2338" s="60">
        <v>0</v>
      </c>
      <c r="J2338" s="60">
        <v>0</v>
      </c>
      <c r="K2338" s="62"/>
      <c r="L2338" s="62">
        <f t="shared" si="154"/>
        <v>0</v>
      </c>
      <c r="M2338" s="62">
        <v>0</v>
      </c>
      <c r="N2338" s="102">
        <f t="shared" si="155"/>
        <v>0</v>
      </c>
      <c r="O2338" s="64"/>
      <c r="P2338" s="145" t="str">
        <f t="shared" si="153"/>
        <v/>
      </c>
      <c r="Q2338" s="52">
        <f t="shared" si="156"/>
        <v>18</v>
      </c>
      <c r="R2338" s="8">
        <f t="shared" si="157"/>
        <v>2027</v>
      </c>
    </row>
    <row r="2339" spans="1:18" ht="15.75" hidden="1" thickBot="1" x14ac:dyDescent="0.3">
      <c r="A2339" s="225"/>
      <c r="B2339" s="98">
        <v>46516</v>
      </c>
      <c r="C2339" s="66" t="s">
        <v>59</v>
      </c>
      <c r="D2339" s="67" t="s">
        <v>38</v>
      </c>
      <c r="E2339" s="67"/>
      <c r="F2339" s="68"/>
      <c r="G2339" s="67"/>
      <c r="H2339" s="67">
        <v>0</v>
      </c>
      <c r="I2339" s="67">
        <v>0</v>
      </c>
      <c r="J2339" s="67">
        <v>0</v>
      </c>
      <c r="K2339" s="69"/>
      <c r="L2339" s="69">
        <f t="shared" si="154"/>
        <v>0</v>
      </c>
      <c r="M2339" s="69">
        <v>0</v>
      </c>
      <c r="N2339" s="103">
        <f t="shared" si="155"/>
        <v>0</v>
      </c>
      <c r="O2339" s="71"/>
      <c r="P2339" s="145" t="str">
        <f t="shared" si="153"/>
        <v/>
      </c>
      <c r="Q2339" s="52">
        <f t="shared" si="156"/>
        <v>18</v>
      </c>
      <c r="R2339" s="8">
        <f t="shared" si="157"/>
        <v>2027</v>
      </c>
    </row>
    <row r="2340" spans="1:18" hidden="1" x14ac:dyDescent="0.25">
      <c r="A2340" s="223">
        <f>_xlfn.ISOWEEKNUM(B2340)</f>
        <v>19</v>
      </c>
      <c r="B2340" s="96">
        <v>46517</v>
      </c>
      <c r="C2340" s="72" t="s">
        <v>37</v>
      </c>
      <c r="D2340" s="41" t="s">
        <v>38</v>
      </c>
      <c r="E2340" s="41"/>
      <c r="F2340" s="43"/>
      <c r="G2340" s="41"/>
      <c r="H2340" s="41">
        <v>0</v>
      </c>
      <c r="I2340" s="41">
        <v>0</v>
      </c>
      <c r="J2340" s="41">
        <v>0</v>
      </c>
      <c r="K2340" s="73"/>
      <c r="L2340" s="73">
        <f t="shared" si="154"/>
        <v>0</v>
      </c>
      <c r="M2340" s="73">
        <v>0</v>
      </c>
      <c r="N2340" s="105">
        <f t="shared" si="155"/>
        <v>0</v>
      </c>
      <c r="O2340" s="46"/>
      <c r="P2340" s="145" t="str">
        <f t="shared" si="153"/>
        <v/>
      </c>
      <c r="Q2340" s="52">
        <f t="shared" si="156"/>
        <v>19</v>
      </c>
      <c r="R2340" s="8">
        <f t="shared" si="157"/>
        <v>2027</v>
      </c>
    </row>
    <row r="2341" spans="1:18" hidden="1" x14ac:dyDescent="0.25">
      <c r="A2341" s="224"/>
      <c r="B2341" s="96">
        <v>46518</v>
      </c>
      <c r="C2341" s="52" t="s">
        <v>42</v>
      </c>
      <c r="D2341" s="53" t="s">
        <v>38</v>
      </c>
      <c r="E2341" s="53"/>
      <c r="F2341" s="54"/>
      <c r="G2341" s="53"/>
      <c r="H2341" s="53">
        <v>0</v>
      </c>
      <c r="I2341" s="53">
        <v>0</v>
      </c>
      <c r="J2341" s="53">
        <v>0</v>
      </c>
      <c r="K2341" s="55"/>
      <c r="L2341" s="55">
        <f t="shared" si="154"/>
        <v>0</v>
      </c>
      <c r="M2341" s="55">
        <v>0</v>
      </c>
      <c r="N2341" s="101">
        <f t="shared" si="155"/>
        <v>0</v>
      </c>
      <c r="O2341" s="57"/>
      <c r="P2341" s="145" t="str">
        <f t="shared" si="153"/>
        <v/>
      </c>
      <c r="Q2341" s="52">
        <f t="shared" si="156"/>
        <v>19</v>
      </c>
      <c r="R2341" s="8">
        <f t="shared" si="157"/>
        <v>2027</v>
      </c>
    </row>
    <row r="2342" spans="1:18" hidden="1" x14ac:dyDescent="0.25">
      <c r="A2342" s="224"/>
      <c r="B2342" s="96">
        <v>46519</v>
      </c>
      <c r="C2342" s="52" t="s">
        <v>46</v>
      </c>
      <c r="D2342" s="53" t="s">
        <v>38</v>
      </c>
      <c r="E2342" s="53"/>
      <c r="F2342" s="54"/>
      <c r="G2342" s="53"/>
      <c r="H2342" s="53">
        <v>0</v>
      </c>
      <c r="I2342" s="53">
        <v>0</v>
      </c>
      <c r="J2342" s="53">
        <v>0</v>
      </c>
      <c r="K2342" s="55"/>
      <c r="L2342" s="55">
        <f t="shared" si="154"/>
        <v>0</v>
      </c>
      <c r="M2342" s="55">
        <v>0</v>
      </c>
      <c r="N2342" s="101">
        <f t="shared" si="155"/>
        <v>0</v>
      </c>
      <c r="O2342" s="57"/>
      <c r="P2342" s="145" t="str">
        <f t="shared" si="153"/>
        <v/>
      </c>
      <c r="Q2342" s="52">
        <f t="shared" si="156"/>
        <v>19</v>
      </c>
      <c r="R2342" s="8">
        <f t="shared" si="157"/>
        <v>2027</v>
      </c>
    </row>
    <row r="2343" spans="1:18" hidden="1" x14ac:dyDescent="0.25">
      <c r="A2343" s="224"/>
      <c r="B2343" s="96">
        <v>46520</v>
      </c>
      <c r="C2343" s="52" t="s">
        <v>50</v>
      </c>
      <c r="D2343" s="53" t="s">
        <v>38</v>
      </c>
      <c r="E2343" s="53"/>
      <c r="F2343" s="54"/>
      <c r="G2343" s="53"/>
      <c r="H2343" s="53">
        <v>0</v>
      </c>
      <c r="I2343" s="53">
        <v>0</v>
      </c>
      <c r="J2343" s="53">
        <v>0</v>
      </c>
      <c r="K2343" s="55"/>
      <c r="L2343" s="55">
        <f t="shared" si="154"/>
        <v>0</v>
      </c>
      <c r="M2343" s="55">
        <v>0</v>
      </c>
      <c r="N2343" s="101">
        <f t="shared" si="155"/>
        <v>0</v>
      </c>
      <c r="O2343" s="57"/>
      <c r="P2343" s="145" t="str">
        <f t="shared" si="153"/>
        <v/>
      </c>
      <c r="Q2343" s="52">
        <f t="shared" si="156"/>
        <v>19</v>
      </c>
      <c r="R2343" s="8">
        <f t="shared" si="157"/>
        <v>2027</v>
      </c>
    </row>
    <row r="2344" spans="1:18" hidden="1" x14ac:dyDescent="0.25">
      <c r="A2344" s="224"/>
      <c r="B2344" s="96">
        <v>46521</v>
      </c>
      <c r="C2344" s="52" t="s">
        <v>53</v>
      </c>
      <c r="D2344" s="53" t="s">
        <v>38</v>
      </c>
      <c r="E2344" s="53"/>
      <c r="F2344" s="54"/>
      <c r="G2344" s="53"/>
      <c r="H2344" s="53">
        <v>0</v>
      </c>
      <c r="I2344" s="53">
        <v>0</v>
      </c>
      <c r="J2344" s="53">
        <v>0</v>
      </c>
      <c r="K2344" s="55"/>
      <c r="L2344" s="55">
        <f t="shared" si="154"/>
        <v>0</v>
      </c>
      <c r="M2344" s="55">
        <v>0</v>
      </c>
      <c r="N2344" s="101">
        <f t="shared" si="155"/>
        <v>0</v>
      </c>
      <c r="O2344" s="57"/>
      <c r="P2344" s="145" t="str">
        <f t="shared" si="153"/>
        <v/>
      </c>
      <c r="Q2344" s="52">
        <f t="shared" si="156"/>
        <v>19</v>
      </c>
      <c r="R2344" s="8">
        <f t="shared" si="157"/>
        <v>2027</v>
      </c>
    </row>
    <row r="2345" spans="1:18" hidden="1" x14ac:dyDescent="0.25">
      <c r="A2345" s="224"/>
      <c r="B2345" s="97">
        <v>46522</v>
      </c>
      <c r="C2345" s="58" t="s">
        <v>57</v>
      </c>
      <c r="D2345" s="60" t="s">
        <v>38</v>
      </c>
      <c r="E2345" s="60"/>
      <c r="F2345" s="61"/>
      <c r="G2345" s="60"/>
      <c r="H2345" s="60">
        <v>0</v>
      </c>
      <c r="I2345" s="60">
        <v>0</v>
      </c>
      <c r="J2345" s="60">
        <v>0</v>
      </c>
      <c r="K2345" s="62"/>
      <c r="L2345" s="62">
        <f t="shared" si="154"/>
        <v>0</v>
      </c>
      <c r="M2345" s="62">
        <v>0</v>
      </c>
      <c r="N2345" s="102">
        <f t="shared" si="155"/>
        <v>0</v>
      </c>
      <c r="O2345" s="64"/>
      <c r="P2345" s="145" t="str">
        <f t="shared" si="153"/>
        <v/>
      </c>
      <c r="Q2345" s="52">
        <f t="shared" si="156"/>
        <v>19</v>
      </c>
      <c r="R2345" s="8">
        <f t="shared" si="157"/>
        <v>2027</v>
      </c>
    </row>
    <row r="2346" spans="1:18" ht="15.75" hidden="1" thickBot="1" x14ac:dyDescent="0.3">
      <c r="A2346" s="225"/>
      <c r="B2346" s="98">
        <v>46523</v>
      </c>
      <c r="C2346" s="66" t="s">
        <v>59</v>
      </c>
      <c r="D2346" s="67" t="s">
        <v>38</v>
      </c>
      <c r="E2346" s="67"/>
      <c r="F2346" s="68"/>
      <c r="G2346" s="67"/>
      <c r="H2346" s="67">
        <v>0</v>
      </c>
      <c r="I2346" s="67">
        <v>0</v>
      </c>
      <c r="J2346" s="67">
        <v>0</v>
      </c>
      <c r="K2346" s="69"/>
      <c r="L2346" s="69">
        <f t="shared" si="154"/>
        <v>0</v>
      </c>
      <c r="M2346" s="69">
        <v>0</v>
      </c>
      <c r="N2346" s="103">
        <f t="shared" si="155"/>
        <v>0</v>
      </c>
      <c r="O2346" s="71"/>
      <c r="P2346" s="145" t="str">
        <f t="shared" si="153"/>
        <v/>
      </c>
      <c r="Q2346" s="52">
        <f t="shared" si="156"/>
        <v>19</v>
      </c>
      <c r="R2346" s="8">
        <f t="shared" si="157"/>
        <v>2027</v>
      </c>
    </row>
    <row r="2347" spans="1:18" hidden="1" x14ac:dyDescent="0.25">
      <c r="A2347" s="223">
        <f>_xlfn.ISOWEEKNUM(B2347)</f>
        <v>20</v>
      </c>
      <c r="B2347" s="96">
        <v>46524</v>
      </c>
      <c r="C2347" s="72" t="s">
        <v>37</v>
      </c>
      <c r="D2347" s="41" t="s">
        <v>38</v>
      </c>
      <c r="E2347" s="41"/>
      <c r="F2347" s="43"/>
      <c r="G2347" s="41"/>
      <c r="H2347" s="41">
        <v>0</v>
      </c>
      <c r="I2347" s="41">
        <v>0</v>
      </c>
      <c r="J2347" s="41">
        <v>0</v>
      </c>
      <c r="K2347" s="73"/>
      <c r="L2347" s="73">
        <f t="shared" si="154"/>
        <v>0</v>
      </c>
      <c r="M2347" s="73">
        <v>0</v>
      </c>
      <c r="N2347" s="105">
        <f t="shared" si="155"/>
        <v>0</v>
      </c>
      <c r="O2347" s="46"/>
      <c r="P2347" s="145" t="str">
        <f t="shared" si="153"/>
        <v/>
      </c>
      <c r="Q2347" s="52">
        <f t="shared" si="156"/>
        <v>20</v>
      </c>
      <c r="R2347" s="8">
        <f t="shared" si="157"/>
        <v>2027</v>
      </c>
    </row>
    <row r="2348" spans="1:18" hidden="1" x14ac:dyDescent="0.25">
      <c r="A2348" s="224"/>
      <c r="B2348" s="96">
        <v>46525</v>
      </c>
      <c r="C2348" s="52" t="s">
        <v>42</v>
      </c>
      <c r="D2348" s="53" t="s">
        <v>38</v>
      </c>
      <c r="E2348" s="53"/>
      <c r="F2348" s="54"/>
      <c r="G2348" s="53"/>
      <c r="H2348" s="53">
        <v>0</v>
      </c>
      <c r="I2348" s="53">
        <v>0</v>
      </c>
      <c r="J2348" s="53">
        <v>0</v>
      </c>
      <c r="K2348" s="55"/>
      <c r="L2348" s="55">
        <f t="shared" si="154"/>
        <v>0</v>
      </c>
      <c r="M2348" s="55">
        <v>0</v>
      </c>
      <c r="N2348" s="101">
        <f t="shared" si="155"/>
        <v>0</v>
      </c>
      <c r="O2348" s="57"/>
      <c r="P2348" s="145" t="str">
        <f t="shared" si="153"/>
        <v/>
      </c>
      <c r="Q2348" s="52">
        <f t="shared" si="156"/>
        <v>20</v>
      </c>
      <c r="R2348" s="8">
        <f t="shared" si="157"/>
        <v>2027</v>
      </c>
    </row>
    <row r="2349" spans="1:18" hidden="1" x14ac:dyDescent="0.25">
      <c r="A2349" s="224"/>
      <c r="B2349" s="96">
        <v>46526</v>
      </c>
      <c r="C2349" s="52" t="s">
        <v>46</v>
      </c>
      <c r="D2349" s="53" t="s">
        <v>38</v>
      </c>
      <c r="E2349" s="53"/>
      <c r="F2349" s="54"/>
      <c r="G2349" s="53"/>
      <c r="H2349" s="53">
        <v>0</v>
      </c>
      <c r="I2349" s="53">
        <v>0</v>
      </c>
      <c r="J2349" s="53">
        <v>0</v>
      </c>
      <c r="K2349" s="55"/>
      <c r="L2349" s="55">
        <f t="shared" si="154"/>
        <v>0</v>
      </c>
      <c r="M2349" s="55">
        <v>0</v>
      </c>
      <c r="N2349" s="101">
        <f t="shared" si="155"/>
        <v>0</v>
      </c>
      <c r="O2349" s="57"/>
      <c r="P2349" s="145" t="str">
        <f t="shared" si="153"/>
        <v/>
      </c>
      <c r="Q2349" s="52">
        <f t="shared" si="156"/>
        <v>20</v>
      </c>
      <c r="R2349" s="8">
        <f t="shared" si="157"/>
        <v>2027</v>
      </c>
    </row>
    <row r="2350" spans="1:18" hidden="1" x14ac:dyDescent="0.25">
      <c r="A2350" s="224"/>
      <c r="B2350" s="96">
        <v>46527</v>
      </c>
      <c r="C2350" s="52" t="s">
        <v>50</v>
      </c>
      <c r="D2350" s="53" t="s">
        <v>38</v>
      </c>
      <c r="E2350" s="53"/>
      <c r="F2350" s="54"/>
      <c r="G2350" s="53"/>
      <c r="H2350" s="53">
        <v>0</v>
      </c>
      <c r="I2350" s="53">
        <v>0</v>
      </c>
      <c r="J2350" s="53">
        <v>0</v>
      </c>
      <c r="K2350" s="55"/>
      <c r="L2350" s="55">
        <f t="shared" si="154"/>
        <v>0</v>
      </c>
      <c r="M2350" s="55">
        <v>0</v>
      </c>
      <c r="N2350" s="101">
        <f t="shared" si="155"/>
        <v>0</v>
      </c>
      <c r="O2350" s="57"/>
      <c r="P2350" s="145" t="str">
        <f t="shared" si="153"/>
        <v/>
      </c>
      <c r="Q2350" s="52">
        <f t="shared" si="156"/>
        <v>20</v>
      </c>
      <c r="R2350" s="8">
        <f t="shared" si="157"/>
        <v>2027</v>
      </c>
    </row>
    <row r="2351" spans="1:18" hidden="1" x14ac:dyDescent="0.25">
      <c r="A2351" s="224"/>
      <c r="B2351" s="96">
        <v>46528</v>
      </c>
      <c r="C2351" s="52" t="s">
        <v>53</v>
      </c>
      <c r="D2351" s="53" t="s">
        <v>38</v>
      </c>
      <c r="E2351" s="53"/>
      <c r="F2351" s="54"/>
      <c r="G2351" s="53"/>
      <c r="H2351" s="53">
        <v>0</v>
      </c>
      <c r="I2351" s="53">
        <v>0</v>
      </c>
      <c r="J2351" s="53">
        <v>0</v>
      </c>
      <c r="K2351" s="55"/>
      <c r="L2351" s="55">
        <f t="shared" si="154"/>
        <v>0</v>
      </c>
      <c r="M2351" s="55">
        <v>0</v>
      </c>
      <c r="N2351" s="101">
        <f t="shared" si="155"/>
        <v>0</v>
      </c>
      <c r="O2351" s="57"/>
      <c r="P2351" s="145" t="str">
        <f t="shared" ref="P2351:P2414" si="158">E2351&amp;G2351</f>
        <v/>
      </c>
      <c r="Q2351" s="52">
        <f t="shared" si="156"/>
        <v>20</v>
      </c>
      <c r="R2351" s="8">
        <f t="shared" si="157"/>
        <v>2027</v>
      </c>
    </row>
    <row r="2352" spans="1:18" hidden="1" x14ac:dyDescent="0.25">
      <c r="A2352" s="224"/>
      <c r="B2352" s="97">
        <v>46529</v>
      </c>
      <c r="C2352" s="58" t="s">
        <v>57</v>
      </c>
      <c r="D2352" s="60" t="s">
        <v>38</v>
      </c>
      <c r="E2352" s="60"/>
      <c r="F2352" s="61"/>
      <c r="G2352" s="60"/>
      <c r="H2352" s="60">
        <v>0</v>
      </c>
      <c r="I2352" s="60">
        <v>0</v>
      </c>
      <c r="J2352" s="60">
        <v>0</v>
      </c>
      <c r="K2352" s="62"/>
      <c r="L2352" s="62">
        <f t="shared" si="154"/>
        <v>0</v>
      </c>
      <c r="M2352" s="62">
        <v>0</v>
      </c>
      <c r="N2352" s="102">
        <f t="shared" si="155"/>
        <v>0</v>
      </c>
      <c r="O2352" s="64"/>
      <c r="P2352" s="145" t="str">
        <f t="shared" si="158"/>
        <v/>
      </c>
      <c r="Q2352" s="52">
        <f t="shared" si="156"/>
        <v>20</v>
      </c>
      <c r="R2352" s="8">
        <f t="shared" si="157"/>
        <v>2027</v>
      </c>
    </row>
    <row r="2353" spans="1:18" ht="15.75" hidden="1" thickBot="1" x14ac:dyDescent="0.3">
      <c r="A2353" s="225"/>
      <c r="B2353" s="98">
        <v>46530</v>
      </c>
      <c r="C2353" s="66" t="s">
        <v>59</v>
      </c>
      <c r="D2353" s="67" t="s">
        <v>38</v>
      </c>
      <c r="E2353" s="67"/>
      <c r="F2353" s="68"/>
      <c r="G2353" s="67"/>
      <c r="H2353" s="67">
        <v>0</v>
      </c>
      <c r="I2353" s="67">
        <v>0</v>
      </c>
      <c r="J2353" s="67">
        <v>0</v>
      </c>
      <c r="K2353" s="69"/>
      <c r="L2353" s="69">
        <f t="shared" si="154"/>
        <v>0</v>
      </c>
      <c r="M2353" s="69">
        <v>0</v>
      </c>
      <c r="N2353" s="103">
        <f t="shared" si="155"/>
        <v>0</v>
      </c>
      <c r="O2353" s="71"/>
      <c r="P2353" s="145" t="str">
        <f t="shared" si="158"/>
        <v/>
      </c>
      <c r="Q2353" s="52">
        <f t="shared" si="156"/>
        <v>20</v>
      </c>
      <c r="R2353" s="8">
        <f t="shared" si="157"/>
        <v>2027</v>
      </c>
    </row>
    <row r="2354" spans="1:18" hidden="1" x14ac:dyDescent="0.25">
      <c r="A2354" s="223">
        <f>_xlfn.ISOWEEKNUM(B2354)</f>
        <v>21</v>
      </c>
      <c r="B2354" s="96">
        <v>46531</v>
      </c>
      <c r="C2354" s="72" t="s">
        <v>37</v>
      </c>
      <c r="D2354" s="41" t="s">
        <v>38</v>
      </c>
      <c r="E2354" s="41"/>
      <c r="F2354" s="43"/>
      <c r="G2354" s="41"/>
      <c r="H2354" s="41">
        <v>0</v>
      </c>
      <c r="I2354" s="41">
        <v>0</v>
      </c>
      <c r="J2354" s="41">
        <v>0</v>
      </c>
      <c r="K2354" s="73"/>
      <c r="L2354" s="73">
        <f t="shared" si="154"/>
        <v>0</v>
      </c>
      <c r="M2354" s="73">
        <v>0</v>
      </c>
      <c r="N2354" s="105">
        <f t="shared" si="155"/>
        <v>0</v>
      </c>
      <c r="O2354" s="46"/>
      <c r="P2354" s="145" t="str">
        <f t="shared" si="158"/>
        <v/>
      </c>
      <c r="Q2354" s="52">
        <f t="shared" si="156"/>
        <v>21</v>
      </c>
      <c r="R2354" s="8">
        <f t="shared" si="157"/>
        <v>2027</v>
      </c>
    </row>
    <row r="2355" spans="1:18" hidden="1" x14ac:dyDescent="0.25">
      <c r="A2355" s="224"/>
      <c r="B2355" s="96">
        <v>46532</v>
      </c>
      <c r="C2355" s="52" t="s">
        <v>42</v>
      </c>
      <c r="D2355" s="53" t="s">
        <v>38</v>
      </c>
      <c r="E2355" s="53"/>
      <c r="F2355" s="54"/>
      <c r="G2355" s="53"/>
      <c r="H2355" s="53">
        <v>0</v>
      </c>
      <c r="I2355" s="53">
        <v>0</v>
      </c>
      <c r="J2355" s="53">
        <v>0</v>
      </c>
      <c r="K2355" s="55"/>
      <c r="L2355" s="55">
        <f t="shared" si="154"/>
        <v>0</v>
      </c>
      <c r="M2355" s="55">
        <v>0</v>
      </c>
      <c r="N2355" s="101">
        <f t="shared" si="155"/>
        <v>0</v>
      </c>
      <c r="O2355" s="57"/>
      <c r="P2355" s="145" t="str">
        <f t="shared" si="158"/>
        <v/>
      </c>
      <c r="Q2355" s="52">
        <f t="shared" si="156"/>
        <v>21</v>
      </c>
      <c r="R2355" s="8">
        <f t="shared" si="157"/>
        <v>2027</v>
      </c>
    </row>
    <row r="2356" spans="1:18" hidden="1" x14ac:dyDescent="0.25">
      <c r="A2356" s="224"/>
      <c r="B2356" s="96">
        <v>46533</v>
      </c>
      <c r="C2356" s="52" t="s">
        <v>46</v>
      </c>
      <c r="D2356" s="53" t="s">
        <v>38</v>
      </c>
      <c r="E2356" s="53"/>
      <c r="F2356" s="54"/>
      <c r="G2356" s="53"/>
      <c r="H2356" s="53">
        <v>0</v>
      </c>
      <c r="I2356" s="53">
        <v>0</v>
      </c>
      <c r="J2356" s="53">
        <v>0</v>
      </c>
      <c r="K2356" s="55"/>
      <c r="L2356" s="55">
        <f t="shared" si="154"/>
        <v>0</v>
      </c>
      <c r="M2356" s="55">
        <v>0</v>
      </c>
      <c r="N2356" s="101">
        <f t="shared" si="155"/>
        <v>0</v>
      </c>
      <c r="O2356" s="57"/>
      <c r="P2356" s="145" t="str">
        <f t="shared" si="158"/>
        <v/>
      </c>
      <c r="Q2356" s="52">
        <f t="shared" si="156"/>
        <v>21</v>
      </c>
      <c r="R2356" s="8">
        <f t="shared" si="157"/>
        <v>2027</v>
      </c>
    </row>
    <row r="2357" spans="1:18" hidden="1" x14ac:dyDescent="0.25">
      <c r="A2357" s="224"/>
      <c r="B2357" s="96">
        <v>46534</v>
      </c>
      <c r="C2357" s="52" t="s">
        <v>50</v>
      </c>
      <c r="D2357" s="53" t="s">
        <v>38</v>
      </c>
      <c r="E2357" s="53"/>
      <c r="F2357" s="54"/>
      <c r="G2357" s="53"/>
      <c r="H2357" s="53">
        <v>0</v>
      </c>
      <c r="I2357" s="53">
        <v>0</v>
      </c>
      <c r="J2357" s="53">
        <v>0</v>
      </c>
      <c r="K2357" s="55"/>
      <c r="L2357" s="55">
        <f t="shared" si="154"/>
        <v>0</v>
      </c>
      <c r="M2357" s="55">
        <v>0</v>
      </c>
      <c r="N2357" s="101">
        <f t="shared" si="155"/>
        <v>0</v>
      </c>
      <c r="O2357" s="57"/>
      <c r="P2357" s="145" t="str">
        <f t="shared" si="158"/>
        <v/>
      </c>
      <c r="Q2357" s="52">
        <f t="shared" si="156"/>
        <v>21</v>
      </c>
      <c r="R2357" s="8">
        <f t="shared" si="157"/>
        <v>2027</v>
      </c>
    </row>
    <row r="2358" spans="1:18" hidden="1" x14ac:dyDescent="0.25">
      <c r="A2358" s="224"/>
      <c r="B2358" s="96">
        <v>46535</v>
      </c>
      <c r="C2358" s="52" t="s">
        <v>53</v>
      </c>
      <c r="D2358" s="53" t="s">
        <v>38</v>
      </c>
      <c r="E2358" s="53"/>
      <c r="F2358" s="54"/>
      <c r="G2358" s="53"/>
      <c r="H2358" s="53">
        <v>0</v>
      </c>
      <c r="I2358" s="53">
        <v>0</v>
      </c>
      <c r="J2358" s="53">
        <v>0</v>
      </c>
      <c r="K2358" s="55"/>
      <c r="L2358" s="55">
        <f t="shared" ref="L2358:L2421" si="159">+I2358*K2358</f>
        <v>0</v>
      </c>
      <c r="M2358" s="55">
        <v>0</v>
      </c>
      <c r="N2358" s="101">
        <f t="shared" ref="N2358:N2421" si="160">+L2358*(1-M2358)</f>
        <v>0</v>
      </c>
      <c r="O2358" s="57"/>
      <c r="P2358" s="145" t="str">
        <f t="shared" si="158"/>
        <v/>
      </c>
      <c r="Q2358" s="52">
        <f t="shared" si="156"/>
        <v>21</v>
      </c>
      <c r="R2358" s="8">
        <f t="shared" si="157"/>
        <v>2027</v>
      </c>
    </row>
    <row r="2359" spans="1:18" hidden="1" x14ac:dyDescent="0.25">
      <c r="A2359" s="224"/>
      <c r="B2359" s="97">
        <v>46536</v>
      </c>
      <c r="C2359" s="58" t="s">
        <v>57</v>
      </c>
      <c r="D2359" s="60" t="s">
        <v>38</v>
      </c>
      <c r="E2359" s="60"/>
      <c r="F2359" s="61"/>
      <c r="G2359" s="60"/>
      <c r="H2359" s="60">
        <v>0</v>
      </c>
      <c r="I2359" s="60">
        <v>0</v>
      </c>
      <c r="J2359" s="60">
        <v>0</v>
      </c>
      <c r="K2359" s="62"/>
      <c r="L2359" s="62">
        <f t="shared" si="159"/>
        <v>0</v>
      </c>
      <c r="M2359" s="62">
        <v>0</v>
      </c>
      <c r="N2359" s="102">
        <f t="shared" si="160"/>
        <v>0</v>
      </c>
      <c r="O2359" s="64"/>
      <c r="P2359" s="145" t="str">
        <f t="shared" si="158"/>
        <v/>
      </c>
      <c r="Q2359" s="52">
        <f t="shared" si="156"/>
        <v>21</v>
      </c>
      <c r="R2359" s="8">
        <f t="shared" si="157"/>
        <v>2027</v>
      </c>
    </row>
    <row r="2360" spans="1:18" ht="15.75" hidden="1" thickBot="1" x14ac:dyDescent="0.3">
      <c r="A2360" s="225"/>
      <c r="B2360" s="98">
        <v>46537</v>
      </c>
      <c r="C2360" s="66" t="s">
        <v>59</v>
      </c>
      <c r="D2360" s="67" t="s">
        <v>38</v>
      </c>
      <c r="E2360" s="67"/>
      <c r="F2360" s="68"/>
      <c r="G2360" s="67"/>
      <c r="H2360" s="67">
        <v>0</v>
      </c>
      <c r="I2360" s="67">
        <v>0</v>
      </c>
      <c r="J2360" s="67">
        <v>0</v>
      </c>
      <c r="K2360" s="69"/>
      <c r="L2360" s="69">
        <f t="shared" si="159"/>
        <v>0</v>
      </c>
      <c r="M2360" s="69">
        <v>0</v>
      </c>
      <c r="N2360" s="103">
        <f t="shared" si="160"/>
        <v>0</v>
      </c>
      <c r="O2360" s="71"/>
      <c r="P2360" s="145" t="str">
        <f t="shared" si="158"/>
        <v/>
      </c>
      <c r="Q2360" s="52">
        <f t="shared" si="156"/>
        <v>21</v>
      </c>
      <c r="R2360" s="8">
        <f t="shared" si="157"/>
        <v>2027</v>
      </c>
    </row>
    <row r="2361" spans="1:18" hidden="1" x14ac:dyDescent="0.25">
      <c r="A2361" s="223">
        <f>_xlfn.ISOWEEKNUM(B2361)</f>
        <v>22</v>
      </c>
      <c r="B2361" s="96">
        <v>46538</v>
      </c>
      <c r="C2361" s="72" t="s">
        <v>37</v>
      </c>
      <c r="D2361" s="41" t="s">
        <v>38</v>
      </c>
      <c r="E2361" s="41"/>
      <c r="F2361" s="43"/>
      <c r="G2361" s="41"/>
      <c r="H2361" s="41">
        <v>0</v>
      </c>
      <c r="I2361" s="41">
        <v>0</v>
      </c>
      <c r="J2361" s="41">
        <v>0</v>
      </c>
      <c r="K2361" s="73"/>
      <c r="L2361" s="73">
        <f t="shared" si="159"/>
        <v>0</v>
      </c>
      <c r="M2361" s="73">
        <v>0</v>
      </c>
      <c r="N2361" s="105">
        <f t="shared" si="160"/>
        <v>0</v>
      </c>
      <c r="O2361" s="46"/>
      <c r="P2361" s="145" t="str">
        <f t="shared" si="158"/>
        <v/>
      </c>
      <c r="Q2361" s="52">
        <f t="shared" si="156"/>
        <v>22</v>
      </c>
      <c r="R2361" s="8">
        <f t="shared" si="157"/>
        <v>2027</v>
      </c>
    </row>
    <row r="2362" spans="1:18" hidden="1" x14ac:dyDescent="0.25">
      <c r="A2362" s="224"/>
      <c r="B2362" s="96">
        <v>46539</v>
      </c>
      <c r="C2362" s="52" t="s">
        <v>42</v>
      </c>
      <c r="D2362" s="53" t="s">
        <v>38</v>
      </c>
      <c r="E2362" s="53"/>
      <c r="F2362" s="54"/>
      <c r="G2362" s="53"/>
      <c r="H2362" s="53">
        <v>0</v>
      </c>
      <c r="I2362" s="53">
        <v>0</v>
      </c>
      <c r="J2362" s="53">
        <v>0</v>
      </c>
      <c r="K2362" s="55"/>
      <c r="L2362" s="55">
        <f t="shared" si="159"/>
        <v>0</v>
      </c>
      <c r="M2362" s="55">
        <v>0</v>
      </c>
      <c r="N2362" s="101">
        <f t="shared" si="160"/>
        <v>0</v>
      </c>
      <c r="O2362" s="57"/>
      <c r="P2362" s="145" t="str">
        <f t="shared" si="158"/>
        <v/>
      </c>
      <c r="Q2362" s="52">
        <f t="shared" si="156"/>
        <v>22</v>
      </c>
      <c r="R2362" s="8">
        <f t="shared" si="157"/>
        <v>2027</v>
      </c>
    </row>
    <row r="2363" spans="1:18" hidden="1" x14ac:dyDescent="0.25">
      <c r="A2363" s="224"/>
      <c r="B2363" s="96">
        <v>46540</v>
      </c>
      <c r="C2363" s="52" t="s">
        <v>46</v>
      </c>
      <c r="D2363" s="53" t="s">
        <v>38</v>
      </c>
      <c r="E2363" s="53"/>
      <c r="F2363" s="54"/>
      <c r="G2363" s="53"/>
      <c r="H2363" s="53">
        <v>0</v>
      </c>
      <c r="I2363" s="53">
        <v>0</v>
      </c>
      <c r="J2363" s="53">
        <v>0</v>
      </c>
      <c r="K2363" s="55"/>
      <c r="L2363" s="55">
        <f t="shared" si="159"/>
        <v>0</v>
      </c>
      <c r="M2363" s="55">
        <v>0</v>
      </c>
      <c r="N2363" s="101">
        <f t="shared" si="160"/>
        <v>0</v>
      </c>
      <c r="O2363" s="57"/>
      <c r="P2363" s="145" t="str">
        <f t="shared" si="158"/>
        <v/>
      </c>
      <c r="Q2363" s="52">
        <f t="shared" si="156"/>
        <v>22</v>
      </c>
      <c r="R2363" s="8">
        <f t="shared" si="157"/>
        <v>2027</v>
      </c>
    </row>
    <row r="2364" spans="1:18" hidden="1" x14ac:dyDescent="0.25">
      <c r="A2364" s="224"/>
      <c r="B2364" s="96">
        <v>46541</v>
      </c>
      <c r="C2364" s="52" t="s">
        <v>50</v>
      </c>
      <c r="D2364" s="53" t="s">
        <v>38</v>
      </c>
      <c r="E2364" s="53"/>
      <c r="F2364" s="54"/>
      <c r="G2364" s="53"/>
      <c r="H2364" s="53">
        <v>0</v>
      </c>
      <c r="I2364" s="53">
        <v>0</v>
      </c>
      <c r="J2364" s="53">
        <v>0</v>
      </c>
      <c r="K2364" s="55"/>
      <c r="L2364" s="55">
        <f t="shared" si="159"/>
        <v>0</v>
      </c>
      <c r="M2364" s="55">
        <v>0</v>
      </c>
      <c r="N2364" s="101">
        <f t="shared" si="160"/>
        <v>0</v>
      </c>
      <c r="O2364" s="57"/>
      <c r="P2364" s="145" t="str">
        <f t="shared" si="158"/>
        <v/>
      </c>
      <c r="Q2364" s="52">
        <f t="shared" si="156"/>
        <v>22</v>
      </c>
      <c r="R2364" s="8">
        <f t="shared" si="157"/>
        <v>2027</v>
      </c>
    </row>
    <row r="2365" spans="1:18" hidden="1" x14ac:dyDescent="0.25">
      <c r="A2365" s="224"/>
      <c r="B2365" s="96">
        <v>46542</v>
      </c>
      <c r="C2365" s="52" t="s">
        <v>53</v>
      </c>
      <c r="D2365" s="53" t="s">
        <v>38</v>
      </c>
      <c r="E2365" s="53"/>
      <c r="F2365" s="54"/>
      <c r="G2365" s="53"/>
      <c r="H2365" s="53">
        <v>0</v>
      </c>
      <c r="I2365" s="53">
        <v>0</v>
      </c>
      <c r="J2365" s="53">
        <v>0</v>
      </c>
      <c r="K2365" s="55"/>
      <c r="L2365" s="55">
        <f t="shared" si="159"/>
        <v>0</v>
      </c>
      <c r="M2365" s="55">
        <v>0</v>
      </c>
      <c r="N2365" s="101">
        <f t="shared" si="160"/>
        <v>0</v>
      </c>
      <c r="O2365" s="57"/>
      <c r="P2365" s="145" t="str">
        <f t="shared" si="158"/>
        <v/>
      </c>
      <c r="Q2365" s="52">
        <f t="shared" si="156"/>
        <v>22</v>
      </c>
      <c r="R2365" s="8">
        <f t="shared" si="157"/>
        <v>2027</v>
      </c>
    </row>
    <row r="2366" spans="1:18" hidden="1" x14ac:dyDescent="0.25">
      <c r="A2366" s="224"/>
      <c r="B2366" s="97">
        <v>46543</v>
      </c>
      <c r="C2366" s="58" t="s">
        <v>57</v>
      </c>
      <c r="D2366" s="60" t="s">
        <v>38</v>
      </c>
      <c r="E2366" s="60"/>
      <c r="F2366" s="61"/>
      <c r="G2366" s="60"/>
      <c r="H2366" s="60">
        <v>0</v>
      </c>
      <c r="I2366" s="60">
        <v>0</v>
      </c>
      <c r="J2366" s="60">
        <v>0</v>
      </c>
      <c r="K2366" s="62"/>
      <c r="L2366" s="62">
        <f t="shared" si="159"/>
        <v>0</v>
      </c>
      <c r="M2366" s="62">
        <v>0</v>
      </c>
      <c r="N2366" s="102">
        <f t="shared" si="160"/>
        <v>0</v>
      </c>
      <c r="O2366" s="64"/>
      <c r="P2366" s="145" t="str">
        <f t="shared" si="158"/>
        <v/>
      </c>
      <c r="Q2366" s="52">
        <f t="shared" si="156"/>
        <v>22</v>
      </c>
      <c r="R2366" s="8">
        <f t="shared" si="157"/>
        <v>2027</v>
      </c>
    </row>
    <row r="2367" spans="1:18" ht="15.75" hidden="1" thickBot="1" x14ac:dyDescent="0.3">
      <c r="A2367" s="225"/>
      <c r="B2367" s="98">
        <v>46544</v>
      </c>
      <c r="C2367" s="66" t="s">
        <v>59</v>
      </c>
      <c r="D2367" s="67" t="s">
        <v>38</v>
      </c>
      <c r="E2367" s="67"/>
      <c r="F2367" s="68"/>
      <c r="G2367" s="67"/>
      <c r="H2367" s="67">
        <v>0</v>
      </c>
      <c r="I2367" s="67">
        <v>0</v>
      </c>
      <c r="J2367" s="67">
        <v>0</v>
      </c>
      <c r="K2367" s="69"/>
      <c r="L2367" s="69">
        <f t="shared" si="159"/>
        <v>0</v>
      </c>
      <c r="M2367" s="69">
        <v>0</v>
      </c>
      <c r="N2367" s="103">
        <f t="shared" si="160"/>
        <v>0</v>
      </c>
      <c r="O2367" s="71"/>
      <c r="P2367" s="145" t="str">
        <f t="shared" si="158"/>
        <v/>
      </c>
      <c r="Q2367" s="52">
        <f t="shared" si="156"/>
        <v>22</v>
      </c>
      <c r="R2367" s="8">
        <f t="shared" si="157"/>
        <v>2027</v>
      </c>
    </row>
    <row r="2368" spans="1:18" hidden="1" x14ac:dyDescent="0.25">
      <c r="A2368" s="223">
        <f>_xlfn.ISOWEEKNUM(B2368)</f>
        <v>23</v>
      </c>
      <c r="B2368" s="96">
        <v>46545</v>
      </c>
      <c r="C2368" s="72" t="s">
        <v>37</v>
      </c>
      <c r="D2368" s="41" t="s">
        <v>38</v>
      </c>
      <c r="E2368" s="41"/>
      <c r="F2368" s="43"/>
      <c r="G2368" s="41"/>
      <c r="H2368" s="41">
        <v>0</v>
      </c>
      <c r="I2368" s="41">
        <v>0</v>
      </c>
      <c r="J2368" s="41">
        <v>0</v>
      </c>
      <c r="K2368" s="73"/>
      <c r="L2368" s="73">
        <f t="shared" si="159"/>
        <v>0</v>
      </c>
      <c r="M2368" s="73">
        <v>0</v>
      </c>
      <c r="N2368" s="105">
        <f t="shared" si="160"/>
        <v>0</v>
      </c>
      <c r="O2368" s="46"/>
      <c r="P2368" s="145" t="str">
        <f t="shared" si="158"/>
        <v/>
      </c>
      <c r="Q2368" s="52">
        <f t="shared" si="156"/>
        <v>23</v>
      </c>
      <c r="R2368" s="8">
        <f t="shared" si="157"/>
        <v>2027</v>
      </c>
    </row>
    <row r="2369" spans="1:18" hidden="1" x14ac:dyDescent="0.25">
      <c r="A2369" s="224"/>
      <c r="B2369" s="96">
        <v>46546</v>
      </c>
      <c r="C2369" s="52" t="s">
        <v>42</v>
      </c>
      <c r="D2369" s="53" t="s">
        <v>38</v>
      </c>
      <c r="E2369" s="53"/>
      <c r="F2369" s="54"/>
      <c r="G2369" s="53"/>
      <c r="H2369" s="53">
        <v>0</v>
      </c>
      <c r="I2369" s="53">
        <v>0</v>
      </c>
      <c r="J2369" s="53">
        <v>0</v>
      </c>
      <c r="K2369" s="55"/>
      <c r="L2369" s="55">
        <f t="shared" si="159"/>
        <v>0</v>
      </c>
      <c r="M2369" s="55">
        <v>0</v>
      </c>
      <c r="N2369" s="101">
        <f t="shared" si="160"/>
        <v>0</v>
      </c>
      <c r="O2369" s="57"/>
      <c r="P2369" s="145" t="str">
        <f t="shared" si="158"/>
        <v/>
      </c>
      <c r="Q2369" s="52">
        <f t="shared" si="156"/>
        <v>23</v>
      </c>
      <c r="R2369" s="8">
        <f t="shared" si="157"/>
        <v>2027</v>
      </c>
    </row>
    <row r="2370" spans="1:18" hidden="1" x14ac:dyDescent="0.25">
      <c r="A2370" s="224"/>
      <c r="B2370" s="96">
        <v>46547</v>
      </c>
      <c r="C2370" s="52" t="s">
        <v>46</v>
      </c>
      <c r="D2370" s="53" t="s">
        <v>38</v>
      </c>
      <c r="E2370" s="53"/>
      <c r="F2370" s="54"/>
      <c r="G2370" s="53"/>
      <c r="H2370" s="53">
        <v>0</v>
      </c>
      <c r="I2370" s="53">
        <v>0</v>
      </c>
      <c r="J2370" s="53">
        <v>0</v>
      </c>
      <c r="K2370" s="55"/>
      <c r="L2370" s="55">
        <f t="shared" si="159"/>
        <v>0</v>
      </c>
      <c r="M2370" s="55">
        <v>0</v>
      </c>
      <c r="N2370" s="101">
        <f t="shared" si="160"/>
        <v>0</v>
      </c>
      <c r="O2370" s="57"/>
      <c r="P2370" s="145" t="str">
        <f t="shared" si="158"/>
        <v/>
      </c>
      <c r="Q2370" s="52">
        <f t="shared" si="156"/>
        <v>23</v>
      </c>
      <c r="R2370" s="8">
        <f t="shared" si="157"/>
        <v>2027</v>
      </c>
    </row>
    <row r="2371" spans="1:18" hidden="1" x14ac:dyDescent="0.25">
      <c r="A2371" s="224"/>
      <c r="B2371" s="96">
        <v>46548</v>
      </c>
      <c r="C2371" s="52" t="s">
        <v>50</v>
      </c>
      <c r="D2371" s="53" t="s">
        <v>38</v>
      </c>
      <c r="E2371" s="53"/>
      <c r="F2371" s="54"/>
      <c r="G2371" s="53"/>
      <c r="H2371" s="53">
        <v>0</v>
      </c>
      <c r="I2371" s="53">
        <v>0</v>
      </c>
      <c r="J2371" s="53">
        <v>0</v>
      </c>
      <c r="K2371" s="55"/>
      <c r="L2371" s="55">
        <f t="shared" si="159"/>
        <v>0</v>
      </c>
      <c r="M2371" s="55">
        <v>0</v>
      </c>
      <c r="N2371" s="101">
        <f t="shared" si="160"/>
        <v>0</v>
      </c>
      <c r="O2371" s="57"/>
      <c r="P2371" s="145" t="str">
        <f t="shared" si="158"/>
        <v/>
      </c>
      <c r="Q2371" s="52">
        <f t="shared" si="156"/>
        <v>23</v>
      </c>
      <c r="R2371" s="8">
        <f t="shared" si="157"/>
        <v>2027</v>
      </c>
    </row>
    <row r="2372" spans="1:18" hidden="1" x14ac:dyDescent="0.25">
      <c r="A2372" s="224"/>
      <c r="B2372" s="96">
        <v>46549</v>
      </c>
      <c r="C2372" s="52" t="s">
        <v>53</v>
      </c>
      <c r="D2372" s="53" t="s">
        <v>38</v>
      </c>
      <c r="E2372" s="53"/>
      <c r="F2372" s="54"/>
      <c r="G2372" s="53"/>
      <c r="H2372" s="53">
        <v>0</v>
      </c>
      <c r="I2372" s="53">
        <v>0</v>
      </c>
      <c r="J2372" s="53">
        <v>0</v>
      </c>
      <c r="K2372" s="55"/>
      <c r="L2372" s="55">
        <f t="shared" si="159"/>
        <v>0</v>
      </c>
      <c r="M2372" s="55">
        <v>0</v>
      </c>
      <c r="N2372" s="101">
        <f t="shared" si="160"/>
        <v>0</v>
      </c>
      <c r="O2372" s="57"/>
      <c r="P2372" s="145" t="str">
        <f t="shared" si="158"/>
        <v/>
      </c>
      <c r="Q2372" s="52">
        <f t="shared" si="156"/>
        <v>23</v>
      </c>
      <c r="R2372" s="8">
        <f t="shared" si="157"/>
        <v>2027</v>
      </c>
    </row>
    <row r="2373" spans="1:18" hidden="1" x14ac:dyDescent="0.25">
      <c r="A2373" s="224"/>
      <c r="B2373" s="97">
        <v>46550</v>
      </c>
      <c r="C2373" s="58" t="s">
        <v>57</v>
      </c>
      <c r="D2373" s="60" t="s">
        <v>38</v>
      </c>
      <c r="E2373" s="60"/>
      <c r="F2373" s="61"/>
      <c r="G2373" s="60"/>
      <c r="H2373" s="60">
        <v>0</v>
      </c>
      <c r="I2373" s="60">
        <v>0</v>
      </c>
      <c r="J2373" s="60">
        <v>0</v>
      </c>
      <c r="K2373" s="62"/>
      <c r="L2373" s="62">
        <f t="shared" si="159"/>
        <v>0</v>
      </c>
      <c r="M2373" s="62">
        <v>0</v>
      </c>
      <c r="N2373" s="102">
        <f t="shared" si="160"/>
        <v>0</v>
      </c>
      <c r="O2373" s="64"/>
      <c r="P2373" s="145" t="str">
        <f t="shared" si="158"/>
        <v/>
      </c>
      <c r="Q2373" s="52">
        <f t="shared" si="156"/>
        <v>23</v>
      </c>
      <c r="R2373" s="8">
        <f t="shared" si="157"/>
        <v>2027</v>
      </c>
    </row>
    <row r="2374" spans="1:18" ht="15.75" hidden="1" thickBot="1" x14ac:dyDescent="0.3">
      <c r="A2374" s="225"/>
      <c r="B2374" s="98">
        <v>46551</v>
      </c>
      <c r="C2374" s="66" t="s">
        <v>59</v>
      </c>
      <c r="D2374" s="67" t="s">
        <v>38</v>
      </c>
      <c r="E2374" s="67"/>
      <c r="F2374" s="68"/>
      <c r="G2374" s="67"/>
      <c r="H2374" s="67">
        <v>0</v>
      </c>
      <c r="I2374" s="67">
        <v>0</v>
      </c>
      <c r="J2374" s="67">
        <v>0</v>
      </c>
      <c r="K2374" s="69"/>
      <c r="L2374" s="69">
        <f t="shared" si="159"/>
        <v>0</v>
      </c>
      <c r="M2374" s="69">
        <v>0</v>
      </c>
      <c r="N2374" s="103">
        <f t="shared" si="160"/>
        <v>0</v>
      </c>
      <c r="O2374" s="71"/>
      <c r="P2374" s="145" t="str">
        <f t="shared" si="158"/>
        <v/>
      </c>
      <c r="Q2374" s="52">
        <f t="shared" si="156"/>
        <v>23</v>
      </c>
      <c r="R2374" s="8">
        <f t="shared" si="157"/>
        <v>2027</v>
      </c>
    </row>
    <row r="2375" spans="1:18" hidden="1" x14ac:dyDescent="0.25">
      <c r="A2375" s="223">
        <f>_xlfn.ISOWEEKNUM(B2375)</f>
        <v>24</v>
      </c>
      <c r="B2375" s="96">
        <v>46552</v>
      </c>
      <c r="C2375" s="72" t="s">
        <v>37</v>
      </c>
      <c r="D2375" s="41" t="s">
        <v>38</v>
      </c>
      <c r="E2375" s="41"/>
      <c r="F2375" s="43"/>
      <c r="G2375" s="41"/>
      <c r="H2375" s="41">
        <v>0</v>
      </c>
      <c r="I2375" s="41">
        <v>0</v>
      </c>
      <c r="J2375" s="41">
        <v>0</v>
      </c>
      <c r="K2375" s="73"/>
      <c r="L2375" s="73">
        <f t="shared" si="159"/>
        <v>0</v>
      </c>
      <c r="M2375" s="73">
        <v>0</v>
      </c>
      <c r="N2375" s="105">
        <f t="shared" si="160"/>
        <v>0</v>
      </c>
      <c r="O2375" s="46"/>
      <c r="P2375" s="145" t="str">
        <f t="shared" si="158"/>
        <v/>
      </c>
      <c r="Q2375" s="52">
        <f t="shared" si="156"/>
        <v>24</v>
      </c>
      <c r="R2375" s="8">
        <f t="shared" si="157"/>
        <v>2027</v>
      </c>
    </row>
    <row r="2376" spans="1:18" hidden="1" x14ac:dyDescent="0.25">
      <c r="A2376" s="224"/>
      <c r="B2376" s="96">
        <v>46553</v>
      </c>
      <c r="C2376" s="52" t="s">
        <v>42</v>
      </c>
      <c r="D2376" s="53" t="s">
        <v>38</v>
      </c>
      <c r="E2376" s="53"/>
      <c r="F2376" s="54"/>
      <c r="G2376" s="53"/>
      <c r="H2376" s="53">
        <v>0</v>
      </c>
      <c r="I2376" s="53">
        <v>0</v>
      </c>
      <c r="J2376" s="53">
        <v>0</v>
      </c>
      <c r="K2376" s="55"/>
      <c r="L2376" s="55">
        <f t="shared" si="159"/>
        <v>0</v>
      </c>
      <c r="M2376" s="55">
        <v>0</v>
      </c>
      <c r="N2376" s="101">
        <f t="shared" si="160"/>
        <v>0</v>
      </c>
      <c r="O2376" s="57"/>
      <c r="P2376" s="145" t="str">
        <f t="shared" si="158"/>
        <v/>
      </c>
      <c r="Q2376" s="52">
        <f t="shared" si="156"/>
        <v>24</v>
      </c>
      <c r="R2376" s="8">
        <f t="shared" si="157"/>
        <v>2027</v>
      </c>
    </row>
    <row r="2377" spans="1:18" hidden="1" x14ac:dyDescent="0.25">
      <c r="A2377" s="224"/>
      <c r="B2377" s="96">
        <v>46554</v>
      </c>
      <c r="C2377" s="52" t="s">
        <v>46</v>
      </c>
      <c r="D2377" s="53" t="s">
        <v>38</v>
      </c>
      <c r="E2377" s="53"/>
      <c r="F2377" s="54"/>
      <c r="G2377" s="53"/>
      <c r="H2377" s="53">
        <v>0</v>
      </c>
      <c r="I2377" s="53">
        <v>0</v>
      </c>
      <c r="J2377" s="53">
        <v>0</v>
      </c>
      <c r="K2377" s="55"/>
      <c r="L2377" s="55">
        <f t="shared" si="159"/>
        <v>0</v>
      </c>
      <c r="M2377" s="55">
        <v>0</v>
      </c>
      <c r="N2377" s="101">
        <f t="shared" si="160"/>
        <v>0</v>
      </c>
      <c r="O2377" s="57"/>
      <c r="P2377" s="145" t="str">
        <f t="shared" si="158"/>
        <v/>
      </c>
      <c r="Q2377" s="52">
        <f t="shared" ref="Q2377:Q2440" si="161">_xlfn.ISOWEEKNUM(B2377)</f>
        <v>24</v>
      </c>
      <c r="R2377" s="8">
        <f t="shared" ref="R2377:R2440" si="162">YEAR(B2377)</f>
        <v>2027</v>
      </c>
    </row>
    <row r="2378" spans="1:18" hidden="1" x14ac:dyDescent="0.25">
      <c r="A2378" s="224"/>
      <c r="B2378" s="96">
        <v>46555</v>
      </c>
      <c r="C2378" s="52" t="s">
        <v>50</v>
      </c>
      <c r="D2378" s="53" t="s">
        <v>38</v>
      </c>
      <c r="E2378" s="53"/>
      <c r="F2378" s="54"/>
      <c r="G2378" s="53"/>
      <c r="H2378" s="53">
        <v>0</v>
      </c>
      <c r="I2378" s="53">
        <v>0</v>
      </c>
      <c r="J2378" s="53">
        <v>0</v>
      </c>
      <c r="K2378" s="55"/>
      <c r="L2378" s="55">
        <f t="shared" si="159"/>
        <v>0</v>
      </c>
      <c r="M2378" s="55">
        <v>0</v>
      </c>
      <c r="N2378" s="101">
        <f t="shared" si="160"/>
        <v>0</v>
      </c>
      <c r="O2378" s="57"/>
      <c r="P2378" s="145" t="str">
        <f t="shared" si="158"/>
        <v/>
      </c>
      <c r="Q2378" s="52">
        <f t="shared" si="161"/>
        <v>24</v>
      </c>
      <c r="R2378" s="8">
        <f t="shared" si="162"/>
        <v>2027</v>
      </c>
    </row>
    <row r="2379" spans="1:18" hidden="1" x14ac:dyDescent="0.25">
      <c r="A2379" s="224"/>
      <c r="B2379" s="96">
        <v>46556</v>
      </c>
      <c r="C2379" s="52" t="s">
        <v>53</v>
      </c>
      <c r="D2379" s="53" t="s">
        <v>38</v>
      </c>
      <c r="E2379" s="53"/>
      <c r="F2379" s="54"/>
      <c r="G2379" s="53"/>
      <c r="H2379" s="53">
        <v>0</v>
      </c>
      <c r="I2379" s="53">
        <v>0</v>
      </c>
      <c r="J2379" s="53">
        <v>0</v>
      </c>
      <c r="K2379" s="55"/>
      <c r="L2379" s="55">
        <f t="shared" si="159"/>
        <v>0</v>
      </c>
      <c r="M2379" s="55">
        <v>0</v>
      </c>
      <c r="N2379" s="101">
        <f t="shared" si="160"/>
        <v>0</v>
      </c>
      <c r="O2379" s="57"/>
      <c r="P2379" s="145" t="str">
        <f t="shared" si="158"/>
        <v/>
      </c>
      <c r="Q2379" s="52">
        <f t="shared" si="161"/>
        <v>24</v>
      </c>
      <c r="R2379" s="8">
        <f t="shared" si="162"/>
        <v>2027</v>
      </c>
    </row>
    <row r="2380" spans="1:18" hidden="1" x14ac:dyDescent="0.25">
      <c r="A2380" s="224"/>
      <c r="B2380" s="97">
        <v>46557</v>
      </c>
      <c r="C2380" s="58" t="s">
        <v>57</v>
      </c>
      <c r="D2380" s="60" t="s">
        <v>38</v>
      </c>
      <c r="E2380" s="60"/>
      <c r="F2380" s="61"/>
      <c r="G2380" s="60"/>
      <c r="H2380" s="60">
        <v>0</v>
      </c>
      <c r="I2380" s="60">
        <v>0</v>
      </c>
      <c r="J2380" s="60">
        <v>0</v>
      </c>
      <c r="K2380" s="62"/>
      <c r="L2380" s="62">
        <f t="shared" si="159"/>
        <v>0</v>
      </c>
      <c r="M2380" s="62">
        <v>0</v>
      </c>
      <c r="N2380" s="102">
        <f t="shared" si="160"/>
        <v>0</v>
      </c>
      <c r="O2380" s="64"/>
      <c r="P2380" s="145" t="str">
        <f t="shared" si="158"/>
        <v/>
      </c>
      <c r="Q2380" s="52">
        <f t="shared" si="161"/>
        <v>24</v>
      </c>
      <c r="R2380" s="8">
        <f t="shared" si="162"/>
        <v>2027</v>
      </c>
    </row>
    <row r="2381" spans="1:18" ht="15.75" hidden="1" thickBot="1" x14ac:dyDescent="0.3">
      <c r="A2381" s="225"/>
      <c r="B2381" s="98">
        <v>46558</v>
      </c>
      <c r="C2381" s="66" t="s">
        <v>59</v>
      </c>
      <c r="D2381" s="67" t="s">
        <v>38</v>
      </c>
      <c r="E2381" s="67"/>
      <c r="F2381" s="68"/>
      <c r="G2381" s="67"/>
      <c r="H2381" s="67">
        <v>0</v>
      </c>
      <c r="I2381" s="67">
        <v>0</v>
      </c>
      <c r="J2381" s="67">
        <v>0</v>
      </c>
      <c r="K2381" s="69"/>
      <c r="L2381" s="69">
        <f t="shared" si="159"/>
        <v>0</v>
      </c>
      <c r="M2381" s="69">
        <v>0</v>
      </c>
      <c r="N2381" s="103">
        <f t="shared" si="160"/>
        <v>0</v>
      </c>
      <c r="O2381" s="71"/>
      <c r="P2381" s="145" t="str">
        <f t="shared" si="158"/>
        <v/>
      </c>
      <c r="Q2381" s="52">
        <f t="shared" si="161"/>
        <v>24</v>
      </c>
      <c r="R2381" s="8">
        <f t="shared" si="162"/>
        <v>2027</v>
      </c>
    </row>
    <row r="2382" spans="1:18" hidden="1" x14ac:dyDescent="0.25">
      <c r="A2382" s="223">
        <f>_xlfn.ISOWEEKNUM(B2382)</f>
        <v>25</v>
      </c>
      <c r="B2382" s="96">
        <v>46559</v>
      </c>
      <c r="C2382" s="72" t="s">
        <v>37</v>
      </c>
      <c r="D2382" s="41" t="s">
        <v>38</v>
      </c>
      <c r="E2382" s="41"/>
      <c r="F2382" s="43"/>
      <c r="G2382" s="41"/>
      <c r="H2382" s="41">
        <v>0</v>
      </c>
      <c r="I2382" s="41">
        <v>0</v>
      </c>
      <c r="J2382" s="41">
        <v>0</v>
      </c>
      <c r="K2382" s="73"/>
      <c r="L2382" s="73">
        <f t="shared" si="159"/>
        <v>0</v>
      </c>
      <c r="M2382" s="73">
        <v>0</v>
      </c>
      <c r="N2382" s="105">
        <f t="shared" si="160"/>
        <v>0</v>
      </c>
      <c r="O2382" s="46"/>
      <c r="P2382" s="145" t="str">
        <f t="shared" si="158"/>
        <v/>
      </c>
      <c r="Q2382" s="52">
        <f t="shared" si="161"/>
        <v>25</v>
      </c>
      <c r="R2382" s="8">
        <f t="shared" si="162"/>
        <v>2027</v>
      </c>
    </row>
    <row r="2383" spans="1:18" hidden="1" x14ac:dyDescent="0.25">
      <c r="A2383" s="224"/>
      <c r="B2383" s="96">
        <v>46560</v>
      </c>
      <c r="C2383" s="52" t="s">
        <v>42</v>
      </c>
      <c r="D2383" s="53" t="s">
        <v>38</v>
      </c>
      <c r="E2383" s="53"/>
      <c r="F2383" s="54"/>
      <c r="G2383" s="53"/>
      <c r="H2383" s="53">
        <v>0</v>
      </c>
      <c r="I2383" s="53">
        <v>0</v>
      </c>
      <c r="J2383" s="53">
        <v>0</v>
      </c>
      <c r="K2383" s="55"/>
      <c r="L2383" s="55">
        <f t="shared" si="159"/>
        <v>0</v>
      </c>
      <c r="M2383" s="55">
        <v>0</v>
      </c>
      <c r="N2383" s="101">
        <f t="shared" si="160"/>
        <v>0</v>
      </c>
      <c r="O2383" s="57"/>
      <c r="P2383" s="145" t="str">
        <f t="shared" si="158"/>
        <v/>
      </c>
      <c r="Q2383" s="52">
        <f t="shared" si="161"/>
        <v>25</v>
      </c>
      <c r="R2383" s="8">
        <f t="shared" si="162"/>
        <v>2027</v>
      </c>
    </row>
    <row r="2384" spans="1:18" hidden="1" x14ac:dyDescent="0.25">
      <c r="A2384" s="224"/>
      <c r="B2384" s="96">
        <v>46561</v>
      </c>
      <c r="C2384" s="52" t="s">
        <v>46</v>
      </c>
      <c r="D2384" s="53" t="s">
        <v>38</v>
      </c>
      <c r="E2384" s="53"/>
      <c r="F2384" s="54"/>
      <c r="G2384" s="53"/>
      <c r="H2384" s="53">
        <v>0</v>
      </c>
      <c r="I2384" s="53">
        <v>0</v>
      </c>
      <c r="J2384" s="53">
        <v>0</v>
      </c>
      <c r="K2384" s="55"/>
      <c r="L2384" s="55">
        <f t="shared" si="159"/>
        <v>0</v>
      </c>
      <c r="M2384" s="55">
        <v>0</v>
      </c>
      <c r="N2384" s="101">
        <f t="shared" si="160"/>
        <v>0</v>
      </c>
      <c r="O2384" s="57"/>
      <c r="P2384" s="145" t="str">
        <f t="shared" si="158"/>
        <v/>
      </c>
      <c r="Q2384" s="52">
        <f t="shared" si="161"/>
        <v>25</v>
      </c>
      <c r="R2384" s="8">
        <f t="shared" si="162"/>
        <v>2027</v>
      </c>
    </row>
    <row r="2385" spans="1:18" hidden="1" x14ac:dyDescent="0.25">
      <c r="A2385" s="224"/>
      <c r="B2385" s="96">
        <v>46562</v>
      </c>
      <c r="C2385" s="52" t="s">
        <v>50</v>
      </c>
      <c r="D2385" s="53" t="s">
        <v>38</v>
      </c>
      <c r="E2385" s="53"/>
      <c r="F2385" s="54"/>
      <c r="G2385" s="53"/>
      <c r="H2385" s="53">
        <v>0</v>
      </c>
      <c r="I2385" s="53">
        <v>0</v>
      </c>
      <c r="J2385" s="53">
        <v>0</v>
      </c>
      <c r="K2385" s="55"/>
      <c r="L2385" s="55">
        <f t="shared" si="159"/>
        <v>0</v>
      </c>
      <c r="M2385" s="55">
        <v>0</v>
      </c>
      <c r="N2385" s="101">
        <f t="shared" si="160"/>
        <v>0</v>
      </c>
      <c r="O2385" s="57"/>
      <c r="P2385" s="145" t="str">
        <f t="shared" si="158"/>
        <v/>
      </c>
      <c r="Q2385" s="52">
        <f t="shared" si="161"/>
        <v>25</v>
      </c>
      <c r="R2385" s="8">
        <f t="shared" si="162"/>
        <v>2027</v>
      </c>
    </row>
    <row r="2386" spans="1:18" hidden="1" x14ac:dyDescent="0.25">
      <c r="A2386" s="224"/>
      <c r="B2386" s="96">
        <v>46563</v>
      </c>
      <c r="C2386" s="52" t="s">
        <v>53</v>
      </c>
      <c r="D2386" s="53" t="s">
        <v>38</v>
      </c>
      <c r="E2386" s="53"/>
      <c r="F2386" s="54"/>
      <c r="G2386" s="53"/>
      <c r="H2386" s="53">
        <v>0</v>
      </c>
      <c r="I2386" s="53">
        <v>0</v>
      </c>
      <c r="J2386" s="53">
        <v>0</v>
      </c>
      <c r="K2386" s="55"/>
      <c r="L2386" s="55">
        <f t="shared" si="159"/>
        <v>0</v>
      </c>
      <c r="M2386" s="55">
        <v>0</v>
      </c>
      <c r="N2386" s="101">
        <f t="shared" si="160"/>
        <v>0</v>
      </c>
      <c r="O2386" s="57"/>
      <c r="P2386" s="145" t="str">
        <f t="shared" si="158"/>
        <v/>
      </c>
      <c r="Q2386" s="52">
        <f t="shared" si="161"/>
        <v>25</v>
      </c>
      <c r="R2386" s="8">
        <f t="shared" si="162"/>
        <v>2027</v>
      </c>
    </row>
    <row r="2387" spans="1:18" hidden="1" x14ac:dyDescent="0.25">
      <c r="A2387" s="224"/>
      <c r="B2387" s="97">
        <v>46564</v>
      </c>
      <c r="C2387" s="58" t="s">
        <v>57</v>
      </c>
      <c r="D2387" s="60" t="s">
        <v>38</v>
      </c>
      <c r="E2387" s="60"/>
      <c r="F2387" s="61"/>
      <c r="G2387" s="60"/>
      <c r="H2387" s="60">
        <v>0</v>
      </c>
      <c r="I2387" s="60">
        <v>0</v>
      </c>
      <c r="J2387" s="60">
        <v>0</v>
      </c>
      <c r="K2387" s="62"/>
      <c r="L2387" s="62">
        <f t="shared" si="159"/>
        <v>0</v>
      </c>
      <c r="M2387" s="62">
        <v>0</v>
      </c>
      <c r="N2387" s="102">
        <f t="shared" si="160"/>
        <v>0</v>
      </c>
      <c r="O2387" s="64"/>
      <c r="P2387" s="145" t="str">
        <f t="shared" si="158"/>
        <v/>
      </c>
      <c r="Q2387" s="52">
        <f t="shared" si="161"/>
        <v>25</v>
      </c>
      <c r="R2387" s="8">
        <f t="shared" si="162"/>
        <v>2027</v>
      </c>
    </row>
    <row r="2388" spans="1:18" ht="15.75" hidden="1" thickBot="1" x14ac:dyDescent="0.3">
      <c r="A2388" s="225"/>
      <c r="B2388" s="98">
        <v>46565</v>
      </c>
      <c r="C2388" s="66" t="s">
        <v>59</v>
      </c>
      <c r="D2388" s="67" t="s">
        <v>38</v>
      </c>
      <c r="E2388" s="67"/>
      <c r="F2388" s="68"/>
      <c r="G2388" s="67"/>
      <c r="H2388" s="67">
        <v>0</v>
      </c>
      <c r="I2388" s="67">
        <v>0</v>
      </c>
      <c r="J2388" s="67">
        <v>0</v>
      </c>
      <c r="K2388" s="69"/>
      <c r="L2388" s="69">
        <f t="shared" si="159"/>
        <v>0</v>
      </c>
      <c r="M2388" s="69">
        <v>0</v>
      </c>
      <c r="N2388" s="103">
        <f t="shared" si="160"/>
        <v>0</v>
      </c>
      <c r="O2388" s="71"/>
      <c r="P2388" s="145" t="str">
        <f t="shared" si="158"/>
        <v/>
      </c>
      <c r="Q2388" s="52">
        <f t="shared" si="161"/>
        <v>25</v>
      </c>
      <c r="R2388" s="8">
        <f t="shared" si="162"/>
        <v>2027</v>
      </c>
    </row>
    <row r="2389" spans="1:18" hidden="1" x14ac:dyDescent="0.25">
      <c r="A2389" s="223">
        <f>_xlfn.ISOWEEKNUM(B2389)</f>
        <v>26</v>
      </c>
      <c r="B2389" s="96">
        <v>46566</v>
      </c>
      <c r="C2389" s="72" t="s">
        <v>37</v>
      </c>
      <c r="D2389" s="41" t="s">
        <v>38</v>
      </c>
      <c r="E2389" s="41"/>
      <c r="F2389" s="43"/>
      <c r="G2389" s="41"/>
      <c r="H2389" s="41">
        <v>0</v>
      </c>
      <c r="I2389" s="41">
        <v>0</v>
      </c>
      <c r="J2389" s="41">
        <v>0</v>
      </c>
      <c r="K2389" s="73"/>
      <c r="L2389" s="73">
        <f t="shared" si="159"/>
        <v>0</v>
      </c>
      <c r="M2389" s="73">
        <v>0</v>
      </c>
      <c r="N2389" s="105">
        <f t="shared" si="160"/>
        <v>0</v>
      </c>
      <c r="O2389" s="46"/>
      <c r="P2389" s="145" t="str">
        <f t="shared" si="158"/>
        <v/>
      </c>
      <c r="Q2389" s="52">
        <f t="shared" si="161"/>
        <v>26</v>
      </c>
      <c r="R2389" s="8">
        <f t="shared" si="162"/>
        <v>2027</v>
      </c>
    </row>
    <row r="2390" spans="1:18" hidden="1" x14ac:dyDescent="0.25">
      <c r="A2390" s="224"/>
      <c r="B2390" s="96">
        <v>46567</v>
      </c>
      <c r="C2390" s="52" t="s">
        <v>42</v>
      </c>
      <c r="D2390" s="53" t="s">
        <v>38</v>
      </c>
      <c r="E2390" s="53"/>
      <c r="F2390" s="54"/>
      <c r="G2390" s="53"/>
      <c r="H2390" s="53">
        <v>0</v>
      </c>
      <c r="I2390" s="53">
        <v>0</v>
      </c>
      <c r="J2390" s="53">
        <v>0</v>
      </c>
      <c r="K2390" s="55"/>
      <c r="L2390" s="55">
        <f t="shared" si="159"/>
        <v>0</v>
      </c>
      <c r="M2390" s="55">
        <v>0</v>
      </c>
      <c r="N2390" s="101">
        <f t="shared" si="160"/>
        <v>0</v>
      </c>
      <c r="O2390" s="57"/>
      <c r="P2390" s="145" t="str">
        <f t="shared" si="158"/>
        <v/>
      </c>
      <c r="Q2390" s="52">
        <f t="shared" si="161"/>
        <v>26</v>
      </c>
      <c r="R2390" s="8">
        <f t="shared" si="162"/>
        <v>2027</v>
      </c>
    </row>
    <row r="2391" spans="1:18" hidden="1" x14ac:dyDescent="0.25">
      <c r="A2391" s="224"/>
      <c r="B2391" s="96">
        <v>46568</v>
      </c>
      <c r="C2391" s="52" t="s">
        <v>46</v>
      </c>
      <c r="D2391" s="53" t="s">
        <v>38</v>
      </c>
      <c r="E2391" s="53"/>
      <c r="F2391" s="54"/>
      <c r="G2391" s="53"/>
      <c r="H2391" s="53">
        <v>0</v>
      </c>
      <c r="I2391" s="53">
        <v>0</v>
      </c>
      <c r="J2391" s="53">
        <v>0</v>
      </c>
      <c r="K2391" s="55"/>
      <c r="L2391" s="55">
        <f t="shared" si="159"/>
        <v>0</v>
      </c>
      <c r="M2391" s="55">
        <v>0</v>
      </c>
      <c r="N2391" s="101">
        <f t="shared" si="160"/>
        <v>0</v>
      </c>
      <c r="O2391" s="57"/>
      <c r="P2391" s="145" t="str">
        <f t="shared" si="158"/>
        <v/>
      </c>
      <c r="Q2391" s="52">
        <f t="shared" si="161"/>
        <v>26</v>
      </c>
      <c r="R2391" s="8">
        <f t="shared" si="162"/>
        <v>2027</v>
      </c>
    </row>
    <row r="2392" spans="1:18" hidden="1" x14ac:dyDescent="0.25">
      <c r="A2392" s="224"/>
      <c r="B2392" s="96">
        <v>46569</v>
      </c>
      <c r="C2392" s="52" t="s">
        <v>50</v>
      </c>
      <c r="D2392" s="53" t="s">
        <v>38</v>
      </c>
      <c r="E2392" s="53"/>
      <c r="F2392" s="54"/>
      <c r="G2392" s="53"/>
      <c r="H2392" s="53">
        <v>0</v>
      </c>
      <c r="I2392" s="53">
        <v>0</v>
      </c>
      <c r="J2392" s="53">
        <v>0</v>
      </c>
      <c r="K2392" s="55"/>
      <c r="L2392" s="55">
        <f t="shared" si="159"/>
        <v>0</v>
      </c>
      <c r="M2392" s="55">
        <v>0</v>
      </c>
      <c r="N2392" s="101">
        <f t="shared" si="160"/>
        <v>0</v>
      </c>
      <c r="O2392" s="57"/>
      <c r="P2392" s="145" t="str">
        <f t="shared" si="158"/>
        <v/>
      </c>
      <c r="Q2392" s="52">
        <f t="shared" si="161"/>
        <v>26</v>
      </c>
      <c r="R2392" s="8">
        <f t="shared" si="162"/>
        <v>2027</v>
      </c>
    </row>
    <row r="2393" spans="1:18" hidden="1" x14ac:dyDescent="0.25">
      <c r="A2393" s="224"/>
      <c r="B2393" s="96">
        <v>46570</v>
      </c>
      <c r="C2393" s="52" t="s">
        <v>53</v>
      </c>
      <c r="D2393" s="53" t="s">
        <v>38</v>
      </c>
      <c r="E2393" s="53"/>
      <c r="F2393" s="54"/>
      <c r="G2393" s="53"/>
      <c r="H2393" s="53">
        <v>0</v>
      </c>
      <c r="I2393" s="53">
        <v>0</v>
      </c>
      <c r="J2393" s="53">
        <v>0</v>
      </c>
      <c r="K2393" s="55"/>
      <c r="L2393" s="55">
        <f t="shared" si="159"/>
        <v>0</v>
      </c>
      <c r="M2393" s="55">
        <v>0</v>
      </c>
      <c r="N2393" s="101">
        <f t="shared" si="160"/>
        <v>0</v>
      </c>
      <c r="O2393" s="57"/>
      <c r="P2393" s="145" t="str">
        <f t="shared" si="158"/>
        <v/>
      </c>
      <c r="Q2393" s="52">
        <f t="shared" si="161"/>
        <v>26</v>
      </c>
      <c r="R2393" s="8">
        <f t="shared" si="162"/>
        <v>2027</v>
      </c>
    </row>
    <row r="2394" spans="1:18" hidden="1" x14ac:dyDescent="0.25">
      <c r="A2394" s="224"/>
      <c r="B2394" s="97">
        <v>46571</v>
      </c>
      <c r="C2394" s="58" t="s">
        <v>57</v>
      </c>
      <c r="D2394" s="60" t="s">
        <v>38</v>
      </c>
      <c r="E2394" s="60"/>
      <c r="F2394" s="61"/>
      <c r="G2394" s="60"/>
      <c r="H2394" s="60">
        <v>0</v>
      </c>
      <c r="I2394" s="60">
        <v>0</v>
      </c>
      <c r="J2394" s="60">
        <v>0</v>
      </c>
      <c r="K2394" s="62"/>
      <c r="L2394" s="62">
        <f t="shared" si="159"/>
        <v>0</v>
      </c>
      <c r="M2394" s="62">
        <v>0</v>
      </c>
      <c r="N2394" s="102">
        <f t="shared" si="160"/>
        <v>0</v>
      </c>
      <c r="O2394" s="64"/>
      <c r="P2394" s="145" t="str">
        <f t="shared" si="158"/>
        <v/>
      </c>
      <c r="Q2394" s="52">
        <f t="shared" si="161"/>
        <v>26</v>
      </c>
      <c r="R2394" s="8">
        <f t="shared" si="162"/>
        <v>2027</v>
      </c>
    </row>
    <row r="2395" spans="1:18" ht="15.75" hidden="1" thickBot="1" x14ac:dyDescent="0.3">
      <c r="A2395" s="225"/>
      <c r="B2395" s="98">
        <v>46572</v>
      </c>
      <c r="C2395" s="66" t="s">
        <v>59</v>
      </c>
      <c r="D2395" s="67" t="s">
        <v>38</v>
      </c>
      <c r="E2395" s="67"/>
      <c r="F2395" s="68"/>
      <c r="G2395" s="67"/>
      <c r="H2395" s="67">
        <v>0</v>
      </c>
      <c r="I2395" s="67">
        <v>0</v>
      </c>
      <c r="J2395" s="67">
        <v>0</v>
      </c>
      <c r="K2395" s="69"/>
      <c r="L2395" s="69">
        <f t="shared" si="159"/>
        <v>0</v>
      </c>
      <c r="M2395" s="69">
        <v>0</v>
      </c>
      <c r="N2395" s="103">
        <f t="shared" si="160"/>
        <v>0</v>
      </c>
      <c r="O2395" s="71"/>
      <c r="P2395" s="145" t="str">
        <f t="shared" si="158"/>
        <v/>
      </c>
      <c r="Q2395" s="52">
        <f t="shared" si="161"/>
        <v>26</v>
      </c>
      <c r="R2395" s="8">
        <f t="shared" si="162"/>
        <v>2027</v>
      </c>
    </row>
    <row r="2396" spans="1:18" hidden="1" x14ac:dyDescent="0.25">
      <c r="A2396" s="223">
        <f>_xlfn.ISOWEEKNUM(B2396)</f>
        <v>27</v>
      </c>
      <c r="B2396" s="96">
        <v>46573</v>
      </c>
      <c r="C2396" s="72" t="s">
        <v>37</v>
      </c>
      <c r="D2396" s="41" t="s">
        <v>38</v>
      </c>
      <c r="E2396" s="41"/>
      <c r="F2396" s="43"/>
      <c r="G2396" s="41"/>
      <c r="H2396" s="41">
        <v>0</v>
      </c>
      <c r="I2396" s="41">
        <v>0</v>
      </c>
      <c r="J2396" s="41">
        <v>0</v>
      </c>
      <c r="K2396" s="73"/>
      <c r="L2396" s="73">
        <f t="shared" si="159"/>
        <v>0</v>
      </c>
      <c r="M2396" s="73">
        <v>0</v>
      </c>
      <c r="N2396" s="105">
        <f t="shared" si="160"/>
        <v>0</v>
      </c>
      <c r="O2396" s="46"/>
      <c r="P2396" s="145" t="str">
        <f t="shared" si="158"/>
        <v/>
      </c>
      <c r="Q2396" s="52">
        <f t="shared" si="161"/>
        <v>27</v>
      </c>
      <c r="R2396" s="8">
        <f t="shared" si="162"/>
        <v>2027</v>
      </c>
    </row>
    <row r="2397" spans="1:18" hidden="1" x14ac:dyDescent="0.25">
      <c r="A2397" s="224"/>
      <c r="B2397" s="96">
        <v>46574</v>
      </c>
      <c r="C2397" s="52" t="s">
        <v>42</v>
      </c>
      <c r="D2397" s="53" t="s">
        <v>38</v>
      </c>
      <c r="E2397" s="53"/>
      <c r="F2397" s="54"/>
      <c r="G2397" s="53"/>
      <c r="H2397" s="53">
        <v>0</v>
      </c>
      <c r="I2397" s="53">
        <v>0</v>
      </c>
      <c r="J2397" s="53">
        <v>0</v>
      </c>
      <c r="K2397" s="55"/>
      <c r="L2397" s="55">
        <f t="shared" si="159"/>
        <v>0</v>
      </c>
      <c r="M2397" s="55">
        <v>0</v>
      </c>
      <c r="N2397" s="101">
        <f t="shared" si="160"/>
        <v>0</v>
      </c>
      <c r="O2397" s="57"/>
      <c r="P2397" s="145" t="str">
        <f t="shared" si="158"/>
        <v/>
      </c>
      <c r="Q2397" s="52">
        <f t="shared" si="161"/>
        <v>27</v>
      </c>
      <c r="R2397" s="8">
        <f t="shared" si="162"/>
        <v>2027</v>
      </c>
    </row>
    <row r="2398" spans="1:18" hidden="1" x14ac:dyDescent="0.25">
      <c r="A2398" s="224"/>
      <c r="B2398" s="96">
        <v>46575</v>
      </c>
      <c r="C2398" s="52" t="s">
        <v>46</v>
      </c>
      <c r="D2398" s="53" t="s">
        <v>38</v>
      </c>
      <c r="E2398" s="53"/>
      <c r="F2398" s="54"/>
      <c r="G2398" s="53"/>
      <c r="H2398" s="53">
        <v>0</v>
      </c>
      <c r="I2398" s="53">
        <v>0</v>
      </c>
      <c r="J2398" s="53">
        <v>0</v>
      </c>
      <c r="K2398" s="55"/>
      <c r="L2398" s="55">
        <f t="shared" si="159"/>
        <v>0</v>
      </c>
      <c r="M2398" s="55">
        <v>0</v>
      </c>
      <c r="N2398" s="101">
        <f t="shared" si="160"/>
        <v>0</v>
      </c>
      <c r="O2398" s="57"/>
      <c r="P2398" s="145" t="str">
        <f t="shared" si="158"/>
        <v/>
      </c>
      <c r="Q2398" s="52">
        <f t="shared" si="161"/>
        <v>27</v>
      </c>
      <c r="R2398" s="8">
        <f t="shared" si="162"/>
        <v>2027</v>
      </c>
    </row>
    <row r="2399" spans="1:18" hidden="1" x14ac:dyDescent="0.25">
      <c r="A2399" s="224"/>
      <c r="B2399" s="96">
        <v>46576</v>
      </c>
      <c r="C2399" s="52" t="s">
        <v>50</v>
      </c>
      <c r="D2399" s="53" t="s">
        <v>38</v>
      </c>
      <c r="E2399" s="53"/>
      <c r="F2399" s="54"/>
      <c r="G2399" s="53"/>
      <c r="H2399" s="53">
        <v>0</v>
      </c>
      <c r="I2399" s="53">
        <v>0</v>
      </c>
      <c r="J2399" s="53">
        <v>0</v>
      </c>
      <c r="K2399" s="55"/>
      <c r="L2399" s="55">
        <f t="shared" si="159"/>
        <v>0</v>
      </c>
      <c r="M2399" s="55">
        <v>0</v>
      </c>
      <c r="N2399" s="101">
        <f t="shared" si="160"/>
        <v>0</v>
      </c>
      <c r="O2399" s="57"/>
      <c r="P2399" s="145" t="str">
        <f t="shared" si="158"/>
        <v/>
      </c>
      <c r="Q2399" s="52">
        <f t="shared" si="161"/>
        <v>27</v>
      </c>
      <c r="R2399" s="8">
        <f t="shared" si="162"/>
        <v>2027</v>
      </c>
    </row>
    <row r="2400" spans="1:18" hidden="1" x14ac:dyDescent="0.25">
      <c r="A2400" s="224"/>
      <c r="B2400" s="96">
        <v>46577</v>
      </c>
      <c r="C2400" s="52" t="s">
        <v>53</v>
      </c>
      <c r="D2400" s="53" t="s">
        <v>38</v>
      </c>
      <c r="E2400" s="53"/>
      <c r="F2400" s="54"/>
      <c r="G2400" s="53"/>
      <c r="H2400" s="53">
        <v>0</v>
      </c>
      <c r="I2400" s="53">
        <v>0</v>
      </c>
      <c r="J2400" s="53">
        <v>0</v>
      </c>
      <c r="K2400" s="55"/>
      <c r="L2400" s="55">
        <f t="shared" si="159"/>
        <v>0</v>
      </c>
      <c r="M2400" s="55">
        <v>0</v>
      </c>
      <c r="N2400" s="101">
        <f t="shared" si="160"/>
        <v>0</v>
      </c>
      <c r="O2400" s="57"/>
      <c r="P2400" s="145" t="str">
        <f t="shared" si="158"/>
        <v/>
      </c>
      <c r="Q2400" s="52">
        <f t="shared" si="161"/>
        <v>27</v>
      </c>
      <c r="R2400" s="8">
        <f t="shared" si="162"/>
        <v>2027</v>
      </c>
    </row>
    <row r="2401" spans="1:18" hidden="1" x14ac:dyDescent="0.25">
      <c r="A2401" s="224"/>
      <c r="B2401" s="97">
        <v>46578</v>
      </c>
      <c r="C2401" s="58" t="s">
        <v>57</v>
      </c>
      <c r="D2401" s="60" t="s">
        <v>38</v>
      </c>
      <c r="E2401" s="60"/>
      <c r="F2401" s="61"/>
      <c r="G2401" s="60"/>
      <c r="H2401" s="60">
        <v>0</v>
      </c>
      <c r="I2401" s="60">
        <v>0</v>
      </c>
      <c r="J2401" s="60">
        <v>0</v>
      </c>
      <c r="K2401" s="62"/>
      <c r="L2401" s="62">
        <f t="shared" si="159"/>
        <v>0</v>
      </c>
      <c r="M2401" s="62">
        <v>0</v>
      </c>
      <c r="N2401" s="102">
        <f t="shared" si="160"/>
        <v>0</v>
      </c>
      <c r="O2401" s="64"/>
      <c r="P2401" s="145" t="str">
        <f t="shared" si="158"/>
        <v/>
      </c>
      <c r="Q2401" s="52">
        <f t="shared" si="161"/>
        <v>27</v>
      </c>
      <c r="R2401" s="8">
        <f t="shared" si="162"/>
        <v>2027</v>
      </c>
    </row>
    <row r="2402" spans="1:18" ht="15.75" hidden="1" thickBot="1" x14ac:dyDescent="0.3">
      <c r="A2402" s="225"/>
      <c r="B2402" s="98">
        <v>46579</v>
      </c>
      <c r="C2402" s="66" t="s">
        <v>59</v>
      </c>
      <c r="D2402" s="67" t="s">
        <v>38</v>
      </c>
      <c r="E2402" s="67"/>
      <c r="F2402" s="68"/>
      <c r="G2402" s="67"/>
      <c r="H2402" s="67">
        <v>0</v>
      </c>
      <c r="I2402" s="67">
        <v>0</v>
      </c>
      <c r="J2402" s="67">
        <v>0</v>
      </c>
      <c r="K2402" s="69"/>
      <c r="L2402" s="69">
        <f t="shared" si="159"/>
        <v>0</v>
      </c>
      <c r="M2402" s="69">
        <v>0</v>
      </c>
      <c r="N2402" s="103">
        <f t="shared" si="160"/>
        <v>0</v>
      </c>
      <c r="O2402" s="71"/>
      <c r="P2402" s="145" t="str">
        <f t="shared" si="158"/>
        <v/>
      </c>
      <c r="Q2402" s="52">
        <f t="shared" si="161"/>
        <v>27</v>
      </c>
      <c r="R2402" s="8">
        <f t="shared" si="162"/>
        <v>2027</v>
      </c>
    </row>
    <row r="2403" spans="1:18" hidden="1" x14ac:dyDescent="0.25">
      <c r="A2403" s="223">
        <f>_xlfn.ISOWEEKNUM(B2403)</f>
        <v>28</v>
      </c>
      <c r="B2403" s="96">
        <v>46580</v>
      </c>
      <c r="C2403" s="72" t="s">
        <v>37</v>
      </c>
      <c r="D2403" s="41" t="s">
        <v>38</v>
      </c>
      <c r="E2403" s="41"/>
      <c r="F2403" s="43"/>
      <c r="G2403" s="41"/>
      <c r="H2403" s="41">
        <v>0</v>
      </c>
      <c r="I2403" s="41">
        <v>0</v>
      </c>
      <c r="J2403" s="41">
        <v>0</v>
      </c>
      <c r="K2403" s="73"/>
      <c r="L2403" s="73">
        <f t="shared" si="159"/>
        <v>0</v>
      </c>
      <c r="M2403" s="73">
        <v>0</v>
      </c>
      <c r="N2403" s="105">
        <f t="shared" si="160"/>
        <v>0</v>
      </c>
      <c r="O2403" s="46"/>
      <c r="P2403" s="145" t="str">
        <f t="shared" si="158"/>
        <v/>
      </c>
      <c r="Q2403" s="52">
        <f t="shared" si="161"/>
        <v>28</v>
      </c>
      <c r="R2403" s="8">
        <f t="shared" si="162"/>
        <v>2027</v>
      </c>
    </row>
    <row r="2404" spans="1:18" hidden="1" x14ac:dyDescent="0.25">
      <c r="A2404" s="224"/>
      <c r="B2404" s="96">
        <v>46581</v>
      </c>
      <c r="C2404" s="52" t="s">
        <v>42</v>
      </c>
      <c r="D2404" s="53" t="s">
        <v>38</v>
      </c>
      <c r="E2404" s="53"/>
      <c r="F2404" s="54"/>
      <c r="G2404" s="53"/>
      <c r="H2404" s="53">
        <v>0</v>
      </c>
      <c r="I2404" s="53">
        <v>0</v>
      </c>
      <c r="J2404" s="53">
        <v>0</v>
      </c>
      <c r="K2404" s="55"/>
      <c r="L2404" s="55">
        <f t="shared" si="159"/>
        <v>0</v>
      </c>
      <c r="M2404" s="55">
        <v>0</v>
      </c>
      <c r="N2404" s="101">
        <f t="shared" si="160"/>
        <v>0</v>
      </c>
      <c r="O2404" s="57"/>
      <c r="P2404" s="145" t="str">
        <f t="shared" si="158"/>
        <v/>
      </c>
      <c r="Q2404" s="52">
        <f t="shared" si="161"/>
        <v>28</v>
      </c>
      <c r="R2404" s="8">
        <f t="shared" si="162"/>
        <v>2027</v>
      </c>
    </row>
    <row r="2405" spans="1:18" hidden="1" x14ac:dyDescent="0.25">
      <c r="A2405" s="224"/>
      <c r="B2405" s="96">
        <v>46582</v>
      </c>
      <c r="C2405" s="52" t="s">
        <v>46</v>
      </c>
      <c r="D2405" s="53" t="s">
        <v>38</v>
      </c>
      <c r="E2405" s="53"/>
      <c r="F2405" s="54"/>
      <c r="G2405" s="53"/>
      <c r="H2405" s="53">
        <v>0</v>
      </c>
      <c r="I2405" s="53">
        <v>0</v>
      </c>
      <c r="J2405" s="53">
        <v>0</v>
      </c>
      <c r="K2405" s="55"/>
      <c r="L2405" s="55">
        <f t="shared" si="159"/>
        <v>0</v>
      </c>
      <c r="M2405" s="55">
        <v>0</v>
      </c>
      <c r="N2405" s="101">
        <f t="shared" si="160"/>
        <v>0</v>
      </c>
      <c r="O2405" s="57"/>
      <c r="P2405" s="145" t="str">
        <f t="shared" si="158"/>
        <v/>
      </c>
      <c r="Q2405" s="52">
        <f t="shared" si="161"/>
        <v>28</v>
      </c>
      <c r="R2405" s="8">
        <f t="shared" si="162"/>
        <v>2027</v>
      </c>
    </row>
    <row r="2406" spans="1:18" hidden="1" x14ac:dyDescent="0.25">
      <c r="A2406" s="224"/>
      <c r="B2406" s="96">
        <v>46583</v>
      </c>
      <c r="C2406" s="52" t="s">
        <v>50</v>
      </c>
      <c r="D2406" s="53" t="s">
        <v>38</v>
      </c>
      <c r="E2406" s="53"/>
      <c r="F2406" s="54"/>
      <c r="G2406" s="53"/>
      <c r="H2406" s="53">
        <v>0</v>
      </c>
      <c r="I2406" s="53">
        <v>0</v>
      </c>
      <c r="J2406" s="53">
        <v>0</v>
      </c>
      <c r="K2406" s="55"/>
      <c r="L2406" s="55">
        <f t="shared" si="159"/>
        <v>0</v>
      </c>
      <c r="M2406" s="55">
        <v>0</v>
      </c>
      <c r="N2406" s="101">
        <f t="shared" si="160"/>
        <v>0</v>
      </c>
      <c r="O2406" s="57"/>
      <c r="P2406" s="145" t="str">
        <f t="shared" si="158"/>
        <v/>
      </c>
      <c r="Q2406" s="52">
        <f t="shared" si="161"/>
        <v>28</v>
      </c>
      <c r="R2406" s="8">
        <f t="shared" si="162"/>
        <v>2027</v>
      </c>
    </row>
    <row r="2407" spans="1:18" hidden="1" x14ac:dyDescent="0.25">
      <c r="A2407" s="224"/>
      <c r="B2407" s="96">
        <v>46584</v>
      </c>
      <c r="C2407" s="52" t="s">
        <v>53</v>
      </c>
      <c r="D2407" s="53" t="s">
        <v>38</v>
      </c>
      <c r="E2407" s="53"/>
      <c r="F2407" s="54"/>
      <c r="G2407" s="53"/>
      <c r="H2407" s="53">
        <v>0</v>
      </c>
      <c r="I2407" s="53">
        <v>0</v>
      </c>
      <c r="J2407" s="53">
        <v>0</v>
      </c>
      <c r="K2407" s="55"/>
      <c r="L2407" s="55">
        <f t="shared" si="159"/>
        <v>0</v>
      </c>
      <c r="M2407" s="55">
        <v>0</v>
      </c>
      <c r="N2407" s="101">
        <f t="shared" si="160"/>
        <v>0</v>
      </c>
      <c r="O2407" s="57"/>
      <c r="P2407" s="145" t="str">
        <f t="shared" si="158"/>
        <v/>
      </c>
      <c r="Q2407" s="52">
        <f t="shared" si="161"/>
        <v>28</v>
      </c>
      <c r="R2407" s="8">
        <f t="shared" si="162"/>
        <v>2027</v>
      </c>
    </row>
    <row r="2408" spans="1:18" hidden="1" x14ac:dyDescent="0.25">
      <c r="A2408" s="224"/>
      <c r="B2408" s="97">
        <v>46585</v>
      </c>
      <c r="C2408" s="58" t="s">
        <v>57</v>
      </c>
      <c r="D2408" s="60" t="s">
        <v>38</v>
      </c>
      <c r="E2408" s="60"/>
      <c r="F2408" s="61"/>
      <c r="G2408" s="60"/>
      <c r="H2408" s="60">
        <v>0</v>
      </c>
      <c r="I2408" s="60">
        <v>0</v>
      </c>
      <c r="J2408" s="60">
        <v>0</v>
      </c>
      <c r="K2408" s="62"/>
      <c r="L2408" s="62">
        <f t="shared" si="159"/>
        <v>0</v>
      </c>
      <c r="M2408" s="62">
        <v>0</v>
      </c>
      <c r="N2408" s="102">
        <f t="shared" si="160"/>
        <v>0</v>
      </c>
      <c r="O2408" s="64"/>
      <c r="P2408" s="145" t="str">
        <f t="shared" si="158"/>
        <v/>
      </c>
      <c r="Q2408" s="52">
        <f t="shared" si="161"/>
        <v>28</v>
      </c>
      <c r="R2408" s="8">
        <f t="shared" si="162"/>
        <v>2027</v>
      </c>
    </row>
    <row r="2409" spans="1:18" ht="15.75" hidden="1" thickBot="1" x14ac:dyDescent="0.3">
      <c r="A2409" s="225"/>
      <c r="B2409" s="98">
        <v>46586</v>
      </c>
      <c r="C2409" s="66" t="s">
        <v>59</v>
      </c>
      <c r="D2409" s="67" t="s">
        <v>38</v>
      </c>
      <c r="E2409" s="67"/>
      <c r="F2409" s="68"/>
      <c r="G2409" s="67"/>
      <c r="H2409" s="67">
        <v>0</v>
      </c>
      <c r="I2409" s="67">
        <v>0</v>
      </c>
      <c r="J2409" s="67">
        <v>0</v>
      </c>
      <c r="K2409" s="69"/>
      <c r="L2409" s="69">
        <f t="shared" si="159"/>
        <v>0</v>
      </c>
      <c r="M2409" s="69">
        <v>0</v>
      </c>
      <c r="N2409" s="103">
        <f t="shared" si="160"/>
        <v>0</v>
      </c>
      <c r="O2409" s="71"/>
      <c r="P2409" s="145" t="str">
        <f t="shared" si="158"/>
        <v/>
      </c>
      <c r="Q2409" s="52">
        <f t="shared" si="161"/>
        <v>28</v>
      </c>
      <c r="R2409" s="8">
        <f t="shared" si="162"/>
        <v>2027</v>
      </c>
    </row>
    <row r="2410" spans="1:18" hidden="1" x14ac:dyDescent="0.25">
      <c r="A2410" s="223">
        <f>_xlfn.ISOWEEKNUM(B2410)</f>
        <v>29</v>
      </c>
      <c r="B2410" s="96">
        <v>46587</v>
      </c>
      <c r="C2410" s="72" t="s">
        <v>37</v>
      </c>
      <c r="D2410" s="41" t="s">
        <v>38</v>
      </c>
      <c r="E2410" s="41"/>
      <c r="F2410" s="43"/>
      <c r="G2410" s="41"/>
      <c r="H2410" s="41">
        <v>0</v>
      </c>
      <c r="I2410" s="41">
        <v>0</v>
      </c>
      <c r="J2410" s="41">
        <v>0</v>
      </c>
      <c r="K2410" s="73"/>
      <c r="L2410" s="73">
        <f t="shared" si="159"/>
        <v>0</v>
      </c>
      <c r="M2410" s="73">
        <v>0</v>
      </c>
      <c r="N2410" s="105">
        <f t="shared" si="160"/>
        <v>0</v>
      </c>
      <c r="O2410" s="46"/>
      <c r="P2410" s="145" t="str">
        <f t="shared" si="158"/>
        <v/>
      </c>
      <c r="Q2410" s="52">
        <f t="shared" si="161"/>
        <v>29</v>
      </c>
      <c r="R2410" s="8">
        <f t="shared" si="162"/>
        <v>2027</v>
      </c>
    </row>
    <row r="2411" spans="1:18" hidden="1" x14ac:dyDescent="0.25">
      <c r="A2411" s="224"/>
      <c r="B2411" s="96">
        <v>46588</v>
      </c>
      <c r="C2411" s="52" t="s">
        <v>42</v>
      </c>
      <c r="D2411" s="53" t="s">
        <v>38</v>
      </c>
      <c r="E2411" s="53"/>
      <c r="F2411" s="54"/>
      <c r="G2411" s="53"/>
      <c r="H2411" s="53">
        <v>0</v>
      </c>
      <c r="I2411" s="53">
        <v>0</v>
      </c>
      <c r="J2411" s="53">
        <v>0</v>
      </c>
      <c r="K2411" s="55"/>
      <c r="L2411" s="55">
        <f t="shared" si="159"/>
        <v>0</v>
      </c>
      <c r="M2411" s="55">
        <v>0</v>
      </c>
      <c r="N2411" s="101">
        <f t="shared" si="160"/>
        <v>0</v>
      </c>
      <c r="O2411" s="57"/>
      <c r="P2411" s="145" t="str">
        <f t="shared" si="158"/>
        <v/>
      </c>
      <c r="Q2411" s="52">
        <f t="shared" si="161"/>
        <v>29</v>
      </c>
      <c r="R2411" s="8">
        <f t="shared" si="162"/>
        <v>2027</v>
      </c>
    </row>
    <row r="2412" spans="1:18" hidden="1" x14ac:dyDescent="0.25">
      <c r="A2412" s="224"/>
      <c r="B2412" s="96">
        <v>46589</v>
      </c>
      <c r="C2412" s="52" t="s">
        <v>46</v>
      </c>
      <c r="D2412" s="53" t="s">
        <v>38</v>
      </c>
      <c r="E2412" s="53"/>
      <c r="F2412" s="54"/>
      <c r="G2412" s="53"/>
      <c r="H2412" s="53">
        <v>0</v>
      </c>
      <c r="I2412" s="53">
        <v>0</v>
      </c>
      <c r="J2412" s="53">
        <v>0</v>
      </c>
      <c r="K2412" s="55"/>
      <c r="L2412" s="55">
        <f t="shared" si="159"/>
        <v>0</v>
      </c>
      <c r="M2412" s="55">
        <v>0</v>
      </c>
      <c r="N2412" s="101">
        <f t="shared" si="160"/>
        <v>0</v>
      </c>
      <c r="O2412" s="57"/>
      <c r="P2412" s="145" t="str">
        <f t="shared" si="158"/>
        <v/>
      </c>
      <c r="Q2412" s="52">
        <f t="shared" si="161"/>
        <v>29</v>
      </c>
      <c r="R2412" s="8">
        <f t="shared" si="162"/>
        <v>2027</v>
      </c>
    </row>
    <row r="2413" spans="1:18" hidden="1" x14ac:dyDescent="0.25">
      <c r="A2413" s="224"/>
      <c r="B2413" s="96">
        <v>46590</v>
      </c>
      <c r="C2413" s="52" t="s">
        <v>50</v>
      </c>
      <c r="D2413" s="53" t="s">
        <v>38</v>
      </c>
      <c r="E2413" s="53"/>
      <c r="F2413" s="54"/>
      <c r="G2413" s="53"/>
      <c r="H2413" s="53">
        <v>0</v>
      </c>
      <c r="I2413" s="53">
        <v>0</v>
      </c>
      <c r="J2413" s="53">
        <v>0</v>
      </c>
      <c r="K2413" s="55"/>
      <c r="L2413" s="55">
        <f t="shared" si="159"/>
        <v>0</v>
      </c>
      <c r="M2413" s="55">
        <v>0</v>
      </c>
      <c r="N2413" s="101">
        <f t="shared" si="160"/>
        <v>0</v>
      </c>
      <c r="O2413" s="57"/>
      <c r="P2413" s="145" t="str">
        <f t="shared" si="158"/>
        <v/>
      </c>
      <c r="Q2413" s="52">
        <f t="shared" si="161"/>
        <v>29</v>
      </c>
      <c r="R2413" s="8">
        <f t="shared" si="162"/>
        <v>2027</v>
      </c>
    </row>
    <row r="2414" spans="1:18" hidden="1" x14ac:dyDescent="0.25">
      <c r="A2414" s="224"/>
      <c r="B2414" s="96">
        <v>46591</v>
      </c>
      <c r="C2414" s="52" t="s">
        <v>53</v>
      </c>
      <c r="D2414" s="53" t="s">
        <v>38</v>
      </c>
      <c r="E2414" s="53"/>
      <c r="F2414" s="54"/>
      <c r="G2414" s="53"/>
      <c r="H2414" s="53">
        <v>0</v>
      </c>
      <c r="I2414" s="53">
        <v>0</v>
      </c>
      <c r="J2414" s="53">
        <v>0</v>
      </c>
      <c r="K2414" s="55"/>
      <c r="L2414" s="55">
        <f t="shared" si="159"/>
        <v>0</v>
      </c>
      <c r="M2414" s="55">
        <v>0</v>
      </c>
      <c r="N2414" s="101">
        <f t="shared" si="160"/>
        <v>0</v>
      </c>
      <c r="O2414" s="57"/>
      <c r="P2414" s="145" t="str">
        <f t="shared" si="158"/>
        <v/>
      </c>
      <c r="Q2414" s="52">
        <f t="shared" si="161"/>
        <v>29</v>
      </c>
      <c r="R2414" s="8">
        <f t="shared" si="162"/>
        <v>2027</v>
      </c>
    </row>
    <row r="2415" spans="1:18" hidden="1" x14ac:dyDescent="0.25">
      <c r="A2415" s="224"/>
      <c r="B2415" s="97">
        <v>46592</v>
      </c>
      <c r="C2415" s="58" t="s">
        <v>57</v>
      </c>
      <c r="D2415" s="60" t="s">
        <v>38</v>
      </c>
      <c r="E2415" s="60"/>
      <c r="F2415" s="61"/>
      <c r="G2415" s="60"/>
      <c r="H2415" s="60">
        <v>0</v>
      </c>
      <c r="I2415" s="60">
        <v>0</v>
      </c>
      <c r="J2415" s="60">
        <v>0</v>
      </c>
      <c r="K2415" s="62"/>
      <c r="L2415" s="62">
        <f t="shared" si="159"/>
        <v>0</v>
      </c>
      <c r="M2415" s="62">
        <v>0</v>
      </c>
      <c r="N2415" s="102">
        <f t="shared" si="160"/>
        <v>0</v>
      </c>
      <c r="O2415" s="64"/>
      <c r="P2415" s="145" t="str">
        <f t="shared" ref="P2415:P2478" si="163">E2415&amp;G2415</f>
        <v/>
      </c>
      <c r="Q2415" s="52">
        <f t="shared" si="161"/>
        <v>29</v>
      </c>
      <c r="R2415" s="8">
        <f t="shared" si="162"/>
        <v>2027</v>
      </c>
    </row>
    <row r="2416" spans="1:18" ht="15.75" hidden="1" thickBot="1" x14ac:dyDescent="0.3">
      <c r="A2416" s="225"/>
      <c r="B2416" s="98">
        <v>46593</v>
      </c>
      <c r="C2416" s="66" t="s">
        <v>59</v>
      </c>
      <c r="D2416" s="67" t="s">
        <v>38</v>
      </c>
      <c r="E2416" s="67"/>
      <c r="F2416" s="68"/>
      <c r="G2416" s="67"/>
      <c r="H2416" s="67">
        <v>0</v>
      </c>
      <c r="I2416" s="67">
        <v>0</v>
      </c>
      <c r="J2416" s="67">
        <v>0</v>
      </c>
      <c r="K2416" s="69"/>
      <c r="L2416" s="69">
        <f t="shared" si="159"/>
        <v>0</v>
      </c>
      <c r="M2416" s="69">
        <v>0</v>
      </c>
      <c r="N2416" s="103">
        <f t="shared" si="160"/>
        <v>0</v>
      </c>
      <c r="O2416" s="71"/>
      <c r="P2416" s="145" t="str">
        <f t="shared" si="163"/>
        <v/>
      </c>
      <c r="Q2416" s="52">
        <f t="shared" si="161"/>
        <v>29</v>
      </c>
      <c r="R2416" s="8">
        <f t="shared" si="162"/>
        <v>2027</v>
      </c>
    </row>
    <row r="2417" spans="1:18" hidden="1" x14ac:dyDescent="0.25">
      <c r="A2417" s="223">
        <f>_xlfn.ISOWEEKNUM(B2417)</f>
        <v>30</v>
      </c>
      <c r="B2417" s="96">
        <v>46594</v>
      </c>
      <c r="C2417" s="72" t="s">
        <v>37</v>
      </c>
      <c r="D2417" s="41" t="s">
        <v>38</v>
      </c>
      <c r="E2417" s="41"/>
      <c r="F2417" s="43"/>
      <c r="G2417" s="41"/>
      <c r="H2417" s="41">
        <v>0</v>
      </c>
      <c r="I2417" s="41">
        <v>0</v>
      </c>
      <c r="J2417" s="41">
        <v>0</v>
      </c>
      <c r="K2417" s="73"/>
      <c r="L2417" s="73">
        <f t="shared" si="159"/>
        <v>0</v>
      </c>
      <c r="M2417" s="73">
        <v>0</v>
      </c>
      <c r="N2417" s="105">
        <f t="shared" si="160"/>
        <v>0</v>
      </c>
      <c r="O2417" s="46"/>
      <c r="P2417" s="145" t="str">
        <f t="shared" si="163"/>
        <v/>
      </c>
      <c r="Q2417" s="52">
        <f t="shared" si="161"/>
        <v>30</v>
      </c>
      <c r="R2417" s="8">
        <f t="shared" si="162"/>
        <v>2027</v>
      </c>
    </row>
    <row r="2418" spans="1:18" hidden="1" x14ac:dyDescent="0.25">
      <c r="A2418" s="224"/>
      <c r="B2418" s="96">
        <v>46595</v>
      </c>
      <c r="C2418" s="52" t="s">
        <v>42</v>
      </c>
      <c r="D2418" s="53" t="s">
        <v>38</v>
      </c>
      <c r="E2418" s="53"/>
      <c r="F2418" s="54"/>
      <c r="G2418" s="53"/>
      <c r="H2418" s="53">
        <v>0</v>
      </c>
      <c r="I2418" s="53">
        <v>0</v>
      </c>
      <c r="J2418" s="53">
        <v>0</v>
      </c>
      <c r="K2418" s="55"/>
      <c r="L2418" s="55">
        <f t="shared" si="159"/>
        <v>0</v>
      </c>
      <c r="M2418" s="55">
        <v>0</v>
      </c>
      <c r="N2418" s="101">
        <f t="shared" si="160"/>
        <v>0</v>
      </c>
      <c r="O2418" s="57"/>
      <c r="P2418" s="145" t="str">
        <f t="shared" si="163"/>
        <v/>
      </c>
      <c r="Q2418" s="52">
        <f t="shared" si="161"/>
        <v>30</v>
      </c>
      <c r="R2418" s="8">
        <f t="shared" si="162"/>
        <v>2027</v>
      </c>
    </row>
    <row r="2419" spans="1:18" hidden="1" x14ac:dyDescent="0.25">
      <c r="A2419" s="224"/>
      <c r="B2419" s="96">
        <v>46596</v>
      </c>
      <c r="C2419" s="52" t="s">
        <v>46</v>
      </c>
      <c r="D2419" s="53" t="s">
        <v>38</v>
      </c>
      <c r="E2419" s="53"/>
      <c r="F2419" s="54"/>
      <c r="G2419" s="53"/>
      <c r="H2419" s="53">
        <v>0</v>
      </c>
      <c r="I2419" s="53">
        <v>0</v>
      </c>
      <c r="J2419" s="53">
        <v>0</v>
      </c>
      <c r="K2419" s="55"/>
      <c r="L2419" s="55">
        <f t="shared" si="159"/>
        <v>0</v>
      </c>
      <c r="M2419" s="55">
        <v>0</v>
      </c>
      <c r="N2419" s="101">
        <f t="shared" si="160"/>
        <v>0</v>
      </c>
      <c r="O2419" s="57"/>
      <c r="P2419" s="145" t="str">
        <f t="shared" si="163"/>
        <v/>
      </c>
      <c r="Q2419" s="52">
        <f t="shared" si="161"/>
        <v>30</v>
      </c>
      <c r="R2419" s="8">
        <f t="shared" si="162"/>
        <v>2027</v>
      </c>
    </row>
    <row r="2420" spans="1:18" hidden="1" x14ac:dyDescent="0.25">
      <c r="A2420" s="224"/>
      <c r="B2420" s="96">
        <v>46597</v>
      </c>
      <c r="C2420" s="52" t="s">
        <v>50</v>
      </c>
      <c r="D2420" s="53" t="s">
        <v>38</v>
      </c>
      <c r="E2420" s="53"/>
      <c r="F2420" s="54"/>
      <c r="G2420" s="53"/>
      <c r="H2420" s="53">
        <v>0</v>
      </c>
      <c r="I2420" s="53">
        <v>0</v>
      </c>
      <c r="J2420" s="53">
        <v>0</v>
      </c>
      <c r="K2420" s="55"/>
      <c r="L2420" s="55">
        <f t="shared" si="159"/>
        <v>0</v>
      </c>
      <c r="M2420" s="55">
        <v>0</v>
      </c>
      <c r="N2420" s="101">
        <f t="shared" si="160"/>
        <v>0</v>
      </c>
      <c r="O2420" s="57"/>
      <c r="P2420" s="145" t="str">
        <f t="shared" si="163"/>
        <v/>
      </c>
      <c r="Q2420" s="52">
        <f t="shared" si="161"/>
        <v>30</v>
      </c>
      <c r="R2420" s="8">
        <f t="shared" si="162"/>
        <v>2027</v>
      </c>
    </row>
    <row r="2421" spans="1:18" hidden="1" x14ac:dyDescent="0.25">
      <c r="A2421" s="224"/>
      <c r="B2421" s="96">
        <v>46598</v>
      </c>
      <c r="C2421" s="52" t="s">
        <v>53</v>
      </c>
      <c r="D2421" s="53" t="s">
        <v>38</v>
      </c>
      <c r="E2421" s="53"/>
      <c r="F2421" s="54"/>
      <c r="G2421" s="53"/>
      <c r="H2421" s="53">
        <v>0</v>
      </c>
      <c r="I2421" s="53">
        <v>0</v>
      </c>
      <c r="J2421" s="53">
        <v>0</v>
      </c>
      <c r="K2421" s="55"/>
      <c r="L2421" s="55">
        <f t="shared" si="159"/>
        <v>0</v>
      </c>
      <c r="M2421" s="55">
        <v>0</v>
      </c>
      <c r="N2421" s="101">
        <f t="shared" si="160"/>
        <v>0</v>
      </c>
      <c r="O2421" s="57"/>
      <c r="P2421" s="145" t="str">
        <f t="shared" si="163"/>
        <v/>
      </c>
      <c r="Q2421" s="52">
        <f t="shared" si="161"/>
        <v>30</v>
      </c>
      <c r="R2421" s="8">
        <f t="shared" si="162"/>
        <v>2027</v>
      </c>
    </row>
    <row r="2422" spans="1:18" hidden="1" x14ac:dyDescent="0.25">
      <c r="A2422" s="224"/>
      <c r="B2422" s="97">
        <v>46599</v>
      </c>
      <c r="C2422" s="58" t="s">
        <v>57</v>
      </c>
      <c r="D2422" s="60" t="s">
        <v>38</v>
      </c>
      <c r="E2422" s="60"/>
      <c r="F2422" s="61"/>
      <c r="G2422" s="60"/>
      <c r="H2422" s="60">
        <v>0</v>
      </c>
      <c r="I2422" s="60">
        <v>0</v>
      </c>
      <c r="J2422" s="60">
        <v>0</v>
      </c>
      <c r="K2422" s="62"/>
      <c r="L2422" s="62">
        <f t="shared" ref="L2422:L2485" si="164">+I2422*K2422</f>
        <v>0</v>
      </c>
      <c r="M2422" s="62">
        <v>0</v>
      </c>
      <c r="N2422" s="102">
        <f t="shared" ref="N2422:N2485" si="165">+L2422*(1-M2422)</f>
        <v>0</v>
      </c>
      <c r="O2422" s="64"/>
      <c r="P2422" s="145" t="str">
        <f t="shared" si="163"/>
        <v/>
      </c>
      <c r="Q2422" s="52">
        <f t="shared" si="161"/>
        <v>30</v>
      </c>
      <c r="R2422" s="8">
        <f t="shared" si="162"/>
        <v>2027</v>
      </c>
    </row>
    <row r="2423" spans="1:18" ht="15.75" hidden="1" thickBot="1" x14ac:dyDescent="0.3">
      <c r="A2423" s="225"/>
      <c r="B2423" s="98">
        <v>46600</v>
      </c>
      <c r="C2423" s="66" t="s">
        <v>59</v>
      </c>
      <c r="D2423" s="67" t="s">
        <v>38</v>
      </c>
      <c r="E2423" s="67"/>
      <c r="F2423" s="68"/>
      <c r="G2423" s="67"/>
      <c r="H2423" s="67">
        <v>0</v>
      </c>
      <c r="I2423" s="67">
        <v>0</v>
      </c>
      <c r="J2423" s="67">
        <v>0</v>
      </c>
      <c r="K2423" s="69"/>
      <c r="L2423" s="69">
        <f t="shared" si="164"/>
        <v>0</v>
      </c>
      <c r="M2423" s="69">
        <v>0</v>
      </c>
      <c r="N2423" s="103">
        <f t="shared" si="165"/>
        <v>0</v>
      </c>
      <c r="O2423" s="71"/>
      <c r="P2423" s="145" t="str">
        <f t="shared" si="163"/>
        <v/>
      </c>
      <c r="Q2423" s="52">
        <f t="shared" si="161"/>
        <v>30</v>
      </c>
      <c r="R2423" s="8">
        <f t="shared" si="162"/>
        <v>2027</v>
      </c>
    </row>
    <row r="2424" spans="1:18" hidden="1" x14ac:dyDescent="0.25">
      <c r="A2424" s="223">
        <f>_xlfn.ISOWEEKNUM(B2424)</f>
        <v>31</v>
      </c>
      <c r="B2424" s="96">
        <v>46601</v>
      </c>
      <c r="C2424" s="72" t="s">
        <v>37</v>
      </c>
      <c r="D2424" s="41" t="s">
        <v>38</v>
      </c>
      <c r="E2424" s="41"/>
      <c r="F2424" s="43"/>
      <c r="G2424" s="41"/>
      <c r="H2424" s="41">
        <v>0</v>
      </c>
      <c r="I2424" s="41">
        <v>0</v>
      </c>
      <c r="J2424" s="41">
        <v>0</v>
      </c>
      <c r="K2424" s="73"/>
      <c r="L2424" s="73">
        <f t="shared" si="164"/>
        <v>0</v>
      </c>
      <c r="M2424" s="73">
        <v>0</v>
      </c>
      <c r="N2424" s="105">
        <f t="shared" si="165"/>
        <v>0</v>
      </c>
      <c r="O2424" s="46"/>
      <c r="P2424" s="145" t="str">
        <f t="shared" si="163"/>
        <v/>
      </c>
      <c r="Q2424" s="52">
        <f t="shared" si="161"/>
        <v>31</v>
      </c>
      <c r="R2424" s="8">
        <f t="shared" si="162"/>
        <v>2027</v>
      </c>
    </row>
    <row r="2425" spans="1:18" hidden="1" x14ac:dyDescent="0.25">
      <c r="A2425" s="224"/>
      <c r="B2425" s="96">
        <v>46602</v>
      </c>
      <c r="C2425" s="52" t="s">
        <v>42</v>
      </c>
      <c r="D2425" s="53" t="s">
        <v>38</v>
      </c>
      <c r="E2425" s="53"/>
      <c r="F2425" s="54"/>
      <c r="G2425" s="53"/>
      <c r="H2425" s="53">
        <v>0</v>
      </c>
      <c r="I2425" s="53">
        <v>0</v>
      </c>
      <c r="J2425" s="53">
        <v>0</v>
      </c>
      <c r="K2425" s="55"/>
      <c r="L2425" s="55">
        <f t="shared" si="164"/>
        <v>0</v>
      </c>
      <c r="M2425" s="55">
        <v>0</v>
      </c>
      <c r="N2425" s="101">
        <f t="shared" si="165"/>
        <v>0</v>
      </c>
      <c r="O2425" s="57"/>
      <c r="P2425" s="145" t="str">
        <f t="shared" si="163"/>
        <v/>
      </c>
      <c r="Q2425" s="52">
        <f t="shared" si="161"/>
        <v>31</v>
      </c>
      <c r="R2425" s="8">
        <f t="shared" si="162"/>
        <v>2027</v>
      </c>
    </row>
    <row r="2426" spans="1:18" hidden="1" x14ac:dyDescent="0.25">
      <c r="A2426" s="224"/>
      <c r="B2426" s="96">
        <v>46603</v>
      </c>
      <c r="C2426" s="52" t="s">
        <v>46</v>
      </c>
      <c r="D2426" s="53" t="s">
        <v>38</v>
      </c>
      <c r="E2426" s="53"/>
      <c r="F2426" s="54"/>
      <c r="G2426" s="53"/>
      <c r="H2426" s="53">
        <v>0</v>
      </c>
      <c r="I2426" s="53">
        <v>0</v>
      </c>
      <c r="J2426" s="53">
        <v>0</v>
      </c>
      <c r="K2426" s="55"/>
      <c r="L2426" s="55">
        <f t="shared" si="164"/>
        <v>0</v>
      </c>
      <c r="M2426" s="55">
        <v>0</v>
      </c>
      <c r="N2426" s="101">
        <f t="shared" si="165"/>
        <v>0</v>
      </c>
      <c r="O2426" s="57"/>
      <c r="P2426" s="145" t="str">
        <f t="shared" si="163"/>
        <v/>
      </c>
      <c r="Q2426" s="52">
        <f t="shared" si="161"/>
        <v>31</v>
      </c>
      <c r="R2426" s="8">
        <f t="shared" si="162"/>
        <v>2027</v>
      </c>
    </row>
    <row r="2427" spans="1:18" hidden="1" x14ac:dyDescent="0.25">
      <c r="A2427" s="224"/>
      <c r="B2427" s="96">
        <v>46604</v>
      </c>
      <c r="C2427" s="52" t="s">
        <v>50</v>
      </c>
      <c r="D2427" s="53" t="s">
        <v>38</v>
      </c>
      <c r="E2427" s="53"/>
      <c r="F2427" s="54"/>
      <c r="G2427" s="53"/>
      <c r="H2427" s="53">
        <v>0</v>
      </c>
      <c r="I2427" s="53">
        <v>0</v>
      </c>
      <c r="J2427" s="53">
        <v>0</v>
      </c>
      <c r="K2427" s="55"/>
      <c r="L2427" s="55">
        <f t="shared" si="164"/>
        <v>0</v>
      </c>
      <c r="M2427" s="55">
        <v>0</v>
      </c>
      <c r="N2427" s="101">
        <f t="shared" si="165"/>
        <v>0</v>
      </c>
      <c r="O2427" s="57"/>
      <c r="P2427" s="145" t="str">
        <f t="shared" si="163"/>
        <v/>
      </c>
      <c r="Q2427" s="52">
        <f t="shared" si="161"/>
        <v>31</v>
      </c>
      <c r="R2427" s="8">
        <f t="shared" si="162"/>
        <v>2027</v>
      </c>
    </row>
    <row r="2428" spans="1:18" hidden="1" x14ac:dyDescent="0.25">
      <c r="A2428" s="224"/>
      <c r="B2428" s="96">
        <v>46605</v>
      </c>
      <c r="C2428" s="52" t="s">
        <v>53</v>
      </c>
      <c r="D2428" s="53" t="s">
        <v>38</v>
      </c>
      <c r="E2428" s="53"/>
      <c r="F2428" s="54"/>
      <c r="G2428" s="53"/>
      <c r="H2428" s="53">
        <v>0</v>
      </c>
      <c r="I2428" s="53">
        <v>0</v>
      </c>
      <c r="J2428" s="53">
        <v>0</v>
      </c>
      <c r="K2428" s="55"/>
      <c r="L2428" s="55">
        <f t="shared" si="164"/>
        <v>0</v>
      </c>
      <c r="M2428" s="55">
        <v>0</v>
      </c>
      <c r="N2428" s="101">
        <f t="shared" si="165"/>
        <v>0</v>
      </c>
      <c r="O2428" s="57"/>
      <c r="P2428" s="145" t="str">
        <f t="shared" si="163"/>
        <v/>
      </c>
      <c r="Q2428" s="52">
        <f t="shared" si="161"/>
        <v>31</v>
      </c>
      <c r="R2428" s="8">
        <f t="shared" si="162"/>
        <v>2027</v>
      </c>
    </row>
    <row r="2429" spans="1:18" hidden="1" x14ac:dyDescent="0.25">
      <c r="A2429" s="224"/>
      <c r="B2429" s="97">
        <v>46606</v>
      </c>
      <c r="C2429" s="58" t="s">
        <v>57</v>
      </c>
      <c r="D2429" s="60" t="s">
        <v>38</v>
      </c>
      <c r="E2429" s="60"/>
      <c r="F2429" s="61"/>
      <c r="G2429" s="60"/>
      <c r="H2429" s="60">
        <v>0</v>
      </c>
      <c r="I2429" s="60">
        <v>0</v>
      </c>
      <c r="J2429" s="60">
        <v>0</v>
      </c>
      <c r="K2429" s="62"/>
      <c r="L2429" s="62">
        <f t="shared" si="164"/>
        <v>0</v>
      </c>
      <c r="M2429" s="62">
        <v>0</v>
      </c>
      <c r="N2429" s="102">
        <f t="shared" si="165"/>
        <v>0</v>
      </c>
      <c r="O2429" s="64"/>
      <c r="P2429" s="145" t="str">
        <f t="shared" si="163"/>
        <v/>
      </c>
      <c r="Q2429" s="52">
        <f t="shared" si="161"/>
        <v>31</v>
      </c>
      <c r="R2429" s="8">
        <f t="shared" si="162"/>
        <v>2027</v>
      </c>
    </row>
    <row r="2430" spans="1:18" ht="15.75" hidden="1" thickBot="1" x14ac:dyDescent="0.3">
      <c r="A2430" s="225"/>
      <c r="B2430" s="98">
        <v>46607</v>
      </c>
      <c r="C2430" s="66" t="s">
        <v>59</v>
      </c>
      <c r="D2430" s="67" t="s">
        <v>38</v>
      </c>
      <c r="E2430" s="67"/>
      <c r="F2430" s="68"/>
      <c r="G2430" s="67"/>
      <c r="H2430" s="67">
        <v>0</v>
      </c>
      <c r="I2430" s="67">
        <v>0</v>
      </c>
      <c r="J2430" s="67">
        <v>0</v>
      </c>
      <c r="K2430" s="69"/>
      <c r="L2430" s="69">
        <f t="shared" si="164"/>
        <v>0</v>
      </c>
      <c r="M2430" s="69">
        <v>0</v>
      </c>
      <c r="N2430" s="103">
        <f t="shared" si="165"/>
        <v>0</v>
      </c>
      <c r="O2430" s="71"/>
      <c r="P2430" s="145" t="str">
        <f t="shared" si="163"/>
        <v/>
      </c>
      <c r="Q2430" s="52">
        <f t="shared" si="161"/>
        <v>31</v>
      </c>
      <c r="R2430" s="8">
        <f t="shared" si="162"/>
        <v>2027</v>
      </c>
    </row>
    <row r="2431" spans="1:18" hidden="1" x14ac:dyDescent="0.25">
      <c r="A2431" s="223">
        <f>_xlfn.ISOWEEKNUM(B2431)</f>
        <v>32</v>
      </c>
      <c r="B2431" s="96">
        <v>46608</v>
      </c>
      <c r="C2431" s="72" t="s">
        <v>37</v>
      </c>
      <c r="D2431" s="41" t="s">
        <v>38</v>
      </c>
      <c r="E2431" s="41"/>
      <c r="F2431" s="43"/>
      <c r="G2431" s="41"/>
      <c r="H2431" s="41">
        <v>0</v>
      </c>
      <c r="I2431" s="41">
        <v>0</v>
      </c>
      <c r="J2431" s="41">
        <v>0</v>
      </c>
      <c r="K2431" s="73"/>
      <c r="L2431" s="73">
        <f t="shared" si="164"/>
        <v>0</v>
      </c>
      <c r="M2431" s="73">
        <v>0</v>
      </c>
      <c r="N2431" s="105">
        <f t="shared" si="165"/>
        <v>0</v>
      </c>
      <c r="O2431" s="46"/>
      <c r="P2431" s="145" t="str">
        <f t="shared" si="163"/>
        <v/>
      </c>
      <c r="Q2431" s="52">
        <f t="shared" si="161"/>
        <v>32</v>
      </c>
      <c r="R2431" s="8">
        <f t="shared" si="162"/>
        <v>2027</v>
      </c>
    </row>
    <row r="2432" spans="1:18" hidden="1" x14ac:dyDescent="0.25">
      <c r="A2432" s="224"/>
      <c r="B2432" s="96">
        <v>46609</v>
      </c>
      <c r="C2432" s="52" t="s">
        <v>42</v>
      </c>
      <c r="D2432" s="53" t="s">
        <v>38</v>
      </c>
      <c r="E2432" s="53"/>
      <c r="F2432" s="54"/>
      <c r="G2432" s="53"/>
      <c r="H2432" s="53">
        <v>0</v>
      </c>
      <c r="I2432" s="53">
        <v>0</v>
      </c>
      <c r="J2432" s="53">
        <v>0</v>
      </c>
      <c r="K2432" s="55"/>
      <c r="L2432" s="55">
        <f t="shared" si="164"/>
        <v>0</v>
      </c>
      <c r="M2432" s="55">
        <v>0</v>
      </c>
      <c r="N2432" s="101">
        <f t="shared" si="165"/>
        <v>0</v>
      </c>
      <c r="O2432" s="57"/>
      <c r="P2432" s="145" t="str">
        <f t="shared" si="163"/>
        <v/>
      </c>
      <c r="Q2432" s="52">
        <f t="shared" si="161"/>
        <v>32</v>
      </c>
      <c r="R2432" s="8">
        <f t="shared" si="162"/>
        <v>2027</v>
      </c>
    </row>
    <row r="2433" spans="1:18" hidden="1" x14ac:dyDescent="0.25">
      <c r="A2433" s="224"/>
      <c r="B2433" s="96">
        <v>46610</v>
      </c>
      <c r="C2433" s="52" t="s">
        <v>46</v>
      </c>
      <c r="D2433" s="53" t="s">
        <v>38</v>
      </c>
      <c r="E2433" s="53"/>
      <c r="F2433" s="54"/>
      <c r="G2433" s="53"/>
      <c r="H2433" s="53">
        <v>0</v>
      </c>
      <c r="I2433" s="53">
        <v>0</v>
      </c>
      <c r="J2433" s="53">
        <v>0</v>
      </c>
      <c r="K2433" s="55"/>
      <c r="L2433" s="55">
        <f t="shared" si="164"/>
        <v>0</v>
      </c>
      <c r="M2433" s="55">
        <v>0</v>
      </c>
      <c r="N2433" s="101">
        <f t="shared" si="165"/>
        <v>0</v>
      </c>
      <c r="O2433" s="57"/>
      <c r="P2433" s="145" t="str">
        <f t="shared" si="163"/>
        <v/>
      </c>
      <c r="Q2433" s="52">
        <f t="shared" si="161"/>
        <v>32</v>
      </c>
      <c r="R2433" s="8">
        <f t="shared" si="162"/>
        <v>2027</v>
      </c>
    </row>
    <row r="2434" spans="1:18" hidden="1" x14ac:dyDescent="0.25">
      <c r="A2434" s="224"/>
      <c r="B2434" s="96">
        <v>46611</v>
      </c>
      <c r="C2434" s="52" t="s">
        <v>50</v>
      </c>
      <c r="D2434" s="53" t="s">
        <v>38</v>
      </c>
      <c r="E2434" s="53"/>
      <c r="F2434" s="54"/>
      <c r="G2434" s="53"/>
      <c r="H2434" s="53">
        <v>0</v>
      </c>
      <c r="I2434" s="53">
        <v>0</v>
      </c>
      <c r="J2434" s="53">
        <v>0</v>
      </c>
      <c r="K2434" s="55"/>
      <c r="L2434" s="55">
        <f t="shared" si="164"/>
        <v>0</v>
      </c>
      <c r="M2434" s="55">
        <v>0</v>
      </c>
      <c r="N2434" s="101">
        <f t="shared" si="165"/>
        <v>0</v>
      </c>
      <c r="O2434" s="57"/>
      <c r="P2434" s="145" t="str">
        <f t="shared" si="163"/>
        <v/>
      </c>
      <c r="Q2434" s="52">
        <f t="shared" si="161"/>
        <v>32</v>
      </c>
      <c r="R2434" s="8">
        <f t="shared" si="162"/>
        <v>2027</v>
      </c>
    </row>
    <row r="2435" spans="1:18" hidden="1" x14ac:dyDescent="0.25">
      <c r="A2435" s="224"/>
      <c r="B2435" s="96">
        <v>46612</v>
      </c>
      <c r="C2435" s="52" t="s">
        <v>53</v>
      </c>
      <c r="D2435" s="53" t="s">
        <v>38</v>
      </c>
      <c r="E2435" s="53"/>
      <c r="F2435" s="54"/>
      <c r="G2435" s="53"/>
      <c r="H2435" s="53">
        <v>0</v>
      </c>
      <c r="I2435" s="53">
        <v>0</v>
      </c>
      <c r="J2435" s="53">
        <v>0</v>
      </c>
      <c r="K2435" s="55"/>
      <c r="L2435" s="55">
        <f t="shared" si="164"/>
        <v>0</v>
      </c>
      <c r="M2435" s="55">
        <v>0</v>
      </c>
      <c r="N2435" s="101">
        <f t="shared" si="165"/>
        <v>0</v>
      </c>
      <c r="O2435" s="57"/>
      <c r="P2435" s="145" t="str">
        <f t="shared" si="163"/>
        <v/>
      </c>
      <c r="Q2435" s="52">
        <f t="shared" si="161"/>
        <v>32</v>
      </c>
      <c r="R2435" s="8">
        <f t="shared" si="162"/>
        <v>2027</v>
      </c>
    </row>
    <row r="2436" spans="1:18" hidden="1" x14ac:dyDescent="0.25">
      <c r="A2436" s="224"/>
      <c r="B2436" s="97">
        <v>46613</v>
      </c>
      <c r="C2436" s="58" t="s">
        <v>57</v>
      </c>
      <c r="D2436" s="60" t="s">
        <v>38</v>
      </c>
      <c r="E2436" s="60"/>
      <c r="F2436" s="61"/>
      <c r="G2436" s="60"/>
      <c r="H2436" s="60">
        <v>0</v>
      </c>
      <c r="I2436" s="60">
        <v>0</v>
      </c>
      <c r="J2436" s="60">
        <v>0</v>
      </c>
      <c r="K2436" s="62"/>
      <c r="L2436" s="62">
        <f t="shared" si="164"/>
        <v>0</v>
      </c>
      <c r="M2436" s="62">
        <v>0</v>
      </c>
      <c r="N2436" s="102">
        <f t="shared" si="165"/>
        <v>0</v>
      </c>
      <c r="O2436" s="64"/>
      <c r="P2436" s="145" t="str">
        <f t="shared" si="163"/>
        <v/>
      </c>
      <c r="Q2436" s="52">
        <f t="shared" si="161"/>
        <v>32</v>
      </c>
      <c r="R2436" s="8">
        <f t="shared" si="162"/>
        <v>2027</v>
      </c>
    </row>
    <row r="2437" spans="1:18" ht="15.75" hidden="1" thickBot="1" x14ac:dyDescent="0.3">
      <c r="A2437" s="225"/>
      <c r="B2437" s="98">
        <v>46614</v>
      </c>
      <c r="C2437" s="66" t="s">
        <v>59</v>
      </c>
      <c r="D2437" s="67" t="s">
        <v>38</v>
      </c>
      <c r="E2437" s="67"/>
      <c r="F2437" s="68"/>
      <c r="G2437" s="67"/>
      <c r="H2437" s="67">
        <v>0</v>
      </c>
      <c r="I2437" s="67">
        <v>0</v>
      </c>
      <c r="J2437" s="67">
        <v>0</v>
      </c>
      <c r="K2437" s="69"/>
      <c r="L2437" s="69">
        <f t="shared" si="164"/>
        <v>0</v>
      </c>
      <c r="M2437" s="69">
        <v>0</v>
      </c>
      <c r="N2437" s="103">
        <f t="shared" si="165"/>
        <v>0</v>
      </c>
      <c r="O2437" s="71"/>
      <c r="P2437" s="145" t="str">
        <f t="shared" si="163"/>
        <v/>
      </c>
      <c r="Q2437" s="52">
        <f t="shared" si="161"/>
        <v>32</v>
      </c>
      <c r="R2437" s="8">
        <f t="shared" si="162"/>
        <v>2027</v>
      </c>
    </row>
    <row r="2438" spans="1:18" hidden="1" x14ac:dyDescent="0.25">
      <c r="A2438" s="223">
        <f>_xlfn.ISOWEEKNUM(B2438)</f>
        <v>33</v>
      </c>
      <c r="B2438" s="96">
        <v>46615</v>
      </c>
      <c r="C2438" s="72" t="s">
        <v>37</v>
      </c>
      <c r="D2438" s="41" t="s">
        <v>38</v>
      </c>
      <c r="E2438" s="41"/>
      <c r="F2438" s="43"/>
      <c r="G2438" s="41"/>
      <c r="H2438" s="41">
        <v>0</v>
      </c>
      <c r="I2438" s="41">
        <v>0</v>
      </c>
      <c r="J2438" s="41">
        <v>0</v>
      </c>
      <c r="K2438" s="73"/>
      <c r="L2438" s="73">
        <f t="shared" si="164"/>
        <v>0</v>
      </c>
      <c r="M2438" s="73">
        <v>0</v>
      </c>
      <c r="N2438" s="105">
        <f t="shared" si="165"/>
        <v>0</v>
      </c>
      <c r="O2438" s="46"/>
      <c r="P2438" s="145" t="str">
        <f t="shared" si="163"/>
        <v/>
      </c>
      <c r="Q2438" s="52">
        <f t="shared" si="161"/>
        <v>33</v>
      </c>
      <c r="R2438" s="8">
        <f t="shared" si="162"/>
        <v>2027</v>
      </c>
    </row>
    <row r="2439" spans="1:18" hidden="1" x14ac:dyDescent="0.25">
      <c r="A2439" s="224"/>
      <c r="B2439" s="96">
        <v>46616</v>
      </c>
      <c r="C2439" s="52" t="s">
        <v>42</v>
      </c>
      <c r="D2439" s="53" t="s">
        <v>38</v>
      </c>
      <c r="E2439" s="53"/>
      <c r="F2439" s="54"/>
      <c r="G2439" s="53"/>
      <c r="H2439" s="53">
        <v>0</v>
      </c>
      <c r="I2439" s="53">
        <v>0</v>
      </c>
      <c r="J2439" s="53">
        <v>0</v>
      </c>
      <c r="K2439" s="55"/>
      <c r="L2439" s="55">
        <f t="shared" si="164"/>
        <v>0</v>
      </c>
      <c r="M2439" s="55">
        <v>0</v>
      </c>
      <c r="N2439" s="101">
        <f t="shared" si="165"/>
        <v>0</v>
      </c>
      <c r="O2439" s="57"/>
      <c r="P2439" s="145" t="str">
        <f t="shared" si="163"/>
        <v/>
      </c>
      <c r="Q2439" s="52">
        <f t="shared" si="161"/>
        <v>33</v>
      </c>
      <c r="R2439" s="8">
        <f t="shared" si="162"/>
        <v>2027</v>
      </c>
    </row>
    <row r="2440" spans="1:18" hidden="1" x14ac:dyDescent="0.25">
      <c r="A2440" s="224"/>
      <c r="B2440" s="96">
        <v>46617</v>
      </c>
      <c r="C2440" s="52" t="s">
        <v>46</v>
      </c>
      <c r="D2440" s="53" t="s">
        <v>38</v>
      </c>
      <c r="E2440" s="53"/>
      <c r="F2440" s="54"/>
      <c r="G2440" s="53"/>
      <c r="H2440" s="53">
        <v>0</v>
      </c>
      <c r="I2440" s="53">
        <v>0</v>
      </c>
      <c r="J2440" s="53">
        <v>0</v>
      </c>
      <c r="K2440" s="55"/>
      <c r="L2440" s="55">
        <f t="shared" si="164"/>
        <v>0</v>
      </c>
      <c r="M2440" s="55">
        <v>0</v>
      </c>
      <c r="N2440" s="101">
        <f t="shared" si="165"/>
        <v>0</v>
      </c>
      <c r="O2440" s="57"/>
      <c r="P2440" s="145" t="str">
        <f t="shared" si="163"/>
        <v/>
      </c>
      <c r="Q2440" s="52">
        <f t="shared" si="161"/>
        <v>33</v>
      </c>
      <c r="R2440" s="8">
        <f t="shared" si="162"/>
        <v>2027</v>
      </c>
    </row>
    <row r="2441" spans="1:18" hidden="1" x14ac:dyDescent="0.25">
      <c r="A2441" s="224"/>
      <c r="B2441" s="96">
        <v>46618</v>
      </c>
      <c r="C2441" s="52" t="s">
        <v>50</v>
      </c>
      <c r="D2441" s="53" t="s">
        <v>38</v>
      </c>
      <c r="E2441" s="53"/>
      <c r="F2441" s="54"/>
      <c r="G2441" s="53"/>
      <c r="H2441" s="53">
        <v>0</v>
      </c>
      <c r="I2441" s="53">
        <v>0</v>
      </c>
      <c r="J2441" s="53">
        <v>0</v>
      </c>
      <c r="K2441" s="55"/>
      <c r="L2441" s="55">
        <f t="shared" si="164"/>
        <v>0</v>
      </c>
      <c r="M2441" s="55">
        <v>0</v>
      </c>
      <c r="N2441" s="101">
        <f t="shared" si="165"/>
        <v>0</v>
      </c>
      <c r="O2441" s="57"/>
      <c r="P2441" s="145" t="str">
        <f t="shared" si="163"/>
        <v/>
      </c>
      <c r="Q2441" s="52">
        <f t="shared" ref="Q2441:Q2504" si="166">_xlfn.ISOWEEKNUM(B2441)</f>
        <v>33</v>
      </c>
      <c r="R2441" s="8">
        <f t="shared" ref="R2441:R2504" si="167">YEAR(B2441)</f>
        <v>2027</v>
      </c>
    </row>
    <row r="2442" spans="1:18" hidden="1" x14ac:dyDescent="0.25">
      <c r="A2442" s="224"/>
      <c r="B2442" s="96">
        <v>46619</v>
      </c>
      <c r="C2442" s="52" t="s">
        <v>53</v>
      </c>
      <c r="D2442" s="53" t="s">
        <v>38</v>
      </c>
      <c r="E2442" s="53"/>
      <c r="F2442" s="54"/>
      <c r="G2442" s="53"/>
      <c r="H2442" s="53">
        <v>0</v>
      </c>
      <c r="I2442" s="53">
        <v>0</v>
      </c>
      <c r="J2442" s="53">
        <v>0</v>
      </c>
      <c r="K2442" s="55"/>
      <c r="L2442" s="55">
        <f t="shared" si="164"/>
        <v>0</v>
      </c>
      <c r="M2442" s="55">
        <v>0</v>
      </c>
      <c r="N2442" s="101">
        <f t="shared" si="165"/>
        <v>0</v>
      </c>
      <c r="O2442" s="57"/>
      <c r="P2442" s="145" t="str">
        <f t="shared" si="163"/>
        <v/>
      </c>
      <c r="Q2442" s="52">
        <f t="shared" si="166"/>
        <v>33</v>
      </c>
      <c r="R2442" s="8">
        <f t="shared" si="167"/>
        <v>2027</v>
      </c>
    </row>
    <row r="2443" spans="1:18" hidden="1" x14ac:dyDescent="0.25">
      <c r="A2443" s="224"/>
      <c r="B2443" s="97">
        <v>46620</v>
      </c>
      <c r="C2443" s="58" t="s">
        <v>57</v>
      </c>
      <c r="D2443" s="60" t="s">
        <v>38</v>
      </c>
      <c r="E2443" s="60"/>
      <c r="F2443" s="61"/>
      <c r="G2443" s="60"/>
      <c r="H2443" s="60">
        <v>0</v>
      </c>
      <c r="I2443" s="60">
        <v>0</v>
      </c>
      <c r="J2443" s="60">
        <v>0</v>
      </c>
      <c r="K2443" s="62"/>
      <c r="L2443" s="62">
        <f t="shared" si="164"/>
        <v>0</v>
      </c>
      <c r="M2443" s="62">
        <v>0</v>
      </c>
      <c r="N2443" s="102">
        <f t="shared" si="165"/>
        <v>0</v>
      </c>
      <c r="O2443" s="64"/>
      <c r="P2443" s="145" t="str">
        <f t="shared" si="163"/>
        <v/>
      </c>
      <c r="Q2443" s="52">
        <f t="shared" si="166"/>
        <v>33</v>
      </c>
      <c r="R2443" s="8">
        <f t="shared" si="167"/>
        <v>2027</v>
      </c>
    </row>
    <row r="2444" spans="1:18" ht="15.75" hidden="1" thickBot="1" x14ac:dyDescent="0.3">
      <c r="A2444" s="225"/>
      <c r="B2444" s="98">
        <v>46621</v>
      </c>
      <c r="C2444" s="66" t="s">
        <v>59</v>
      </c>
      <c r="D2444" s="67" t="s">
        <v>38</v>
      </c>
      <c r="E2444" s="67"/>
      <c r="F2444" s="68"/>
      <c r="G2444" s="67"/>
      <c r="H2444" s="67">
        <v>0</v>
      </c>
      <c r="I2444" s="67">
        <v>0</v>
      </c>
      <c r="J2444" s="67">
        <v>0</v>
      </c>
      <c r="K2444" s="69"/>
      <c r="L2444" s="69">
        <f t="shared" si="164"/>
        <v>0</v>
      </c>
      <c r="M2444" s="69">
        <v>0</v>
      </c>
      <c r="N2444" s="103">
        <f t="shared" si="165"/>
        <v>0</v>
      </c>
      <c r="O2444" s="71"/>
      <c r="P2444" s="145" t="str">
        <f t="shared" si="163"/>
        <v/>
      </c>
      <c r="Q2444" s="52">
        <f t="shared" si="166"/>
        <v>33</v>
      </c>
      <c r="R2444" s="8">
        <f t="shared" si="167"/>
        <v>2027</v>
      </c>
    </row>
    <row r="2445" spans="1:18" hidden="1" x14ac:dyDescent="0.25">
      <c r="A2445" s="223">
        <f>_xlfn.ISOWEEKNUM(B2445)</f>
        <v>34</v>
      </c>
      <c r="B2445" s="96">
        <v>46622</v>
      </c>
      <c r="C2445" s="72" t="s">
        <v>37</v>
      </c>
      <c r="D2445" s="41" t="s">
        <v>38</v>
      </c>
      <c r="E2445" s="41"/>
      <c r="F2445" s="43"/>
      <c r="G2445" s="41"/>
      <c r="H2445" s="41">
        <v>0</v>
      </c>
      <c r="I2445" s="41">
        <v>0</v>
      </c>
      <c r="J2445" s="41">
        <v>0</v>
      </c>
      <c r="K2445" s="73"/>
      <c r="L2445" s="73">
        <f t="shared" si="164"/>
        <v>0</v>
      </c>
      <c r="M2445" s="73">
        <v>0</v>
      </c>
      <c r="N2445" s="105">
        <f t="shared" si="165"/>
        <v>0</v>
      </c>
      <c r="O2445" s="46"/>
      <c r="P2445" s="145" t="str">
        <f t="shared" si="163"/>
        <v/>
      </c>
      <c r="Q2445" s="52">
        <f t="shared" si="166"/>
        <v>34</v>
      </c>
      <c r="R2445" s="8">
        <f t="shared" si="167"/>
        <v>2027</v>
      </c>
    </row>
    <row r="2446" spans="1:18" hidden="1" x14ac:dyDescent="0.25">
      <c r="A2446" s="224"/>
      <c r="B2446" s="96">
        <v>46623</v>
      </c>
      <c r="C2446" s="52" t="s">
        <v>42</v>
      </c>
      <c r="D2446" s="53" t="s">
        <v>38</v>
      </c>
      <c r="E2446" s="53"/>
      <c r="F2446" s="54"/>
      <c r="G2446" s="53"/>
      <c r="H2446" s="53">
        <v>0</v>
      </c>
      <c r="I2446" s="53">
        <v>0</v>
      </c>
      <c r="J2446" s="53">
        <v>0</v>
      </c>
      <c r="K2446" s="55"/>
      <c r="L2446" s="55">
        <f t="shared" si="164"/>
        <v>0</v>
      </c>
      <c r="M2446" s="55">
        <v>0</v>
      </c>
      <c r="N2446" s="101">
        <f t="shared" si="165"/>
        <v>0</v>
      </c>
      <c r="O2446" s="57"/>
      <c r="P2446" s="145" t="str">
        <f t="shared" si="163"/>
        <v/>
      </c>
      <c r="Q2446" s="52">
        <f t="shared" si="166"/>
        <v>34</v>
      </c>
      <c r="R2446" s="8">
        <f t="shared" si="167"/>
        <v>2027</v>
      </c>
    </row>
    <row r="2447" spans="1:18" hidden="1" x14ac:dyDescent="0.25">
      <c r="A2447" s="224"/>
      <c r="B2447" s="96">
        <v>46624</v>
      </c>
      <c r="C2447" s="52" t="s">
        <v>46</v>
      </c>
      <c r="D2447" s="53" t="s">
        <v>38</v>
      </c>
      <c r="E2447" s="53"/>
      <c r="F2447" s="54"/>
      <c r="G2447" s="53"/>
      <c r="H2447" s="53">
        <v>0</v>
      </c>
      <c r="I2447" s="53">
        <v>0</v>
      </c>
      <c r="J2447" s="53">
        <v>0</v>
      </c>
      <c r="K2447" s="55"/>
      <c r="L2447" s="55">
        <f t="shared" si="164"/>
        <v>0</v>
      </c>
      <c r="M2447" s="55">
        <v>0</v>
      </c>
      <c r="N2447" s="101">
        <f t="shared" si="165"/>
        <v>0</v>
      </c>
      <c r="O2447" s="57"/>
      <c r="P2447" s="145" t="str">
        <f t="shared" si="163"/>
        <v/>
      </c>
      <c r="Q2447" s="52">
        <f t="shared" si="166"/>
        <v>34</v>
      </c>
      <c r="R2447" s="8">
        <f t="shared" si="167"/>
        <v>2027</v>
      </c>
    </row>
    <row r="2448" spans="1:18" hidden="1" x14ac:dyDescent="0.25">
      <c r="A2448" s="224"/>
      <c r="B2448" s="96">
        <v>46625</v>
      </c>
      <c r="C2448" s="52" t="s">
        <v>50</v>
      </c>
      <c r="D2448" s="53" t="s">
        <v>38</v>
      </c>
      <c r="E2448" s="53"/>
      <c r="F2448" s="54"/>
      <c r="G2448" s="53"/>
      <c r="H2448" s="53">
        <v>0</v>
      </c>
      <c r="I2448" s="53">
        <v>0</v>
      </c>
      <c r="J2448" s="53">
        <v>0</v>
      </c>
      <c r="K2448" s="55"/>
      <c r="L2448" s="55">
        <f t="shared" si="164"/>
        <v>0</v>
      </c>
      <c r="M2448" s="55">
        <v>0</v>
      </c>
      <c r="N2448" s="101">
        <f t="shared" si="165"/>
        <v>0</v>
      </c>
      <c r="O2448" s="57"/>
      <c r="P2448" s="145" t="str">
        <f t="shared" si="163"/>
        <v/>
      </c>
      <c r="Q2448" s="52">
        <f t="shared" si="166"/>
        <v>34</v>
      </c>
      <c r="R2448" s="8">
        <f t="shared" si="167"/>
        <v>2027</v>
      </c>
    </row>
    <row r="2449" spans="1:18" hidden="1" x14ac:dyDescent="0.25">
      <c r="A2449" s="224"/>
      <c r="B2449" s="96">
        <v>46626</v>
      </c>
      <c r="C2449" s="52" t="s">
        <v>53</v>
      </c>
      <c r="D2449" s="53" t="s">
        <v>38</v>
      </c>
      <c r="E2449" s="53"/>
      <c r="F2449" s="54"/>
      <c r="G2449" s="53"/>
      <c r="H2449" s="53">
        <v>0</v>
      </c>
      <c r="I2449" s="53">
        <v>0</v>
      </c>
      <c r="J2449" s="53">
        <v>0</v>
      </c>
      <c r="K2449" s="55"/>
      <c r="L2449" s="55">
        <f t="shared" si="164"/>
        <v>0</v>
      </c>
      <c r="M2449" s="55">
        <v>0</v>
      </c>
      <c r="N2449" s="101">
        <f t="shared" si="165"/>
        <v>0</v>
      </c>
      <c r="O2449" s="57"/>
      <c r="P2449" s="145" t="str">
        <f t="shared" si="163"/>
        <v/>
      </c>
      <c r="Q2449" s="52">
        <f t="shared" si="166"/>
        <v>34</v>
      </c>
      <c r="R2449" s="8">
        <f t="shared" si="167"/>
        <v>2027</v>
      </c>
    </row>
    <row r="2450" spans="1:18" hidden="1" x14ac:dyDescent="0.25">
      <c r="A2450" s="224"/>
      <c r="B2450" s="97">
        <v>46627</v>
      </c>
      <c r="C2450" s="58" t="s">
        <v>57</v>
      </c>
      <c r="D2450" s="60" t="s">
        <v>38</v>
      </c>
      <c r="E2450" s="60"/>
      <c r="F2450" s="61"/>
      <c r="G2450" s="60"/>
      <c r="H2450" s="60">
        <v>0</v>
      </c>
      <c r="I2450" s="60">
        <v>0</v>
      </c>
      <c r="J2450" s="60">
        <v>0</v>
      </c>
      <c r="K2450" s="62"/>
      <c r="L2450" s="62">
        <f t="shared" si="164"/>
        <v>0</v>
      </c>
      <c r="M2450" s="62">
        <v>0</v>
      </c>
      <c r="N2450" s="102">
        <f t="shared" si="165"/>
        <v>0</v>
      </c>
      <c r="O2450" s="64"/>
      <c r="P2450" s="145" t="str">
        <f t="shared" si="163"/>
        <v/>
      </c>
      <c r="Q2450" s="52">
        <f t="shared" si="166"/>
        <v>34</v>
      </c>
      <c r="R2450" s="8">
        <f t="shared" si="167"/>
        <v>2027</v>
      </c>
    </row>
    <row r="2451" spans="1:18" ht="15.75" hidden="1" thickBot="1" x14ac:dyDescent="0.3">
      <c r="A2451" s="225"/>
      <c r="B2451" s="98">
        <v>46628</v>
      </c>
      <c r="C2451" s="66" t="s">
        <v>59</v>
      </c>
      <c r="D2451" s="67" t="s">
        <v>38</v>
      </c>
      <c r="E2451" s="67"/>
      <c r="F2451" s="68"/>
      <c r="G2451" s="67"/>
      <c r="H2451" s="67">
        <v>0</v>
      </c>
      <c r="I2451" s="67">
        <v>0</v>
      </c>
      <c r="J2451" s="67">
        <v>0</v>
      </c>
      <c r="K2451" s="69"/>
      <c r="L2451" s="69">
        <f t="shared" si="164"/>
        <v>0</v>
      </c>
      <c r="M2451" s="69">
        <v>0</v>
      </c>
      <c r="N2451" s="103">
        <f t="shared" si="165"/>
        <v>0</v>
      </c>
      <c r="O2451" s="71"/>
      <c r="P2451" s="145" t="str">
        <f t="shared" si="163"/>
        <v/>
      </c>
      <c r="Q2451" s="52">
        <f t="shared" si="166"/>
        <v>34</v>
      </c>
      <c r="R2451" s="8">
        <f t="shared" si="167"/>
        <v>2027</v>
      </c>
    </row>
    <row r="2452" spans="1:18" hidden="1" x14ac:dyDescent="0.25">
      <c r="A2452" s="223">
        <f>_xlfn.ISOWEEKNUM(B2452)</f>
        <v>35</v>
      </c>
      <c r="B2452" s="96">
        <v>46629</v>
      </c>
      <c r="C2452" s="72" t="s">
        <v>37</v>
      </c>
      <c r="D2452" s="41" t="s">
        <v>38</v>
      </c>
      <c r="E2452" s="41"/>
      <c r="F2452" s="43"/>
      <c r="G2452" s="41"/>
      <c r="H2452" s="41">
        <v>0</v>
      </c>
      <c r="I2452" s="41">
        <v>0</v>
      </c>
      <c r="J2452" s="41">
        <v>0</v>
      </c>
      <c r="K2452" s="73"/>
      <c r="L2452" s="73">
        <f t="shared" si="164"/>
        <v>0</v>
      </c>
      <c r="M2452" s="73">
        <v>0</v>
      </c>
      <c r="N2452" s="105">
        <f t="shared" si="165"/>
        <v>0</v>
      </c>
      <c r="O2452" s="46"/>
      <c r="P2452" s="145" t="str">
        <f t="shared" si="163"/>
        <v/>
      </c>
      <c r="Q2452" s="52">
        <f t="shared" si="166"/>
        <v>35</v>
      </c>
      <c r="R2452" s="8">
        <f t="shared" si="167"/>
        <v>2027</v>
      </c>
    </row>
    <row r="2453" spans="1:18" hidden="1" x14ac:dyDescent="0.25">
      <c r="A2453" s="224"/>
      <c r="B2453" s="96">
        <v>46630</v>
      </c>
      <c r="C2453" s="52" t="s">
        <v>42</v>
      </c>
      <c r="D2453" s="53" t="s">
        <v>38</v>
      </c>
      <c r="E2453" s="53"/>
      <c r="F2453" s="54"/>
      <c r="G2453" s="53"/>
      <c r="H2453" s="53">
        <v>0</v>
      </c>
      <c r="I2453" s="53">
        <v>0</v>
      </c>
      <c r="J2453" s="53">
        <v>0</v>
      </c>
      <c r="K2453" s="55"/>
      <c r="L2453" s="55">
        <f t="shared" si="164"/>
        <v>0</v>
      </c>
      <c r="M2453" s="55">
        <v>0</v>
      </c>
      <c r="N2453" s="101">
        <f t="shared" si="165"/>
        <v>0</v>
      </c>
      <c r="O2453" s="57"/>
      <c r="P2453" s="145" t="str">
        <f t="shared" si="163"/>
        <v/>
      </c>
      <c r="Q2453" s="52">
        <f t="shared" si="166"/>
        <v>35</v>
      </c>
      <c r="R2453" s="8">
        <f t="shared" si="167"/>
        <v>2027</v>
      </c>
    </row>
    <row r="2454" spans="1:18" hidden="1" x14ac:dyDescent="0.25">
      <c r="A2454" s="224"/>
      <c r="B2454" s="96">
        <v>46631</v>
      </c>
      <c r="C2454" s="52" t="s">
        <v>46</v>
      </c>
      <c r="D2454" s="53" t="s">
        <v>38</v>
      </c>
      <c r="E2454" s="53"/>
      <c r="F2454" s="54"/>
      <c r="G2454" s="53"/>
      <c r="H2454" s="53">
        <v>0</v>
      </c>
      <c r="I2454" s="53">
        <v>0</v>
      </c>
      <c r="J2454" s="53">
        <v>0</v>
      </c>
      <c r="K2454" s="55"/>
      <c r="L2454" s="55">
        <f t="shared" si="164"/>
        <v>0</v>
      </c>
      <c r="M2454" s="55">
        <v>0</v>
      </c>
      <c r="N2454" s="101">
        <f t="shared" si="165"/>
        <v>0</v>
      </c>
      <c r="O2454" s="57"/>
      <c r="P2454" s="145" t="str">
        <f t="shared" si="163"/>
        <v/>
      </c>
      <c r="Q2454" s="52">
        <f t="shared" si="166"/>
        <v>35</v>
      </c>
      <c r="R2454" s="8">
        <f t="shared" si="167"/>
        <v>2027</v>
      </c>
    </row>
    <row r="2455" spans="1:18" hidden="1" x14ac:dyDescent="0.25">
      <c r="A2455" s="224"/>
      <c r="B2455" s="96">
        <v>46632</v>
      </c>
      <c r="C2455" s="52" t="s">
        <v>50</v>
      </c>
      <c r="D2455" s="53" t="s">
        <v>38</v>
      </c>
      <c r="E2455" s="53"/>
      <c r="F2455" s="54"/>
      <c r="G2455" s="53"/>
      <c r="H2455" s="53">
        <v>0</v>
      </c>
      <c r="I2455" s="53">
        <v>0</v>
      </c>
      <c r="J2455" s="53">
        <v>0</v>
      </c>
      <c r="K2455" s="55"/>
      <c r="L2455" s="55">
        <f t="shared" si="164"/>
        <v>0</v>
      </c>
      <c r="M2455" s="55">
        <v>0</v>
      </c>
      <c r="N2455" s="101">
        <f t="shared" si="165"/>
        <v>0</v>
      </c>
      <c r="O2455" s="57"/>
      <c r="P2455" s="145" t="str">
        <f t="shared" si="163"/>
        <v/>
      </c>
      <c r="Q2455" s="52">
        <f t="shared" si="166"/>
        <v>35</v>
      </c>
      <c r="R2455" s="8">
        <f t="shared" si="167"/>
        <v>2027</v>
      </c>
    </row>
    <row r="2456" spans="1:18" hidden="1" x14ac:dyDescent="0.25">
      <c r="A2456" s="224"/>
      <c r="B2456" s="96">
        <v>46633</v>
      </c>
      <c r="C2456" s="52" t="s">
        <v>53</v>
      </c>
      <c r="D2456" s="53" t="s">
        <v>38</v>
      </c>
      <c r="E2456" s="53"/>
      <c r="F2456" s="54"/>
      <c r="G2456" s="53"/>
      <c r="H2456" s="53">
        <v>0</v>
      </c>
      <c r="I2456" s="53">
        <v>0</v>
      </c>
      <c r="J2456" s="53">
        <v>0</v>
      </c>
      <c r="K2456" s="55"/>
      <c r="L2456" s="55">
        <f t="shared" si="164"/>
        <v>0</v>
      </c>
      <c r="M2456" s="55">
        <v>0</v>
      </c>
      <c r="N2456" s="101">
        <f t="shared" si="165"/>
        <v>0</v>
      </c>
      <c r="O2456" s="57"/>
      <c r="P2456" s="145" t="str">
        <f t="shared" si="163"/>
        <v/>
      </c>
      <c r="Q2456" s="52">
        <f t="shared" si="166"/>
        <v>35</v>
      </c>
      <c r="R2456" s="8">
        <f t="shared" si="167"/>
        <v>2027</v>
      </c>
    </row>
    <row r="2457" spans="1:18" hidden="1" x14ac:dyDescent="0.25">
      <c r="A2457" s="224"/>
      <c r="B2457" s="97">
        <v>46634</v>
      </c>
      <c r="C2457" s="58" t="s">
        <v>57</v>
      </c>
      <c r="D2457" s="60" t="s">
        <v>38</v>
      </c>
      <c r="E2457" s="60"/>
      <c r="F2457" s="61"/>
      <c r="G2457" s="60"/>
      <c r="H2457" s="60">
        <v>0</v>
      </c>
      <c r="I2457" s="60">
        <v>0</v>
      </c>
      <c r="J2457" s="60">
        <v>0</v>
      </c>
      <c r="K2457" s="62"/>
      <c r="L2457" s="62">
        <f t="shared" si="164"/>
        <v>0</v>
      </c>
      <c r="M2457" s="62">
        <v>0</v>
      </c>
      <c r="N2457" s="102">
        <f t="shared" si="165"/>
        <v>0</v>
      </c>
      <c r="O2457" s="64"/>
      <c r="P2457" s="145" t="str">
        <f t="shared" si="163"/>
        <v/>
      </c>
      <c r="Q2457" s="52">
        <f t="shared" si="166"/>
        <v>35</v>
      </c>
      <c r="R2457" s="8">
        <f t="shared" si="167"/>
        <v>2027</v>
      </c>
    </row>
    <row r="2458" spans="1:18" ht="15.75" hidden="1" thickBot="1" x14ac:dyDescent="0.3">
      <c r="A2458" s="225"/>
      <c r="B2458" s="98">
        <v>46635</v>
      </c>
      <c r="C2458" s="66" t="s">
        <v>59</v>
      </c>
      <c r="D2458" s="67" t="s">
        <v>38</v>
      </c>
      <c r="E2458" s="67"/>
      <c r="F2458" s="68"/>
      <c r="G2458" s="67"/>
      <c r="H2458" s="67">
        <v>0</v>
      </c>
      <c r="I2458" s="67">
        <v>0</v>
      </c>
      <c r="J2458" s="67">
        <v>0</v>
      </c>
      <c r="K2458" s="69"/>
      <c r="L2458" s="69">
        <f t="shared" si="164"/>
        <v>0</v>
      </c>
      <c r="M2458" s="69">
        <v>0</v>
      </c>
      <c r="N2458" s="103">
        <f t="shared" si="165"/>
        <v>0</v>
      </c>
      <c r="O2458" s="71"/>
      <c r="P2458" s="145" t="str">
        <f t="shared" si="163"/>
        <v/>
      </c>
      <c r="Q2458" s="52">
        <f t="shared" si="166"/>
        <v>35</v>
      </c>
      <c r="R2458" s="8">
        <f t="shared" si="167"/>
        <v>2027</v>
      </c>
    </row>
    <row r="2459" spans="1:18" hidden="1" x14ac:dyDescent="0.25">
      <c r="A2459" s="223">
        <f>_xlfn.ISOWEEKNUM(B2459)</f>
        <v>36</v>
      </c>
      <c r="B2459" s="96">
        <v>46636</v>
      </c>
      <c r="C2459" s="72" t="s">
        <v>37</v>
      </c>
      <c r="D2459" s="41" t="s">
        <v>38</v>
      </c>
      <c r="E2459" s="41"/>
      <c r="F2459" s="43"/>
      <c r="G2459" s="41"/>
      <c r="H2459" s="41">
        <v>0</v>
      </c>
      <c r="I2459" s="41">
        <v>0</v>
      </c>
      <c r="J2459" s="41">
        <v>0</v>
      </c>
      <c r="K2459" s="73"/>
      <c r="L2459" s="73">
        <f t="shared" si="164"/>
        <v>0</v>
      </c>
      <c r="M2459" s="73">
        <v>0</v>
      </c>
      <c r="N2459" s="105">
        <f t="shared" si="165"/>
        <v>0</v>
      </c>
      <c r="O2459" s="46"/>
      <c r="P2459" s="145" t="str">
        <f t="shared" si="163"/>
        <v/>
      </c>
      <c r="Q2459" s="52">
        <f t="shared" si="166"/>
        <v>36</v>
      </c>
      <c r="R2459" s="8">
        <f t="shared" si="167"/>
        <v>2027</v>
      </c>
    </row>
    <row r="2460" spans="1:18" hidden="1" x14ac:dyDescent="0.25">
      <c r="A2460" s="224"/>
      <c r="B2460" s="96">
        <v>46637</v>
      </c>
      <c r="C2460" s="52" t="s">
        <v>42</v>
      </c>
      <c r="D2460" s="53" t="s">
        <v>38</v>
      </c>
      <c r="E2460" s="53"/>
      <c r="F2460" s="54"/>
      <c r="G2460" s="53"/>
      <c r="H2460" s="53">
        <v>0</v>
      </c>
      <c r="I2460" s="53">
        <v>0</v>
      </c>
      <c r="J2460" s="53">
        <v>0</v>
      </c>
      <c r="K2460" s="55"/>
      <c r="L2460" s="55">
        <f t="shared" si="164"/>
        <v>0</v>
      </c>
      <c r="M2460" s="55">
        <v>0</v>
      </c>
      <c r="N2460" s="101">
        <f t="shared" si="165"/>
        <v>0</v>
      </c>
      <c r="O2460" s="57"/>
      <c r="P2460" s="145" t="str">
        <f t="shared" si="163"/>
        <v/>
      </c>
      <c r="Q2460" s="52">
        <f t="shared" si="166"/>
        <v>36</v>
      </c>
      <c r="R2460" s="8">
        <f t="shared" si="167"/>
        <v>2027</v>
      </c>
    </row>
    <row r="2461" spans="1:18" hidden="1" x14ac:dyDescent="0.25">
      <c r="A2461" s="224"/>
      <c r="B2461" s="96">
        <v>46638</v>
      </c>
      <c r="C2461" s="52" t="s">
        <v>46</v>
      </c>
      <c r="D2461" s="53" t="s">
        <v>38</v>
      </c>
      <c r="E2461" s="53"/>
      <c r="F2461" s="54"/>
      <c r="G2461" s="53"/>
      <c r="H2461" s="53">
        <v>0</v>
      </c>
      <c r="I2461" s="53">
        <v>0</v>
      </c>
      <c r="J2461" s="53">
        <v>0</v>
      </c>
      <c r="K2461" s="55"/>
      <c r="L2461" s="55">
        <f t="shared" si="164"/>
        <v>0</v>
      </c>
      <c r="M2461" s="55">
        <v>0</v>
      </c>
      <c r="N2461" s="101">
        <f t="shared" si="165"/>
        <v>0</v>
      </c>
      <c r="O2461" s="57"/>
      <c r="P2461" s="145" t="str">
        <f t="shared" si="163"/>
        <v/>
      </c>
      <c r="Q2461" s="52">
        <f t="shared" si="166"/>
        <v>36</v>
      </c>
      <c r="R2461" s="8">
        <f t="shared" si="167"/>
        <v>2027</v>
      </c>
    </row>
    <row r="2462" spans="1:18" hidden="1" x14ac:dyDescent="0.25">
      <c r="A2462" s="224"/>
      <c r="B2462" s="96">
        <v>46639</v>
      </c>
      <c r="C2462" s="52" t="s">
        <v>50</v>
      </c>
      <c r="D2462" s="53" t="s">
        <v>38</v>
      </c>
      <c r="E2462" s="53"/>
      <c r="F2462" s="54"/>
      <c r="G2462" s="53"/>
      <c r="H2462" s="53">
        <v>0</v>
      </c>
      <c r="I2462" s="53">
        <v>0</v>
      </c>
      <c r="J2462" s="53">
        <v>0</v>
      </c>
      <c r="K2462" s="55"/>
      <c r="L2462" s="55">
        <f t="shared" si="164"/>
        <v>0</v>
      </c>
      <c r="M2462" s="55">
        <v>0</v>
      </c>
      <c r="N2462" s="101">
        <f t="shared" si="165"/>
        <v>0</v>
      </c>
      <c r="O2462" s="57"/>
      <c r="P2462" s="145" t="str">
        <f t="shared" si="163"/>
        <v/>
      </c>
      <c r="Q2462" s="52">
        <f t="shared" si="166"/>
        <v>36</v>
      </c>
      <c r="R2462" s="8">
        <f t="shared" si="167"/>
        <v>2027</v>
      </c>
    </row>
    <row r="2463" spans="1:18" hidden="1" x14ac:dyDescent="0.25">
      <c r="A2463" s="224"/>
      <c r="B2463" s="96">
        <v>46640</v>
      </c>
      <c r="C2463" s="52" t="s">
        <v>53</v>
      </c>
      <c r="D2463" s="53" t="s">
        <v>38</v>
      </c>
      <c r="E2463" s="53"/>
      <c r="F2463" s="54"/>
      <c r="G2463" s="53"/>
      <c r="H2463" s="53">
        <v>0</v>
      </c>
      <c r="I2463" s="53">
        <v>0</v>
      </c>
      <c r="J2463" s="53">
        <v>0</v>
      </c>
      <c r="K2463" s="55"/>
      <c r="L2463" s="55">
        <f t="shared" si="164"/>
        <v>0</v>
      </c>
      <c r="M2463" s="55">
        <v>0</v>
      </c>
      <c r="N2463" s="101">
        <f t="shared" si="165"/>
        <v>0</v>
      </c>
      <c r="O2463" s="57"/>
      <c r="P2463" s="145" t="str">
        <f t="shared" si="163"/>
        <v/>
      </c>
      <c r="Q2463" s="52">
        <f t="shared" si="166"/>
        <v>36</v>
      </c>
      <c r="R2463" s="8">
        <f t="shared" si="167"/>
        <v>2027</v>
      </c>
    </row>
    <row r="2464" spans="1:18" hidden="1" x14ac:dyDescent="0.25">
      <c r="A2464" s="224"/>
      <c r="B2464" s="97">
        <v>46641</v>
      </c>
      <c r="C2464" s="58" t="s">
        <v>57</v>
      </c>
      <c r="D2464" s="60" t="s">
        <v>38</v>
      </c>
      <c r="E2464" s="60"/>
      <c r="F2464" s="61"/>
      <c r="G2464" s="60"/>
      <c r="H2464" s="60">
        <v>0</v>
      </c>
      <c r="I2464" s="60">
        <v>0</v>
      </c>
      <c r="J2464" s="60">
        <v>0</v>
      </c>
      <c r="K2464" s="62"/>
      <c r="L2464" s="62">
        <f t="shared" si="164"/>
        <v>0</v>
      </c>
      <c r="M2464" s="62">
        <v>0</v>
      </c>
      <c r="N2464" s="102">
        <f t="shared" si="165"/>
        <v>0</v>
      </c>
      <c r="O2464" s="64"/>
      <c r="P2464" s="145" t="str">
        <f t="shared" si="163"/>
        <v/>
      </c>
      <c r="Q2464" s="52">
        <f t="shared" si="166"/>
        <v>36</v>
      </c>
      <c r="R2464" s="8">
        <f t="shared" si="167"/>
        <v>2027</v>
      </c>
    </row>
    <row r="2465" spans="1:18" ht="15.75" hidden="1" thickBot="1" x14ac:dyDescent="0.3">
      <c r="A2465" s="225"/>
      <c r="B2465" s="98">
        <v>46642</v>
      </c>
      <c r="C2465" s="66" t="s">
        <v>59</v>
      </c>
      <c r="D2465" s="67" t="s">
        <v>38</v>
      </c>
      <c r="E2465" s="67"/>
      <c r="F2465" s="68"/>
      <c r="G2465" s="67"/>
      <c r="H2465" s="67">
        <v>0</v>
      </c>
      <c r="I2465" s="67">
        <v>0</v>
      </c>
      <c r="J2465" s="67">
        <v>0</v>
      </c>
      <c r="K2465" s="69"/>
      <c r="L2465" s="69">
        <f t="shared" si="164"/>
        <v>0</v>
      </c>
      <c r="M2465" s="69">
        <v>0</v>
      </c>
      <c r="N2465" s="103">
        <f t="shared" si="165"/>
        <v>0</v>
      </c>
      <c r="O2465" s="71"/>
      <c r="P2465" s="145" t="str">
        <f t="shared" si="163"/>
        <v/>
      </c>
      <c r="Q2465" s="52">
        <f t="shared" si="166"/>
        <v>36</v>
      </c>
      <c r="R2465" s="8">
        <f t="shared" si="167"/>
        <v>2027</v>
      </c>
    </row>
    <row r="2466" spans="1:18" hidden="1" x14ac:dyDescent="0.25">
      <c r="A2466" s="223">
        <f>_xlfn.ISOWEEKNUM(B2466)</f>
        <v>37</v>
      </c>
      <c r="B2466" s="96">
        <v>46643</v>
      </c>
      <c r="C2466" s="72" t="s">
        <v>37</v>
      </c>
      <c r="D2466" s="41" t="s">
        <v>38</v>
      </c>
      <c r="E2466" s="41"/>
      <c r="F2466" s="43"/>
      <c r="G2466" s="41"/>
      <c r="H2466" s="41">
        <v>0</v>
      </c>
      <c r="I2466" s="41">
        <v>0</v>
      </c>
      <c r="J2466" s="41">
        <v>0</v>
      </c>
      <c r="K2466" s="73"/>
      <c r="L2466" s="73">
        <f t="shared" si="164"/>
        <v>0</v>
      </c>
      <c r="M2466" s="73">
        <v>0</v>
      </c>
      <c r="N2466" s="105">
        <f t="shared" si="165"/>
        <v>0</v>
      </c>
      <c r="O2466" s="46"/>
      <c r="P2466" s="145" t="str">
        <f t="shared" si="163"/>
        <v/>
      </c>
      <c r="Q2466" s="52">
        <f t="shared" si="166"/>
        <v>37</v>
      </c>
      <c r="R2466" s="8">
        <f t="shared" si="167"/>
        <v>2027</v>
      </c>
    </row>
    <row r="2467" spans="1:18" hidden="1" x14ac:dyDescent="0.25">
      <c r="A2467" s="224"/>
      <c r="B2467" s="96">
        <v>46644</v>
      </c>
      <c r="C2467" s="52" t="s">
        <v>42</v>
      </c>
      <c r="D2467" s="53" t="s">
        <v>38</v>
      </c>
      <c r="E2467" s="53"/>
      <c r="F2467" s="54"/>
      <c r="G2467" s="53"/>
      <c r="H2467" s="53">
        <v>0</v>
      </c>
      <c r="I2467" s="53">
        <v>0</v>
      </c>
      <c r="J2467" s="53">
        <v>0</v>
      </c>
      <c r="K2467" s="55"/>
      <c r="L2467" s="55">
        <f t="shared" si="164"/>
        <v>0</v>
      </c>
      <c r="M2467" s="55">
        <v>0</v>
      </c>
      <c r="N2467" s="101">
        <f t="shared" si="165"/>
        <v>0</v>
      </c>
      <c r="O2467" s="57"/>
      <c r="P2467" s="145" t="str">
        <f t="shared" si="163"/>
        <v/>
      </c>
      <c r="Q2467" s="52">
        <f t="shared" si="166"/>
        <v>37</v>
      </c>
      <c r="R2467" s="8">
        <f t="shared" si="167"/>
        <v>2027</v>
      </c>
    </row>
    <row r="2468" spans="1:18" hidden="1" x14ac:dyDescent="0.25">
      <c r="A2468" s="224"/>
      <c r="B2468" s="96">
        <v>46645</v>
      </c>
      <c r="C2468" s="52" t="s">
        <v>46</v>
      </c>
      <c r="D2468" s="53" t="s">
        <v>38</v>
      </c>
      <c r="E2468" s="53"/>
      <c r="F2468" s="54"/>
      <c r="G2468" s="53"/>
      <c r="H2468" s="53">
        <v>0</v>
      </c>
      <c r="I2468" s="53">
        <v>0</v>
      </c>
      <c r="J2468" s="53">
        <v>0</v>
      </c>
      <c r="K2468" s="55"/>
      <c r="L2468" s="55">
        <f t="shared" si="164"/>
        <v>0</v>
      </c>
      <c r="M2468" s="55">
        <v>0</v>
      </c>
      <c r="N2468" s="101">
        <f t="shared" si="165"/>
        <v>0</v>
      </c>
      <c r="O2468" s="57"/>
      <c r="P2468" s="145" t="str">
        <f t="shared" si="163"/>
        <v/>
      </c>
      <c r="Q2468" s="52">
        <f t="shared" si="166"/>
        <v>37</v>
      </c>
      <c r="R2468" s="8">
        <f t="shared" si="167"/>
        <v>2027</v>
      </c>
    </row>
    <row r="2469" spans="1:18" hidden="1" x14ac:dyDescent="0.25">
      <c r="A2469" s="224"/>
      <c r="B2469" s="96">
        <v>46646</v>
      </c>
      <c r="C2469" s="52" t="s">
        <v>50</v>
      </c>
      <c r="D2469" s="53" t="s">
        <v>38</v>
      </c>
      <c r="E2469" s="53"/>
      <c r="F2469" s="54"/>
      <c r="G2469" s="53"/>
      <c r="H2469" s="53">
        <v>0</v>
      </c>
      <c r="I2469" s="53">
        <v>0</v>
      </c>
      <c r="J2469" s="53">
        <v>0</v>
      </c>
      <c r="K2469" s="55"/>
      <c r="L2469" s="55">
        <f t="shared" si="164"/>
        <v>0</v>
      </c>
      <c r="M2469" s="55">
        <v>0</v>
      </c>
      <c r="N2469" s="101">
        <f t="shared" si="165"/>
        <v>0</v>
      </c>
      <c r="O2469" s="57"/>
      <c r="P2469" s="145" t="str">
        <f t="shared" si="163"/>
        <v/>
      </c>
      <c r="Q2469" s="52">
        <f t="shared" si="166"/>
        <v>37</v>
      </c>
      <c r="R2469" s="8">
        <f t="shared" si="167"/>
        <v>2027</v>
      </c>
    </row>
    <row r="2470" spans="1:18" hidden="1" x14ac:dyDescent="0.25">
      <c r="A2470" s="224"/>
      <c r="B2470" s="96">
        <v>46647</v>
      </c>
      <c r="C2470" s="52" t="s">
        <v>53</v>
      </c>
      <c r="D2470" s="53" t="s">
        <v>38</v>
      </c>
      <c r="E2470" s="53"/>
      <c r="F2470" s="54"/>
      <c r="G2470" s="53"/>
      <c r="H2470" s="53">
        <v>0</v>
      </c>
      <c r="I2470" s="53">
        <v>0</v>
      </c>
      <c r="J2470" s="53">
        <v>0</v>
      </c>
      <c r="K2470" s="55"/>
      <c r="L2470" s="55">
        <f t="shared" si="164"/>
        <v>0</v>
      </c>
      <c r="M2470" s="55">
        <v>0</v>
      </c>
      <c r="N2470" s="101">
        <f t="shared" si="165"/>
        <v>0</v>
      </c>
      <c r="O2470" s="57"/>
      <c r="P2470" s="145" t="str">
        <f t="shared" si="163"/>
        <v/>
      </c>
      <c r="Q2470" s="52">
        <f t="shared" si="166"/>
        <v>37</v>
      </c>
      <c r="R2470" s="8">
        <f t="shared" si="167"/>
        <v>2027</v>
      </c>
    </row>
    <row r="2471" spans="1:18" hidden="1" x14ac:dyDescent="0.25">
      <c r="A2471" s="224"/>
      <c r="B2471" s="97">
        <v>46648</v>
      </c>
      <c r="C2471" s="58" t="s">
        <v>57</v>
      </c>
      <c r="D2471" s="60" t="s">
        <v>38</v>
      </c>
      <c r="E2471" s="60"/>
      <c r="F2471" s="61"/>
      <c r="G2471" s="60"/>
      <c r="H2471" s="60">
        <v>0</v>
      </c>
      <c r="I2471" s="60">
        <v>0</v>
      </c>
      <c r="J2471" s="60">
        <v>0</v>
      </c>
      <c r="K2471" s="62"/>
      <c r="L2471" s="62">
        <f t="shared" si="164"/>
        <v>0</v>
      </c>
      <c r="M2471" s="62">
        <v>0</v>
      </c>
      <c r="N2471" s="102">
        <f t="shared" si="165"/>
        <v>0</v>
      </c>
      <c r="O2471" s="64"/>
      <c r="P2471" s="145" t="str">
        <f t="shared" si="163"/>
        <v/>
      </c>
      <c r="Q2471" s="52">
        <f t="shared" si="166"/>
        <v>37</v>
      </c>
      <c r="R2471" s="8">
        <f t="shared" si="167"/>
        <v>2027</v>
      </c>
    </row>
    <row r="2472" spans="1:18" ht="15.75" hidden="1" thickBot="1" x14ac:dyDescent="0.3">
      <c r="A2472" s="225"/>
      <c r="B2472" s="98">
        <v>46649</v>
      </c>
      <c r="C2472" s="66" t="s">
        <v>59</v>
      </c>
      <c r="D2472" s="67" t="s">
        <v>38</v>
      </c>
      <c r="E2472" s="67"/>
      <c r="F2472" s="68"/>
      <c r="G2472" s="67"/>
      <c r="H2472" s="67">
        <v>0</v>
      </c>
      <c r="I2472" s="67">
        <v>0</v>
      </c>
      <c r="J2472" s="67">
        <v>0</v>
      </c>
      <c r="K2472" s="69"/>
      <c r="L2472" s="69">
        <f t="shared" si="164"/>
        <v>0</v>
      </c>
      <c r="M2472" s="69">
        <v>0</v>
      </c>
      <c r="N2472" s="103">
        <f t="shared" si="165"/>
        <v>0</v>
      </c>
      <c r="O2472" s="71"/>
      <c r="P2472" s="145" t="str">
        <f t="shared" si="163"/>
        <v/>
      </c>
      <c r="Q2472" s="52">
        <f t="shared" si="166"/>
        <v>37</v>
      </c>
      <c r="R2472" s="8">
        <f t="shared" si="167"/>
        <v>2027</v>
      </c>
    </row>
    <row r="2473" spans="1:18" hidden="1" x14ac:dyDescent="0.25">
      <c r="A2473" s="223">
        <f>_xlfn.ISOWEEKNUM(B2473)</f>
        <v>38</v>
      </c>
      <c r="B2473" s="96">
        <v>46650</v>
      </c>
      <c r="C2473" s="72" t="s">
        <v>37</v>
      </c>
      <c r="D2473" s="41" t="s">
        <v>38</v>
      </c>
      <c r="E2473" s="41"/>
      <c r="F2473" s="43"/>
      <c r="G2473" s="41"/>
      <c r="H2473" s="41">
        <v>0</v>
      </c>
      <c r="I2473" s="41">
        <v>0</v>
      </c>
      <c r="J2473" s="41">
        <v>0</v>
      </c>
      <c r="K2473" s="73"/>
      <c r="L2473" s="73">
        <f t="shared" si="164"/>
        <v>0</v>
      </c>
      <c r="M2473" s="73">
        <v>0</v>
      </c>
      <c r="N2473" s="105">
        <f t="shared" si="165"/>
        <v>0</v>
      </c>
      <c r="O2473" s="46"/>
      <c r="P2473" s="145" t="str">
        <f t="shared" si="163"/>
        <v/>
      </c>
      <c r="Q2473" s="52">
        <f t="shared" si="166"/>
        <v>38</v>
      </c>
      <c r="R2473" s="8">
        <f t="shared" si="167"/>
        <v>2027</v>
      </c>
    </row>
    <row r="2474" spans="1:18" hidden="1" x14ac:dyDescent="0.25">
      <c r="A2474" s="224"/>
      <c r="B2474" s="96">
        <v>46651</v>
      </c>
      <c r="C2474" s="52" t="s">
        <v>42</v>
      </c>
      <c r="D2474" s="53" t="s">
        <v>38</v>
      </c>
      <c r="E2474" s="53"/>
      <c r="F2474" s="54"/>
      <c r="G2474" s="53"/>
      <c r="H2474" s="53">
        <v>0</v>
      </c>
      <c r="I2474" s="53">
        <v>0</v>
      </c>
      <c r="J2474" s="53">
        <v>0</v>
      </c>
      <c r="K2474" s="55"/>
      <c r="L2474" s="55">
        <f t="shared" si="164"/>
        <v>0</v>
      </c>
      <c r="M2474" s="55">
        <v>0</v>
      </c>
      <c r="N2474" s="101">
        <f t="shared" si="165"/>
        <v>0</v>
      </c>
      <c r="O2474" s="57"/>
      <c r="P2474" s="145" t="str">
        <f t="shared" si="163"/>
        <v/>
      </c>
      <c r="Q2474" s="52">
        <f t="shared" si="166"/>
        <v>38</v>
      </c>
      <c r="R2474" s="8">
        <f t="shared" si="167"/>
        <v>2027</v>
      </c>
    </row>
    <row r="2475" spans="1:18" hidden="1" x14ac:dyDescent="0.25">
      <c r="A2475" s="224"/>
      <c r="B2475" s="96">
        <v>46652</v>
      </c>
      <c r="C2475" s="52" t="s">
        <v>46</v>
      </c>
      <c r="D2475" s="53" t="s">
        <v>38</v>
      </c>
      <c r="E2475" s="53"/>
      <c r="F2475" s="54"/>
      <c r="G2475" s="53"/>
      <c r="H2475" s="53">
        <v>0</v>
      </c>
      <c r="I2475" s="53">
        <v>0</v>
      </c>
      <c r="J2475" s="53">
        <v>0</v>
      </c>
      <c r="K2475" s="55"/>
      <c r="L2475" s="55">
        <f t="shared" si="164"/>
        <v>0</v>
      </c>
      <c r="M2475" s="55">
        <v>0</v>
      </c>
      <c r="N2475" s="101">
        <f t="shared" si="165"/>
        <v>0</v>
      </c>
      <c r="O2475" s="57"/>
      <c r="P2475" s="145" t="str">
        <f t="shared" si="163"/>
        <v/>
      </c>
      <c r="Q2475" s="52">
        <f t="shared" si="166"/>
        <v>38</v>
      </c>
      <c r="R2475" s="8">
        <f t="shared" si="167"/>
        <v>2027</v>
      </c>
    </row>
    <row r="2476" spans="1:18" hidden="1" x14ac:dyDescent="0.25">
      <c r="A2476" s="224"/>
      <c r="B2476" s="96">
        <v>46653</v>
      </c>
      <c r="C2476" s="52" t="s">
        <v>50</v>
      </c>
      <c r="D2476" s="53" t="s">
        <v>38</v>
      </c>
      <c r="E2476" s="53"/>
      <c r="F2476" s="54"/>
      <c r="G2476" s="53"/>
      <c r="H2476" s="53">
        <v>0</v>
      </c>
      <c r="I2476" s="53">
        <v>0</v>
      </c>
      <c r="J2476" s="53">
        <v>0</v>
      </c>
      <c r="K2476" s="55"/>
      <c r="L2476" s="55">
        <f t="shared" si="164"/>
        <v>0</v>
      </c>
      <c r="M2476" s="55">
        <v>0</v>
      </c>
      <c r="N2476" s="101">
        <f t="shared" si="165"/>
        <v>0</v>
      </c>
      <c r="O2476" s="57"/>
      <c r="P2476" s="145" t="str">
        <f t="shared" si="163"/>
        <v/>
      </c>
      <c r="Q2476" s="52">
        <f t="shared" si="166"/>
        <v>38</v>
      </c>
      <c r="R2476" s="8">
        <f t="shared" si="167"/>
        <v>2027</v>
      </c>
    </row>
    <row r="2477" spans="1:18" hidden="1" x14ac:dyDescent="0.25">
      <c r="A2477" s="224"/>
      <c r="B2477" s="96">
        <v>46654</v>
      </c>
      <c r="C2477" s="52" t="s">
        <v>53</v>
      </c>
      <c r="D2477" s="53" t="s">
        <v>38</v>
      </c>
      <c r="E2477" s="53"/>
      <c r="F2477" s="54"/>
      <c r="G2477" s="53"/>
      <c r="H2477" s="53">
        <v>0</v>
      </c>
      <c r="I2477" s="53">
        <v>0</v>
      </c>
      <c r="J2477" s="53">
        <v>0</v>
      </c>
      <c r="K2477" s="55"/>
      <c r="L2477" s="55">
        <f t="shared" si="164"/>
        <v>0</v>
      </c>
      <c r="M2477" s="55">
        <v>0</v>
      </c>
      <c r="N2477" s="101">
        <f t="shared" si="165"/>
        <v>0</v>
      </c>
      <c r="O2477" s="57"/>
      <c r="P2477" s="145" t="str">
        <f t="shared" si="163"/>
        <v/>
      </c>
      <c r="Q2477" s="52">
        <f t="shared" si="166"/>
        <v>38</v>
      </c>
      <c r="R2477" s="8">
        <f t="shared" si="167"/>
        <v>2027</v>
      </c>
    </row>
    <row r="2478" spans="1:18" hidden="1" x14ac:dyDescent="0.25">
      <c r="A2478" s="224"/>
      <c r="B2478" s="97">
        <v>46655</v>
      </c>
      <c r="C2478" s="58" t="s">
        <v>57</v>
      </c>
      <c r="D2478" s="60" t="s">
        <v>38</v>
      </c>
      <c r="E2478" s="60"/>
      <c r="F2478" s="61"/>
      <c r="G2478" s="60"/>
      <c r="H2478" s="60">
        <v>0</v>
      </c>
      <c r="I2478" s="60">
        <v>0</v>
      </c>
      <c r="J2478" s="60">
        <v>0</v>
      </c>
      <c r="K2478" s="62"/>
      <c r="L2478" s="62">
        <f t="shared" si="164"/>
        <v>0</v>
      </c>
      <c r="M2478" s="62">
        <v>0</v>
      </c>
      <c r="N2478" s="102">
        <f t="shared" si="165"/>
        <v>0</v>
      </c>
      <c r="O2478" s="64"/>
      <c r="P2478" s="145" t="str">
        <f t="shared" si="163"/>
        <v/>
      </c>
      <c r="Q2478" s="52">
        <f t="shared" si="166"/>
        <v>38</v>
      </c>
      <c r="R2478" s="8">
        <f t="shared" si="167"/>
        <v>2027</v>
      </c>
    </row>
    <row r="2479" spans="1:18" ht="15.75" hidden="1" thickBot="1" x14ac:dyDescent="0.3">
      <c r="A2479" s="225"/>
      <c r="B2479" s="98">
        <v>46656</v>
      </c>
      <c r="C2479" s="66" t="s">
        <v>59</v>
      </c>
      <c r="D2479" s="67" t="s">
        <v>38</v>
      </c>
      <c r="E2479" s="67"/>
      <c r="F2479" s="68"/>
      <c r="G2479" s="67"/>
      <c r="H2479" s="67">
        <v>0</v>
      </c>
      <c r="I2479" s="67">
        <v>0</v>
      </c>
      <c r="J2479" s="67">
        <v>0</v>
      </c>
      <c r="K2479" s="69"/>
      <c r="L2479" s="69">
        <f t="shared" si="164"/>
        <v>0</v>
      </c>
      <c r="M2479" s="69">
        <v>0</v>
      </c>
      <c r="N2479" s="103">
        <f t="shared" si="165"/>
        <v>0</v>
      </c>
      <c r="O2479" s="71"/>
      <c r="P2479" s="145" t="str">
        <f t="shared" ref="P2479:P2542" si="168">E2479&amp;G2479</f>
        <v/>
      </c>
      <c r="Q2479" s="52">
        <f t="shared" si="166"/>
        <v>38</v>
      </c>
      <c r="R2479" s="8">
        <f t="shared" si="167"/>
        <v>2027</v>
      </c>
    </row>
    <row r="2480" spans="1:18" hidden="1" x14ac:dyDescent="0.25">
      <c r="A2480" s="223">
        <f>_xlfn.ISOWEEKNUM(B2480)</f>
        <v>39</v>
      </c>
      <c r="B2480" s="96">
        <v>46657</v>
      </c>
      <c r="C2480" s="72" t="s">
        <v>37</v>
      </c>
      <c r="D2480" s="41" t="s">
        <v>38</v>
      </c>
      <c r="E2480" s="41"/>
      <c r="F2480" s="43"/>
      <c r="G2480" s="41"/>
      <c r="H2480" s="41">
        <v>0</v>
      </c>
      <c r="I2480" s="41">
        <v>0</v>
      </c>
      <c r="J2480" s="41">
        <v>0</v>
      </c>
      <c r="K2480" s="73"/>
      <c r="L2480" s="73">
        <f t="shared" si="164"/>
        <v>0</v>
      </c>
      <c r="M2480" s="73">
        <v>0</v>
      </c>
      <c r="N2480" s="105">
        <f t="shared" si="165"/>
        <v>0</v>
      </c>
      <c r="O2480" s="46"/>
      <c r="P2480" s="145" t="str">
        <f t="shared" si="168"/>
        <v/>
      </c>
      <c r="Q2480" s="52">
        <f t="shared" si="166"/>
        <v>39</v>
      </c>
      <c r="R2480" s="8">
        <f t="shared" si="167"/>
        <v>2027</v>
      </c>
    </row>
    <row r="2481" spans="1:18" hidden="1" x14ac:dyDescent="0.25">
      <c r="A2481" s="224"/>
      <c r="B2481" s="96">
        <v>46658</v>
      </c>
      <c r="C2481" s="52" t="s">
        <v>42</v>
      </c>
      <c r="D2481" s="53" t="s">
        <v>38</v>
      </c>
      <c r="E2481" s="53"/>
      <c r="F2481" s="54"/>
      <c r="G2481" s="53"/>
      <c r="H2481" s="53">
        <v>0</v>
      </c>
      <c r="I2481" s="53">
        <v>0</v>
      </c>
      <c r="J2481" s="53">
        <v>0</v>
      </c>
      <c r="K2481" s="55"/>
      <c r="L2481" s="55">
        <f t="shared" si="164"/>
        <v>0</v>
      </c>
      <c r="M2481" s="55">
        <v>0</v>
      </c>
      <c r="N2481" s="101">
        <f t="shared" si="165"/>
        <v>0</v>
      </c>
      <c r="O2481" s="57"/>
      <c r="P2481" s="145" t="str">
        <f t="shared" si="168"/>
        <v/>
      </c>
      <c r="Q2481" s="52">
        <f t="shared" si="166"/>
        <v>39</v>
      </c>
      <c r="R2481" s="8">
        <f t="shared" si="167"/>
        <v>2027</v>
      </c>
    </row>
    <row r="2482" spans="1:18" hidden="1" x14ac:dyDescent="0.25">
      <c r="A2482" s="224"/>
      <c r="B2482" s="96">
        <v>46659</v>
      </c>
      <c r="C2482" s="52" t="s">
        <v>46</v>
      </c>
      <c r="D2482" s="53" t="s">
        <v>38</v>
      </c>
      <c r="E2482" s="53"/>
      <c r="F2482" s="54"/>
      <c r="G2482" s="53"/>
      <c r="H2482" s="53">
        <v>0</v>
      </c>
      <c r="I2482" s="53">
        <v>0</v>
      </c>
      <c r="J2482" s="53">
        <v>0</v>
      </c>
      <c r="K2482" s="55"/>
      <c r="L2482" s="55">
        <f t="shared" si="164"/>
        <v>0</v>
      </c>
      <c r="M2482" s="55">
        <v>0</v>
      </c>
      <c r="N2482" s="101">
        <f t="shared" si="165"/>
        <v>0</v>
      </c>
      <c r="O2482" s="57"/>
      <c r="P2482" s="145" t="str">
        <f t="shared" si="168"/>
        <v/>
      </c>
      <c r="Q2482" s="52">
        <f t="shared" si="166"/>
        <v>39</v>
      </c>
      <c r="R2482" s="8">
        <f t="shared" si="167"/>
        <v>2027</v>
      </c>
    </row>
    <row r="2483" spans="1:18" hidden="1" x14ac:dyDescent="0.25">
      <c r="A2483" s="224"/>
      <c r="B2483" s="96">
        <v>46660</v>
      </c>
      <c r="C2483" s="52" t="s">
        <v>50</v>
      </c>
      <c r="D2483" s="53" t="s">
        <v>38</v>
      </c>
      <c r="E2483" s="53"/>
      <c r="F2483" s="54"/>
      <c r="G2483" s="53"/>
      <c r="H2483" s="53">
        <v>0</v>
      </c>
      <c r="I2483" s="53">
        <v>0</v>
      </c>
      <c r="J2483" s="53">
        <v>0</v>
      </c>
      <c r="K2483" s="55"/>
      <c r="L2483" s="55">
        <f t="shared" si="164"/>
        <v>0</v>
      </c>
      <c r="M2483" s="55">
        <v>0</v>
      </c>
      <c r="N2483" s="101">
        <f t="shared" si="165"/>
        <v>0</v>
      </c>
      <c r="O2483" s="57"/>
      <c r="P2483" s="145" t="str">
        <f t="shared" si="168"/>
        <v/>
      </c>
      <c r="Q2483" s="52">
        <f t="shared" si="166"/>
        <v>39</v>
      </c>
      <c r="R2483" s="8">
        <f t="shared" si="167"/>
        <v>2027</v>
      </c>
    </row>
    <row r="2484" spans="1:18" hidden="1" x14ac:dyDescent="0.25">
      <c r="A2484" s="224"/>
      <c r="B2484" s="96">
        <v>46661</v>
      </c>
      <c r="C2484" s="52" t="s">
        <v>53</v>
      </c>
      <c r="D2484" s="53" t="s">
        <v>38</v>
      </c>
      <c r="E2484" s="53"/>
      <c r="F2484" s="54"/>
      <c r="G2484" s="53"/>
      <c r="H2484" s="53">
        <v>0</v>
      </c>
      <c r="I2484" s="53">
        <v>0</v>
      </c>
      <c r="J2484" s="53">
        <v>0</v>
      </c>
      <c r="K2484" s="55"/>
      <c r="L2484" s="55">
        <f t="shared" si="164"/>
        <v>0</v>
      </c>
      <c r="M2484" s="55">
        <v>0</v>
      </c>
      <c r="N2484" s="101">
        <f t="shared" si="165"/>
        <v>0</v>
      </c>
      <c r="O2484" s="57"/>
      <c r="P2484" s="145" t="str">
        <f t="shared" si="168"/>
        <v/>
      </c>
      <c r="Q2484" s="52">
        <f t="shared" si="166"/>
        <v>39</v>
      </c>
      <c r="R2484" s="8">
        <f t="shared" si="167"/>
        <v>2027</v>
      </c>
    </row>
    <row r="2485" spans="1:18" hidden="1" x14ac:dyDescent="0.25">
      <c r="A2485" s="224"/>
      <c r="B2485" s="97">
        <v>46662</v>
      </c>
      <c r="C2485" s="58" t="s">
        <v>57</v>
      </c>
      <c r="D2485" s="60" t="s">
        <v>38</v>
      </c>
      <c r="E2485" s="60"/>
      <c r="F2485" s="61"/>
      <c r="G2485" s="60"/>
      <c r="H2485" s="60">
        <v>0</v>
      </c>
      <c r="I2485" s="60">
        <v>0</v>
      </c>
      <c r="J2485" s="60">
        <v>0</v>
      </c>
      <c r="K2485" s="62"/>
      <c r="L2485" s="62">
        <f t="shared" si="164"/>
        <v>0</v>
      </c>
      <c r="M2485" s="62">
        <v>0</v>
      </c>
      <c r="N2485" s="102">
        <f t="shared" si="165"/>
        <v>0</v>
      </c>
      <c r="O2485" s="64"/>
      <c r="P2485" s="145" t="str">
        <f t="shared" si="168"/>
        <v/>
      </c>
      <c r="Q2485" s="52">
        <f t="shared" si="166"/>
        <v>39</v>
      </c>
      <c r="R2485" s="8">
        <f t="shared" si="167"/>
        <v>2027</v>
      </c>
    </row>
    <row r="2486" spans="1:18" ht="15.75" hidden="1" thickBot="1" x14ac:dyDescent="0.3">
      <c r="A2486" s="225"/>
      <c r="B2486" s="98">
        <v>46663</v>
      </c>
      <c r="C2486" s="66" t="s">
        <v>59</v>
      </c>
      <c r="D2486" s="67" t="s">
        <v>38</v>
      </c>
      <c r="E2486" s="67"/>
      <c r="F2486" s="68"/>
      <c r="G2486" s="67"/>
      <c r="H2486" s="67">
        <v>0</v>
      </c>
      <c r="I2486" s="67">
        <v>0</v>
      </c>
      <c r="J2486" s="67">
        <v>0</v>
      </c>
      <c r="K2486" s="69"/>
      <c r="L2486" s="69">
        <f t="shared" ref="L2486:L2549" si="169">+I2486*K2486</f>
        <v>0</v>
      </c>
      <c r="M2486" s="69">
        <v>0</v>
      </c>
      <c r="N2486" s="103">
        <f t="shared" ref="N2486:N2549" si="170">+L2486*(1-M2486)</f>
        <v>0</v>
      </c>
      <c r="O2486" s="71"/>
      <c r="P2486" s="145" t="str">
        <f t="shared" si="168"/>
        <v/>
      </c>
      <c r="Q2486" s="52">
        <f t="shared" si="166"/>
        <v>39</v>
      </c>
      <c r="R2486" s="8">
        <f t="shared" si="167"/>
        <v>2027</v>
      </c>
    </row>
    <row r="2487" spans="1:18" hidden="1" x14ac:dyDescent="0.25">
      <c r="A2487" s="223">
        <f>_xlfn.ISOWEEKNUM(B2487)</f>
        <v>40</v>
      </c>
      <c r="B2487" s="96">
        <v>46664</v>
      </c>
      <c r="C2487" s="72" t="s">
        <v>37</v>
      </c>
      <c r="D2487" s="41" t="s">
        <v>38</v>
      </c>
      <c r="E2487" s="41"/>
      <c r="F2487" s="43"/>
      <c r="G2487" s="41"/>
      <c r="H2487" s="41">
        <v>0</v>
      </c>
      <c r="I2487" s="41">
        <v>0</v>
      </c>
      <c r="J2487" s="41">
        <v>0</v>
      </c>
      <c r="K2487" s="73"/>
      <c r="L2487" s="73">
        <f t="shared" si="169"/>
        <v>0</v>
      </c>
      <c r="M2487" s="73">
        <v>0</v>
      </c>
      <c r="N2487" s="105">
        <f t="shared" si="170"/>
        <v>0</v>
      </c>
      <c r="O2487" s="46"/>
      <c r="P2487" s="145" t="str">
        <f t="shared" si="168"/>
        <v/>
      </c>
      <c r="Q2487" s="52">
        <f t="shared" si="166"/>
        <v>40</v>
      </c>
      <c r="R2487" s="8">
        <f t="shared" si="167"/>
        <v>2027</v>
      </c>
    </row>
    <row r="2488" spans="1:18" hidden="1" x14ac:dyDescent="0.25">
      <c r="A2488" s="224"/>
      <c r="B2488" s="96">
        <v>46665</v>
      </c>
      <c r="C2488" s="52" t="s">
        <v>42</v>
      </c>
      <c r="D2488" s="53" t="s">
        <v>38</v>
      </c>
      <c r="E2488" s="53"/>
      <c r="F2488" s="54"/>
      <c r="G2488" s="53"/>
      <c r="H2488" s="53">
        <v>0</v>
      </c>
      <c r="I2488" s="53">
        <v>0</v>
      </c>
      <c r="J2488" s="53">
        <v>0</v>
      </c>
      <c r="K2488" s="55"/>
      <c r="L2488" s="55">
        <f t="shared" si="169"/>
        <v>0</v>
      </c>
      <c r="M2488" s="55">
        <v>0</v>
      </c>
      <c r="N2488" s="101">
        <f t="shared" si="170"/>
        <v>0</v>
      </c>
      <c r="O2488" s="57"/>
      <c r="P2488" s="145" t="str">
        <f t="shared" si="168"/>
        <v/>
      </c>
      <c r="Q2488" s="52">
        <f t="shared" si="166"/>
        <v>40</v>
      </c>
      <c r="R2488" s="8">
        <f t="shared" si="167"/>
        <v>2027</v>
      </c>
    </row>
    <row r="2489" spans="1:18" hidden="1" x14ac:dyDescent="0.25">
      <c r="A2489" s="224"/>
      <c r="B2489" s="96">
        <v>46666</v>
      </c>
      <c r="C2489" s="52" t="s">
        <v>46</v>
      </c>
      <c r="D2489" s="53" t="s">
        <v>38</v>
      </c>
      <c r="E2489" s="53"/>
      <c r="F2489" s="54"/>
      <c r="G2489" s="53"/>
      <c r="H2489" s="53">
        <v>0</v>
      </c>
      <c r="I2489" s="53">
        <v>0</v>
      </c>
      <c r="J2489" s="53">
        <v>0</v>
      </c>
      <c r="K2489" s="55"/>
      <c r="L2489" s="55">
        <f t="shared" si="169"/>
        <v>0</v>
      </c>
      <c r="M2489" s="55">
        <v>0</v>
      </c>
      <c r="N2489" s="101">
        <f t="shared" si="170"/>
        <v>0</v>
      </c>
      <c r="O2489" s="57"/>
      <c r="P2489" s="145" t="str">
        <f t="shared" si="168"/>
        <v/>
      </c>
      <c r="Q2489" s="52">
        <f t="shared" si="166"/>
        <v>40</v>
      </c>
      <c r="R2489" s="8">
        <f t="shared" si="167"/>
        <v>2027</v>
      </c>
    </row>
    <row r="2490" spans="1:18" hidden="1" x14ac:dyDescent="0.25">
      <c r="A2490" s="224"/>
      <c r="B2490" s="96">
        <v>46667</v>
      </c>
      <c r="C2490" s="52" t="s">
        <v>50</v>
      </c>
      <c r="D2490" s="53" t="s">
        <v>38</v>
      </c>
      <c r="E2490" s="53"/>
      <c r="F2490" s="54"/>
      <c r="G2490" s="53"/>
      <c r="H2490" s="53">
        <v>0</v>
      </c>
      <c r="I2490" s="53">
        <v>0</v>
      </c>
      <c r="J2490" s="53">
        <v>0</v>
      </c>
      <c r="K2490" s="55"/>
      <c r="L2490" s="55">
        <f t="shared" si="169"/>
        <v>0</v>
      </c>
      <c r="M2490" s="55">
        <v>0</v>
      </c>
      <c r="N2490" s="101">
        <f t="shared" si="170"/>
        <v>0</v>
      </c>
      <c r="O2490" s="57"/>
      <c r="P2490" s="145" t="str">
        <f t="shared" si="168"/>
        <v/>
      </c>
      <c r="Q2490" s="52">
        <f t="shared" si="166"/>
        <v>40</v>
      </c>
      <c r="R2490" s="8">
        <f t="shared" si="167"/>
        <v>2027</v>
      </c>
    </row>
    <row r="2491" spans="1:18" hidden="1" x14ac:dyDescent="0.25">
      <c r="A2491" s="224"/>
      <c r="B2491" s="96">
        <v>46668</v>
      </c>
      <c r="C2491" s="52" t="s">
        <v>53</v>
      </c>
      <c r="D2491" s="53" t="s">
        <v>38</v>
      </c>
      <c r="E2491" s="53"/>
      <c r="F2491" s="54"/>
      <c r="G2491" s="53"/>
      <c r="H2491" s="53">
        <v>0</v>
      </c>
      <c r="I2491" s="53">
        <v>0</v>
      </c>
      <c r="J2491" s="53">
        <v>0</v>
      </c>
      <c r="K2491" s="55"/>
      <c r="L2491" s="55">
        <f t="shared" si="169"/>
        <v>0</v>
      </c>
      <c r="M2491" s="55">
        <v>0</v>
      </c>
      <c r="N2491" s="101">
        <f t="shared" si="170"/>
        <v>0</v>
      </c>
      <c r="O2491" s="57"/>
      <c r="P2491" s="145" t="str">
        <f t="shared" si="168"/>
        <v/>
      </c>
      <c r="Q2491" s="52">
        <f t="shared" si="166"/>
        <v>40</v>
      </c>
      <c r="R2491" s="8">
        <f t="shared" si="167"/>
        <v>2027</v>
      </c>
    </row>
    <row r="2492" spans="1:18" hidden="1" x14ac:dyDescent="0.25">
      <c r="A2492" s="224"/>
      <c r="B2492" s="97">
        <v>46669</v>
      </c>
      <c r="C2492" s="58" t="s">
        <v>57</v>
      </c>
      <c r="D2492" s="60" t="s">
        <v>38</v>
      </c>
      <c r="E2492" s="60"/>
      <c r="F2492" s="61"/>
      <c r="G2492" s="60"/>
      <c r="H2492" s="60">
        <v>0</v>
      </c>
      <c r="I2492" s="60">
        <v>0</v>
      </c>
      <c r="J2492" s="60">
        <v>0</v>
      </c>
      <c r="K2492" s="62"/>
      <c r="L2492" s="62">
        <f t="shared" si="169"/>
        <v>0</v>
      </c>
      <c r="M2492" s="62">
        <v>0</v>
      </c>
      <c r="N2492" s="102">
        <f t="shared" si="170"/>
        <v>0</v>
      </c>
      <c r="O2492" s="64"/>
      <c r="P2492" s="145" t="str">
        <f t="shared" si="168"/>
        <v/>
      </c>
      <c r="Q2492" s="52">
        <f t="shared" si="166"/>
        <v>40</v>
      </c>
      <c r="R2492" s="8">
        <f t="shared" si="167"/>
        <v>2027</v>
      </c>
    </row>
    <row r="2493" spans="1:18" ht="15.75" hidden="1" thickBot="1" x14ac:dyDescent="0.3">
      <c r="A2493" s="225"/>
      <c r="B2493" s="98">
        <v>46670</v>
      </c>
      <c r="C2493" s="66" t="s">
        <v>59</v>
      </c>
      <c r="D2493" s="67" t="s">
        <v>38</v>
      </c>
      <c r="E2493" s="67"/>
      <c r="F2493" s="68"/>
      <c r="G2493" s="67"/>
      <c r="H2493" s="67">
        <v>0</v>
      </c>
      <c r="I2493" s="67">
        <v>0</v>
      </c>
      <c r="J2493" s="67">
        <v>0</v>
      </c>
      <c r="K2493" s="69"/>
      <c r="L2493" s="69">
        <f t="shared" si="169"/>
        <v>0</v>
      </c>
      <c r="M2493" s="69">
        <v>0</v>
      </c>
      <c r="N2493" s="103">
        <f t="shared" si="170"/>
        <v>0</v>
      </c>
      <c r="O2493" s="71"/>
      <c r="P2493" s="145" t="str">
        <f t="shared" si="168"/>
        <v/>
      </c>
      <c r="Q2493" s="52">
        <f t="shared" si="166"/>
        <v>40</v>
      </c>
      <c r="R2493" s="8">
        <f t="shared" si="167"/>
        <v>2027</v>
      </c>
    </row>
    <row r="2494" spans="1:18" hidden="1" x14ac:dyDescent="0.25">
      <c r="A2494" s="223">
        <f>_xlfn.ISOWEEKNUM(B2494)</f>
        <v>41</v>
      </c>
      <c r="B2494" s="96">
        <v>46671</v>
      </c>
      <c r="C2494" s="72" t="s">
        <v>37</v>
      </c>
      <c r="D2494" s="41" t="s">
        <v>38</v>
      </c>
      <c r="E2494" s="41"/>
      <c r="F2494" s="43"/>
      <c r="G2494" s="41"/>
      <c r="H2494" s="41">
        <v>0</v>
      </c>
      <c r="I2494" s="41">
        <v>0</v>
      </c>
      <c r="J2494" s="41">
        <v>0</v>
      </c>
      <c r="K2494" s="73"/>
      <c r="L2494" s="73">
        <f t="shared" si="169"/>
        <v>0</v>
      </c>
      <c r="M2494" s="73">
        <v>0</v>
      </c>
      <c r="N2494" s="105">
        <f t="shared" si="170"/>
        <v>0</v>
      </c>
      <c r="O2494" s="46"/>
      <c r="P2494" s="145" t="str">
        <f t="shared" si="168"/>
        <v/>
      </c>
      <c r="Q2494" s="52">
        <f t="shared" si="166"/>
        <v>41</v>
      </c>
      <c r="R2494" s="8">
        <f t="shared" si="167"/>
        <v>2027</v>
      </c>
    </row>
    <row r="2495" spans="1:18" hidden="1" x14ac:dyDescent="0.25">
      <c r="A2495" s="224"/>
      <c r="B2495" s="96">
        <v>46672</v>
      </c>
      <c r="C2495" s="52" t="s">
        <v>42</v>
      </c>
      <c r="D2495" s="53" t="s">
        <v>38</v>
      </c>
      <c r="E2495" s="53"/>
      <c r="F2495" s="54"/>
      <c r="G2495" s="53"/>
      <c r="H2495" s="53">
        <v>0</v>
      </c>
      <c r="I2495" s="53">
        <v>0</v>
      </c>
      <c r="J2495" s="53">
        <v>0</v>
      </c>
      <c r="K2495" s="55"/>
      <c r="L2495" s="55">
        <f t="shared" si="169"/>
        <v>0</v>
      </c>
      <c r="M2495" s="55">
        <v>0</v>
      </c>
      <c r="N2495" s="101">
        <f t="shared" si="170"/>
        <v>0</v>
      </c>
      <c r="O2495" s="57"/>
      <c r="P2495" s="145" t="str">
        <f t="shared" si="168"/>
        <v/>
      </c>
      <c r="Q2495" s="52">
        <f t="shared" si="166"/>
        <v>41</v>
      </c>
      <c r="R2495" s="8">
        <f t="shared" si="167"/>
        <v>2027</v>
      </c>
    </row>
    <row r="2496" spans="1:18" hidden="1" x14ac:dyDescent="0.25">
      <c r="A2496" s="224"/>
      <c r="B2496" s="96">
        <v>46673</v>
      </c>
      <c r="C2496" s="52" t="s">
        <v>46</v>
      </c>
      <c r="D2496" s="53" t="s">
        <v>38</v>
      </c>
      <c r="E2496" s="53"/>
      <c r="F2496" s="54"/>
      <c r="G2496" s="53"/>
      <c r="H2496" s="53">
        <v>0</v>
      </c>
      <c r="I2496" s="53">
        <v>0</v>
      </c>
      <c r="J2496" s="53">
        <v>0</v>
      </c>
      <c r="K2496" s="55"/>
      <c r="L2496" s="55">
        <f t="shared" si="169"/>
        <v>0</v>
      </c>
      <c r="M2496" s="55">
        <v>0</v>
      </c>
      <c r="N2496" s="101">
        <f t="shared" si="170"/>
        <v>0</v>
      </c>
      <c r="O2496" s="57"/>
      <c r="P2496" s="145" t="str">
        <f t="shared" si="168"/>
        <v/>
      </c>
      <c r="Q2496" s="52">
        <f t="shared" si="166"/>
        <v>41</v>
      </c>
      <c r="R2496" s="8">
        <f t="shared" si="167"/>
        <v>2027</v>
      </c>
    </row>
    <row r="2497" spans="1:18" hidden="1" x14ac:dyDescent="0.25">
      <c r="A2497" s="224"/>
      <c r="B2497" s="96">
        <v>46674</v>
      </c>
      <c r="C2497" s="52" t="s">
        <v>50</v>
      </c>
      <c r="D2497" s="53" t="s">
        <v>38</v>
      </c>
      <c r="E2497" s="53"/>
      <c r="F2497" s="54"/>
      <c r="G2497" s="53"/>
      <c r="H2497" s="53">
        <v>0</v>
      </c>
      <c r="I2497" s="53">
        <v>0</v>
      </c>
      <c r="J2497" s="53">
        <v>0</v>
      </c>
      <c r="K2497" s="55"/>
      <c r="L2497" s="55">
        <f t="shared" si="169"/>
        <v>0</v>
      </c>
      <c r="M2497" s="55">
        <v>0</v>
      </c>
      <c r="N2497" s="101">
        <f t="shared" si="170"/>
        <v>0</v>
      </c>
      <c r="O2497" s="57"/>
      <c r="P2497" s="145" t="str">
        <f t="shared" si="168"/>
        <v/>
      </c>
      <c r="Q2497" s="52">
        <f t="shared" si="166"/>
        <v>41</v>
      </c>
      <c r="R2497" s="8">
        <f t="shared" si="167"/>
        <v>2027</v>
      </c>
    </row>
    <row r="2498" spans="1:18" hidden="1" x14ac:dyDescent="0.25">
      <c r="A2498" s="224"/>
      <c r="B2498" s="96">
        <v>46675</v>
      </c>
      <c r="C2498" s="52" t="s">
        <v>53</v>
      </c>
      <c r="D2498" s="53" t="s">
        <v>38</v>
      </c>
      <c r="E2498" s="53"/>
      <c r="F2498" s="54"/>
      <c r="G2498" s="53"/>
      <c r="H2498" s="53">
        <v>0</v>
      </c>
      <c r="I2498" s="53">
        <v>0</v>
      </c>
      <c r="J2498" s="53">
        <v>0</v>
      </c>
      <c r="K2498" s="55"/>
      <c r="L2498" s="55">
        <f t="shared" si="169"/>
        <v>0</v>
      </c>
      <c r="M2498" s="55">
        <v>0</v>
      </c>
      <c r="N2498" s="101">
        <f t="shared" si="170"/>
        <v>0</v>
      </c>
      <c r="O2498" s="57"/>
      <c r="P2498" s="145" t="str">
        <f t="shared" si="168"/>
        <v/>
      </c>
      <c r="Q2498" s="52">
        <f t="shared" si="166"/>
        <v>41</v>
      </c>
      <c r="R2498" s="8">
        <f t="shared" si="167"/>
        <v>2027</v>
      </c>
    </row>
    <row r="2499" spans="1:18" hidden="1" x14ac:dyDescent="0.25">
      <c r="A2499" s="224"/>
      <c r="B2499" s="97">
        <v>46676</v>
      </c>
      <c r="C2499" s="58" t="s">
        <v>57</v>
      </c>
      <c r="D2499" s="60" t="s">
        <v>38</v>
      </c>
      <c r="E2499" s="60"/>
      <c r="F2499" s="61"/>
      <c r="G2499" s="60"/>
      <c r="H2499" s="60">
        <v>0</v>
      </c>
      <c r="I2499" s="60">
        <v>0</v>
      </c>
      <c r="J2499" s="60">
        <v>0</v>
      </c>
      <c r="K2499" s="62"/>
      <c r="L2499" s="62">
        <f t="shared" si="169"/>
        <v>0</v>
      </c>
      <c r="M2499" s="62">
        <v>0</v>
      </c>
      <c r="N2499" s="102">
        <f t="shared" si="170"/>
        <v>0</v>
      </c>
      <c r="O2499" s="64"/>
      <c r="P2499" s="145" t="str">
        <f t="shared" si="168"/>
        <v/>
      </c>
      <c r="Q2499" s="52">
        <f t="shared" si="166"/>
        <v>41</v>
      </c>
      <c r="R2499" s="8">
        <f t="shared" si="167"/>
        <v>2027</v>
      </c>
    </row>
    <row r="2500" spans="1:18" ht="15.75" hidden="1" thickBot="1" x14ac:dyDescent="0.3">
      <c r="A2500" s="225"/>
      <c r="B2500" s="98">
        <v>46677</v>
      </c>
      <c r="C2500" s="66" t="s">
        <v>59</v>
      </c>
      <c r="D2500" s="67" t="s">
        <v>38</v>
      </c>
      <c r="E2500" s="67"/>
      <c r="F2500" s="68"/>
      <c r="G2500" s="67"/>
      <c r="H2500" s="67">
        <v>0</v>
      </c>
      <c r="I2500" s="67">
        <v>0</v>
      </c>
      <c r="J2500" s="67">
        <v>0</v>
      </c>
      <c r="K2500" s="69"/>
      <c r="L2500" s="69">
        <f t="shared" si="169"/>
        <v>0</v>
      </c>
      <c r="M2500" s="69">
        <v>0</v>
      </c>
      <c r="N2500" s="103">
        <f t="shared" si="170"/>
        <v>0</v>
      </c>
      <c r="O2500" s="71"/>
      <c r="P2500" s="145" t="str">
        <f t="shared" si="168"/>
        <v/>
      </c>
      <c r="Q2500" s="52">
        <f t="shared" si="166"/>
        <v>41</v>
      </c>
      <c r="R2500" s="8">
        <f t="shared" si="167"/>
        <v>2027</v>
      </c>
    </row>
    <row r="2501" spans="1:18" hidden="1" x14ac:dyDescent="0.25">
      <c r="A2501" s="223">
        <f>_xlfn.ISOWEEKNUM(B2501)</f>
        <v>42</v>
      </c>
      <c r="B2501" s="96">
        <v>46678</v>
      </c>
      <c r="C2501" s="72" t="s">
        <v>37</v>
      </c>
      <c r="D2501" s="41" t="s">
        <v>38</v>
      </c>
      <c r="E2501" s="41"/>
      <c r="F2501" s="43"/>
      <c r="G2501" s="41"/>
      <c r="H2501" s="41">
        <v>0</v>
      </c>
      <c r="I2501" s="41">
        <v>0</v>
      </c>
      <c r="J2501" s="41">
        <v>0</v>
      </c>
      <c r="K2501" s="73"/>
      <c r="L2501" s="73">
        <f t="shared" si="169"/>
        <v>0</v>
      </c>
      <c r="M2501" s="73">
        <v>0</v>
      </c>
      <c r="N2501" s="105">
        <f t="shared" si="170"/>
        <v>0</v>
      </c>
      <c r="O2501" s="46"/>
      <c r="P2501" s="145" t="str">
        <f t="shared" si="168"/>
        <v/>
      </c>
      <c r="Q2501" s="52">
        <f t="shared" si="166"/>
        <v>42</v>
      </c>
      <c r="R2501" s="8">
        <f t="shared" si="167"/>
        <v>2027</v>
      </c>
    </row>
    <row r="2502" spans="1:18" hidden="1" x14ac:dyDescent="0.25">
      <c r="A2502" s="224"/>
      <c r="B2502" s="96">
        <v>46679</v>
      </c>
      <c r="C2502" s="52" t="s">
        <v>42</v>
      </c>
      <c r="D2502" s="53" t="s">
        <v>38</v>
      </c>
      <c r="E2502" s="53"/>
      <c r="F2502" s="54"/>
      <c r="G2502" s="53"/>
      <c r="H2502" s="53">
        <v>0</v>
      </c>
      <c r="I2502" s="53">
        <v>0</v>
      </c>
      <c r="J2502" s="53">
        <v>0</v>
      </c>
      <c r="K2502" s="55"/>
      <c r="L2502" s="55">
        <f t="shared" si="169"/>
        <v>0</v>
      </c>
      <c r="M2502" s="55">
        <v>0</v>
      </c>
      <c r="N2502" s="101">
        <f t="shared" si="170"/>
        <v>0</v>
      </c>
      <c r="O2502" s="57"/>
      <c r="P2502" s="145" t="str">
        <f t="shared" si="168"/>
        <v/>
      </c>
      <c r="Q2502" s="52">
        <f t="shared" si="166"/>
        <v>42</v>
      </c>
      <c r="R2502" s="8">
        <f t="shared" si="167"/>
        <v>2027</v>
      </c>
    </row>
    <row r="2503" spans="1:18" hidden="1" x14ac:dyDescent="0.25">
      <c r="A2503" s="224"/>
      <c r="B2503" s="96">
        <v>46680</v>
      </c>
      <c r="C2503" s="52" t="s">
        <v>46</v>
      </c>
      <c r="D2503" s="53" t="s">
        <v>38</v>
      </c>
      <c r="E2503" s="53"/>
      <c r="F2503" s="54"/>
      <c r="G2503" s="53"/>
      <c r="H2503" s="53">
        <v>0</v>
      </c>
      <c r="I2503" s="53">
        <v>0</v>
      </c>
      <c r="J2503" s="53">
        <v>0</v>
      </c>
      <c r="K2503" s="55"/>
      <c r="L2503" s="55">
        <f t="shared" si="169"/>
        <v>0</v>
      </c>
      <c r="M2503" s="55">
        <v>0</v>
      </c>
      <c r="N2503" s="101">
        <f t="shared" si="170"/>
        <v>0</v>
      </c>
      <c r="O2503" s="57"/>
      <c r="P2503" s="145" t="str">
        <f t="shared" si="168"/>
        <v/>
      </c>
      <c r="Q2503" s="52">
        <f t="shared" si="166"/>
        <v>42</v>
      </c>
      <c r="R2503" s="8">
        <f t="shared" si="167"/>
        <v>2027</v>
      </c>
    </row>
    <row r="2504" spans="1:18" hidden="1" x14ac:dyDescent="0.25">
      <c r="A2504" s="224"/>
      <c r="B2504" s="96">
        <v>46681</v>
      </c>
      <c r="C2504" s="52" t="s">
        <v>50</v>
      </c>
      <c r="D2504" s="53" t="s">
        <v>38</v>
      </c>
      <c r="E2504" s="53"/>
      <c r="F2504" s="54"/>
      <c r="G2504" s="53"/>
      <c r="H2504" s="53">
        <v>0</v>
      </c>
      <c r="I2504" s="53">
        <v>0</v>
      </c>
      <c r="J2504" s="53">
        <v>0</v>
      </c>
      <c r="K2504" s="55"/>
      <c r="L2504" s="55">
        <f t="shared" si="169"/>
        <v>0</v>
      </c>
      <c r="M2504" s="55">
        <v>0</v>
      </c>
      <c r="N2504" s="101">
        <f t="shared" si="170"/>
        <v>0</v>
      </c>
      <c r="O2504" s="57"/>
      <c r="P2504" s="145" t="str">
        <f t="shared" si="168"/>
        <v/>
      </c>
      <c r="Q2504" s="52">
        <f t="shared" si="166"/>
        <v>42</v>
      </c>
      <c r="R2504" s="8">
        <f t="shared" si="167"/>
        <v>2027</v>
      </c>
    </row>
    <row r="2505" spans="1:18" hidden="1" x14ac:dyDescent="0.25">
      <c r="A2505" s="224"/>
      <c r="B2505" s="96">
        <v>46682</v>
      </c>
      <c r="C2505" s="52" t="s">
        <v>53</v>
      </c>
      <c r="D2505" s="53" t="s">
        <v>38</v>
      </c>
      <c r="E2505" s="53"/>
      <c r="F2505" s="54"/>
      <c r="G2505" s="53"/>
      <c r="H2505" s="53">
        <v>0</v>
      </c>
      <c r="I2505" s="53">
        <v>0</v>
      </c>
      <c r="J2505" s="53">
        <v>0</v>
      </c>
      <c r="K2505" s="55"/>
      <c r="L2505" s="55">
        <f t="shared" si="169"/>
        <v>0</v>
      </c>
      <c r="M2505" s="55">
        <v>0</v>
      </c>
      <c r="N2505" s="101">
        <f t="shared" si="170"/>
        <v>0</v>
      </c>
      <c r="O2505" s="57"/>
      <c r="P2505" s="145" t="str">
        <f t="shared" si="168"/>
        <v/>
      </c>
      <c r="Q2505" s="52">
        <f t="shared" ref="Q2505:Q2568" si="171">_xlfn.ISOWEEKNUM(B2505)</f>
        <v>42</v>
      </c>
      <c r="R2505" s="8">
        <f t="shared" ref="R2505:R2568" si="172">YEAR(B2505)</f>
        <v>2027</v>
      </c>
    </row>
    <row r="2506" spans="1:18" hidden="1" x14ac:dyDescent="0.25">
      <c r="A2506" s="224"/>
      <c r="B2506" s="97">
        <v>46683</v>
      </c>
      <c r="C2506" s="58" t="s">
        <v>57</v>
      </c>
      <c r="D2506" s="60" t="s">
        <v>38</v>
      </c>
      <c r="E2506" s="60"/>
      <c r="F2506" s="61"/>
      <c r="G2506" s="60"/>
      <c r="H2506" s="60">
        <v>0</v>
      </c>
      <c r="I2506" s="60">
        <v>0</v>
      </c>
      <c r="J2506" s="60">
        <v>0</v>
      </c>
      <c r="K2506" s="62"/>
      <c r="L2506" s="62">
        <f t="shared" si="169"/>
        <v>0</v>
      </c>
      <c r="M2506" s="62">
        <v>0</v>
      </c>
      <c r="N2506" s="102">
        <f t="shared" si="170"/>
        <v>0</v>
      </c>
      <c r="O2506" s="64"/>
      <c r="P2506" s="145" t="str">
        <f t="shared" si="168"/>
        <v/>
      </c>
      <c r="Q2506" s="52">
        <f t="shared" si="171"/>
        <v>42</v>
      </c>
      <c r="R2506" s="8">
        <f t="shared" si="172"/>
        <v>2027</v>
      </c>
    </row>
    <row r="2507" spans="1:18" ht="15.75" hidden="1" thickBot="1" x14ac:dyDescent="0.3">
      <c r="A2507" s="225"/>
      <c r="B2507" s="98">
        <v>46684</v>
      </c>
      <c r="C2507" s="66" t="s">
        <v>59</v>
      </c>
      <c r="D2507" s="67" t="s">
        <v>38</v>
      </c>
      <c r="E2507" s="67"/>
      <c r="F2507" s="68"/>
      <c r="G2507" s="67"/>
      <c r="H2507" s="67">
        <v>0</v>
      </c>
      <c r="I2507" s="67">
        <v>0</v>
      </c>
      <c r="J2507" s="67">
        <v>0</v>
      </c>
      <c r="K2507" s="69"/>
      <c r="L2507" s="69">
        <f t="shared" si="169"/>
        <v>0</v>
      </c>
      <c r="M2507" s="69">
        <v>0</v>
      </c>
      <c r="N2507" s="103">
        <f t="shared" si="170"/>
        <v>0</v>
      </c>
      <c r="O2507" s="71"/>
      <c r="P2507" s="145" t="str">
        <f t="shared" si="168"/>
        <v/>
      </c>
      <c r="Q2507" s="52">
        <f t="shared" si="171"/>
        <v>42</v>
      </c>
      <c r="R2507" s="8">
        <f t="shared" si="172"/>
        <v>2027</v>
      </c>
    </row>
    <row r="2508" spans="1:18" hidden="1" x14ac:dyDescent="0.25">
      <c r="A2508" s="223">
        <f>_xlfn.ISOWEEKNUM(B2508)</f>
        <v>43</v>
      </c>
      <c r="B2508" s="96">
        <v>46685</v>
      </c>
      <c r="C2508" s="72" t="s">
        <v>37</v>
      </c>
      <c r="D2508" s="41" t="s">
        <v>38</v>
      </c>
      <c r="E2508" s="41"/>
      <c r="F2508" s="43"/>
      <c r="G2508" s="41"/>
      <c r="H2508" s="41">
        <v>0</v>
      </c>
      <c r="I2508" s="41">
        <v>0</v>
      </c>
      <c r="J2508" s="41">
        <v>0</v>
      </c>
      <c r="K2508" s="73"/>
      <c r="L2508" s="73">
        <f t="shared" si="169"/>
        <v>0</v>
      </c>
      <c r="M2508" s="73">
        <v>0</v>
      </c>
      <c r="N2508" s="105">
        <f t="shared" si="170"/>
        <v>0</v>
      </c>
      <c r="O2508" s="46"/>
      <c r="P2508" s="145" t="str">
        <f t="shared" si="168"/>
        <v/>
      </c>
      <c r="Q2508" s="52">
        <f t="shared" si="171"/>
        <v>43</v>
      </c>
      <c r="R2508" s="8">
        <f t="shared" si="172"/>
        <v>2027</v>
      </c>
    </row>
    <row r="2509" spans="1:18" hidden="1" x14ac:dyDescent="0.25">
      <c r="A2509" s="224"/>
      <c r="B2509" s="96">
        <v>46686</v>
      </c>
      <c r="C2509" s="52" t="s">
        <v>42</v>
      </c>
      <c r="D2509" s="53" t="s">
        <v>38</v>
      </c>
      <c r="E2509" s="53"/>
      <c r="F2509" s="54"/>
      <c r="G2509" s="53"/>
      <c r="H2509" s="53">
        <v>0</v>
      </c>
      <c r="I2509" s="53">
        <v>0</v>
      </c>
      <c r="J2509" s="53">
        <v>0</v>
      </c>
      <c r="K2509" s="55"/>
      <c r="L2509" s="55">
        <f t="shared" si="169"/>
        <v>0</v>
      </c>
      <c r="M2509" s="55">
        <v>0</v>
      </c>
      <c r="N2509" s="101">
        <f t="shared" si="170"/>
        <v>0</v>
      </c>
      <c r="O2509" s="57"/>
      <c r="P2509" s="145" t="str">
        <f t="shared" si="168"/>
        <v/>
      </c>
      <c r="Q2509" s="52">
        <f t="shared" si="171"/>
        <v>43</v>
      </c>
      <c r="R2509" s="8">
        <f t="shared" si="172"/>
        <v>2027</v>
      </c>
    </row>
    <row r="2510" spans="1:18" hidden="1" x14ac:dyDescent="0.25">
      <c r="A2510" s="224"/>
      <c r="B2510" s="96">
        <v>46687</v>
      </c>
      <c r="C2510" s="52" t="s">
        <v>46</v>
      </c>
      <c r="D2510" s="53" t="s">
        <v>38</v>
      </c>
      <c r="E2510" s="53"/>
      <c r="F2510" s="54"/>
      <c r="G2510" s="53"/>
      <c r="H2510" s="53">
        <v>0</v>
      </c>
      <c r="I2510" s="53">
        <v>0</v>
      </c>
      <c r="J2510" s="53">
        <v>0</v>
      </c>
      <c r="K2510" s="55"/>
      <c r="L2510" s="55">
        <f t="shared" si="169"/>
        <v>0</v>
      </c>
      <c r="M2510" s="55">
        <v>0</v>
      </c>
      <c r="N2510" s="101">
        <f t="shared" si="170"/>
        <v>0</v>
      </c>
      <c r="O2510" s="57"/>
      <c r="P2510" s="145" t="str">
        <f t="shared" si="168"/>
        <v/>
      </c>
      <c r="Q2510" s="52">
        <f t="shared" si="171"/>
        <v>43</v>
      </c>
      <c r="R2510" s="8">
        <f t="shared" si="172"/>
        <v>2027</v>
      </c>
    </row>
    <row r="2511" spans="1:18" hidden="1" x14ac:dyDescent="0.25">
      <c r="A2511" s="224"/>
      <c r="B2511" s="96">
        <v>46688</v>
      </c>
      <c r="C2511" s="52" t="s">
        <v>50</v>
      </c>
      <c r="D2511" s="53" t="s">
        <v>38</v>
      </c>
      <c r="E2511" s="53"/>
      <c r="F2511" s="54"/>
      <c r="G2511" s="53"/>
      <c r="H2511" s="53">
        <v>0</v>
      </c>
      <c r="I2511" s="53">
        <v>0</v>
      </c>
      <c r="J2511" s="53">
        <v>0</v>
      </c>
      <c r="K2511" s="55"/>
      <c r="L2511" s="55">
        <f t="shared" si="169"/>
        <v>0</v>
      </c>
      <c r="M2511" s="55">
        <v>0</v>
      </c>
      <c r="N2511" s="101">
        <f t="shared" si="170"/>
        <v>0</v>
      </c>
      <c r="O2511" s="57"/>
      <c r="P2511" s="145" t="str">
        <f t="shared" si="168"/>
        <v/>
      </c>
      <c r="Q2511" s="52">
        <f t="shared" si="171"/>
        <v>43</v>
      </c>
      <c r="R2511" s="8">
        <f t="shared" si="172"/>
        <v>2027</v>
      </c>
    </row>
    <row r="2512" spans="1:18" hidden="1" x14ac:dyDescent="0.25">
      <c r="A2512" s="224"/>
      <c r="B2512" s="96">
        <v>46689</v>
      </c>
      <c r="C2512" s="52" t="s">
        <v>53</v>
      </c>
      <c r="D2512" s="53" t="s">
        <v>38</v>
      </c>
      <c r="E2512" s="53"/>
      <c r="F2512" s="54"/>
      <c r="G2512" s="53"/>
      <c r="H2512" s="53">
        <v>0</v>
      </c>
      <c r="I2512" s="53">
        <v>0</v>
      </c>
      <c r="J2512" s="53">
        <v>0</v>
      </c>
      <c r="K2512" s="55"/>
      <c r="L2512" s="55">
        <f t="shared" si="169"/>
        <v>0</v>
      </c>
      <c r="M2512" s="55">
        <v>0</v>
      </c>
      <c r="N2512" s="101">
        <f t="shared" si="170"/>
        <v>0</v>
      </c>
      <c r="O2512" s="57"/>
      <c r="P2512" s="145" t="str">
        <f t="shared" si="168"/>
        <v/>
      </c>
      <c r="Q2512" s="52">
        <f t="shared" si="171"/>
        <v>43</v>
      </c>
      <c r="R2512" s="8">
        <f t="shared" si="172"/>
        <v>2027</v>
      </c>
    </row>
    <row r="2513" spans="1:18" hidden="1" x14ac:dyDescent="0.25">
      <c r="A2513" s="224"/>
      <c r="B2513" s="97">
        <v>46690</v>
      </c>
      <c r="C2513" s="58" t="s">
        <v>57</v>
      </c>
      <c r="D2513" s="60" t="s">
        <v>38</v>
      </c>
      <c r="E2513" s="60"/>
      <c r="F2513" s="61"/>
      <c r="G2513" s="60"/>
      <c r="H2513" s="60">
        <v>0</v>
      </c>
      <c r="I2513" s="60">
        <v>0</v>
      </c>
      <c r="J2513" s="60">
        <v>0</v>
      </c>
      <c r="K2513" s="62"/>
      <c r="L2513" s="62">
        <f t="shared" si="169"/>
        <v>0</v>
      </c>
      <c r="M2513" s="62">
        <v>0</v>
      </c>
      <c r="N2513" s="102">
        <f t="shared" si="170"/>
        <v>0</v>
      </c>
      <c r="O2513" s="64"/>
      <c r="P2513" s="145" t="str">
        <f t="shared" si="168"/>
        <v/>
      </c>
      <c r="Q2513" s="52">
        <f t="shared" si="171"/>
        <v>43</v>
      </c>
      <c r="R2513" s="8">
        <f t="shared" si="172"/>
        <v>2027</v>
      </c>
    </row>
    <row r="2514" spans="1:18" ht="15.75" hidden="1" thickBot="1" x14ac:dyDescent="0.3">
      <c r="A2514" s="225"/>
      <c r="B2514" s="98">
        <v>46691</v>
      </c>
      <c r="C2514" s="66" t="s">
        <v>59</v>
      </c>
      <c r="D2514" s="67" t="s">
        <v>38</v>
      </c>
      <c r="E2514" s="67"/>
      <c r="F2514" s="68"/>
      <c r="G2514" s="67"/>
      <c r="H2514" s="67">
        <v>0</v>
      </c>
      <c r="I2514" s="67">
        <v>0</v>
      </c>
      <c r="J2514" s="67">
        <v>0</v>
      </c>
      <c r="K2514" s="69"/>
      <c r="L2514" s="69">
        <f t="shared" si="169"/>
        <v>0</v>
      </c>
      <c r="M2514" s="69">
        <v>0</v>
      </c>
      <c r="N2514" s="103">
        <f t="shared" si="170"/>
        <v>0</v>
      </c>
      <c r="O2514" s="71"/>
      <c r="P2514" s="145" t="str">
        <f t="shared" si="168"/>
        <v/>
      </c>
      <c r="Q2514" s="52">
        <f t="shared" si="171"/>
        <v>43</v>
      </c>
      <c r="R2514" s="8">
        <f t="shared" si="172"/>
        <v>2027</v>
      </c>
    </row>
    <row r="2515" spans="1:18" hidden="1" x14ac:dyDescent="0.25">
      <c r="A2515" s="223">
        <f>_xlfn.ISOWEEKNUM(B2515)</f>
        <v>44</v>
      </c>
      <c r="B2515" s="96">
        <v>46692</v>
      </c>
      <c r="C2515" s="72" t="s">
        <v>37</v>
      </c>
      <c r="D2515" s="41" t="s">
        <v>38</v>
      </c>
      <c r="E2515" s="41"/>
      <c r="F2515" s="43"/>
      <c r="G2515" s="41"/>
      <c r="H2515" s="41">
        <v>0</v>
      </c>
      <c r="I2515" s="41">
        <v>0</v>
      </c>
      <c r="J2515" s="41">
        <v>0</v>
      </c>
      <c r="K2515" s="73"/>
      <c r="L2515" s="73">
        <f t="shared" si="169"/>
        <v>0</v>
      </c>
      <c r="M2515" s="73">
        <v>0</v>
      </c>
      <c r="N2515" s="105">
        <f t="shared" si="170"/>
        <v>0</v>
      </c>
      <c r="O2515" s="46"/>
      <c r="P2515" s="145" t="str">
        <f t="shared" si="168"/>
        <v/>
      </c>
      <c r="Q2515" s="52">
        <f t="shared" si="171"/>
        <v>44</v>
      </c>
      <c r="R2515" s="8">
        <f t="shared" si="172"/>
        <v>2027</v>
      </c>
    </row>
    <row r="2516" spans="1:18" hidden="1" x14ac:dyDescent="0.25">
      <c r="A2516" s="224"/>
      <c r="B2516" s="96">
        <v>46693</v>
      </c>
      <c r="C2516" s="52" t="s">
        <v>42</v>
      </c>
      <c r="D2516" s="53" t="s">
        <v>38</v>
      </c>
      <c r="E2516" s="53"/>
      <c r="F2516" s="54"/>
      <c r="G2516" s="53"/>
      <c r="H2516" s="53">
        <v>0</v>
      </c>
      <c r="I2516" s="53">
        <v>0</v>
      </c>
      <c r="J2516" s="53">
        <v>0</v>
      </c>
      <c r="K2516" s="55"/>
      <c r="L2516" s="55">
        <f t="shared" si="169"/>
        <v>0</v>
      </c>
      <c r="M2516" s="55">
        <v>0</v>
      </c>
      <c r="N2516" s="101">
        <f t="shared" si="170"/>
        <v>0</v>
      </c>
      <c r="O2516" s="57"/>
      <c r="P2516" s="145" t="str">
        <f t="shared" si="168"/>
        <v/>
      </c>
      <c r="Q2516" s="52">
        <f t="shared" si="171"/>
        <v>44</v>
      </c>
      <c r="R2516" s="8">
        <f t="shared" si="172"/>
        <v>2027</v>
      </c>
    </row>
    <row r="2517" spans="1:18" hidden="1" x14ac:dyDescent="0.25">
      <c r="A2517" s="224"/>
      <c r="B2517" s="96">
        <v>46694</v>
      </c>
      <c r="C2517" s="52" t="s">
        <v>46</v>
      </c>
      <c r="D2517" s="53" t="s">
        <v>38</v>
      </c>
      <c r="E2517" s="53"/>
      <c r="F2517" s="54"/>
      <c r="G2517" s="53"/>
      <c r="H2517" s="53">
        <v>0</v>
      </c>
      <c r="I2517" s="53">
        <v>0</v>
      </c>
      <c r="J2517" s="53">
        <v>0</v>
      </c>
      <c r="K2517" s="55"/>
      <c r="L2517" s="55">
        <f t="shared" si="169"/>
        <v>0</v>
      </c>
      <c r="M2517" s="55">
        <v>0</v>
      </c>
      <c r="N2517" s="101">
        <f t="shared" si="170"/>
        <v>0</v>
      </c>
      <c r="O2517" s="57"/>
      <c r="P2517" s="145" t="str">
        <f t="shared" si="168"/>
        <v/>
      </c>
      <c r="Q2517" s="52">
        <f t="shared" si="171"/>
        <v>44</v>
      </c>
      <c r="R2517" s="8">
        <f t="shared" si="172"/>
        <v>2027</v>
      </c>
    </row>
    <row r="2518" spans="1:18" hidden="1" x14ac:dyDescent="0.25">
      <c r="A2518" s="224"/>
      <c r="B2518" s="96">
        <v>46695</v>
      </c>
      <c r="C2518" s="52" t="s">
        <v>50</v>
      </c>
      <c r="D2518" s="53" t="s">
        <v>38</v>
      </c>
      <c r="E2518" s="53"/>
      <c r="F2518" s="54"/>
      <c r="G2518" s="53"/>
      <c r="H2518" s="53">
        <v>0</v>
      </c>
      <c r="I2518" s="53">
        <v>0</v>
      </c>
      <c r="J2518" s="53">
        <v>0</v>
      </c>
      <c r="K2518" s="55"/>
      <c r="L2518" s="55">
        <f t="shared" si="169"/>
        <v>0</v>
      </c>
      <c r="M2518" s="55">
        <v>0</v>
      </c>
      <c r="N2518" s="101">
        <f t="shared" si="170"/>
        <v>0</v>
      </c>
      <c r="O2518" s="57"/>
      <c r="P2518" s="145" t="str">
        <f t="shared" si="168"/>
        <v/>
      </c>
      <c r="Q2518" s="52">
        <f t="shared" si="171"/>
        <v>44</v>
      </c>
      <c r="R2518" s="8">
        <f t="shared" si="172"/>
        <v>2027</v>
      </c>
    </row>
    <row r="2519" spans="1:18" hidden="1" x14ac:dyDescent="0.25">
      <c r="A2519" s="224"/>
      <c r="B2519" s="96">
        <v>46696</v>
      </c>
      <c r="C2519" s="52" t="s">
        <v>53</v>
      </c>
      <c r="D2519" s="53" t="s">
        <v>38</v>
      </c>
      <c r="E2519" s="53"/>
      <c r="F2519" s="54"/>
      <c r="G2519" s="53"/>
      <c r="H2519" s="53">
        <v>0</v>
      </c>
      <c r="I2519" s="53">
        <v>0</v>
      </c>
      <c r="J2519" s="53">
        <v>0</v>
      </c>
      <c r="K2519" s="55"/>
      <c r="L2519" s="55">
        <f t="shared" si="169"/>
        <v>0</v>
      </c>
      <c r="M2519" s="55">
        <v>0</v>
      </c>
      <c r="N2519" s="101">
        <f t="shared" si="170"/>
        <v>0</v>
      </c>
      <c r="O2519" s="57"/>
      <c r="P2519" s="145" t="str">
        <f t="shared" si="168"/>
        <v/>
      </c>
      <c r="Q2519" s="52">
        <f t="shared" si="171"/>
        <v>44</v>
      </c>
      <c r="R2519" s="8">
        <f t="shared" si="172"/>
        <v>2027</v>
      </c>
    </row>
    <row r="2520" spans="1:18" hidden="1" x14ac:dyDescent="0.25">
      <c r="A2520" s="224"/>
      <c r="B2520" s="97">
        <v>46697</v>
      </c>
      <c r="C2520" s="58" t="s">
        <v>57</v>
      </c>
      <c r="D2520" s="60" t="s">
        <v>38</v>
      </c>
      <c r="E2520" s="60"/>
      <c r="F2520" s="61"/>
      <c r="G2520" s="60"/>
      <c r="H2520" s="60">
        <v>0</v>
      </c>
      <c r="I2520" s="60">
        <v>0</v>
      </c>
      <c r="J2520" s="60">
        <v>0</v>
      </c>
      <c r="K2520" s="62"/>
      <c r="L2520" s="62">
        <f t="shared" si="169"/>
        <v>0</v>
      </c>
      <c r="M2520" s="62">
        <v>0</v>
      </c>
      <c r="N2520" s="102">
        <f t="shared" si="170"/>
        <v>0</v>
      </c>
      <c r="O2520" s="64"/>
      <c r="P2520" s="145" t="str">
        <f t="shared" si="168"/>
        <v/>
      </c>
      <c r="Q2520" s="52">
        <f t="shared" si="171"/>
        <v>44</v>
      </c>
      <c r="R2520" s="8">
        <f t="shared" si="172"/>
        <v>2027</v>
      </c>
    </row>
    <row r="2521" spans="1:18" ht="15.75" hidden="1" thickBot="1" x14ac:dyDescent="0.3">
      <c r="A2521" s="225"/>
      <c r="B2521" s="98">
        <v>46698</v>
      </c>
      <c r="C2521" s="66" t="s">
        <v>59</v>
      </c>
      <c r="D2521" s="67" t="s">
        <v>38</v>
      </c>
      <c r="E2521" s="67"/>
      <c r="F2521" s="68"/>
      <c r="G2521" s="67"/>
      <c r="H2521" s="67">
        <v>0</v>
      </c>
      <c r="I2521" s="67">
        <v>0</v>
      </c>
      <c r="J2521" s="67">
        <v>0</v>
      </c>
      <c r="K2521" s="69"/>
      <c r="L2521" s="69">
        <f t="shared" si="169"/>
        <v>0</v>
      </c>
      <c r="M2521" s="69">
        <v>0</v>
      </c>
      <c r="N2521" s="103">
        <f t="shared" si="170"/>
        <v>0</v>
      </c>
      <c r="O2521" s="71"/>
      <c r="P2521" s="145" t="str">
        <f t="shared" si="168"/>
        <v/>
      </c>
      <c r="Q2521" s="52">
        <f t="shared" si="171"/>
        <v>44</v>
      </c>
      <c r="R2521" s="8">
        <f t="shared" si="172"/>
        <v>2027</v>
      </c>
    </row>
    <row r="2522" spans="1:18" hidden="1" x14ac:dyDescent="0.25">
      <c r="A2522" s="223">
        <f>_xlfn.ISOWEEKNUM(B2522)</f>
        <v>45</v>
      </c>
      <c r="B2522" s="96">
        <v>46699</v>
      </c>
      <c r="C2522" s="72" t="s">
        <v>37</v>
      </c>
      <c r="D2522" s="41" t="s">
        <v>38</v>
      </c>
      <c r="E2522" s="41"/>
      <c r="F2522" s="43"/>
      <c r="G2522" s="41"/>
      <c r="H2522" s="41">
        <v>0</v>
      </c>
      <c r="I2522" s="41">
        <v>0</v>
      </c>
      <c r="J2522" s="41">
        <v>0</v>
      </c>
      <c r="K2522" s="73"/>
      <c r="L2522" s="73">
        <f t="shared" si="169"/>
        <v>0</v>
      </c>
      <c r="M2522" s="73">
        <v>0</v>
      </c>
      <c r="N2522" s="105">
        <f t="shared" si="170"/>
        <v>0</v>
      </c>
      <c r="O2522" s="46"/>
      <c r="P2522" s="145" t="str">
        <f t="shared" si="168"/>
        <v/>
      </c>
      <c r="Q2522" s="52">
        <f t="shared" si="171"/>
        <v>45</v>
      </c>
      <c r="R2522" s="8">
        <f t="shared" si="172"/>
        <v>2027</v>
      </c>
    </row>
    <row r="2523" spans="1:18" hidden="1" x14ac:dyDescent="0.25">
      <c r="A2523" s="224"/>
      <c r="B2523" s="96">
        <v>46700</v>
      </c>
      <c r="C2523" s="52" t="s">
        <v>42</v>
      </c>
      <c r="D2523" s="53" t="s">
        <v>38</v>
      </c>
      <c r="E2523" s="53"/>
      <c r="F2523" s="54"/>
      <c r="G2523" s="53"/>
      <c r="H2523" s="53">
        <v>0</v>
      </c>
      <c r="I2523" s="53">
        <v>0</v>
      </c>
      <c r="J2523" s="53">
        <v>0</v>
      </c>
      <c r="K2523" s="55"/>
      <c r="L2523" s="55">
        <f t="shared" si="169"/>
        <v>0</v>
      </c>
      <c r="M2523" s="55">
        <v>0</v>
      </c>
      <c r="N2523" s="101">
        <f t="shared" si="170"/>
        <v>0</v>
      </c>
      <c r="O2523" s="57"/>
      <c r="P2523" s="145" t="str">
        <f t="shared" si="168"/>
        <v/>
      </c>
      <c r="Q2523" s="52">
        <f t="shared" si="171"/>
        <v>45</v>
      </c>
      <c r="R2523" s="8">
        <f t="shared" si="172"/>
        <v>2027</v>
      </c>
    </row>
    <row r="2524" spans="1:18" hidden="1" x14ac:dyDescent="0.25">
      <c r="A2524" s="224"/>
      <c r="B2524" s="96">
        <v>46701</v>
      </c>
      <c r="C2524" s="52" t="s">
        <v>46</v>
      </c>
      <c r="D2524" s="53" t="s">
        <v>38</v>
      </c>
      <c r="E2524" s="53"/>
      <c r="F2524" s="54"/>
      <c r="G2524" s="53"/>
      <c r="H2524" s="53">
        <v>0</v>
      </c>
      <c r="I2524" s="53">
        <v>0</v>
      </c>
      <c r="J2524" s="53">
        <v>0</v>
      </c>
      <c r="K2524" s="55"/>
      <c r="L2524" s="55">
        <f t="shared" si="169"/>
        <v>0</v>
      </c>
      <c r="M2524" s="55">
        <v>0</v>
      </c>
      <c r="N2524" s="101">
        <f t="shared" si="170"/>
        <v>0</v>
      </c>
      <c r="O2524" s="57"/>
      <c r="P2524" s="145" t="str">
        <f t="shared" si="168"/>
        <v/>
      </c>
      <c r="Q2524" s="52">
        <f t="shared" si="171"/>
        <v>45</v>
      </c>
      <c r="R2524" s="8">
        <f t="shared" si="172"/>
        <v>2027</v>
      </c>
    </row>
    <row r="2525" spans="1:18" hidden="1" x14ac:dyDescent="0.25">
      <c r="A2525" s="224"/>
      <c r="B2525" s="96">
        <v>46702</v>
      </c>
      <c r="C2525" s="52" t="s">
        <v>50</v>
      </c>
      <c r="D2525" s="53" t="s">
        <v>38</v>
      </c>
      <c r="E2525" s="53"/>
      <c r="F2525" s="54"/>
      <c r="G2525" s="53"/>
      <c r="H2525" s="53">
        <v>0</v>
      </c>
      <c r="I2525" s="53">
        <v>0</v>
      </c>
      <c r="J2525" s="53">
        <v>0</v>
      </c>
      <c r="K2525" s="55"/>
      <c r="L2525" s="55">
        <f t="shared" si="169"/>
        <v>0</v>
      </c>
      <c r="M2525" s="55">
        <v>0</v>
      </c>
      <c r="N2525" s="101">
        <f t="shared" si="170"/>
        <v>0</v>
      </c>
      <c r="O2525" s="57"/>
      <c r="P2525" s="145" t="str">
        <f t="shared" si="168"/>
        <v/>
      </c>
      <c r="Q2525" s="52">
        <f t="shared" si="171"/>
        <v>45</v>
      </c>
      <c r="R2525" s="8">
        <f t="shared" si="172"/>
        <v>2027</v>
      </c>
    </row>
    <row r="2526" spans="1:18" hidden="1" x14ac:dyDescent="0.25">
      <c r="A2526" s="224"/>
      <c r="B2526" s="96">
        <v>46703</v>
      </c>
      <c r="C2526" s="52" t="s">
        <v>53</v>
      </c>
      <c r="D2526" s="53" t="s">
        <v>38</v>
      </c>
      <c r="E2526" s="53"/>
      <c r="F2526" s="54"/>
      <c r="G2526" s="53"/>
      <c r="H2526" s="53">
        <v>0</v>
      </c>
      <c r="I2526" s="53">
        <v>0</v>
      </c>
      <c r="J2526" s="53">
        <v>0</v>
      </c>
      <c r="K2526" s="55"/>
      <c r="L2526" s="55">
        <f t="shared" si="169"/>
        <v>0</v>
      </c>
      <c r="M2526" s="55">
        <v>0</v>
      </c>
      <c r="N2526" s="101">
        <f t="shared" si="170"/>
        <v>0</v>
      </c>
      <c r="O2526" s="57"/>
      <c r="P2526" s="145" t="str">
        <f t="shared" si="168"/>
        <v/>
      </c>
      <c r="Q2526" s="52">
        <f t="shared" si="171"/>
        <v>45</v>
      </c>
      <c r="R2526" s="8">
        <f t="shared" si="172"/>
        <v>2027</v>
      </c>
    </row>
    <row r="2527" spans="1:18" hidden="1" x14ac:dyDescent="0.25">
      <c r="A2527" s="224"/>
      <c r="B2527" s="97">
        <v>46704</v>
      </c>
      <c r="C2527" s="58" t="s">
        <v>57</v>
      </c>
      <c r="D2527" s="60" t="s">
        <v>38</v>
      </c>
      <c r="E2527" s="60"/>
      <c r="F2527" s="61"/>
      <c r="G2527" s="60"/>
      <c r="H2527" s="60">
        <v>0</v>
      </c>
      <c r="I2527" s="60">
        <v>0</v>
      </c>
      <c r="J2527" s="60">
        <v>0</v>
      </c>
      <c r="K2527" s="62"/>
      <c r="L2527" s="62">
        <f t="shared" si="169"/>
        <v>0</v>
      </c>
      <c r="M2527" s="62">
        <v>0</v>
      </c>
      <c r="N2527" s="102">
        <f t="shared" si="170"/>
        <v>0</v>
      </c>
      <c r="O2527" s="64"/>
      <c r="P2527" s="145" t="str">
        <f t="shared" si="168"/>
        <v/>
      </c>
      <c r="Q2527" s="52">
        <f t="shared" si="171"/>
        <v>45</v>
      </c>
      <c r="R2527" s="8">
        <f t="shared" si="172"/>
        <v>2027</v>
      </c>
    </row>
    <row r="2528" spans="1:18" ht="15.75" hidden="1" thickBot="1" x14ac:dyDescent="0.3">
      <c r="A2528" s="225"/>
      <c r="B2528" s="98">
        <v>46705</v>
      </c>
      <c r="C2528" s="66" t="s">
        <v>59</v>
      </c>
      <c r="D2528" s="67" t="s">
        <v>38</v>
      </c>
      <c r="E2528" s="67"/>
      <c r="F2528" s="68"/>
      <c r="G2528" s="67"/>
      <c r="H2528" s="67">
        <v>0</v>
      </c>
      <c r="I2528" s="67">
        <v>0</v>
      </c>
      <c r="J2528" s="67">
        <v>0</v>
      </c>
      <c r="K2528" s="69"/>
      <c r="L2528" s="69">
        <f t="shared" si="169"/>
        <v>0</v>
      </c>
      <c r="M2528" s="69">
        <v>0</v>
      </c>
      <c r="N2528" s="103">
        <f t="shared" si="170"/>
        <v>0</v>
      </c>
      <c r="O2528" s="71"/>
      <c r="P2528" s="145" t="str">
        <f t="shared" si="168"/>
        <v/>
      </c>
      <c r="Q2528" s="52">
        <f t="shared" si="171"/>
        <v>45</v>
      </c>
      <c r="R2528" s="8">
        <f t="shared" si="172"/>
        <v>2027</v>
      </c>
    </row>
    <row r="2529" spans="1:18" hidden="1" x14ac:dyDescent="0.25">
      <c r="A2529" s="223">
        <f>_xlfn.ISOWEEKNUM(B2529)</f>
        <v>46</v>
      </c>
      <c r="B2529" s="96">
        <v>46706</v>
      </c>
      <c r="C2529" s="72" t="s">
        <v>37</v>
      </c>
      <c r="D2529" s="41" t="s">
        <v>38</v>
      </c>
      <c r="E2529" s="41"/>
      <c r="F2529" s="43"/>
      <c r="G2529" s="41"/>
      <c r="H2529" s="41">
        <v>0</v>
      </c>
      <c r="I2529" s="41">
        <v>0</v>
      </c>
      <c r="J2529" s="41">
        <v>0</v>
      </c>
      <c r="K2529" s="73"/>
      <c r="L2529" s="73">
        <f t="shared" si="169"/>
        <v>0</v>
      </c>
      <c r="M2529" s="73">
        <v>0</v>
      </c>
      <c r="N2529" s="105">
        <f t="shared" si="170"/>
        <v>0</v>
      </c>
      <c r="O2529" s="46"/>
      <c r="P2529" s="145" t="str">
        <f t="shared" si="168"/>
        <v/>
      </c>
      <c r="Q2529" s="52">
        <f t="shared" si="171"/>
        <v>46</v>
      </c>
      <c r="R2529" s="8">
        <f t="shared" si="172"/>
        <v>2027</v>
      </c>
    </row>
    <row r="2530" spans="1:18" hidden="1" x14ac:dyDescent="0.25">
      <c r="A2530" s="224"/>
      <c r="B2530" s="96">
        <v>46707</v>
      </c>
      <c r="C2530" s="52" t="s">
        <v>42</v>
      </c>
      <c r="D2530" s="53" t="s">
        <v>38</v>
      </c>
      <c r="E2530" s="53"/>
      <c r="F2530" s="54"/>
      <c r="G2530" s="53"/>
      <c r="H2530" s="53">
        <v>0</v>
      </c>
      <c r="I2530" s="53">
        <v>0</v>
      </c>
      <c r="J2530" s="53">
        <v>0</v>
      </c>
      <c r="K2530" s="55"/>
      <c r="L2530" s="55">
        <f t="shared" si="169"/>
        <v>0</v>
      </c>
      <c r="M2530" s="55">
        <v>0</v>
      </c>
      <c r="N2530" s="101">
        <f t="shared" si="170"/>
        <v>0</v>
      </c>
      <c r="O2530" s="57"/>
      <c r="P2530" s="145" t="str">
        <f t="shared" si="168"/>
        <v/>
      </c>
      <c r="Q2530" s="52">
        <f t="shared" si="171"/>
        <v>46</v>
      </c>
      <c r="R2530" s="8">
        <f t="shared" si="172"/>
        <v>2027</v>
      </c>
    </row>
    <row r="2531" spans="1:18" hidden="1" x14ac:dyDescent="0.25">
      <c r="A2531" s="224"/>
      <c r="B2531" s="96">
        <v>46708</v>
      </c>
      <c r="C2531" s="52" t="s">
        <v>46</v>
      </c>
      <c r="D2531" s="53" t="s">
        <v>38</v>
      </c>
      <c r="E2531" s="53"/>
      <c r="F2531" s="54"/>
      <c r="G2531" s="53"/>
      <c r="H2531" s="53">
        <v>0</v>
      </c>
      <c r="I2531" s="53">
        <v>0</v>
      </c>
      <c r="J2531" s="53">
        <v>0</v>
      </c>
      <c r="K2531" s="55"/>
      <c r="L2531" s="55">
        <f t="shared" si="169"/>
        <v>0</v>
      </c>
      <c r="M2531" s="55">
        <v>0</v>
      </c>
      <c r="N2531" s="101">
        <f t="shared" si="170"/>
        <v>0</v>
      </c>
      <c r="O2531" s="57"/>
      <c r="P2531" s="145" t="str">
        <f t="shared" si="168"/>
        <v/>
      </c>
      <c r="Q2531" s="52">
        <f t="shared" si="171"/>
        <v>46</v>
      </c>
      <c r="R2531" s="8">
        <f t="shared" si="172"/>
        <v>2027</v>
      </c>
    </row>
    <row r="2532" spans="1:18" hidden="1" x14ac:dyDescent="0.25">
      <c r="A2532" s="224"/>
      <c r="B2532" s="96">
        <v>46709</v>
      </c>
      <c r="C2532" s="52" t="s">
        <v>50</v>
      </c>
      <c r="D2532" s="53" t="s">
        <v>38</v>
      </c>
      <c r="E2532" s="53"/>
      <c r="F2532" s="54"/>
      <c r="G2532" s="53"/>
      <c r="H2532" s="53">
        <v>0</v>
      </c>
      <c r="I2532" s="53">
        <v>0</v>
      </c>
      <c r="J2532" s="53">
        <v>0</v>
      </c>
      <c r="K2532" s="55"/>
      <c r="L2532" s="55">
        <f t="shared" si="169"/>
        <v>0</v>
      </c>
      <c r="M2532" s="55">
        <v>0</v>
      </c>
      <c r="N2532" s="101">
        <f t="shared" si="170"/>
        <v>0</v>
      </c>
      <c r="O2532" s="57"/>
      <c r="P2532" s="145" t="str">
        <f t="shared" si="168"/>
        <v/>
      </c>
      <c r="Q2532" s="52">
        <f t="shared" si="171"/>
        <v>46</v>
      </c>
      <c r="R2532" s="8">
        <f t="shared" si="172"/>
        <v>2027</v>
      </c>
    </row>
    <row r="2533" spans="1:18" hidden="1" x14ac:dyDescent="0.25">
      <c r="A2533" s="224"/>
      <c r="B2533" s="96">
        <v>46710</v>
      </c>
      <c r="C2533" s="52" t="s">
        <v>53</v>
      </c>
      <c r="D2533" s="53" t="s">
        <v>38</v>
      </c>
      <c r="E2533" s="53"/>
      <c r="F2533" s="54"/>
      <c r="G2533" s="53"/>
      <c r="H2533" s="53">
        <v>0</v>
      </c>
      <c r="I2533" s="53">
        <v>0</v>
      </c>
      <c r="J2533" s="53">
        <v>0</v>
      </c>
      <c r="K2533" s="55"/>
      <c r="L2533" s="55">
        <f t="shared" si="169"/>
        <v>0</v>
      </c>
      <c r="M2533" s="55">
        <v>0</v>
      </c>
      <c r="N2533" s="101">
        <f t="shared" si="170"/>
        <v>0</v>
      </c>
      <c r="O2533" s="57"/>
      <c r="P2533" s="145" t="str">
        <f t="shared" si="168"/>
        <v/>
      </c>
      <c r="Q2533" s="52">
        <f t="shared" si="171"/>
        <v>46</v>
      </c>
      <c r="R2533" s="8">
        <f t="shared" si="172"/>
        <v>2027</v>
      </c>
    </row>
    <row r="2534" spans="1:18" hidden="1" x14ac:dyDescent="0.25">
      <c r="A2534" s="224"/>
      <c r="B2534" s="97">
        <v>46711</v>
      </c>
      <c r="C2534" s="58" t="s">
        <v>57</v>
      </c>
      <c r="D2534" s="60" t="s">
        <v>38</v>
      </c>
      <c r="E2534" s="60"/>
      <c r="F2534" s="61"/>
      <c r="G2534" s="60"/>
      <c r="H2534" s="60">
        <v>0</v>
      </c>
      <c r="I2534" s="60">
        <v>0</v>
      </c>
      <c r="J2534" s="60">
        <v>0</v>
      </c>
      <c r="K2534" s="62"/>
      <c r="L2534" s="62">
        <f t="shared" si="169"/>
        <v>0</v>
      </c>
      <c r="M2534" s="62">
        <v>0</v>
      </c>
      <c r="N2534" s="102">
        <f t="shared" si="170"/>
        <v>0</v>
      </c>
      <c r="O2534" s="64"/>
      <c r="P2534" s="145" t="str">
        <f t="shared" si="168"/>
        <v/>
      </c>
      <c r="Q2534" s="52">
        <f t="shared" si="171"/>
        <v>46</v>
      </c>
      <c r="R2534" s="8">
        <f t="shared" si="172"/>
        <v>2027</v>
      </c>
    </row>
    <row r="2535" spans="1:18" ht="15.75" hidden="1" thickBot="1" x14ac:dyDescent="0.3">
      <c r="A2535" s="225"/>
      <c r="B2535" s="98">
        <v>46712</v>
      </c>
      <c r="C2535" s="66" t="s">
        <v>59</v>
      </c>
      <c r="D2535" s="67" t="s">
        <v>38</v>
      </c>
      <c r="E2535" s="67"/>
      <c r="F2535" s="68"/>
      <c r="G2535" s="67"/>
      <c r="H2535" s="67">
        <v>0</v>
      </c>
      <c r="I2535" s="67">
        <v>0</v>
      </c>
      <c r="J2535" s="67">
        <v>0</v>
      </c>
      <c r="K2535" s="69"/>
      <c r="L2535" s="69">
        <f t="shared" si="169"/>
        <v>0</v>
      </c>
      <c r="M2535" s="69">
        <v>0</v>
      </c>
      <c r="N2535" s="103">
        <f t="shared" si="170"/>
        <v>0</v>
      </c>
      <c r="O2535" s="71"/>
      <c r="P2535" s="145" t="str">
        <f t="shared" si="168"/>
        <v/>
      </c>
      <c r="Q2535" s="52">
        <f t="shared" si="171"/>
        <v>46</v>
      </c>
      <c r="R2535" s="8">
        <f t="shared" si="172"/>
        <v>2027</v>
      </c>
    </row>
    <row r="2536" spans="1:18" hidden="1" x14ac:dyDescent="0.25">
      <c r="A2536" s="223">
        <f>_xlfn.ISOWEEKNUM(B2536)</f>
        <v>47</v>
      </c>
      <c r="B2536" s="96">
        <v>46713</v>
      </c>
      <c r="C2536" s="72" t="s">
        <v>37</v>
      </c>
      <c r="D2536" s="41" t="s">
        <v>38</v>
      </c>
      <c r="E2536" s="41"/>
      <c r="F2536" s="43"/>
      <c r="G2536" s="41"/>
      <c r="H2536" s="41">
        <v>0</v>
      </c>
      <c r="I2536" s="41">
        <v>0</v>
      </c>
      <c r="J2536" s="41">
        <v>0</v>
      </c>
      <c r="K2536" s="73"/>
      <c r="L2536" s="73">
        <f t="shared" si="169"/>
        <v>0</v>
      </c>
      <c r="M2536" s="73">
        <v>0</v>
      </c>
      <c r="N2536" s="105">
        <f t="shared" si="170"/>
        <v>0</v>
      </c>
      <c r="O2536" s="46"/>
      <c r="P2536" s="145" t="str">
        <f t="shared" si="168"/>
        <v/>
      </c>
      <c r="Q2536" s="52">
        <f t="shared" si="171"/>
        <v>47</v>
      </c>
      <c r="R2536" s="8">
        <f t="shared" si="172"/>
        <v>2027</v>
      </c>
    </row>
    <row r="2537" spans="1:18" hidden="1" x14ac:dyDescent="0.25">
      <c r="A2537" s="224"/>
      <c r="B2537" s="96">
        <v>46714</v>
      </c>
      <c r="C2537" s="52" t="s">
        <v>42</v>
      </c>
      <c r="D2537" s="53" t="s">
        <v>38</v>
      </c>
      <c r="E2537" s="53"/>
      <c r="F2537" s="54"/>
      <c r="G2537" s="53"/>
      <c r="H2537" s="53">
        <v>0</v>
      </c>
      <c r="I2537" s="53">
        <v>0</v>
      </c>
      <c r="J2537" s="53">
        <v>0</v>
      </c>
      <c r="K2537" s="55"/>
      <c r="L2537" s="55">
        <f t="shared" si="169"/>
        <v>0</v>
      </c>
      <c r="M2537" s="55">
        <v>0</v>
      </c>
      <c r="N2537" s="101">
        <f t="shared" si="170"/>
        <v>0</v>
      </c>
      <c r="O2537" s="57"/>
      <c r="P2537" s="145" t="str">
        <f t="shared" si="168"/>
        <v/>
      </c>
      <c r="Q2537" s="52">
        <f t="shared" si="171"/>
        <v>47</v>
      </c>
      <c r="R2537" s="8">
        <f t="shared" si="172"/>
        <v>2027</v>
      </c>
    </row>
    <row r="2538" spans="1:18" hidden="1" x14ac:dyDescent="0.25">
      <c r="A2538" s="224"/>
      <c r="B2538" s="96">
        <v>46715</v>
      </c>
      <c r="C2538" s="52" t="s">
        <v>46</v>
      </c>
      <c r="D2538" s="53" t="s">
        <v>38</v>
      </c>
      <c r="E2538" s="53"/>
      <c r="F2538" s="54"/>
      <c r="G2538" s="53"/>
      <c r="H2538" s="53">
        <v>0</v>
      </c>
      <c r="I2538" s="53">
        <v>0</v>
      </c>
      <c r="J2538" s="53">
        <v>0</v>
      </c>
      <c r="K2538" s="55"/>
      <c r="L2538" s="55">
        <f t="shared" si="169"/>
        <v>0</v>
      </c>
      <c r="M2538" s="55">
        <v>0</v>
      </c>
      <c r="N2538" s="101">
        <f t="shared" si="170"/>
        <v>0</v>
      </c>
      <c r="O2538" s="57"/>
      <c r="P2538" s="145" t="str">
        <f t="shared" si="168"/>
        <v/>
      </c>
      <c r="Q2538" s="52">
        <f t="shared" si="171"/>
        <v>47</v>
      </c>
      <c r="R2538" s="8">
        <f t="shared" si="172"/>
        <v>2027</v>
      </c>
    </row>
    <row r="2539" spans="1:18" hidden="1" x14ac:dyDescent="0.25">
      <c r="A2539" s="224"/>
      <c r="B2539" s="96">
        <v>46716</v>
      </c>
      <c r="C2539" s="52" t="s">
        <v>50</v>
      </c>
      <c r="D2539" s="53" t="s">
        <v>38</v>
      </c>
      <c r="E2539" s="53"/>
      <c r="F2539" s="54"/>
      <c r="G2539" s="53"/>
      <c r="H2539" s="53">
        <v>0</v>
      </c>
      <c r="I2539" s="53">
        <v>0</v>
      </c>
      <c r="J2539" s="53">
        <v>0</v>
      </c>
      <c r="K2539" s="55"/>
      <c r="L2539" s="55">
        <f t="shared" si="169"/>
        <v>0</v>
      </c>
      <c r="M2539" s="55">
        <v>0</v>
      </c>
      <c r="N2539" s="101">
        <f t="shared" si="170"/>
        <v>0</v>
      </c>
      <c r="O2539" s="57"/>
      <c r="P2539" s="145" t="str">
        <f t="shared" si="168"/>
        <v/>
      </c>
      <c r="Q2539" s="52">
        <f t="shared" si="171"/>
        <v>47</v>
      </c>
      <c r="R2539" s="8">
        <f t="shared" si="172"/>
        <v>2027</v>
      </c>
    </row>
    <row r="2540" spans="1:18" hidden="1" x14ac:dyDescent="0.25">
      <c r="A2540" s="224"/>
      <c r="B2540" s="96">
        <v>46717</v>
      </c>
      <c r="C2540" s="52" t="s">
        <v>53</v>
      </c>
      <c r="D2540" s="53" t="s">
        <v>38</v>
      </c>
      <c r="E2540" s="53"/>
      <c r="F2540" s="54"/>
      <c r="G2540" s="53"/>
      <c r="H2540" s="53">
        <v>0</v>
      </c>
      <c r="I2540" s="53">
        <v>0</v>
      </c>
      <c r="J2540" s="53">
        <v>0</v>
      </c>
      <c r="K2540" s="55"/>
      <c r="L2540" s="55">
        <f t="shared" si="169"/>
        <v>0</v>
      </c>
      <c r="M2540" s="55">
        <v>0</v>
      </c>
      <c r="N2540" s="101">
        <f t="shared" si="170"/>
        <v>0</v>
      </c>
      <c r="O2540" s="57"/>
      <c r="P2540" s="145" t="str">
        <f t="shared" si="168"/>
        <v/>
      </c>
      <c r="Q2540" s="52">
        <f t="shared" si="171"/>
        <v>47</v>
      </c>
      <c r="R2540" s="8">
        <f t="shared" si="172"/>
        <v>2027</v>
      </c>
    </row>
    <row r="2541" spans="1:18" hidden="1" x14ac:dyDescent="0.25">
      <c r="A2541" s="224"/>
      <c r="B2541" s="97">
        <v>46718</v>
      </c>
      <c r="C2541" s="58" t="s">
        <v>57</v>
      </c>
      <c r="D2541" s="60" t="s">
        <v>38</v>
      </c>
      <c r="E2541" s="60"/>
      <c r="F2541" s="61"/>
      <c r="G2541" s="60"/>
      <c r="H2541" s="60">
        <v>0</v>
      </c>
      <c r="I2541" s="60">
        <v>0</v>
      </c>
      <c r="J2541" s="60">
        <v>0</v>
      </c>
      <c r="K2541" s="62"/>
      <c r="L2541" s="62">
        <f t="shared" si="169"/>
        <v>0</v>
      </c>
      <c r="M2541" s="62">
        <v>0</v>
      </c>
      <c r="N2541" s="102">
        <f t="shared" si="170"/>
        <v>0</v>
      </c>
      <c r="O2541" s="64"/>
      <c r="P2541" s="145" t="str">
        <f t="shared" si="168"/>
        <v/>
      </c>
      <c r="Q2541" s="52">
        <f t="shared" si="171"/>
        <v>47</v>
      </c>
      <c r="R2541" s="8">
        <f t="shared" si="172"/>
        <v>2027</v>
      </c>
    </row>
    <row r="2542" spans="1:18" ht="15.75" hidden="1" thickBot="1" x14ac:dyDescent="0.3">
      <c r="A2542" s="225"/>
      <c r="B2542" s="98">
        <v>46719</v>
      </c>
      <c r="C2542" s="66" t="s">
        <v>59</v>
      </c>
      <c r="D2542" s="67" t="s">
        <v>38</v>
      </c>
      <c r="E2542" s="67"/>
      <c r="F2542" s="68"/>
      <c r="G2542" s="67"/>
      <c r="H2542" s="67">
        <v>0</v>
      </c>
      <c r="I2542" s="67">
        <v>0</v>
      </c>
      <c r="J2542" s="67">
        <v>0</v>
      </c>
      <c r="K2542" s="69"/>
      <c r="L2542" s="69">
        <f t="shared" si="169"/>
        <v>0</v>
      </c>
      <c r="M2542" s="69">
        <v>0</v>
      </c>
      <c r="N2542" s="103">
        <f t="shared" si="170"/>
        <v>0</v>
      </c>
      <c r="O2542" s="71"/>
      <c r="P2542" s="145" t="str">
        <f t="shared" si="168"/>
        <v/>
      </c>
      <c r="Q2542" s="52">
        <f t="shared" si="171"/>
        <v>47</v>
      </c>
      <c r="R2542" s="8">
        <f t="shared" si="172"/>
        <v>2027</v>
      </c>
    </row>
    <row r="2543" spans="1:18" hidden="1" x14ac:dyDescent="0.25">
      <c r="A2543" s="223">
        <f>_xlfn.ISOWEEKNUM(B2543)</f>
        <v>48</v>
      </c>
      <c r="B2543" s="96">
        <v>46720</v>
      </c>
      <c r="C2543" s="72" t="s">
        <v>37</v>
      </c>
      <c r="D2543" s="41" t="s">
        <v>38</v>
      </c>
      <c r="E2543" s="41"/>
      <c r="F2543" s="43"/>
      <c r="G2543" s="41"/>
      <c r="H2543" s="41">
        <v>0</v>
      </c>
      <c r="I2543" s="41">
        <v>0</v>
      </c>
      <c r="J2543" s="41">
        <v>0</v>
      </c>
      <c r="K2543" s="73"/>
      <c r="L2543" s="73">
        <f t="shared" si="169"/>
        <v>0</v>
      </c>
      <c r="M2543" s="73">
        <v>0</v>
      </c>
      <c r="N2543" s="105">
        <f t="shared" si="170"/>
        <v>0</v>
      </c>
      <c r="O2543" s="46"/>
      <c r="P2543" s="145" t="str">
        <f t="shared" ref="P2543:P2605" si="173">E2543&amp;G2543</f>
        <v/>
      </c>
      <c r="Q2543" s="52">
        <f t="shared" si="171"/>
        <v>48</v>
      </c>
      <c r="R2543" s="8">
        <f t="shared" si="172"/>
        <v>2027</v>
      </c>
    </row>
    <row r="2544" spans="1:18" hidden="1" x14ac:dyDescent="0.25">
      <c r="A2544" s="224"/>
      <c r="B2544" s="96">
        <v>46721</v>
      </c>
      <c r="C2544" s="52" t="s">
        <v>42</v>
      </c>
      <c r="D2544" s="53" t="s">
        <v>38</v>
      </c>
      <c r="E2544" s="53"/>
      <c r="F2544" s="54"/>
      <c r="G2544" s="53"/>
      <c r="H2544" s="53">
        <v>0</v>
      </c>
      <c r="I2544" s="53">
        <v>0</v>
      </c>
      <c r="J2544" s="53">
        <v>0</v>
      </c>
      <c r="K2544" s="55"/>
      <c r="L2544" s="55">
        <f t="shared" si="169"/>
        <v>0</v>
      </c>
      <c r="M2544" s="55">
        <v>0</v>
      </c>
      <c r="N2544" s="101">
        <f t="shared" si="170"/>
        <v>0</v>
      </c>
      <c r="O2544" s="57"/>
      <c r="P2544" s="145" t="str">
        <f t="shared" si="173"/>
        <v/>
      </c>
      <c r="Q2544" s="52">
        <f t="shared" si="171"/>
        <v>48</v>
      </c>
      <c r="R2544" s="8">
        <f t="shared" si="172"/>
        <v>2027</v>
      </c>
    </row>
    <row r="2545" spans="1:18" hidden="1" x14ac:dyDescent="0.25">
      <c r="A2545" s="224"/>
      <c r="B2545" s="96">
        <v>46722</v>
      </c>
      <c r="C2545" s="52" t="s">
        <v>46</v>
      </c>
      <c r="D2545" s="53" t="s">
        <v>38</v>
      </c>
      <c r="E2545" s="53"/>
      <c r="F2545" s="54"/>
      <c r="G2545" s="53"/>
      <c r="H2545" s="53">
        <v>0</v>
      </c>
      <c r="I2545" s="53">
        <v>0</v>
      </c>
      <c r="J2545" s="53">
        <v>0</v>
      </c>
      <c r="K2545" s="55"/>
      <c r="L2545" s="55">
        <f t="shared" si="169"/>
        <v>0</v>
      </c>
      <c r="M2545" s="55">
        <v>0</v>
      </c>
      <c r="N2545" s="101">
        <f t="shared" si="170"/>
        <v>0</v>
      </c>
      <c r="O2545" s="57"/>
      <c r="P2545" s="145" t="str">
        <f t="shared" si="173"/>
        <v/>
      </c>
      <c r="Q2545" s="52">
        <f t="shared" si="171"/>
        <v>48</v>
      </c>
      <c r="R2545" s="8">
        <f t="shared" si="172"/>
        <v>2027</v>
      </c>
    </row>
    <row r="2546" spans="1:18" hidden="1" x14ac:dyDescent="0.25">
      <c r="A2546" s="224"/>
      <c r="B2546" s="96">
        <v>46723</v>
      </c>
      <c r="C2546" s="52" t="s">
        <v>50</v>
      </c>
      <c r="D2546" s="53" t="s">
        <v>38</v>
      </c>
      <c r="E2546" s="53"/>
      <c r="F2546" s="54"/>
      <c r="G2546" s="53"/>
      <c r="H2546" s="53">
        <v>0</v>
      </c>
      <c r="I2546" s="53">
        <v>0</v>
      </c>
      <c r="J2546" s="53">
        <v>0</v>
      </c>
      <c r="K2546" s="55"/>
      <c r="L2546" s="55">
        <f t="shared" si="169"/>
        <v>0</v>
      </c>
      <c r="M2546" s="55">
        <v>0</v>
      </c>
      <c r="N2546" s="101">
        <f t="shared" si="170"/>
        <v>0</v>
      </c>
      <c r="O2546" s="57"/>
      <c r="P2546" s="145" t="str">
        <f t="shared" si="173"/>
        <v/>
      </c>
      <c r="Q2546" s="52">
        <f t="shared" si="171"/>
        <v>48</v>
      </c>
      <c r="R2546" s="8">
        <f t="shared" si="172"/>
        <v>2027</v>
      </c>
    </row>
    <row r="2547" spans="1:18" hidden="1" x14ac:dyDescent="0.25">
      <c r="A2547" s="224"/>
      <c r="B2547" s="96">
        <v>46724</v>
      </c>
      <c r="C2547" s="52" t="s">
        <v>53</v>
      </c>
      <c r="D2547" s="53" t="s">
        <v>38</v>
      </c>
      <c r="E2547" s="53"/>
      <c r="F2547" s="54"/>
      <c r="G2547" s="53"/>
      <c r="H2547" s="53">
        <v>0</v>
      </c>
      <c r="I2547" s="53">
        <v>0</v>
      </c>
      <c r="J2547" s="53">
        <v>0</v>
      </c>
      <c r="K2547" s="55"/>
      <c r="L2547" s="55">
        <f t="shared" si="169"/>
        <v>0</v>
      </c>
      <c r="M2547" s="55">
        <v>0</v>
      </c>
      <c r="N2547" s="101">
        <f t="shared" si="170"/>
        <v>0</v>
      </c>
      <c r="O2547" s="57"/>
      <c r="P2547" s="145" t="str">
        <f t="shared" si="173"/>
        <v/>
      </c>
      <c r="Q2547" s="52">
        <f t="shared" si="171"/>
        <v>48</v>
      </c>
      <c r="R2547" s="8">
        <f t="shared" si="172"/>
        <v>2027</v>
      </c>
    </row>
    <row r="2548" spans="1:18" hidden="1" x14ac:dyDescent="0.25">
      <c r="A2548" s="224"/>
      <c r="B2548" s="97">
        <v>46725</v>
      </c>
      <c r="C2548" s="58" t="s">
        <v>57</v>
      </c>
      <c r="D2548" s="60" t="s">
        <v>38</v>
      </c>
      <c r="E2548" s="60"/>
      <c r="F2548" s="61"/>
      <c r="G2548" s="60"/>
      <c r="H2548" s="60">
        <v>0</v>
      </c>
      <c r="I2548" s="60">
        <v>0</v>
      </c>
      <c r="J2548" s="60">
        <v>0</v>
      </c>
      <c r="K2548" s="62"/>
      <c r="L2548" s="62">
        <f t="shared" si="169"/>
        <v>0</v>
      </c>
      <c r="M2548" s="62">
        <v>0</v>
      </c>
      <c r="N2548" s="102">
        <f t="shared" si="170"/>
        <v>0</v>
      </c>
      <c r="O2548" s="64"/>
      <c r="P2548" s="145" t="str">
        <f t="shared" si="173"/>
        <v/>
      </c>
      <c r="Q2548" s="52">
        <f t="shared" si="171"/>
        <v>48</v>
      </c>
      <c r="R2548" s="8">
        <f t="shared" si="172"/>
        <v>2027</v>
      </c>
    </row>
    <row r="2549" spans="1:18" ht="15.75" hidden="1" thickBot="1" x14ac:dyDescent="0.3">
      <c r="A2549" s="225"/>
      <c r="B2549" s="98">
        <v>46726</v>
      </c>
      <c r="C2549" s="66" t="s">
        <v>59</v>
      </c>
      <c r="D2549" s="67" t="s">
        <v>38</v>
      </c>
      <c r="E2549" s="67"/>
      <c r="F2549" s="68"/>
      <c r="G2549" s="67"/>
      <c r="H2549" s="67">
        <v>0</v>
      </c>
      <c r="I2549" s="67">
        <v>0</v>
      </c>
      <c r="J2549" s="67">
        <v>0</v>
      </c>
      <c r="K2549" s="69"/>
      <c r="L2549" s="69">
        <f t="shared" si="169"/>
        <v>0</v>
      </c>
      <c r="M2549" s="69">
        <v>0</v>
      </c>
      <c r="N2549" s="103">
        <f t="shared" si="170"/>
        <v>0</v>
      </c>
      <c r="O2549" s="71"/>
      <c r="P2549" s="145" t="str">
        <f t="shared" si="173"/>
        <v/>
      </c>
      <c r="Q2549" s="52">
        <f t="shared" si="171"/>
        <v>48</v>
      </c>
      <c r="R2549" s="8">
        <f t="shared" si="172"/>
        <v>2027</v>
      </c>
    </row>
    <row r="2550" spans="1:18" hidden="1" x14ac:dyDescent="0.25">
      <c r="A2550" s="223">
        <f>_xlfn.ISOWEEKNUM(B2550)</f>
        <v>49</v>
      </c>
      <c r="B2550" s="96">
        <v>46727</v>
      </c>
      <c r="C2550" s="72" t="s">
        <v>37</v>
      </c>
      <c r="D2550" s="41" t="s">
        <v>38</v>
      </c>
      <c r="E2550" s="41"/>
      <c r="F2550" s="43"/>
      <c r="G2550" s="41"/>
      <c r="H2550" s="41">
        <v>0</v>
      </c>
      <c r="I2550" s="41">
        <v>0</v>
      </c>
      <c r="J2550" s="41">
        <v>0</v>
      </c>
      <c r="K2550" s="73"/>
      <c r="L2550" s="73">
        <f t="shared" ref="L2550:L2605" si="174">+I2550*K2550</f>
        <v>0</v>
      </c>
      <c r="M2550" s="73">
        <v>0</v>
      </c>
      <c r="N2550" s="105">
        <f t="shared" ref="N2550:N2605" si="175">+L2550*(1-M2550)</f>
        <v>0</v>
      </c>
      <c r="O2550" s="46"/>
      <c r="P2550" s="145" t="str">
        <f t="shared" si="173"/>
        <v/>
      </c>
      <c r="Q2550" s="52">
        <f t="shared" si="171"/>
        <v>49</v>
      </c>
      <c r="R2550" s="8">
        <f t="shared" si="172"/>
        <v>2027</v>
      </c>
    </row>
    <row r="2551" spans="1:18" hidden="1" x14ac:dyDescent="0.25">
      <c r="A2551" s="224"/>
      <c r="B2551" s="96">
        <v>46728</v>
      </c>
      <c r="C2551" s="52" t="s">
        <v>42</v>
      </c>
      <c r="D2551" s="53" t="s">
        <v>38</v>
      </c>
      <c r="E2551" s="53"/>
      <c r="F2551" s="54"/>
      <c r="G2551" s="53"/>
      <c r="H2551" s="53">
        <v>0</v>
      </c>
      <c r="I2551" s="53">
        <v>0</v>
      </c>
      <c r="J2551" s="53">
        <v>0</v>
      </c>
      <c r="K2551" s="55"/>
      <c r="L2551" s="55">
        <f t="shared" si="174"/>
        <v>0</v>
      </c>
      <c r="M2551" s="55">
        <v>0</v>
      </c>
      <c r="N2551" s="101">
        <f t="shared" si="175"/>
        <v>0</v>
      </c>
      <c r="O2551" s="57"/>
      <c r="P2551" s="145" t="str">
        <f t="shared" si="173"/>
        <v/>
      </c>
      <c r="Q2551" s="52">
        <f t="shared" si="171"/>
        <v>49</v>
      </c>
      <c r="R2551" s="8">
        <f t="shared" si="172"/>
        <v>2027</v>
      </c>
    </row>
    <row r="2552" spans="1:18" hidden="1" x14ac:dyDescent="0.25">
      <c r="A2552" s="224"/>
      <c r="B2552" s="96">
        <v>46729</v>
      </c>
      <c r="C2552" s="52" t="s">
        <v>46</v>
      </c>
      <c r="D2552" s="53" t="s">
        <v>38</v>
      </c>
      <c r="E2552" s="53"/>
      <c r="F2552" s="54"/>
      <c r="G2552" s="53"/>
      <c r="H2552" s="53">
        <v>0</v>
      </c>
      <c r="I2552" s="53">
        <v>0</v>
      </c>
      <c r="J2552" s="53">
        <v>0</v>
      </c>
      <c r="K2552" s="55"/>
      <c r="L2552" s="55">
        <f t="shared" si="174"/>
        <v>0</v>
      </c>
      <c r="M2552" s="55">
        <v>0</v>
      </c>
      <c r="N2552" s="101">
        <f t="shared" si="175"/>
        <v>0</v>
      </c>
      <c r="O2552" s="57"/>
      <c r="P2552" s="145" t="str">
        <f t="shared" si="173"/>
        <v/>
      </c>
      <c r="Q2552" s="52">
        <f t="shared" si="171"/>
        <v>49</v>
      </c>
      <c r="R2552" s="8">
        <f t="shared" si="172"/>
        <v>2027</v>
      </c>
    </row>
    <row r="2553" spans="1:18" hidden="1" x14ac:dyDescent="0.25">
      <c r="A2553" s="224"/>
      <c r="B2553" s="96">
        <v>46730</v>
      </c>
      <c r="C2553" s="52" t="s">
        <v>50</v>
      </c>
      <c r="D2553" s="53" t="s">
        <v>38</v>
      </c>
      <c r="E2553" s="53"/>
      <c r="F2553" s="54"/>
      <c r="G2553" s="53"/>
      <c r="H2553" s="53">
        <v>0</v>
      </c>
      <c r="I2553" s="53">
        <v>0</v>
      </c>
      <c r="J2553" s="53">
        <v>0</v>
      </c>
      <c r="K2553" s="55"/>
      <c r="L2553" s="55">
        <f t="shared" si="174"/>
        <v>0</v>
      </c>
      <c r="M2553" s="55">
        <v>0</v>
      </c>
      <c r="N2553" s="101">
        <f t="shared" si="175"/>
        <v>0</v>
      </c>
      <c r="O2553" s="57"/>
      <c r="P2553" s="145" t="str">
        <f t="shared" si="173"/>
        <v/>
      </c>
      <c r="Q2553" s="52">
        <f t="shared" si="171"/>
        <v>49</v>
      </c>
      <c r="R2553" s="8">
        <f t="shared" si="172"/>
        <v>2027</v>
      </c>
    </row>
    <row r="2554" spans="1:18" hidden="1" x14ac:dyDescent="0.25">
      <c r="A2554" s="224"/>
      <c r="B2554" s="96">
        <v>46731</v>
      </c>
      <c r="C2554" s="52" t="s">
        <v>53</v>
      </c>
      <c r="D2554" s="53" t="s">
        <v>38</v>
      </c>
      <c r="E2554" s="53"/>
      <c r="F2554" s="54"/>
      <c r="G2554" s="53"/>
      <c r="H2554" s="53">
        <v>0</v>
      </c>
      <c r="I2554" s="53">
        <v>0</v>
      </c>
      <c r="J2554" s="53">
        <v>0</v>
      </c>
      <c r="K2554" s="55"/>
      <c r="L2554" s="55">
        <f t="shared" si="174"/>
        <v>0</v>
      </c>
      <c r="M2554" s="55">
        <v>0</v>
      </c>
      <c r="N2554" s="101">
        <f t="shared" si="175"/>
        <v>0</v>
      </c>
      <c r="O2554" s="57"/>
      <c r="P2554" s="145" t="str">
        <f t="shared" si="173"/>
        <v/>
      </c>
      <c r="Q2554" s="52">
        <f t="shared" si="171"/>
        <v>49</v>
      </c>
      <c r="R2554" s="8">
        <f t="shared" si="172"/>
        <v>2027</v>
      </c>
    </row>
    <row r="2555" spans="1:18" hidden="1" x14ac:dyDescent="0.25">
      <c r="A2555" s="224"/>
      <c r="B2555" s="97">
        <v>46732</v>
      </c>
      <c r="C2555" s="58" t="s">
        <v>57</v>
      </c>
      <c r="D2555" s="60" t="s">
        <v>38</v>
      </c>
      <c r="E2555" s="60"/>
      <c r="F2555" s="61"/>
      <c r="G2555" s="60"/>
      <c r="H2555" s="60">
        <v>0</v>
      </c>
      <c r="I2555" s="60">
        <v>0</v>
      </c>
      <c r="J2555" s="60">
        <v>0</v>
      </c>
      <c r="K2555" s="62"/>
      <c r="L2555" s="62">
        <f t="shared" si="174"/>
        <v>0</v>
      </c>
      <c r="M2555" s="62">
        <v>0</v>
      </c>
      <c r="N2555" s="102">
        <f t="shared" si="175"/>
        <v>0</v>
      </c>
      <c r="O2555" s="64"/>
      <c r="P2555" s="145" t="str">
        <f t="shared" si="173"/>
        <v/>
      </c>
      <c r="Q2555" s="52">
        <f t="shared" si="171"/>
        <v>49</v>
      </c>
      <c r="R2555" s="8">
        <f t="shared" si="172"/>
        <v>2027</v>
      </c>
    </row>
    <row r="2556" spans="1:18" ht="15.75" hidden="1" thickBot="1" x14ac:dyDescent="0.3">
      <c r="A2556" s="225"/>
      <c r="B2556" s="98">
        <v>46733</v>
      </c>
      <c r="C2556" s="66" t="s">
        <v>59</v>
      </c>
      <c r="D2556" s="67" t="s">
        <v>38</v>
      </c>
      <c r="E2556" s="67"/>
      <c r="F2556" s="68"/>
      <c r="G2556" s="67"/>
      <c r="H2556" s="67">
        <v>0</v>
      </c>
      <c r="I2556" s="67">
        <v>0</v>
      </c>
      <c r="J2556" s="67">
        <v>0</v>
      </c>
      <c r="K2556" s="69"/>
      <c r="L2556" s="69">
        <f t="shared" si="174"/>
        <v>0</v>
      </c>
      <c r="M2556" s="69">
        <v>0</v>
      </c>
      <c r="N2556" s="103">
        <f t="shared" si="175"/>
        <v>0</v>
      </c>
      <c r="O2556" s="71"/>
      <c r="P2556" s="145" t="str">
        <f t="shared" si="173"/>
        <v/>
      </c>
      <c r="Q2556" s="52">
        <f t="shared" si="171"/>
        <v>49</v>
      </c>
      <c r="R2556" s="8">
        <f t="shared" si="172"/>
        <v>2027</v>
      </c>
    </row>
    <row r="2557" spans="1:18" hidden="1" x14ac:dyDescent="0.25">
      <c r="A2557" s="223">
        <f>_xlfn.ISOWEEKNUM(B2557)</f>
        <v>50</v>
      </c>
      <c r="B2557" s="96">
        <v>46734</v>
      </c>
      <c r="C2557" s="72" t="s">
        <v>37</v>
      </c>
      <c r="D2557" s="41" t="s">
        <v>38</v>
      </c>
      <c r="E2557" s="41"/>
      <c r="F2557" s="43"/>
      <c r="G2557" s="41"/>
      <c r="H2557" s="41">
        <v>0</v>
      </c>
      <c r="I2557" s="41">
        <v>0</v>
      </c>
      <c r="J2557" s="41">
        <v>0</v>
      </c>
      <c r="K2557" s="73"/>
      <c r="L2557" s="73">
        <f t="shared" si="174"/>
        <v>0</v>
      </c>
      <c r="M2557" s="73">
        <v>0</v>
      </c>
      <c r="N2557" s="105">
        <f t="shared" si="175"/>
        <v>0</v>
      </c>
      <c r="O2557" s="46"/>
      <c r="P2557" s="145" t="str">
        <f t="shared" si="173"/>
        <v/>
      </c>
      <c r="Q2557" s="52">
        <f t="shared" si="171"/>
        <v>50</v>
      </c>
      <c r="R2557" s="8">
        <f t="shared" si="172"/>
        <v>2027</v>
      </c>
    </row>
    <row r="2558" spans="1:18" hidden="1" x14ac:dyDescent="0.25">
      <c r="A2558" s="224"/>
      <c r="B2558" s="96">
        <v>46735</v>
      </c>
      <c r="C2558" s="52" t="s">
        <v>42</v>
      </c>
      <c r="D2558" s="53" t="s">
        <v>38</v>
      </c>
      <c r="E2558" s="53"/>
      <c r="F2558" s="54"/>
      <c r="G2558" s="53"/>
      <c r="H2558" s="53">
        <v>0</v>
      </c>
      <c r="I2558" s="53">
        <v>0</v>
      </c>
      <c r="J2558" s="53">
        <v>0</v>
      </c>
      <c r="K2558" s="55"/>
      <c r="L2558" s="55">
        <f t="shared" si="174"/>
        <v>0</v>
      </c>
      <c r="M2558" s="55">
        <v>0</v>
      </c>
      <c r="N2558" s="101">
        <f t="shared" si="175"/>
        <v>0</v>
      </c>
      <c r="O2558" s="57"/>
      <c r="P2558" s="145" t="str">
        <f t="shared" si="173"/>
        <v/>
      </c>
      <c r="Q2558" s="52">
        <f t="shared" si="171"/>
        <v>50</v>
      </c>
      <c r="R2558" s="8">
        <f t="shared" si="172"/>
        <v>2027</v>
      </c>
    </row>
    <row r="2559" spans="1:18" hidden="1" x14ac:dyDescent="0.25">
      <c r="A2559" s="224"/>
      <c r="B2559" s="96">
        <v>46736</v>
      </c>
      <c r="C2559" s="52" t="s">
        <v>46</v>
      </c>
      <c r="D2559" s="53" t="s">
        <v>38</v>
      </c>
      <c r="E2559" s="53"/>
      <c r="F2559" s="54"/>
      <c r="G2559" s="53"/>
      <c r="H2559" s="53">
        <v>0</v>
      </c>
      <c r="I2559" s="53">
        <v>0</v>
      </c>
      <c r="J2559" s="53">
        <v>0</v>
      </c>
      <c r="K2559" s="55"/>
      <c r="L2559" s="55">
        <f t="shared" si="174"/>
        <v>0</v>
      </c>
      <c r="M2559" s="55">
        <v>0</v>
      </c>
      <c r="N2559" s="101">
        <f t="shared" si="175"/>
        <v>0</v>
      </c>
      <c r="O2559" s="57"/>
      <c r="P2559" s="145" t="str">
        <f t="shared" si="173"/>
        <v/>
      </c>
      <c r="Q2559" s="52">
        <f t="shared" si="171"/>
        <v>50</v>
      </c>
      <c r="R2559" s="8">
        <f t="shared" si="172"/>
        <v>2027</v>
      </c>
    </row>
    <row r="2560" spans="1:18" hidden="1" x14ac:dyDescent="0.25">
      <c r="A2560" s="224"/>
      <c r="B2560" s="96">
        <v>46737</v>
      </c>
      <c r="C2560" s="52" t="s">
        <v>50</v>
      </c>
      <c r="D2560" s="53" t="s">
        <v>38</v>
      </c>
      <c r="E2560" s="53"/>
      <c r="F2560" s="54"/>
      <c r="G2560" s="53"/>
      <c r="H2560" s="53">
        <v>0</v>
      </c>
      <c r="I2560" s="53">
        <v>0</v>
      </c>
      <c r="J2560" s="53">
        <v>0</v>
      </c>
      <c r="K2560" s="55"/>
      <c r="L2560" s="55">
        <f t="shared" si="174"/>
        <v>0</v>
      </c>
      <c r="M2560" s="55">
        <v>0</v>
      </c>
      <c r="N2560" s="101">
        <f t="shared" si="175"/>
        <v>0</v>
      </c>
      <c r="O2560" s="57"/>
      <c r="P2560" s="145" t="str">
        <f t="shared" si="173"/>
        <v/>
      </c>
      <c r="Q2560" s="52">
        <f t="shared" si="171"/>
        <v>50</v>
      </c>
      <c r="R2560" s="8">
        <f t="shared" si="172"/>
        <v>2027</v>
      </c>
    </row>
    <row r="2561" spans="1:18" hidden="1" x14ac:dyDescent="0.25">
      <c r="A2561" s="224"/>
      <c r="B2561" s="96">
        <v>46738</v>
      </c>
      <c r="C2561" s="52" t="s">
        <v>53</v>
      </c>
      <c r="D2561" s="53" t="s">
        <v>38</v>
      </c>
      <c r="E2561" s="53"/>
      <c r="F2561" s="54"/>
      <c r="G2561" s="53"/>
      <c r="H2561" s="53">
        <v>0</v>
      </c>
      <c r="I2561" s="53">
        <v>0</v>
      </c>
      <c r="J2561" s="53">
        <v>0</v>
      </c>
      <c r="K2561" s="55"/>
      <c r="L2561" s="55">
        <f t="shared" si="174"/>
        <v>0</v>
      </c>
      <c r="M2561" s="55">
        <v>0</v>
      </c>
      <c r="N2561" s="101">
        <f t="shared" si="175"/>
        <v>0</v>
      </c>
      <c r="O2561" s="57"/>
      <c r="P2561" s="145" t="str">
        <f t="shared" si="173"/>
        <v/>
      </c>
      <c r="Q2561" s="52">
        <f t="shared" si="171"/>
        <v>50</v>
      </c>
      <c r="R2561" s="8">
        <f t="shared" si="172"/>
        <v>2027</v>
      </c>
    </row>
    <row r="2562" spans="1:18" hidden="1" x14ac:dyDescent="0.25">
      <c r="A2562" s="224"/>
      <c r="B2562" s="97">
        <v>46739</v>
      </c>
      <c r="C2562" s="58" t="s">
        <v>57</v>
      </c>
      <c r="D2562" s="60" t="s">
        <v>38</v>
      </c>
      <c r="E2562" s="60"/>
      <c r="F2562" s="61"/>
      <c r="G2562" s="60"/>
      <c r="H2562" s="60">
        <v>0</v>
      </c>
      <c r="I2562" s="60">
        <v>0</v>
      </c>
      <c r="J2562" s="60">
        <v>0</v>
      </c>
      <c r="K2562" s="62"/>
      <c r="L2562" s="62">
        <f t="shared" si="174"/>
        <v>0</v>
      </c>
      <c r="M2562" s="62">
        <v>0</v>
      </c>
      <c r="N2562" s="102">
        <f t="shared" si="175"/>
        <v>0</v>
      </c>
      <c r="O2562" s="64"/>
      <c r="P2562" s="145" t="str">
        <f t="shared" si="173"/>
        <v/>
      </c>
      <c r="Q2562" s="52">
        <f t="shared" si="171"/>
        <v>50</v>
      </c>
      <c r="R2562" s="8">
        <f t="shared" si="172"/>
        <v>2027</v>
      </c>
    </row>
    <row r="2563" spans="1:18" ht="15.75" hidden="1" thickBot="1" x14ac:dyDescent="0.3">
      <c r="A2563" s="225"/>
      <c r="B2563" s="98">
        <v>46740</v>
      </c>
      <c r="C2563" s="66" t="s">
        <v>59</v>
      </c>
      <c r="D2563" s="67" t="s">
        <v>38</v>
      </c>
      <c r="E2563" s="67"/>
      <c r="F2563" s="68"/>
      <c r="G2563" s="67"/>
      <c r="H2563" s="67">
        <v>0</v>
      </c>
      <c r="I2563" s="67">
        <v>0</v>
      </c>
      <c r="J2563" s="67">
        <v>0</v>
      </c>
      <c r="K2563" s="69"/>
      <c r="L2563" s="69">
        <f t="shared" si="174"/>
        <v>0</v>
      </c>
      <c r="M2563" s="69">
        <v>0</v>
      </c>
      <c r="N2563" s="103">
        <f t="shared" si="175"/>
        <v>0</v>
      </c>
      <c r="O2563" s="71"/>
      <c r="P2563" s="145" t="str">
        <f t="shared" si="173"/>
        <v/>
      </c>
      <c r="Q2563" s="52">
        <f t="shared" si="171"/>
        <v>50</v>
      </c>
      <c r="R2563" s="8">
        <f t="shared" si="172"/>
        <v>2027</v>
      </c>
    </row>
    <row r="2564" spans="1:18" hidden="1" x14ac:dyDescent="0.25">
      <c r="A2564" s="223">
        <f>_xlfn.ISOWEEKNUM(B2564)</f>
        <v>51</v>
      </c>
      <c r="B2564" s="96">
        <v>46741</v>
      </c>
      <c r="C2564" s="72" t="s">
        <v>37</v>
      </c>
      <c r="D2564" s="41" t="s">
        <v>38</v>
      </c>
      <c r="E2564" s="41"/>
      <c r="F2564" s="43"/>
      <c r="G2564" s="41"/>
      <c r="H2564" s="41">
        <v>0</v>
      </c>
      <c r="I2564" s="41">
        <v>0</v>
      </c>
      <c r="J2564" s="41">
        <v>0</v>
      </c>
      <c r="K2564" s="73"/>
      <c r="L2564" s="73">
        <f t="shared" si="174"/>
        <v>0</v>
      </c>
      <c r="M2564" s="73">
        <v>0</v>
      </c>
      <c r="N2564" s="105">
        <f t="shared" si="175"/>
        <v>0</v>
      </c>
      <c r="O2564" s="46"/>
      <c r="P2564" s="145" t="str">
        <f t="shared" si="173"/>
        <v/>
      </c>
      <c r="Q2564" s="52">
        <f t="shared" si="171"/>
        <v>51</v>
      </c>
      <c r="R2564" s="8">
        <f t="shared" si="172"/>
        <v>2027</v>
      </c>
    </row>
    <row r="2565" spans="1:18" hidden="1" x14ac:dyDescent="0.25">
      <c r="A2565" s="224"/>
      <c r="B2565" s="96">
        <v>46742</v>
      </c>
      <c r="C2565" s="52" t="s">
        <v>42</v>
      </c>
      <c r="D2565" s="53" t="s">
        <v>38</v>
      </c>
      <c r="E2565" s="53"/>
      <c r="F2565" s="54"/>
      <c r="G2565" s="53"/>
      <c r="H2565" s="53">
        <v>0</v>
      </c>
      <c r="I2565" s="53">
        <v>0</v>
      </c>
      <c r="J2565" s="53">
        <v>0</v>
      </c>
      <c r="K2565" s="55"/>
      <c r="L2565" s="55">
        <f t="shared" si="174"/>
        <v>0</v>
      </c>
      <c r="M2565" s="55">
        <v>0</v>
      </c>
      <c r="N2565" s="101">
        <f t="shared" si="175"/>
        <v>0</v>
      </c>
      <c r="O2565" s="57"/>
      <c r="P2565" s="145" t="str">
        <f t="shared" si="173"/>
        <v/>
      </c>
      <c r="Q2565" s="52">
        <f t="shared" si="171"/>
        <v>51</v>
      </c>
      <c r="R2565" s="8">
        <f t="shared" si="172"/>
        <v>2027</v>
      </c>
    </row>
    <row r="2566" spans="1:18" hidden="1" x14ac:dyDescent="0.25">
      <c r="A2566" s="224"/>
      <c r="B2566" s="96">
        <v>46743</v>
      </c>
      <c r="C2566" s="52" t="s">
        <v>46</v>
      </c>
      <c r="D2566" s="53" t="s">
        <v>38</v>
      </c>
      <c r="E2566" s="53"/>
      <c r="F2566" s="54"/>
      <c r="G2566" s="53"/>
      <c r="H2566" s="53">
        <v>0</v>
      </c>
      <c r="I2566" s="53">
        <v>0</v>
      </c>
      <c r="J2566" s="53">
        <v>0</v>
      </c>
      <c r="K2566" s="55"/>
      <c r="L2566" s="55">
        <f t="shared" si="174"/>
        <v>0</v>
      </c>
      <c r="M2566" s="55">
        <v>0</v>
      </c>
      <c r="N2566" s="101">
        <f t="shared" si="175"/>
        <v>0</v>
      </c>
      <c r="O2566" s="57"/>
      <c r="P2566" s="145" t="str">
        <f t="shared" si="173"/>
        <v/>
      </c>
      <c r="Q2566" s="52">
        <f t="shared" si="171"/>
        <v>51</v>
      </c>
      <c r="R2566" s="8">
        <f t="shared" si="172"/>
        <v>2027</v>
      </c>
    </row>
    <row r="2567" spans="1:18" hidden="1" x14ac:dyDescent="0.25">
      <c r="A2567" s="224"/>
      <c r="B2567" s="96">
        <v>46744</v>
      </c>
      <c r="C2567" s="52" t="s">
        <v>50</v>
      </c>
      <c r="D2567" s="53" t="s">
        <v>38</v>
      </c>
      <c r="E2567" s="53"/>
      <c r="F2567" s="54"/>
      <c r="G2567" s="53"/>
      <c r="H2567" s="53">
        <v>0</v>
      </c>
      <c r="I2567" s="53">
        <v>0</v>
      </c>
      <c r="J2567" s="53">
        <v>0</v>
      </c>
      <c r="K2567" s="55"/>
      <c r="L2567" s="55">
        <f t="shared" si="174"/>
        <v>0</v>
      </c>
      <c r="M2567" s="55">
        <v>0</v>
      </c>
      <c r="N2567" s="101">
        <f t="shared" si="175"/>
        <v>0</v>
      </c>
      <c r="O2567" s="57"/>
      <c r="P2567" s="145" t="str">
        <f t="shared" si="173"/>
        <v/>
      </c>
      <c r="Q2567" s="52">
        <f t="shared" si="171"/>
        <v>51</v>
      </c>
      <c r="R2567" s="8">
        <f t="shared" si="172"/>
        <v>2027</v>
      </c>
    </row>
    <row r="2568" spans="1:18" hidden="1" x14ac:dyDescent="0.25">
      <c r="A2568" s="224"/>
      <c r="B2568" s="96">
        <v>46745</v>
      </c>
      <c r="C2568" s="52" t="s">
        <v>53</v>
      </c>
      <c r="D2568" s="53" t="s">
        <v>38</v>
      </c>
      <c r="E2568" s="53"/>
      <c r="F2568" s="54"/>
      <c r="G2568" s="53"/>
      <c r="H2568" s="53">
        <v>0</v>
      </c>
      <c r="I2568" s="53">
        <v>0</v>
      </c>
      <c r="J2568" s="53">
        <v>0</v>
      </c>
      <c r="K2568" s="55"/>
      <c r="L2568" s="55">
        <f t="shared" si="174"/>
        <v>0</v>
      </c>
      <c r="M2568" s="55">
        <v>0</v>
      </c>
      <c r="N2568" s="101">
        <f t="shared" si="175"/>
        <v>0</v>
      </c>
      <c r="O2568" s="57"/>
      <c r="P2568" s="145" t="str">
        <f t="shared" si="173"/>
        <v/>
      </c>
      <c r="Q2568" s="52">
        <f t="shared" si="171"/>
        <v>51</v>
      </c>
      <c r="R2568" s="8">
        <f t="shared" si="172"/>
        <v>2027</v>
      </c>
    </row>
    <row r="2569" spans="1:18" hidden="1" x14ac:dyDescent="0.25">
      <c r="A2569" s="224"/>
      <c r="B2569" s="97">
        <v>46746</v>
      </c>
      <c r="C2569" s="58" t="s">
        <v>57</v>
      </c>
      <c r="D2569" s="60" t="s">
        <v>38</v>
      </c>
      <c r="E2569" s="60"/>
      <c r="F2569" s="61"/>
      <c r="G2569" s="60"/>
      <c r="H2569" s="60">
        <v>0</v>
      </c>
      <c r="I2569" s="60">
        <v>0</v>
      </c>
      <c r="J2569" s="60">
        <v>0</v>
      </c>
      <c r="K2569" s="62"/>
      <c r="L2569" s="62">
        <f t="shared" si="174"/>
        <v>0</v>
      </c>
      <c r="M2569" s="62">
        <v>0</v>
      </c>
      <c r="N2569" s="102">
        <f t="shared" si="175"/>
        <v>0</v>
      </c>
      <c r="O2569" s="64"/>
      <c r="P2569" s="145" t="str">
        <f t="shared" si="173"/>
        <v/>
      </c>
      <c r="Q2569" s="52">
        <f t="shared" ref="Q2569:Q2605" si="176">_xlfn.ISOWEEKNUM(B2569)</f>
        <v>51</v>
      </c>
      <c r="R2569" s="8">
        <f t="shared" ref="R2569:R2605" si="177">YEAR(B2569)</f>
        <v>2027</v>
      </c>
    </row>
    <row r="2570" spans="1:18" ht="15.75" hidden="1" thickBot="1" x14ac:dyDescent="0.3">
      <c r="A2570" s="225"/>
      <c r="B2570" s="98">
        <v>46747</v>
      </c>
      <c r="C2570" s="66" t="s">
        <v>59</v>
      </c>
      <c r="D2570" s="67" t="s">
        <v>38</v>
      </c>
      <c r="E2570" s="67"/>
      <c r="F2570" s="68"/>
      <c r="G2570" s="67"/>
      <c r="H2570" s="67">
        <v>0</v>
      </c>
      <c r="I2570" s="67">
        <v>0</v>
      </c>
      <c r="J2570" s="67">
        <v>0</v>
      </c>
      <c r="K2570" s="69"/>
      <c r="L2570" s="69">
        <f t="shared" si="174"/>
        <v>0</v>
      </c>
      <c r="M2570" s="69">
        <v>0</v>
      </c>
      <c r="N2570" s="103">
        <f t="shared" si="175"/>
        <v>0</v>
      </c>
      <c r="O2570" s="71"/>
      <c r="P2570" s="145" t="str">
        <f t="shared" si="173"/>
        <v/>
      </c>
      <c r="Q2570" s="52">
        <f t="shared" si="176"/>
        <v>51</v>
      </c>
      <c r="R2570" s="8">
        <f t="shared" si="177"/>
        <v>2027</v>
      </c>
    </row>
    <row r="2571" spans="1:18" hidden="1" x14ac:dyDescent="0.25">
      <c r="A2571" s="223">
        <f>_xlfn.ISOWEEKNUM(B2571)</f>
        <v>52</v>
      </c>
      <c r="B2571" s="96">
        <v>46748</v>
      </c>
      <c r="C2571" s="72" t="s">
        <v>37</v>
      </c>
      <c r="D2571" s="41" t="s">
        <v>38</v>
      </c>
      <c r="E2571" s="41"/>
      <c r="F2571" s="43"/>
      <c r="G2571" s="41"/>
      <c r="H2571" s="41">
        <v>0</v>
      </c>
      <c r="I2571" s="41">
        <v>0</v>
      </c>
      <c r="J2571" s="41">
        <v>0</v>
      </c>
      <c r="K2571" s="73"/>
      <c r="L2571" s="73">
        <f t="shared" si="174"/>
        <v>0</v>
      </c>
      <c r="M2571" s="73">
        <v>0</v>
      </c>
      <c r="N2571" s="105">
        <f t="shared" si="175"/>
        <v>0</v>
      </c>
      <c r="O2571" s="46"/>
      <c r="P2571" s="145" t="str">
        <f t="shared" si="173"/>
        <v/>
      </c>
      <c r="Q2571" s="52">
        <f t="shared" si="176"/>
        <v>52</v>
      </c>
      <c r="R2571" s="8">
        <f t="shared" si="177"/>
        <v>2027</v>
      </c>
    </row>
    <row r="2572" spans="1:18" hidden="1" x14ac:dyDescent="0.25">
      <c r="A2572" s="224"/>
      <c r="B2572" s="96">
        <v>46749</v>
      </c>
      <c r="C2572" s="52" t="s">
        <v>42</v>
      </c>
      <c r="D2572" s="53" t="s">
        <v>38</v>
      </c>
      <c r="E2572" s="53"/>
      <c r="F2572" s="54"/>
      <c r="G2572" s="53"/>
      <c r="H2572" s="53">
        <v>0</v>
      </c>
      <c r="I2572" s="53">
        <v>0</v>
      </c>
      <c r="J2572" s="53">
        <v>0</v>
      </c>
      <c r="K2572" s="55"/>
      <c r="L2572" s="55">
        <f t="shared" si="174"/>
        <v>0</v>
      </c>
      <c r="M2572" s="55">
        <v>0</v>
      </c>
      <c r="N2572" s="101">
        <f t="shared" si="175"/>
        <v>0</v>
      </c>
      <c r="O2572" s="57"/>
      <c r="P2572" s="145" t="str">
        <f t="shared" si="173"/>
        <v/>
      </c>
      <c r="Q2572" s="52">
        <f t="shared" si="176"/>
        <v>52</v>
      </c>
      <c r="R2572" s="8">
        <f t="shared" si="177"/>
        <v>2027</v>
      </c>
    </row>
    <row r="2573" spans="1:18" hidden="1" x14ac:dyDescent="0.25">
      <c r="A2573" s="224"/>
      <c r="B2573" s="96">
        <v>46750</v>
      </c>
      <c r="C2573" s="52" t="s">
        <v>46</v>
      </c>
      <c r="D2573" s="53" t="s">
        <v>38</v>
      </c>
      <c r="E2573" s="53"/>
      <c r="F2573" s="54"/>
      <c r="G2573" s="53"/>
      <c r="H2573" s="53">
        <v>0</v>
      </c>
      <c r="I2573" s="53">
        <v>0</v>
      </c>
      <c r="J2573" s="53">
        <v>0</v>
      </c>
      <c r="K2573" s="55"/>
      <c r="L2573" s="55">
        <f t="shared" si="174"/>
        <v>0</v>
      </c>
      <c r="M2573" s="55">
        <v>0</v>
      </c>
      <c r="N2573" s="101">
        <f t="shared" si="175"/>
        <v>0</v>
      </c>
      <c r="O2573" s="57"/>
      <c r="P2573" s="145" t="str">
        <f t="shared" si="173"/>
        <v/>
      </c>
      <c r="Q2573" s="52">
        <f t="shared" si="176"/>
        <v>52</v>
      </c>
      <c r="R2573" s="8">
        <f t="shared" si="177"/>
        <v>2027</v>
      </c>
    </row>
    <row r="2574" spans="1:18" hidden="1" x14ac:dyDescent="0.25">
      <c r="A2574" s="224"/>
      <c r="B2574" s="96">
        <v>46751</v>
      </c>
      <c r="C2574" s="52" t="s">
        <v>50</v>
      </c>
      <c r="D2574" s="53" t="s">
        <v>38</v>
      </c>
      <c r="E2574" s="53"/>
      <c r="F2574" s="54"/>
      <c r="G2574" s="53"/>
      <c r="H2574" s="53">
        <v>0</v>
      </c>
      <c r="I2574" s="53">
        <v>0</v>
      </c>
      <c r="J2574" s="53">
        <v>0</v>
      </c>
      <c r="K2574" s="55"/>
      <c r="L2574" s="55">
        <f t="shared" si="174"/>
        <v>0</v>
      </c>
      <c r="M2574" s="55">
        <v>0</v>
      </c>
      <c r="N2574" s="101">
        <f t="shared" si="175"/>
        <v>0</v>
      </c>
      <c r="O2574" s="57"/>
      <c r="P2574" s="145" t="str">
        <f t="shared" si="173"/>
        <v/>
      </c>
      <c r="Q2574" s="52">
        <f t="shared" si="176"/>
        <v>52</v>
      </c>
      <c r="R2574" s="8">
        <f t="shared" si="177"/>
        <v>2027</v>
      </c>
    </row>
    <row r="2575" spans="1:18" hidden="1" x14ac:dyDescent="0.25">
      <c r="A2575" s="224"/>
      <c r="B2575" s="96">
        <v>46752</v>
      </c>
      <c r="C2575" s="52" t="s">
        <v>53</v>
      </c>
      <c r="D2575" s="53" t="s">
        <v>38</v>
      </c>
      <c r="E2575" s="53"/>
      <c r="F2575" s="54"/>
      <c r="G2575" s="53"/>
      <c r="H2575" s="53">
        <v>0</v>
      </c>
      <c r="I2575" s="53">
        <v>0</v>
      </c>
      <c r="J2575" s="53">
        <v>0</v>
      </c>
      <c r="K2575" s="55"/>
      <c r="L2575" s="55">
        <f t="shared" si="174"/>
        <v>0</v>
      </c>
      <c r="M2575" s="55">
        <v>0</v>
      </c>
      <c r="N2575" s="101">
        <f t="shared" si="175"/>
        <v>0</v>
      </c>
      <c r="O2575" s="57"/>
      <c r="P2575" s="145" t="str">
        <f t="shared" si="173"/>
        <v/>
      </c>
      <c r="Q2575" s="52">
        <f t="shared" si="176"/>
        <v>52</v>
      </c>
      <c r="R2575" s="8">
        <f t="shared" si="177"/>
        <v>2027</v>
      </c>
    </row>
    <row r="2576" spans="1:18" hidden="1" x14ac:dyDescent="0.25">
      <c r="A2576" s="224"/>
      <c r="B2576" s="97">
        <v>46753</v>
      </c>
      <c r="C2576" s="58" t="s">
        <v>57</v>
      </c>
      <c r="D2576" s="60" t="s">
        <v>38</v>
      </c>
      <c r="E2576" s="60"/>
      <c r="F2576" s="61"/>
      <c r="G2576" s="60"/>
      <c r="H2576" s="60">
        <v>0</v>
      </c>
      <c r="I2576" s="60">
        <v>0</v>
      </c>
      <c r="J2576" s="60">
        <v>0</v>
      </c>
      <c r="K2576" s="62"/>
      <c r="L2576" s="62">
        <f t="shared" si="174"/>
        <v>0</v>
      </c>
      <c r="M2576" s="62">
        <v>0</v>
      </c>
      <c r="N2576" s="102">
        <f t="shared" si="175"/>
        <v>0</v>
      </c>
      <c r="O2576" s="64"/>
      <c r="P2576" s="145" t="str">
        <f t="shared" si="173"/>
        <v/>
      </c>
      <c r="Q2576" s="52">
        <f t="shared" si="176"/>
        <v>52</v>
      </c>
      <c r="R2576" s="8">
        <f t="shared" si="177"/>
        <v>2028</v>
      </c>
    </row>
    <row r="2577" spans="1:18" ht="15.75" hidden="1" thickBot="1" x14ac:dyDescent="0.3">
      <c r="A2577" s="225"/>
      <c r="B2577" s="98">
        <v>46754</v>
      </c>
      <c r="C2577" s="66" t="s">
        <v>59</v>
      </c>
      <c r="D2577" s="67" t="s">
        <v>38</v>
      </c>
      <c r="E2577" s="67"/>
      <c r="F2577" s="68"/>
      <c r="G2577" s="67"/>
      <c r="H2577" s="67">
        <v>0</v>
      </c>
      <c r="I2577" s="67">
        <v>0</v>
      </c>
      <c r="J2577" s="67">
        <v>0</v>
      </c>
      <c r="K2577" s="69"/>
      <c r="L2577" s="69">
        <f t="shared" si="174"/>
        <v>0</v>
      </c>
      <c r="M2577" s="69">
        <v>0</v>
      </c>
      <c r="N2577" s="103">
        <f t="shared" si="175"/>
        <v>0</v>
      </c>
      <c r="O2577" s="71"/>
      <c r="P2577" s="145" t="str">
        <f t="shared" si="173"/>
        <v/>
      </c>
      <c r="Q2577" s="52">
        <f t="shared" si="176"/>
        <v>52</v>
      </c>
      <c r="R2577" s="8">
        <f t="shared" si="177"/>
        <v>2028</v>
      </c>
    </row>
    <row r="2578" spans="1:18" hidden="1" x14ac:dyDescent="0.25">
      <c r="A2578" s="223">
        <f>_xlfn.ISOWEEKNUM(B2578)</f>
        <v>1</v>
      </c>
      <c r="B2578" s="96">
        <v>46755</v>
      </c>
      <c r="C2578" s="72" t="s">
        <v>37</v>
      </c>
      <c r="D2578" s="41" t="s">
        <v>38</v>
      </c>
      <c r="E2578" s="41"/>
      <c r="F2578" s="43"/>
      <c r="G2578" s="41"/>
      <c r="H2578" s="41">
        <v>0</v>
      </c>
      <c r="I2578" s="41">
        <v>0</v>
      </c>
      <c r="J2578" s="41">
        <v>0</v>
      </c>
      <c r="K2578" s="73"/>
      <c r="L2578" s="73">
        <f t="shared" si="174"/>
        <v>0</v>
      </c>
      <c r="M2578" s="73">
        <v>0</v>
      </c>
      <c r="N2578" s="105">
        <f t="shared" si="175"/>
        <v>0</v>
      </c>
      <c r="O2578" s="46"/>
      <c r="P2578" s="145" t="str">
        <f t="shared" si="173"/>
        <v/>
      </c>
      <c r="Q2578" s="52">
        <f t="shared" si="176"/>
        <v>1</v>
      </c>
      <c r="R2578" s="8">
        <f t="shared" si="177"/>
        <v>2028</v>
      </c>
    </row>
    <row r="2579" spans="1:18" hidden="1" x14ac:dyDescent="0.25">
      <c r="A2579" s="224"/>
      <c r="B2579" s="96">
        <v>46756</v>
      </c>
      <c r="C2579" s="52" t="s">
        <v>42</v>
      </c>
      <c r="D2579" s="53" t="s">
        <v>38</v>
      </c>
      <c r="E2579" s="53"/>
      <c r="F2579" s="54"/>
      <c r="G2579" s="53"/>
      <c r="H2579" s="53">
        <v>0</v>
      </c>
      <c r="I2579" s="53">
        <v>0</v>
      </c>
      <c r="J2579" s="53">
        <v>0</v>
      </c>
      <c r="K2579" s="55"/>
      <c r="L2579" s="55">
        <f t="shared" si="174"/>
        <v>0</v>
      </c>
      <c r="M2579" s="55">
        <v>0</v>
      </c>
      <c r="N2579" s="101">
        <f t="shared" si="175"/>
        <v>0</v>
      </c>
      <c r="O2579" s="57"/>
      <c r="P2579" s="145" t="str">
        <f t="shared" si="173"/>
        <v/>
      </c>
      <c r="Q2579" s="52">
        <f t="shared" si="176"/>
        <v>1</v>
      </c>
      <c r="R2579" s="8">
        <f t="shared" si="177"/>
        <v>2028</v>
      </c>
    </row>
    <row r="2580" spans="1:18" hidden="1" x14ac:dyDescent="0.25">
      <c r="A2580" s="224"/>
      <c r="B2580" s="96">
        <v>46757</v>
      </c>
      <c r="C2580" s="52" t="s">
        <v>46</v>
      </c>
      <c r="D2580" s="53" t="s">
        <v>38</v>
      </c>
      <c r="E2580" s="53"/>
      <c r="F2580" s="54"/>
      <c r="G2580" s="53"/>
      <c r="H2580" s="53">
        <v>0</v>
      </c>
      <c r="I2580" s="53">
        <v>0</v>
      </c>
      <c r="J2580" s="53">
        <v>0</v>
      </c>
      <c r="K2580" s="55"/>
      <c r="L2580" s="55">
        <f t="shared" si="174"/>
        <v>0</v>
      </c>
      <c r="M2580" s="55">
        <v>0</v>
      </c>
      <c r="N2580" s="101">
        <f t="shared" si="175"/>
        <v>0</v>
      </c>
      <c r="O2580" s="57"/>
      <c r="P2580" s="145" t="str">
        <f t="shared" si="173"/>
        <v/>
      </c>
      <c r="Q2580" s="52">
        <f t="shared" si="176"/>
        <v>1</v>
      </c>
      <c r="R2580" s="8">
        <f t="shared" si="177"/>
        <v>2028</v>
      </c>
    </row>
    <row r="2581" spans="1:18" hidden="1" x14ac:dyDescent="0.25">
      <c r="A2581" s="224"/>
      <c r="B2581" s="96">
        <v>46758</v>
      </c>
      <c r="C2581" s="52" t="s">
        <v>50</v>
      </c>
      <c r="D2581" s="53" t="s">
        <v>38</v>
      </c>
      <c r="E2581" s="53"/>
      <c r="F2581" s="54"/>
      <c r="G2581" s="53"/>
      <c r="H2581" s="53">
        <v>0</v>
      </c>
      <c r="I2581" s="53">
        <v>0</v>
      </c>
      <c r="J2581" s="53">
        <v>0</v>
      </c>
      <c r="K2581" s="55"/>
      <c r="L2581" s="55">
        <f t="shared" si="174"/>
        <v>0</v>
      </c>
      <c r="M2581" s="55">
        <v>0</v>
      </c>
      <c r="N2581" s="101">
        <f t="shared" si="175"/>
        <v>0</v>
      </c>
      <c r="O2581" s="57"/>
      <c r="P2581" s="145" t="str">
        <f t="shared" si="173"/>
        <v/>
      </c>
      <c r="Q2581" s="52">
        <f t="shared" si="176"/>
        <v>1</v>
      </c>
      <c r="R2581" s="8">
        <f t="shared" si="177"/>
        <v>2028</v>
      </c>
    </row>
    <row r="2582" spans="1:18" hidden="1" x14ac:dyDescent="0.25">
      <c r="A2582" s="224"/>
      <c r="B2582" s="96">
        <v>46759</v>
      </c>
      <c r="C2582" s="52" t="s">
        <v>53</v>
      </c>
      <c r="D2582" s="53" t="s">
        <v>38</v>
      </c>
      <c r="E2582" s="53"/>
      <c r="F2582" s="54"/>
      <c r="G2582" s="53"/>
      <c r="H2582" s="53">
        <v>0</v>
      </c>
      <c r="I2582" s="53">
        <v>0</v>
      </c>
      <c r="J2582" s="53">
        <v>0</v>
      </c>
      <c r="K2582" s="55"/>
      <c r="L2582" s="55">
        <f t="shared" si="174"/>
        <v>0</v>
      </c>
      <c r="M2582" s="55">
        <v>0</v>
      </c>
      <c r="N2582" s="101">
        <f t="shared" si="175"/>
        <v>0</v>
      </c>
      <c r="O2582" s="57"/>
      <c r="P2582" s="145" t="str">
        <f t="shared" si="173"/>
        <v/>
      </c>
      <c r="Q2582" s="52">
        <f t="shared" si="176"/>
        <v>1</v>
      </c>
      <c r="R2582" s="8">
        <f t="shared" si="177"/>
        <v>2028</v>
      </c>
    </row>
    <row r="2583" spans="1:18" hidden="1" x14ac:dyDescent="0.25">
      <c r="A2583" s="224"/>
      <c r="B2583" s="97">
        <v>46760</v>
      </c>
      <c r="C2583" s="58" t="s">
        <v>57</v>
      </c>
      <c r="D2583" s="60" t="s">
        <v>38</v>
      </c>
      <c r="E2583" s="60"/>
      <c r="F2583" s="61"/>
      <c r="G2583" s="60"/>
      <c r="H2583" s="60">
        <v>0</v>
      </c>
      <c r="I2583" s="60">
        <v>0</v>
      </c>
      <c r="J2583" s="60">
        <v>0</v>
      </c>
      <c r="K2583" s="62"/>
      <c r="L2583" s="62">
        <f t="shared" si="174"/>
        <v>0</v>
      </c>
      <c r="M2583" s="62">
        <v>0</v>
      </c>
      <c r="N2583" s="102">
        <f t="shared" si="175"/>
        <v>0</v>
      </c>
      <c r="O2583" s="64"/>
      <c r="P2583" s="145" t="str">
        <f t="shared" si="173"/>
        <v/>
      </c>
      <c r="Q2583" s="52">
        <f t="shared" si="176"/>
        <v>1</v>
      </c>
      <c r="R2583" s="8">
        <f t="shared" si="177"/>
        <v>2028</v>
      </c>
    </row>
    <row r="2584" spans="1:18" ht="15.75" hidden="1" thickBot="1" x14ac:dyDescent="0.3">
      <c r="A2584" s="225"/>
      <c r="B2584" s="98">
        <v>46761</v>
      </c>
      <c r="C2584" s="66" t="s">
        <v>59</v>
      </c>
      <c r="D2584" s="67" t="s">
        <v>38</v>
      </c>
      <c r="E2584" s="67"/>
      <c r="F2584" s="68"/>
      <c r="G2584" s="67"/>
      <c r="H2584" s="67">
        <v>0</v>
      </c>
      <c r="I2584" s="67">
        <v>0</v>
      </c>
      <c r="J2584" s="67">
        <v>0</v>
      </c>
      <c r="K2584" s="69"/>
      <c r="L2584" s="69">
        <f t="shared" si="174"/>
        <v>0</v>
      </c>
      <c r="M2584" s="69">
        <v>0</v>
      </c>
      <c r="N2584" s="103">
        <f t="shared" si="175"/>
        <v>0</v>
      </c>
      <c r="O2584" s="71"/>
      <c r="P2584" s="145" t="str">
        <f t="shared" si="173"/>
        <v/>
      </c>
      <c r="Q2584" s="52">
        <f t="shared" si="176"/>
        <v>1</v>
      </c>
      <c r="R2584" s="8">
        <f t="shared" si="177"/>
        <v>2028</v>
      </c>
    </row>
    <row r="2585" spans="1:18" hidden="1" x14ac:dyDescent="0.25">
      <c r="A2585" s="223">
        <f>_xlfn.ISOWEEKNUM(B2585)</f>
        <v>2</v>
      </c>
      <c r="B2585" s="96">
        <v>46762</v>
      </c>
      <c r="C2585" s="72" t="s">
        <v>37</v>
      </c>
      <c r="D2585" s="41" t="s">
        <v>38</v>
      </c>
      <c r="E2585" s="41"/>
      <c r="F2585" s="43"/>
      <c r="G2585" s="41"/>
      <c r="H2585" s="41">
        <v>0</v>
      </c>
      <c r="I2585" s="41">
        <v>0</v>
      </c>
      <c r="J2585" s="41">
        <v>0</v>
      </c>
      <c r="K2585" s="73"/>
      <c r="L2585" s="73">
        <f t="shared" si="174"/>
        <v>0</v>
      </c>
      <c r="M2585" s="73">
        <v>0</v>
      </c>
      <c r="N2585" s="105">
        <f t="shared" si="175"/>
        <v>0</v>
      </c>
      <c r="O2585" s="46"/>
      <c r="P2585" s="145" t="str">
        <f t="shared" si="173"/>
        <v/>
      </c>
      <c r="Q2585" s="52">
        <f t="shared" si="176"/>
        <v>2</v>
      </c>
      <c r="R2585" s="8">
        <f t="shared" si="177"/>
        <v>2028</v>
      </c>
    </row>
    <row r="2586" spans="1:18" hidden="1" x14ac:dyDescent="0.25">
      <c r="A2586" s="224"/>
      <c r="B2586" s="96">
        <v>46763</v>
      </c>
      <c r="C2586" s="52" t="s">
        <v>42</v>
      </c>
      <c r="D2586" s="53" t="s">
        <v>38</v>
      </c>
      <c r="E2586" s="53"/>
      <c r="F2586" s="54"/>
      <c r="G2586" s="53"/>
      <c r="H2586" s="53">
        <v>0</v>
      </c>
      <c r="I2586" s="53">
        <v>0</v>
      </c>
      <c r="J2586" s="53">
        <v>0</v>
      </c>
      <c r="K2586" s="55"/>
      <c r="L2586" s="55">
        <f t="shared" si="174"/>
        <v>0</v>
      </c>
      <c r="M2586" s="55">
        <v>0</v>
      </c>
      <c r="N2586" s="101">
        <f t="shared" si="175"/>
        <v>0</v>
      </c>
      <c r="O2586" s="57"/>
      <c r="P2586" s="145" t="str">
        <f t="shared" si="173"/>
        <v/>
      </c>
      <c r="Q2586" s="52">
        <f t="shared" si="176"/>
        <v>2</v>
      </c>
      <c r="R2586" s="8">
        <f t="shared" si="177"/>
        <v>2028</v>
      </c>
    </row>
    <row r="2587" spans="1:18" hidden="1" x14ac:dyDescent="0.25">
      <c r="A2587" s="224"/>
      <c r="B2587" s="96">
        <v>46764</v>
      </c>
      <c r="C2587" s="52" t="s">
        <v>46</v>
      </c>
      <c r="D2587" s="53" t="s">
        <v>38</v>
      </c>
      <c r="E2587" s="53"/>
      <c r="F2587" s="54"/>
      <c r="G2587" s="53"/>
      <c r="H2587" s="53">
        <v>0</v>
      </c>
      <c r="I2587" s="53">
        <v>0</v>
      </c>
      <c r="J2587" s="53">
        <v>0</v>
      </c>
      <c r="K2587" s="55"/>
      <c r="L2587" s="55">
        <f t="shared" si="174"/>
        <v>0</v>
      </c>
      <c r="M2587" s="55">
        <v>0</v>
      </c>
      <c r="N2587" s="101">
        <f t="shared" si="175"/>
        <v>0</v>
      </c>
      <c r="O2587" s="57"/>
      <c r="P2587" s="145" t="str">
        <f t="shared" si="173"/>
        <v/>
      </c>
      <c r="Q2587" s="52">
        <f t="shared" si="176"/>
        <v>2</v>
      </c>
      <c r="R2587" s="8">
        <f t="shared" si="177"/>
        <v>2028</v>
      </c>
    </row>
    <row r="2588" spans="1:18" hidden="1" x14ac:dyDescent="0.25">
      <c r="A2588" s="224"/>
      <c r="B2588" s="96">
        <v>46765</v>
      </c>
      <c r="C2588" s="52" t="s">
        <v>50</v>
      </c>
      <c r="D2588" s="53" t="s">
        <v>38</v>
      </c>
      <c r="E2588" s="53"/>
      <c r="F2588" s="54"/>
      <c r="G2588" s="53"/>
      <c r="H2588" s="53">
        <v>0</v>
      </c>
      <c r="I2588" s="53">
        <v>0</v>
      </c>
      <c r="J2588" s="53">
        <v>0</v>
      </c>
      <c r="K2588" s="55"/>
      <c r="L2588" s="55">
        <f t="shared" si="174"/>
        <v>0</v>
      </c>
      <c r="M2588" s="55">
        <v>0</v>
      </c>
      <c r="N2588" s="101">
        <f t="shared" si="175"/>
        <v>0</v>
      </c>
      <c r="O2588" s="57"/>
      <c r="P2588" s="145" t="str">
        <f t="shared" si="173"/>
        <v/>
      </c>
      <c r="Q2588" s="52">
        <f t="shared" si="176"/>
        <v>2</v>
      </c>
      <c r="R2588" s="8">
        <f t="shared" si="177"/>
        <v>2028</v>
      </c>
    </row>
    <row r="2589" spans="1:18" hidden="1" x14ac:dyDescent="0.25">
      <c r="A2589" s="224"/>
      <c r="B2589" s="96">
        <v>46766</v>
      </c>
      <c r="C2589" s="52" t="s">
        <v>53</v>
      </c>
      <c r="D2589" s="53" t="s">
        <v>38</v>
      </c>
      <c r="E2589" s="53"/>
      <c r="F2589" s="54"/>
      <c r="G2589" s="53"/>
      <c r="H2589" s="53">
        <v>0</v>
      </c>
      <c r="I2589" s="53">
        <v>0</v>
      </c>
      <c r="J2589" s="53">
        <v>0</v>
      </c>
      <c r="K2589" s="55"/>
      <c r="L2589" s="55">
        <f t="shared" si="174"/>
        <v>0</v>
      </c>
      <c r="M2589" s="55">
        <v>0</v>
      </c>
      <c r="N2589" s="101">
        <f t="shared" si="175"/>
        <v>0</v>
      </c>
      <c r="O2589" s="57"/>
      <c r="P2589" s="145" t="str">
        <f t="shared" si="173"/>
        <v/>
      </c>
      <c r="Q2589" s="52">
        <f t="shared" si="176"/>
        <v>2</v>
      </c>
      <c r="R2589" s="8">
        <f t="shared" si="177"/>
        <v>2028</v>
      </c>
    </row>
    <row r="2590" spans="1:18" hidden="1" x14ac:dyDescent="0.25">
      <c r="A2590" s="224"/>
      <c r="B2590" s="97">
        <v>46767</v>
      </c>
      <c r="C2590" s="58" t="s">
        <v>57</v>
      </c>
      <c r="D2590" s="60" t="s">
        <v>38</v>
      </c>
      <c r="E2590" s="60"/>
      <c r="F2590" s="61"/>
      <c r="G2590" s="60"/>
      <c r="H2590" s="60">
        <v>0</v>
      </c>
      <c r="I2590" s="60">
        <v>0</v>
      </c>
      <c r="J2590" s="60">
        <v>0</v>
      </c>
      <c r="K2590" s="62"/>
      <c r="L2590" s="62">
        <f t="shared" si="174"/>
        <v>0</v>
      </c>
      <c r="M2590" s="62">
        <v>0</v>
      </c>
      <c r="N2590" s="102">
        <f t="shared" si="175"/>
        <v>0</v>
      </c>
      <c r="O2590" s="64"/>
      <c r="P2590" s="145" t="str">
        <f t="shared" si="173"/>
        <v/>
      </c>
      <c r="Q2590" s="52">
        <f t="shared" si="176"/>
        <v>2</v>
      </c>
      <c r="R2590" s="8">
        <f t="shared" si="177"/>
        <v>2028</v>
      </c>
    </row>
    <row r="2591" spans="1:18" ht="15.75" hidden="1" thickBot="1" x14ac:dyDescent="0.3">
      <c r="A2591" s="225"/>
      <c r="B2591" s="98">
        <v>46768</v>
      </c>
      <c r="C2591" s="66" t="s">
        <v>59</v>
      </c>
      <c r="D2591" s="67" t="s">
        <v>38</v>
      </c>
      <c r="E2591" s="67"/>
      <c r="F2591" s="68"/>
      <c r="G2591" s="67"/>
      <c r="H2591" s="67">
        <v>0</v>
      </c>
      <c r="I2591" s="67">
        <v>0</v>
      </c>
      <c r="J2591" s="67">
        <v>0</v>
      </c>
      <c r="K2591" s="69"/>
      <c r="L2591" s="69">
        <f t="shared" si="174"/>
        <v>0</v>
      </c>
      <c r="M2591" s="69">
        <v>0</v>
      </c>
      <c r="N2591" s="103">
        <f t="shared" si="175"/>
        <v>0</v>
      </c>
      <c r="O2591" s="71"/>
      <c r="P2591" s="145" t="str">
        <f t="shared" si="173"/>
        <v/>
      </c>
      <c r="Q2591" s="52">
        <f t="shared" si="176"/>
        <v>2</v>
      </c>
      <c r="R2591" s="8">
        <f t="shared" si="177"/>
        <v>2028</v>
      </c>
    </row>
    <row r="2592" spans="1:18" hidden="1" x14ac:dyDescent="0.25">
      <c r="A2592" s="223">
        <f>_xlfn.ISOWEEKNUM(B2592)</f>
        <v>3</v>
      </c>
      <c r="B2592" s="96">
        <v>46769</v>
      </c>
      <c r="C2592" s="72" t="s">
        <v>37</v>
      </c>
      <c r="D2592" s="41" t="s">
        <v>38</v>
      </c>
      <c r="E2592" s="41"/>
      <c r="F2592" s="43"/>
      <c r="G2592" s="41"/>
      <c r="H2592" s="41">
        <v>0</v>
      </c>
      <c r="I2592" s="41">
        <v>0</v>
      </c>
      <c r="J2592" s="41">
        <v>0</v>
      </c>
      <c r="K2592" s="73"/>
      <c r="L2592" s="73">
        <f t="shared" si="174"/>
        <v>0</v>
      </c>
      <c r="M2592" s="73">
        <v>0</v>
      </c>
      <c r="N2592" s="105">
        <f t="shared" si="175"/>
        <v>0</v>
      </c>
      <c r="O2592" s="46"/>
      <c r="P2592" s="145" t="str">
        <f t="shared" si="173"/>
        <v/>
      </c>
      <c r="Q2592" s="52">
        <f t="shared" si="176"/>
        <v>3</v>
      </c>
      <c r="R2592" s="8">
        <f t="shared" si="177"/>
        <v>2028</v>
      </c>
    </row>
    <row r="2593" spans="1:18" hidden="1" x14ac:dyDescent="0.25">
      <c r="A2593" s="224"/>
      <c r="B2593" s="96">
        <v>46770</v>
      </c>
      <c r="C2593" s="52" t="s">
        <v>42</v>
      </c>
      <c r="D2593" s="53" t="s">
        <v>38</v>
      </c>
      <c r="E2593" s="53"/>
      <c r="F2593" s="54"/>
      <c r="G2593" s="53"/>
      <c r="H2593" s="53">
        <v>0</v>
      </c>
      <c r="I2593" s="53">
        <v>0</v>
      </c>
      <c r="J2593" s="53">
        <v>0</v>
      </c>
      <c r="K2593" s="55"/>
      <c r="L2593" s="55">
        <f t="shared" si="174"/>
        <v>0</v>
      </c>
      <c r="M2593" s="55">
        <v>0</v>
      </c>
      <c r="N2593" s="101">
        <f t="shared" si="175"/>
        <v>0</v>
      </c>
      <c r="O2593" s="57"/>
      <c r="P2593" s="145" t="str">
        <f t="shared" si="173"/>
        <v/>
      </c>
      <c r="Q2593" s="52">
        <f t="shared" si="176"/>
        <v>3</v>
      </c>
      <c r="R2593" s="8">
        <f t="shared" si="177"/>
        <v>2028</v>
      </c>
    </row>
    <row r="2594" spans="1:18" hidden="1" x14ac:dyDescent="0.25">
      <c r="A2594" s="224"/>
      <c r="B2594" s="96">
        <v>46771</v>
      </c>
      <c r="C2594" s="52" t="s">
        <v>46</v>
      </c>
      <c r="D2594" s="53" t="s">
        <v>38</v>
      </c>
      <c r="E2594" s="53"/>
      <c r="F2594" s="54"/>
      <c r="G2594" s="53"/>
      <c r="H2594" s="53">
        <v>0</v>
      </c>
      <c r="I2594" s="53">
        <v>0</v>
      </c>
      <c r="J2594" s="53">
        <v>0</v>
      </c>
      <c r="K2594" s="55"/>
      <c r="L2594" s="55">
        <f t="shared" si="174"/>
        <v>0</v>
      </c>
      <c r="M2594" s="55">
        <v>0</v>
      </c>
      <c r="N2594" s="101">
        <f t="shared" si="175"/>
        <v>0</v>
      </c>
      <c r="O2594" s="57"/>
      <c r="P2594" s="145" t="str">
        <f t="shared" si="173"/>
        <v/>
      </c>
      <c r="Q2594" s="52">
        <f t="shared" si="176"/>
        <v>3</v>
      </c>
      <c r="R2594" s="8">
        <f t="shared" si="177"/>
        <v>2028</v>
      </c>
    </row>
    <row r="2595" spans="1:18" hidden="1" x14ac:dyDescent="0.25">
      <c r="A2595" s="224"/>
      <c r="B2595" s="96">
        <v>46772</v>
      </c>
      <c r="C2595" s="52" t="s">
        <v>50</v>
      </c>
      <c r="D2595" s="53" t="s">
        <v>38</v>
      </c>
      <c r="E2595" s="53"/>
      <c r="F2595" s="54"/>
      <c r="G2595" s="53"/>
      <c r="H2595" s="53">
        <v>0</v>
      </c>
      <c r="I2595" s="53">
        <v>0</v>
      </c>
      <c r="J2595" s="53">
        <v>0</v>
      </c>
      <c r="K2595" s="55"/>
      <c r="L2595" s="55">
        <f t="shared" si="174"/>
        <v>0</v>
      </c>
      <c r="M2595" s="55">
        <v>0</v>
      </c>
      <c r="N2595" s="101">
        <f t="shared" si="175"/>
        <v>0</v>
      </c>
      <c r="O2595" s="57"/>
      <c r="P2595" s="145" t="str">
        <f t="shared" si="173"/>
        <v/>
      </c>
      <c r="Q2595" s="52">
        <f t="shared" si="176"/>
        <v>3</v>
      </c>
      <c r="R2595" s="8">
        <f t="shared" si="177"/>
        <v>2028</v>
      </c>
    </row>
    <row r="2596" spans="1:18" hidden="1" x14ac:dyDescent="0.25">
      <c r="A2596" s="224"/>
      <c r="B2596" s="96">
        <v>46773</v>
      </c>
      <c r="C2596" s="52" t="s">
        <v>53</v>
      </c>
      <c r="D2596" s="53" t="s">
        <v>38</v>
      </c>
      <c r="E2596" s="53"/>
      <c r="F2596" s="54"/>
      <c r="G2596" s="53"/>
      <c r="H2596" s="53">
        <v>0</v>
      </c>
      <c r="I2596" s="53">
        <v>0</v>
      </c>
      <c r="J2596" s="53">
        <v>0</v>
      </c>
      <c r="K2596" s="55"/>
      <c r="L2596" s="55">
        <f t="shared" si="174"/>
        <v>0</v>
      </c>
      <c r="M2596" s="55">
        <v>0</v>
      </c>
      <c r="N2596" s="101">
        <f t="shared" si="175"/>
        <v>0</v>
      </c>
      <c r="O2596" s="57"/>
      <c r="P2596" s="145" t="str">
        <f t="shared" si="173"/>
        <v/>
      </c>
      <c r="Q2596" s="52">
        <f t="shared" si="176"/>
        <v>3</v>
      </c>
      <c r="R2596" s="8">
        <f t="shared" si="177"/>
        <v>2028</v>
      </c>
    </row>
    <row r="2597" spans="1:18" hidden="1" x14ac:dyDescent="0.25">
      <c r="A2597" s="224"/>
      <c r="B2597" s="97">
        <v>46774</v>
      </c>
      <c r="C2597" s="58" t="s">
        <v>57</v>
      </c>
      <c r="D2597" s="60" t="s">
        <v>38</v>
      </c>
      <c r="E2597" s="60"/>
      <c r="F2597" s="61"/>
      <c r="G2597" s="60"/>
      <c r="H2597" s="60">
        <v>0</v>
      </c>
      <c r="I2597" s="60">
        <v>0</v>
      </c>
      <c r="J2597" s="60">
        <v>0</v>
      </c>
      <c r="K2597" s="62"/>
      <c r="L2597" s="62">
        <f t="shared" si="174"/>
        <v>0</v>
      </c>
      <c r="M2597" s="62">
        <v>0</v>
      </c>
      <c r="N2597" s="102">
        <f t="shared" si="175"/>
        <v>0</v>
      </c>
      <c r="O2597" s="64"/>
      <c r="P2597" s="145" t="str">
        <f t="shared" si="173"/>
        <v/>
      </c>
      <c r="Q2597" s="52">
        <f t="shared" si="176"/>
        <v>3</v>
      </c>
      <c r="R2597" s="8">
        <f t="shared" si="177"/>
        <v>2028</v>
      </c>
    </row>
    <row r="2598" spans="1:18" ht="15.75" hidden="1" thickBot="1" x14ac:dyDescent="0.3">
      <c r="A2598" s="225"/>
      <c r="B2598" s="98">
        <v>46775</v>
      </c>
      <c r="C2598" s="66" t="s">
        <v>59</v>
      </c>
      <c r="D2598" s="67" t="s">
        <v>38</v>
      </c>
      <c r="E2598" s="67"/>
      <c r="F2598" s="68"/>
      <c r="G2598" s="67"/>
      <c r="H2598" s="67">
        <v>0</v>
      </c>
      <c r="I2598" s="67">
        <v>0</v>
      </c>
      <c r="J2598" s="67">
        <v>0</v>
      </c>
      <c r="K2598" s="69"/>
      <c r="L2598" s="69">
        <f t="shared" si="174"/>
        <v>0</v>
      </c>
      <c r="M2598" s="69">
        <v>0</v>
      </c>
      <c r="N2598" s="103">
        <f t="shared" si="175"/>
        <v>0</v>
      </c>
      <c r="O2598" s="71"/>
      <c r="P2598" s="145" t="str">
        <f t="shared" si="173"/>
        <v/>
      </c>
      <c r="Q2598" s="52">
        <f t="shared" si="176"/>
        <v>3</v>
      </c>
      <c r="R2598" s="8">
        <f t="shared" si="177"/>
        <v>2028</v>
      </c>
    </row>
    <row r="2599" spans="1:18" hidden="1" x14ac:dyDescent="0.25">
      <c r="A2599" s="223">
        <f>_xlfn.ISOWEEKNUM(B2599)</f>
        <v>4</v>
      </c>
      <c r="B2599" s="96">
        <v>46776</v>
      </c>
      <c r="C2599" s="72" t="s">
        <v>37</v>
      </c>
      <c r="D2599" s="41" t="s">
        <v>38</v>
      </c>
      <c r="E2599" s="41"/>
      <c r="F2599" s="43"/>
      <c r="G2599" s="41"/>
      <c r="H2599" s="41">
        <v>0</v>
      </c>
      <c r="I2599" s="41">
        <v>0</v>
      </c>
      <c r="J2599" s="41">
        <v>0</v>
      </c>
      <c r="K2599" s="73"/>
      <c r="L2599" s="73">
        <f t="shared" si="174"/>
        <v>0</v>
      </c>
      <c r="M2599" s="73">
        <v>0</v>
      </c>
      <c r="N2599" s="105">
        <f t="shared" si="175"/>
        <v>0</v>
      </c>
      <c r="O2599" s="46"/>
      <c r="P2599" s="145" t="str">
        <f t="shared" si="173"/>
        <v/>
      </c>
      <c r="Q2599" s="52">
        <f t="shared" si="176"/>
        <v>4</v>
      </c>
      <c r="R2599" s="8">
        <f t="shared" si="177"/>
        <v>2028</v>
      </c>
    </row>
    <row r="2600" spans="1:18" hidden="1" x14ac:dyDescent="0.25">
      <c r="A2600" s="224"/>
      <c r="B2600" s="96">
        <v>46777</v>
      </c>
      <c r="C2600" s="52" t="s">
        <v>42</v>
      </c>
      <c r="D2600" s="53" t="s">
        <v>38</v>
      </c>
      <c r="E2600" s="53"/>
      <c r="F2600" s="54"/>
      <c r="G2600" s="53"/>
      <c r="H2600" s="53">
        <v>0</v>
      </c>
      <c r="I2600" s="53">
        <v>0</v>
      </c>
      <c r="J2600" s="53">
        <v>0</v>
      </c>
      <c r="K2600" s="55"/>
      <c r="L2600" s="55">
        <f t="shared" si="174"/>
        <v>0</v>
      </c>
      <c r="M2600" s="55">
        <v>0</v>
      </c>
      <c r="N2600" s="101">
        <f t="shared" si="175"/>
        <v>0</v>
      </c>
      <c r="O2600" s="57"/>
      <c r="P2600" s="145" t="str">
        <f t="shared" si="173"/>
        <v/>
      </c>
      <c r="Q2600" s="52">
        <f t="shared" si="176"/>
        <v>4</v>
      </c>
      <c r="R2600" s="8">
        <f t="shared" si="177"/>
        <v>2028</v>
      </c>
    </row>
    <row r="2601" spans="1:18" hidden="1" x14ac:dyDescent="0.25">
      <c r="A2601" s="224"/>
      <c r="B2601" s="96">
        <v>46778</v>
      </c>
      <c r="C2601" s="52" t="s">
        <v>46</v>
      </c>
      <c r="D2601" s="53" t="s">
        <v>38</v>
      </c>
      <c r="E2601" s="53"/>
      <c r="F2601" s="54"/>
      <c r="G2601" s="53"/>
      <c r="H2601" s="53">
        <v>0</v>
      </c>
      <c r="I2601" s="53">
        <v>0</v>
      </c>
      <c r="J2601" s="53">
        <v>0</v>
      </c>
      <c r="K2601" s="55"/>
      <c r="L2601" s="55">
        <f t="shared" si="174"/>
        <v>0</v>
      </c>
      <c r="M2601" s="55">
        <v>0</v>
      </c>
      <c r="N2601" s="101">
        <f t="shared" si="175"/>
        <v>0</v>
      </c>
      <c r="O2601" s="57"/>
      <c r="P2601" s="145" t="str">
        <f t="shared" si="173"/>
        <v/>
      </c>
      <c r="Q2601" s="52">
        <f t="shared" si="176"/>
        <v>4</v>
      </c>
      <c r="R2601" s="8">
        <f t="shared" si="177"/>
        <v>2028</v>
      </c>
    </row>
    <row r="2602" spans="1:18" hidden="1" x14ac:dyDescent="0.25">
      <c r="A2602" s="224"/>
      <c r="B2602" s="96">
        <v>46779</v>
      </c>
      <c r="C2602" s="52" t="s">
        <v>50</v>
      </c>
      <c r="D2602" s="53" t="s">
        <v>38</v>
      </c>
      <c r="E2602" s="53"/>
      <c r="F2602" s="54"/>
      <c r="G2602" s="53"/>
      <c r="H2602" s="53">
        <v>0</v>
      </c>
      <c r="I2602" s="53">
        <v>0</v>
      </c>
      <c r="J2602" s="53">
        <v>0</v>
      </c>
      <c r="K2602" s="55"/>
      <c r="L2602" s="55">
        <f t="shared" si="174"/>
        <v>0</v>
      </c>
      <c r="M2602" s="55">
        <v>0</v>
      </c>
      <c r="N2602" s="101">
        <f t="shared" si="175"/>
        <v>0</v>
      </c>
      <c r="O2602" s="57"/>
      <c r="P2602" s="145" t="str">
        <f t="shared" si="173"/>
        <v/>
      </c>
      <c r="Q2602" s="52">
        <f t="shared" si="176"/>
        <v>4</v>
      </c>
      <c r="R2602" s="8">
        <f t="shared" si="177"/>
        <v>2028</v>
      </c>
    </row>
    <row r="2603" spans="1:18" hidden="1" x14ac:dyDescent="0.25">
      <c r="A2603" s="224"/>
      <c r="B2603" s="96">
        <v>46780</v>
      </c>
      <c r="C2603" s="52" t="s">
        <v>53</v>
      </c>
      <c r="D2603" s="53" t="s">
        <v>38</v>
      </c>
      <c r="E2603" s="53"/>
      <c r="F2603" s="54"/>
      <c r="G2603" s="53"/>
      <c r="H2603" s="53">
        <v>0</v>
      </c>
      <c r="I2603" s="53">
        <v>0</v>
      </c>
      <c r="J2603" s="53">
        <v>0</v>
      </c>
      <c r="K2603" s="55"/>
      <c r="L2603" s="55">
        <f t="shared" si="174"/>
        <v>0</v>
      </c>
      <c r="M2603" s="55">
        <v>0</v>
      </c>
      <c r="N2603" s="101">
        <f t="shared" si="175"/>
        <v>0</v>
      </c>
      <c r="O2603" s="57"/>
      <c r="P2603" s="145" t="str">
        <f t="shared" si="173"/>
        <v/>
      </c>
      <c r="Q2603" s="52">
        <f t="shared" si="176"/>
        <v>4</v>
      </c>
      <c r="R2603" s="8">
        <f t="shared" si="177"/>
        <v>2028</v>
      </c>
    </row>
    <row r="2604" spans="1:18" hidden="1" x14ac:dyDescent="0.25">
      <c r="A2604" s="224"/>
      <c r="B2604" s="97">
        <v>46781</v>
      </c>
      <c r="C2604" s="58" t="s">
        <v>57</v>
      </c>
      <c r="D2604" s="60" t="s">
        <v>38</v>
      </c>
      <c r="E2604" s="60"/>
      <c r="F2604" s="61"/>
      <c r="G2604" s="60"/>
      <c r="H2604" s="60">
        <v>0</v>
      </c>
      <c r="I2604" s="60">
        <v>0</v>
      </c>
      <c r="J2604" s="60">
        <v>0</v>
      </c>
      <c r="K2604" s="62"/>
      <c r="L2604" s="62">
        <f t="shared" si="174"/>
        <v>0</v>
      </c>
      <c r="M2604" s="62">
        <v>0</v>
      </c>
      <c r="N2604" s="102">
        <f t="shared" si="175"/>
        <v>0</v>
      </c>
      <c r="O2604" s="64"/>
      <c r="P2604" s="145" t="str">
        <f t="shared" si="173"/>
        <v/>
      </c>
      <c r="Q2604" s="52">
        <f t="shared" si="176"/>
        <v>4</v>
      </c>
      <c r="R2604" s="8">
        <f t="shared" si="177"/>
        <v>2028</v>
      </c>
    </row>
    <row r="2605" spans="1:18" ht="15.75" hidden="1" thickBot="1" x14ac:dyDescent="0.3">
      <c r="A2605" s="225"/>
      <c r="B2605" s="98">
        <v>46782</v>
      </c>
      <c r="C2605" s="66" t="s">
        <v>59</v>
      </c>
      <c r="D2605" s="67" t="s">
        <v>38</v>
      </c>
      <c r="E2605" s="67"/>
      <c r="F2605" s="68"/>
      <c r="G2605" s="67"/>
      <c r="H2605" s="67">
        <v>0</v>
      </c>
      <c r="I2605" s="67">
        <v>0</v>
      </c>
      <c r="J2605" s="67">
        <v>0</v>
      </c>
      <c r="K2605" s="69"/>
      <c r="L2605" s="69">
        <f t="shared" si="174"/>
        <v>0</v>
      </c>
      <c r="M2605" s="69">
        <v>0</v>
      </c>
      <c r="N2605" s="103">
        <f t="shared" si="175"/>
        <v>0</v>
      </c>
      <c r="O2605" s="71"/>
      <c r="P2605" s="145" t="str">
        <f t="shared" si="173"/>
        <v/>
      </c>
      <c r="Q2605" s="52">
        <f t="shared" si="176"/>
        <v>4</v>
      </c>
      <c r="R2605" s="8">
        <f t="shared" si="177"/>
        <v>2028</v>
      </c>
    </row>
  </sheetData>
  <autoFilter ref="A1:AA2605" xr:uid="{00000000-0009-0000-0000-000000000000}">
    <filterColumn colId="1">
      <filters>
        <dateGroupItem year="2025" month="10" dateTimeGrouping="month"/>
        <dateGroupItem year="2025" month="11" dateTimeGrouping="month"/>
      </filters>
    </filterColumn>
  </autoFilter>
  <dataConsolidate/>
  <mergeCells count="372">
    <mergeCell ref="A1479:A1485"/>
    <mergeCell ref="A1213:A1219"/>
    <mergeCell ref="A1150:A1156"/>
    <mergeCell ref="A1157:A1163"/>
    <mergeCell ref="A1164:A1170"/>
    <mergeCell ref="A1171:A1177"/>
    <mergeCell ref="A1178:A1184"/>
    <mergeCell ref="A1185:A1191"/>
    <mergeCell ref="A1192:A1198"/>
    <mergeCell ref="A1199:A1205"/>
    <mergeCell ref="A1206:A1212"/>
    <mergeCell ref="A1220:A1226"/>
    <mergeCell ref="A1227:A1233"/>
    <mergeCell ref="A1234:A1240"/>
    <mergeCell ref="A1241:A1247"/>
    <mergeCell ref="A1248:A1254"/>
    <mergeCell ref="A1255:A1261"/>
    <mergeCell ref="A1262:A1268"/>
    <mergeCell ref="A1269:A1275"/>
    <mergeCell ref="A1276:A1282"/>
    <mergeCell ref="A1472:A1478"/>
    <mergeCell ref="A1388:A1394"/>
    <mergeCell ref="A1423:A1429"/>
    <mergeCell ref="A1444:A1450"/>
    <mergeCell ref="A1087:A1093"/>
    <mergeCell ref="A1094:A1100"/>
    <mergeCell ref="A1101:A1107"/>
    <mergeCell ref="A1108:A1114"/>
    <mergeCell ref="A1115:A1121"/>
    <mergeCell ref="A1122:A1128"/>
    <mergeCell ref="A1129:A1135"/>
    <mergeCell ref="A1136:A1142"/>
    <mergeCell ref="A1143:A1149"/>
    <mergeCell ref="A1024:A1030"/>
    <mergeCell ref="A1031:A1037"/>
    <mergeCell ref="A1038:A1044"/>
    <mergeCell ref="A1045:A1051"/>
    <mergeCell ref="A1052:A1058"/>
    <mergeCell ref="A1059:A1065"/>
    <mergeCell ref="A1066:A1072"/>
    <mergeCell ref="A1073:A1079"/>
    <mergeCell ref="A1080:A1086"/>
    <mergeCell ref="A961:A967"/>
    <mergeCell ref="A968:A974"/>
    <mergeCell ref="A975:A981"/>
    <mergeCell ref="A982:A988"/>
    <mergeCell ref="A989:A995"/>
    <mergeCell ref="A996:A1002"/>
    <mergeCell ref="A1003:A1009"/>
    <mergeCell ref="A1010:A1016"/>
    <mergeCell ref="A1017:A1023"/>
    <mergeCell ref="A898:A904"/>
    <mergeCell ref="A905:A911"/>
    <mergeCell ref="A912:A918"/>
    <mergeCell ref="A919:A925"/>
    <mergeCell ref="A926:A932"/>
    <mergeCell ref="A933:A939"/>
    <mergeCell ref="A940:A946"/>
    <mergeCell ref="A947:A953"/>
    <mergeCell ref="A954:A960"/>
    <mergeCell ref="A835:A841"/>
    <mergeCell ref="A842:A848"/>
    <mergeCell ref="A849:A855"/>
    <mergeCell ref="A856:A862"/>
    <mergeCell ref="A863:A869"/>
    <mergeCell ref="A870:A876"/>
    <mergeCell ref="A877:A883"/>
    <mergeCell ref="A884:A890"/>
    <mergeCell ref="A891:A897"/>
    <mergeCell ref="A268:A274"/>
    <mergeCell ref="A779:A785"/>
    <mergeCell ref="A786:A792"/>
    <mergeCell ref="A793:A799"/>
    <mergeCell ref="A800:A806"/>
    <mergeCell ref="A807:A813"/>
    <mergeCell ref="A814:A820"/>
    <mergeCell ref="A821:A827"/>
    <mergeCell ref="A828:A834"/>
    <mergeCell ref="A275:A281"/>
    <mergeCell ref="A289:A295"/>
    <mergeCell ref="A317:A323"/>
    <mergeCell ref="A324:A330"/>
    <mergeCell ref="A366:A372"/>
    <mergeCell ref="A331:A337"/>
    <mergeCell ref="A338:A344"/>
    <mergeCell ref="A345:A351"/>
    <mergeCell ref="A352:A358"/>
    <mergeCell ref="A359:A365"/>
    <mergeCell ref="A296:A302"/>
    <mergeCell ref="A303:A309"/>
    <mergeCell ref="A429:A435"/>
    <mergeCell ref="A436:A442"/>
    <mergeCell ref="A443:A449"/>
    <mergeCell ref="A219:A225"/>
    <mergeCell ref="A226:A232"/>
    <mergeCell ref="A233:A239"/>
    <mergeCell ref="A240:A246"/>
    <mergeCell ref="A247:A253"/>
    <mergeCell ref="A100:A106"/>
    <mergeCell ref="A380:A386"/>
    <mergeCell ref="A128:A134"/>
    <mergeCell ref="A170:A176"/>
    <mergeCell ref="A177:A183"/>
    <mergeCell ref="A184:A190"/>
    <mergeCell ref="A191:A197"/>
    <mergeCell ref="A135:A141"/>
    <mergeCell ref="A142:A148"/>
    <mergeCell ref="A149:A155"/>
    <mergeCell ref="A156:A162"/>
    <mergeCell ref="A163:A169"/>
    <mergeCell ref="A198:A204"/>
    <mergeCell ref="A205:A211"/>
    <mergeCell ref="A212:A218"/>
    <mergeCell ref="A254:A260"/>
    <mergeCell ref="A261:A267"/>
    <mergeCell ref="A282:A288"/>
    <mergeCell ref="A310:A316"/>
    <mergeCell ref="A2:A8"/>
    <mergeCell ref="A9:A15"/>
    <mergeCell ref="A16:A22"/>
    <mergeCell ref="A387:A393"/>
    <mergeCell ref="A394:A400"/>
    <mergeCell ref="A401:A407"/>
    <mergeCell ref="A408:A414"/>
    <mergeCell ref="A415:A421"/>
    <mergeCell ref="A422:A428"/>
    <mergeCell ref="A107:A113"/>
    <mergeCell ref="A114:A120"/>
    <mergeCell ref="A121:A127"/>
    <mergeCell ref="A23:A29"/>
    <mergeCell ref="A30:A36"/>
    <mergeCell ref="A37:A43"/>
    <mergeCell ref="A44:A50"/>
    <mergeCell ref="A51:A57"/>
    <mergeCell ref="A58:A64"/>
    <mergeCell ref="A65:A71"/>
    <mergeCell ref="A72:A78"/>
    <mergeCell ref="A86:A92"/>
    <mergeCell ref="A93:A99"/>
    <mergeCell ref="A79:A85"/>
    <mergeCell ref="A373:A379"/>
    <mergeCell ref="A450:A456"/>
    <mergeCell ref="A457:A463"/>
    <mergeCell ref="A464:A470"/>
    <mergeCell ref="A471:A477"/>
    <mergeCell ref="A478:A484"/>
    <mergeCell ref="A485:A491"/>
    <mergeCell ref="A555:A561"/>
    <mergeCell ref="A562:A568"/>
    <mergeCell ref="A569:A575"/>
    <mergeCell ref="A576:A582"/>
    <mergeCell ref="A583:A589"/>
    <mergeCell ref="A590:A596"/>
    <mergeCell ref="A492:A498"/>
    <mergeCell ref="A499:A505"/>
    <mergeCell ref="A506:A512"/>
    <mergeCell ref="A513:A519"/>
    <mergeCell ref="A520:A526"/>
    <mergeCell ref="A527:A533"/>
    <mergeCell ref="A534:A540"/>
    <mergeCell ref="A541:A547"/>
    <mergeCell ref="A548:A554"/>
    <mergeCell ref="A597:A603"/>
    <mergeCell ref="A604:A610"/>
    <mergeCell ref="A611:A617"/>
    <mergeCell ref="A618:A624"/>
    <mergeCell ref="A625:A631"/>
    <mergeCell ref="A632:A638"/>
    <mergeCell ref="A639:A645"/>
    <mergeCell ref="A646:A652"/>
    <mergeCell ref="A653:A659"/>
    <mergeCell ref="A723:A729"/>
    <mergeCell ref="A730:A736"/>
    <mergeCell ref="A737:A743"/>
    <mergeCell ref="A744:A750"/>
    <mergeCell ref="A751:A757"/>
    <mergeCell ref="A758:A764"/>
    <mergeCell ref="A765:A771"/>
    <mergeCell ref="A772:A778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1486:A1492"/>
    <mergeCell ref="A1458:A1464"/>
    <mergeCell ref="A1493:A1499"/>
    <mergeCell ref="A1500:A1506"/>
    <mergeCell ref="A1507:A1513"/>
    <mergeCell ref="A1514:A1520"/>
    <mergeCell ref="A1283:A1289"/>
    <mergeCell ref="A1290:A1296"/>
    <mergeCell ref="A1297:A1303"/>
    <mergeCell ref="A1304:A1310"/>
    <mergeCell ref="A1311:A1317"/>
    <mergeCell ref="A1318:A1324"/>
    <mergeCell ref="A1325:A1331"/>
    <mergeCell ref="A1332:A1338"/>
    <mergeCell ref="A1339:A1345"/>
    <mergeCell ref="A1346:A1352"/>
    <mergeCell ref="A1353:A1359"/>
    <mergeCell ref="A1360:A1366"/>
    <mergeCell ref="A1367:A1373"/>
    <mergeCell ref="A1374:A1380"/>
    <mergeCell ref="A1381:A1387"/>
    <mergeCell ref="A1465:A1471"/>
    <mergeCell ref="A1430:A1436"/>
    <mergeCell ref="A1437:A1443"/>
    <mergeCell ref="A1521:A1527"/>
    <mergeCell ref="A1528:A1534"/>
    <mergeCell ref="A1535:A1541"/>
    <mergeCell ref="A1542:A1548"/>
    <mergeCell ref="A1549:A1555"/>
    <mergeCell ref="A1556:A1562"/>
    <mergeCell ref="A1563:A1569"/>
    <mergeCell ref="A1570:A1576"/>
    <mergeCell ref="A1577:A1583"/>
    <mergeCell ref="A1584:A1590"/>
    <mergeCell ref="A1591:A1597"/>
    <mergeCell ref="A1598:A1604"/>
    <mergeCell ref="A1605:A1611"/>
    <mergeCell ref="A1612:A1618"/>
    <mergeCell ref="A1619:A1625"/>
    <mergeCell ref="A1626:A1632"/>
    <mergeCell ref="A1633:A1639"/>
    <mergeCell ref="A1640:A1646"/>
    <mergeCell ref="A1647:A1653"/>
    <mergeCell ref="A1654:A1660"/>
    <mergeCell ref="A1661:A1667"/>
    <mergeCell ref="A1668:A1674"/>
    <mergeCell ref="A1675:A1681"/>
    <mergeCell ref="A1682:A1688"/>
    <mergeCell ref="A1689:A1695"/>
    <mergeCell ref="A1696:A1702"/>
    <mergeCell ref="A1703:A1709"/>
    <mergeCell ref="A1710:A1716"/>
    <mergeCell ref="A1717:A1723"/>
    <mergeCell ref="A1724:A1730"/>
    <mergeCell ref="A1731:A1737"/>
    <mergeCell ref="A1738:A1744"/>
    <mergeCell ref="A1745:A1751"/>
    <mergeCell ref="A1752:A1758"/>
    <mergeCell ref="A1759:A1765"/>
    <mergeCell ref="A1766:A1772"/>
    <mergeCell ref="A1773:A1779"/>
    <mergeCell ref="A1780:A1786"/>
    <mergeCell ref="A1787:A1793"/>
    <mergeCell ref="A1794:A1800"/>
    <mergeCell ref="A1801:A1807"/>
    <mergeCell ref="A1808:A1814"/>
    <mergeCell ref="A1815:A1821"/>
    <mergeCell ref="A1822:A1828"/>
    <mergeCell ref="A1829:A1835"/>
    <mergeCell ref="A1836:A1842"/>
    <mergeCell ref="A1843:A1849"/>
    <mergeCell ref="A1850:A1856"/>
    <mergeCell ref="A1857:A1863"/>
    <mergeCell ref="A1864:A1870"/>
    <mergeCell ref="A1871:A1877"/>
    <mergeCell ref="A1878:A1884"/>
    <mergeCell ref="A1885:A1891"/>
    <mergeCell ref="A1892:A1898"/>
    <mergeCell ref="A1899:A1905"/>
    <mergeCell ref="A1906:A1912"/>
    <mergeCell ref="A1913:A1919"/>
    <mergeCell ref="A1920:A1926"/>
    <mergeCell ref="A1927:A1933"/>
    <mergeCell ref="A1934:A1940"/>
    <mergeCell ref="A1941:A1947"/>
    <mergeCell ref="A1948:A1954"/>
    <mergeCell ref="A1955:A1961"/>
    <mergeCell ref="A1962:A1968"/>
    <mergeCell ref="A1969:A1975"/>
    <mergeCell ref="A1976:A1982"/>
    <mergeCell ref="A1983:A1989"/>
    <mergeCell ref="A1990:A1996"/>
    <mergeCell ref="A1997:A2003"/>
    <mergeCell ref="A2004:A2010"/>
    <mergeCell ref="A2011:A2017"/>
    <mergeCell ref="A2018:A2024"/>
    <mergeCell ref="A2025:A2031"/>
    <mergeCell ref="A2032:A2038"/>
    <mergeCell ref="A2039:A2045"/>
    <mergeCell ref="A2046:A2052"/>
    <mergeCell ref="A2053:A2059"/>
    <mergeCell ref="A2060:A2066"/>
    <mergeCell ref="A2067:A2073"/>
    <mergeCell ref="A2074:A2080"/>
    <mergeCell ref="A2081:A2087"/>
    <mergeCell ref="A2088:A2094"/>
    <mergeCell ref="A2095:A2101"/>
    <mergeCell ref="A2102:A2108"/>
    <mergeCell ref="A2109:A2115"/>
    <mergeCell ref="A2116:A2122"/>
    <mergeCell ref="A2123:A2129"/>
    <mergeCell ref="A2130:A2136"/>
    <mergeCell ref="A2137:A2143"/>
    <mergeCell ref="A2144:A2150"/>
    <mergeCell ref="A2151:A2157"/>
    <mergeCell ref="A2158:A2164"/>
    <mergeCell ref="A2165:A2171"/>
    <mergeCell ref="A2172:A2178"/>
    <mergeCell ref="A2179:A2185"/>
    <mergeCell ref="A2186:A2192"/>
    <mergeCell ref="A2193:A2199"/>
    <mergeCell ref="A2200:A2206"/>
    <mergeCell ref="A2207:A2213"/>
    <mergeCell ref="A2214:A2220"/>
    <mergeCell ref="A2221:A2227"/>
    <mergeCell ref="A2228:A2234"/>
    <mergeCell ref="A2235:A2241"/>
    <mergeCell ref="A2242:A2248"/>
    <mergeCell ref="A2249:A2255"/>
    <mergeCell ref="A2256:A2262"/>
    <mergeCell ref="A2263:A2269"/>
    <mergeCell ref="A2270:A2276"/>
    <mergeCell ref="A2277:A2283"/>
    <mergeCell ref="A2284:A2290"/>
    <mergeCell ref="A2291:A2297"/>
    <mergeCell ref="A2298:A2304"/>
    <mergeCell ref="A2305:A2311"/>
    <mergeCell ref="A2312:A2318"/>
    <mergeCell ref="A2319:A2325"/>
    <mergeCell ref="A2326:A2332"/>
    <mergeCell ref="A2333:A2339"/>
    <mergeCell ref="A2340:A2346"/>
    <mergeCell ref="A2347:A2353"/>
    <mergeCell ref="A2354:A2360"/>
    <mergeCell ref="A2361:A2367"/>
    <mergeCell ref="A2368:A2374"/>
    <mergeCell ref="A2375:A2381"/>
    <mergeCell ref="A2382:A2388"/>
    <mergeCell ref="A2389:A2395"/>
    <mergeCell ref="A2396:A2402"/>
    <mergeCell ref="A2585:A2591"/>
    <mergeCell ref="A2403:A2409"/>
    <mergeCell ref="A2410:A2416"/>
    <mergeCell ref="A2417:A2423"/>
    <mergeCell ref="A2424:A2430"/>
    <mergeCell ref="A2431:A2437"/>
    <mergeCell ref="A2438:A2444"/>
    <mergeCell ref="A2445:A2451"/>
    <mergeCell ref="A2452:A2458"/>
    <mergeCell ref="A2459:A2465"/>
    <mergeCell ref="A1451:A1457"/>
    <mergeCell ref="A1395:A1401"/>
    <mergeCell ref="A1402:A1408"/>
    <mergeCell ref="A1409:A1415"/>
    <mergeCell ref="A1416:A1422"/>
    <mergeCell ref="A2592:A2598"/>
    <mergeCell ref="A2599:A2605"/>
    <mergeCell ref="A2501:A2507"/>
    <mergeCell ref="A2508:A2514"/>
    <mergeCell ref="A2515:A2521"/>
    <mergeCell ref="A2522:A2528"/>
    <mergeCell ref="A2529:A2535"/>
    <mergeCell ref="A2536:A2542"/>
    <mergeCell ref="A2543:A2549"/>
    <mergeCell ref="A2550:A2556"/>
    <mergeCell ref="A2557:A2563"/>
    <mergeCell ref="A2466:A2472"/>
    <mergeCell ref="A2473:A2479"/>
    <mergeCell ref="A2480:A2486"/>
    <mergeCell ref="A2487:A2493"/>
    <mergeCell ref="A2494:A2500"/>
    <mergeCell ref="A2564:A2570"/>
    <mergeCell ref="A2571:A2577"/>
    <mergeCell ref="A2578:A2584"/>
  </mergeCells>
  <phoneticPr fontId="6" type="noConversion"/>
  <conditionalFormatting sqref="A1:O1">
    <cfRule type="expression" dxfId="5" priority="6469">
      <formula>ISNA(A1)</formula>
    </cfRule>
  </conditionalFormatting>
  <conditionalFormatting sqref="B2606:O1048576">
    <cfRule type="expression" dxfId="4" priority="6489">
      <formula>ISNA(B2606)</formula>
    </cfRule>
  </conditionalFormatting>
  <conditionalFormatting sqref="H1:O1">
    <cfRule type="expression" dxfId="3" priority="6468">
      <formula>NOT(_xludf.isformula(H1))</formula>
    </cfRule>
  </conditionalFormatting>
  <conditionalFormatting sqref="H2606:O1048576">
    <cfRule type="expression" dxfId="2" priority="6488">
      <formula>NOT(_xludf.isformula(H2606))</formula>
    </cfRule>
  </conditionalFormatting>
  <conditionalFormatting sqref="I65:I71">
    <cfRule type="expression" dxfId="1" priority="2">
      <formula>NOT(_xludf.isformula(I65))</formula>
    </cfRule>
    <cfRule type="expression" dxfId="0" priority="3">
      <formula>ISNA(I65)</formula>
    </cfRule>
  </conditionalFormatting>
  <dataValidations count="4">
    <dataValidation type="list" allowBlank="1" showInputMessage="1" showErrorMessage="1" sqref="F1 F2606:G1048576" xr:uid="{00000000-0002-0000-0000-000000000000}">
      <formula1>$AE$23:$AE$26</formula1>
    </dataValidation>
    <dataValidation type="list" allowBlank="1" showInputMessage="1" showErrorMessage="1" sqref="E1 E2606:E1048576" xr:uid="{00000000-0002-0000-0000-000001000000}">
      <formula1>$AD$23:$AD$39</formula1>
    </dataValidation>
    <dataValidation type="list" allowBlank="1" showInputMessage="1" showErrorMessage="1" sqref="D1 D2606:D1048576" xr:uid="{00000000-0002-0000-0000-000002000000}">
      <formula1>$AC$23:$AC$31</formula1>
    </dataValidation>
    <dataValidation type="list" allowBlank="1" showInputMessage="1" showErrorMessage="1" sqref="G1" xr:uid="{00000000-0002-0000-0000-000003000000}">
      <formula1>$AF$1:$AF$33</formula1>
    </dataValidation>
  </dataValidations>
  <printOptions gridLines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1162-4210-4D6B-8F48-11AAA5BDA97B}">
  <dimension ref="A1:Q564"/>
  <sheetViews>
    <sheetView workbookViewId="0">
      <selection activeCell="A17" sqref="A1:L17"/>
    </sheetView>
  </sheetViews>
  <sheetFormatPr baseColWidth="10" defaultColWidth="11.42578125" defaultRowHeight="15" x14ac:dyDescent="0.25"/>
  <cols>
    <col min="1" max="1" width="25.140625" style="9" customWidth="1"/>
    <col min="2" max="2" width="6.85546875" style="8" customWidth="1"/>
    <col min="3" max="3" width="6.28515625" style="8" customWidth="1"/>
    <col min="4" max="4" width="9.140625" style="8"/>
    <col min="5" max="5" width="13.140625" style="8" customWidth="1"/>
    <col min="6" max="6" width="9" style="8" customWidth="1"/>
    <col min="7" max="7" width="10" style="8" customWidth="1"/>
    <col min="8" max="8" width="9.28515625" style="8" customWidth="1"/>
    <col min="9" max="9" width="6.5703125" style="8" customWidth="1"/>
    <col min="10" max="10" width="8.5703125" style="8" customWidth="1"/>
    <col min="11" max="11" width="12.7109375" style="8" customWidth="1"/>
    <col min="12" max="12" width="4.42578125" style="8" customWidth="1"/>
    <col min="13" max="13" width="7.7109375" customWidth="1"/>
    <col min="14" max="14" width="5" customWidth="1"/>
    <col min="15" max="15" width="9.85546875" customWidth="1"/>
    <col min="16" max="16" width="14.42578125" customWidth="1"/>
    <col min="17" max="17" width="7" customWidth="1"/>
  </cols>
  <sheetData>
    <row r="1" spans="1:17" ht="56.25" x14ac:dyDescent="0.25">
      <c r="A1" s="4" t="s">
        <v>34</v>
      </c>
      <c r="B1" s="5" t="s">
        <v>23</v>
      </c>
      <c r="C1" s="5" t="s">
        <v>35</v>
      </c>
      <c r="D1" s="5" t="s">
        <v>24</v>
      </c>
      <c r="E1" s="5" t="s">
        <v>5</v>
      </c>
      <c r="F1" s="5" t="s">
        <v>26</v>
      </c>
      <c r="G1" s="5" t="s">
        <v>27</v>
      </c>
      <c r="H1" s="5" t="s">
        <v>28</v>
      </c>
      <c r="I1" s="6" t="s">
        <v>29</v>
      </c>
      <c r="J1" s="5" t="s">
        <v>30</v>
      </c>
      <c r="K1" s="5" t="s">
        <v>31</v>
      </c>
      <c r="L1" s="5" t="s">
        <v>32</v>
      </c>
      <c r="N1" s="7" t="s">
        <v>23</v>
      </c>
      <c r="O1" s="7" t="s">
        <v>24</v>
      </c>
      <c r="P1" s="7" t="s">
        <v>5</v>
      </c>
      <c r="Q1" s="7" t="s">
        <v>25</v>
      </c>
    </row>
    <row r="2" spans="1:17" x14ac:dyDescent="0.25">
      <c r="A2" s="47" t="s">
        <v>41</v>
      </c>
      <c r="B2" s="48" t="s">
        <v>38</v>
      </c>
      <c r="C2" s="48">
        <v>2024</v>
      </c>
      <c r="D2" s="48" t="s">
        <v>39</v>
      </c>
      <c r="E2" s="48" t="s">
        <v>40</v>
      </c>
      <c r="F2" s="49">
        <v>900</v>
      </c>
      <c r="G2" s="49">
        <v>700</v>
      </c>
      <c r="H2" s="48"/>
      <c r="I2" s="50">
        <v>0.85</v>
      </c>
      <c r="J2" s="48">
        <v>723</v>
      </c>
      <c r="K2" s="50">
        <v>0.03</v>
      </c>
      <c r="L2" s="48">
        <v>701</v>
      </c>
      <c r="M2" s="51"/>
      <c r="N2" s="51" t="s">
        <v>38</v>
      </c>
      <c r="O2" s="51" t="s">
        <v>39</v>
      </c>
      <c r="P2" s="51" t="s">
        <v>40</v>
      </c>
      <c r="Q2" s="51">
        <v>2.9</v>
      </c>
    </row>
    <row r="3" spans="1:17" x14ac:dyDescent="0.25">
      <c r="A3" s="47" t="s">
        <v>43</v>
      </c>
      <c r="B3" s="48" t="s">
        <v>38</v>
      </c>
      <c r="C3" s="48">
        <v>2024</v>
      </c>
      <c r="D3" s="48" t="s">
        <v>39</v>
      </c>
      <c r="E3" s="48" t="s">
        <v>44</v>
      </c>
      <c r="F3" s="49">
        <v>900</v>
      </c>
      <c r="G3" s="49">
        <v>700</v>
      </c>
      <c r="H3" s="48">
        <v>670</v>
      </c>
      <c r="I3" s="50">
        <v>0.77</v>
      </c>
      <c r="J3" s="48">
        <v>516</v>
      </c>
      <c r="K3" s="50">
        <v>0.03</v>
      </c>
      <c r="L3" s="48">
        <v>500</v>
      </c>
      <c r="M3" s="51"/>
      <c r="N3" s="51"/>
      <c r="O3" s="51" t="s">
        <v>45</v>
      </c>
      <c r="P3" s="51" t="s">
        <v>44</v>
      </c>
      <c r="Q3" s="51">
        <v>3.9</v>
      </c>
    </row>
    <row r="4" spans="1:17" x14ac:dyDescent="0.25">
      <c r="A4" s="47" t="s">
        <v>47</v>
      </c>
      <c r="B4" s="48" t="s">
        <v>38</v>
      </c>
      <c r="C4" s="48">
        <v>2024</v>
      </c>
      <c r="D4" s="48" t="s">
        <v>45</v>
      </c>
      <c r="E4" s="48" t="s">
        <v>40</v>
      </c>
      <c r="F4" s="49">
        <v>830</v>
      </c>
      <c r="G4" s="49">
        <v>700</v>
      </c>
      <c r="H4" s="48"/>
      <c r="I4" s="50">
        <v>0.83</v>
      </c>
      <c r="J4" s="48">
        <v>681</v>
      </c>
      <c r="K4" s="50">
        <v>0.03</v>
      </c>
      <c r="L4" s="48">
        <v>660</v>
      </c>
      <c r="M4" s="51"/>
      <c r="N4" s="51"/>
      <c r="O4" s="51" t="s">
        <v>48</v>
      </c>
      <c r="P4" s="51" t="s">
        <v>49</v>
      </c>
      <c r="Q4" s="51">
        <v>4.9000000000000004</v>
      </c>
    </row>
    <row r="5" spans="1:17" x14ac:dyDescent="0.25">
      <c r="A5" s="47" t="s">
        <v>51</v>
      </c>
      <c r="B5" s="48" t="s">
        <v>38</v>
      </c>
      <c r="C5" s="48">
        <v>2024</v>
      </c>
      <c r="D5" s="48" t="s">
        <v>45</v>
      </c>
      <c r="E5" s="48" t="s">
        <v>44</v>
      </c>
      <c r="F5" s="49">
        <v>830</v>
      </c>
      <c r="G5" s="49">
        <v>700</v>
      </c>
      <c r="H5" s="48">
        <v>670</v>
      </c>
      <c r="I5" s="50">
        <v>0.77</v>
      </c>
      <c r="J5" s="48">
        <v>516</v>
      </c>
      <c r="K5" s="50">
        <v>0.03</v>
      </c>
      <c r="L5" s="48">
        <v>500</v>
      </c>
      <c r="M5" s="51"/>
      <c r="N5" s="51"/>
      <c r="O5" s="51" t="s">
        <v>52</v>
      </c>
      <c r="P5" s="51"/>
      <c r="Q5" s="51">
        <v>5.9</v>
      </c>
    </row>
    <row r="6" spans="1:17" x14ac:dyDescent="0.25">
      <c r="A6" s="47" t="s">
        <v>54</v>
      </c>
      <c r="B6" s="48" t="s">
        <v>38</v>
      </c>
      <c r="C6" s="48">
        <v>2024</v>
      </c>
      <c r="D6" s="48" t="s">
        <v>55</v>
      </c>
      <c r="E6" s="48" t="s">
        <v>40</v>
      </c>
      <c r="F6" s="49">
        <v>850</v>
      </c>
      <c r="G6" s="49">
        <v>700</v>
      </c>
      <c r="H6" s="48"/>
      <c r="I6" s="50">
        <v>0.85</v>
      </c>
      <c r="J6" s="48">
        <v>710</v>
      </c>
      <c r="K6" s="50">
        <v>0.03</v>
      </c>
      <c r="L6" s="48">
        <v>688</v>
      </c>
      <c r="M6" s="51"/>
      <c r="N6" s="51"/>
      <c r="O6" s="51" t="s">
        <v>56</v>
      </c>
      <c r="P6" s="51"/>
      <c r="Q6" s="51">
        <v>8</v>
      </c>
    </row>
    <row r="7" spans="1:17" x14ac:dyDescent="0.25">
      <c r="A7" s="47" t="s">
        <v>58</v>
      </c>
      <c r="B7" s="48" t="s">
        <v>38</v>
      </c>
      <c r="C7" s="48">
        <v>2024</v>
      </c>
      <c r="D7" s="48" t="s">
        <v>39</v>
      </c>
      <c r="E7" s="48" t="s">
        <v>49</v>
      </c>
      <c r="F7" s="49">
        <v>900</v>
      </c>
      <c r="G7" s="49">
        <v>700</v>
      </c>
      <c r="H7" s="48">
        <v>720</v>
      </c>
      <c r="I7" s="65">
        <v>0.8</v>
      </c>
      <c r="J7" s="48">
        <v>576</v>
      </c>
      <c r="K7" s="50">
        <v>0.03</v>
      </c>
      <c r="L7" s="48">
        <v>559</v>
      </c>
      <c r="M7" s="51"/>
      <c r="N7" s="51"/>
      <c r="O7" s="51" t="s">
        <v>55</v>
      </c>
      <c r="P7" s="51"/>
      <c r="Q7" s="51">
        <v>10</v>
      </c>
    </row>
    <row r="8" spans="1:17" x14ac:dyDescent="0.25">
      <c r="A8" s="47" t="s">
        <v>60</v>
      </c>
      <c r="B8" s="48" t="s">
        <v>38</v>
      </c>
      <c r="C8" s="48">
        <v>2024</v>
      </c>
      <c r="D8" s="48"/>
      <c r="E8" s="48"/>
      <c r="F8" s="49"/>
      <c r="G8" s="49">
        <v>700</v>
      </c>
      <c r="H8" s="48"/>
      <c r="I8" s="49"/>
      <c r="J8" s="48"/>
      <c r="K8" s="49"/>
      <c r="L8" s="48"/>
      <c r="M8" s="51"/>
      <c r="N8" s="51"/>
      <c r="O8" s="51"/>
      <c r="P8" s="51"/>
      <c r="Q8" s="51">
        <v>12</v>
      </c>
    </row>
    <row r="9" spans="1:17" x14ac:dyDescent="0.25">
      <c r="A9" s="47" t="s">
        <v>60</v>
      </c>
      <c r="B9" s="48" t="s">
        <v>38</v>
      </c>
      <c r="C9" s="48">
        <v>2024</v>
      </c>
      <c r="D9" s="48"/>
      <c r="E9" s="48"/>
      <c r="F9" s="49"/>
      <c r="G9" s="49">
        <v>700</v>
      </c>
      <c r="H9" s="48"/>
      <c r="I9" s="49"/>
      <c r="J9" s="48"/>
      <c r="K9" s="49"/>
      <c r="L9" s="48"/>
      <c r="M9" s="51"/>
      <c r="N9" s="51"/>
      <c r="O9" s="51"/>
      <c r="P9" s="51"/>
      <c r="Q9" s="51">
        <v>15</v>
      </c>
    </row>
    <row r="10" spans="1:17" x14ac:dyDescent="0.25">
      <c r="A10" s="47" t="s">
        <v>61</v>
      </c>
      <c r="B10" s="48" t="s">
        <v>38</v>
      </c>
      <c r="C10" s="48">
        <v>2024</v>
      </c>
      <c r="D10" s="48" t="s">
        <v>39</v>
      </c>
      <c r="E10" s="48" t="s">
        <v>40</v>
      </c>
      <c r="F10" s="49">
        <v>900</v>
      </c>
      <c r="G10" s="49">
        <v>700</v>
      </c>
      <c r="H10" s="48"/>
      <c r="I10" s="50">
        <v>0.85</v>
      </c>
      <c r="J10" s="48">
        <v>723</v>
      </c>
      <c r="K10" s="50">
        <v>0.03</v>
      </c>
      <c r="L10" s="48">
        <v>701</v>
      </c>
      <c r="M10" s="51"/>
      <c r="N10" s="51"/>
      <c r="O10" s="51"/>
      <c r="P10" s="51"/>
      <c r="Q10" s="51">
        <v>19</v>
      </c>
    </row>
    <row r="11" spans="1:17" x14ac:dyDescent="0.25">
      <c r="A11" s="47" t="s">
        <v>43</v>
      </c>
      <c r="B11" s="48" t="s">
        <v>38</v>
      </c>
      <c r="C11" s="48">
        <v>2024</v>
      </c>
      <c r="D11" s="48" t="s">
        <v>39</v>
      </c>
      <c r="E11" s="48" t="s">
        <v>44</v>
      </c>
      <c r="F11" s="49">
        <v>900</v>
      </c>
      <c r="G11" s="49">
        <v>700</v>
      </c>
      <c r="H11" s="48">
        <v>670</v>
      </c>
      <c r="I11" s="50">
        <v>0.77</v>
      </c>
      <c r="J11" s="48">
        <v>516</v>
      </c>
      <c r="K11" s="50">
        <v>0.03</v>
      </c>
      <c r="L11" s="48">
        <v>500</v>
      </c>
      <c r="M11" s="51"/>
      <c r="N11" s="51"/>
      <c r="O11" s="51"/>
      <c r="P11" s="51"/>
      <c r="Q11" s="77" t="s">
        <v>10</v>
      </c>
    </row>
    <row r="12" spans="1:17" x14ac:dyDescent="0.25">
      <c r="A12" s="47" t="s">
        <v>62</v>
      </c>
      <c r="B12" s="48" t="s">
        <v>38</v>
      </c>
      <c r="C12" s="48">
        <v>2024</v>
      </c>
      <c r="D12" s="48" t="s">
        <v>45</v>
      </c>
      <c r="E12" s="48" t="s">
        <v>40</v>
      </c>
      <c r="F12" s="49">
        <v>830</v>
      </c>
      <c r="G12" s="49">
        <v>700</v>
      </c>
      <c r="H12" s="48"/>
      <c r="I12" s="50">
        <v>0.83</v>
      </c>
      <c r="J12" s="48">
        <v>681</v>
      </c>
      <c r="K12" s="50">
        <v>0.03</v>
      </c>
      <c r="L12" s="48">
        <v>660</v>
      </c>
      <c r="M12" s="51"/>
      <c r="N12" s="51"/>
      <c r="O12" s="51"/>
      <c r="P12" s="51"/>
      <c r="Q12" s="77" t="s">
        <v>9</v>
      </c>
    </row>
    <row r="13" spans="1:17" x14ac:dyDescent="0.25">
      <c r="A13" s="47" t="s">
        <v>63</v>
      </c>
      <c r="B13" s="48" t="s">
        <v>38</v>
      </c>
      <c r="C13" s="48">
        <v>2024</v>
      </c>
      <c r="D13" s="48" t="s">
        <v>45</v>
      </c>
      <c r="E13" s="48" t="s">
        <v>44</v>
      </c>
      <c r="F13" s="49">
        <v>830</v>
      </c>
      <c r="G13" s="49">
        <v>700</v>
      </c>
      <c r="H13" s="48">
        <v>670</v>
      </c>
      <c r="I13" s="50">
        <v>0.77</v>
      </c>
      <c r="J13" s="48">
        <v>516</v>
      </c>
      <c r="K13" s="50">
        <v>0.03</v>
      </c>
      <c r="L13" s="48">
        <v>500</v>
      </c>
      <c r="M13" s="51"/>
      <c r="N13" s="51"/>
      <c r="O13" s="51"/>
      <c r="P13" s="51"/>
      <c r="Q13" s="77" t="s">
        <v>64</v>
      </c>
    </row>
    <row r="14" spans="1:17" x14ac:dyDescent="0.25">
      <c r="A14" s="47" t="s">
        <v>65</v>
      </c>
      <c r="B14" s="48" t="s">
        <v>38</v>
      </c>
      <c r="C14" s="48">
        <v>2024</v>
      </c>
      <c r="D14" s="48" t="s">
        <v>55</v>
      </c>
      <c r="E14" s="48" t="s">
        <v>40</v>
      </c>
      <c r="F14" s="49">
        <v>850</v>
      </c>
      <c r="G14" s="49">
        <v>700</v>
      </c>
      <c r="H14" s="48"/>
      <c r="I14" s="50">
        <v>0.85</v>
      </c>
      <c r="J14" s="48">
        <v>710</v>
      </c>
      <c r="K14" s="50">
        <v>0.03</v>
      </c>
      <c r="L14" s="48">
        <v>688</v>
      </c>
      <c r="M14" s="51"/>
      <c r="N14" s="51"/>
      <c r="O14" s="51"/>
      <c r="P14" s="51"/>
      <c r="Q14" s="77" t="s">
        <v>66</v>
      </c>
    </row>
    <row r="15" spans="1:17" x14ac:dyDescent="0.25">
      <c r="A15" s="47" t="s">
        <v>67</v>
      </c>
      <c r="B15" s="48" t="s">
        <v>38</v>
      </c>
      <c r="C15" s="48">
        <v>2024</v>
      </c>
      <c r="D15" s="48" t="s">
        <v>39</v>
      </c>
      <c r="E15" s="48" t="s">
        <v>49</v>
      </c>
      <c r="F15" s="49">
        <v>900</v>
      </c>
      <c r="G15" s="49">
        <v>700</v>
      </c>
      <c r="H15" s="48">
        <v>720</v>
      </c>
      <c r="I15" s="65">
        <v>0.8</v>
      </c>
      <c r="J15" s="48">
        <v>576</v>
      </c>
      <c r="K15" s="50">
        <v>0.03</v>
      </c>
      <c r="L15" s="48">
        <v>559</v>
      </c>
      <c r="M15" s="51"/>
      <c r="N15" s="51"/>
      <c r="O15" s="51"/>
      <c r="P15" s="51"/>
      <c r="Q15" s="77" t="s">
        <v>68</v>
      </c>
    </row>
    <row r="16" spans="1:17" x14ac:dyDescent="0.25">
      <c r="A16" s="47" t="s">
        <v>69</v>
      </c>
      <c r="B16" s="48" t="s">
        <v>38</v>
      </c>
      <c r="C16" s="48">
        <v>2024</v>
      </c>
      <c r="D16" s="48"/>
      <c r="E16" s="48"/>
      <c r="F16" s="49"/>
      <c r="G16" s="49"/>
      <c r="H16" s="48"/>
      <c r="I16" s="49"/>
      <c r="J16" s="48"/>
      <c r="K16" s="49"/>
      <c r="L16" s="48"/>
      <c r="M16" s="51"/>
      <c r="N16" s="51"/>
      <c r="O16" s="51"/>
      <c r="P16" s="51"/>
      <c r="Q16" s="77" t="s">
        <v>70</v>
      </c>
    </row>
    <row r="17" spans="1:17" x14ac:dyDescent="0.25">
      <c r="A17" s="47" t="s">
        <v>69</v>
      </c>
      <c r="B17" s="48" t="s">
        <v>38</v>
      </c>
      <c r="C17" s="48">
        <v>2024</v>
      </c>
      <c r="D17" s="48"/>
      <c r="E17" s="48"/>
      <c r="F17" s="49"/>
      <c r="G17" s="49"/>
      <c r="H17" s="48"/>
      <c r="I17" s="49"/>
      <c r="J17" s="48"/>
      <c r="K17" s="49"/>
      <c r="L17" s="48"/>
      <c r="M17" s="51"/>
      <c r="N17" s="51"/>
      <c r="O17" s="51"/>
      <c r="P17" s="51"/>
      <c r="Q17" s="77" t="s">
        <v>71</v>
      </c>
    </row>
    <row r="18" spans="1:17" x14ac:dyDescent="0.25">
      <c r="A18" s="108" t="s">
        <v>72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51"/>
      <c r="N18" s="51"/>
      <c r="O18" s="51"/>
      <c r="P18" s="51"/>
      <c r="Q18" s="77" t="s">
        <v>7</v>
      </c>
    </row>
    <row r="19" spans="1:17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51"/>
      <c r="N19" s="51"/>
      <c r="O19" s="51"/>
      <c r="P19" s="51"/>
      <c r="Q19" s="51"/>
    </row>
    <row r="20" spans="1:17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51"/>
      <c r="N20" s="51"/>
      <c r="O20" s="51"/>
      <c r="P20" s="51"/>
      <c r="Q20" s="51"/>
    </row>
    <row r="21" spans="1:17" x14ac:dyDescent="0.2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51"/>
      <c r="N21" s="51"/>
      <c r="O21" s="51"/>
      <c r="P21" s="51"/>
      <c r="Q21" s="51"/>
    </row>
    <row r="22" spans="1:17" x14ac:dyDescent="0.25">
      <c r="A22" s="75"/>
      <c r="B22" s="76"/>
      <c r="C22" s="76"/>
      <c r="D22" s="76"/>
      <c r="E22" s="53"/>
      <c r="F22" s="76"/>
      <c r="G22" s="76"/>
      <c r="H22" s="76"/>
      <c r="I22" s="76"/>
      <c r="J22" s="76"/>
      <c r="K22" s="76"/>
      <c r="L22" s="76"/>
      <c r="M22" s="51"/>
      <c r="N22" s="51"/>
      <c r="O22" s="51"/>
      <c r="P22" s="51"/>
      <c r="Q22" s="51"/>
    </row>
    <row r="23" spans="1:17" x14ac:dyDescent="0.25">
      <c r="A23" s="47" t="s">
        <v>41</v>
      </c>
      <c r="B23" s="48" t="s">
        <v>38</v>
      </c>
      <c r="C23" s="48">
        <v>2021</v>
      </c>
      <c r="D23" s="48" t="s">
        <v>39</v>
      </c>
      <c r="E23" s="48" t="s">
        <v>40</v>
      </c>
      <c r="F23" s="49">
        <v>900</v>
      </c>
      <c r="G23" s="49">
        <v>850</v>
      </c>
      <c r="H23" s="48"/>
      <c r="I23" s="50">
        <v>0.85</v>
      </c>
      <c r="J23" s="48">
        <v>723</v>
      </c>
      <c r="K23" s="50">
        <v>0.03</v>
      </c>
      <c r="L23" s="48">
        <v>701</v>
      </c>
      <c r="M23" s="51"/>
      <c r="N23" s="51" t="s">
        <v>38</v>
      </c>
      <c r="O23" s="51" t="s">
        <v>39</v>
      </c>
      <c r="P23" s="51" t="s">
        <v>40</v>
      </c>
      <c r="Q23" s="51">
        <v>2.9</v>
      </c>
    </row>
    <row r="24" spans="1:17" x14ac:dyDescent="0.25">
      <c r="A24" s="47" t="s">
        <v>43</v>
      </c>
      <c r="B24" s="48" t="s">
        <v>38</v>
      </c>
      <c r="C24" s="48">
        <v>2021</v>
      </c>
      <c r="D24" s="48" t="s">
        <v>39</v>
      </c>
      <c r="E24" s="48" t="s">
        <v>44</v>
      </c>
      <c r="F24" s="49">
        <v>900</v>
      </c>
      <c r="G24" s="49">
        <v>750</v>
      </c>
      <c r="H24" s="48">
        <v>670</v>
      </c>
      <c r="I24" s="50">
        <v>0.77</v>
      </c>
      <c r="J24" s="48">
        <v>516</v>
      </c>
      <c r="K24" s="50">
        <v>0.03</v>
      </c>
      <c r="L24" s="48">
        <v>500</v>
      </c>
      <c r="M24" s="51"/>
      <c r="N24" s="51"/>
      <c r="O24" s="51" t="s">
        <v>45</v>
      </c>
      <c r="P24" s="51" t="s">
        <v>44</v>
      </c>
      <c r="Q24" s="51">
        <v>3.9</v>
      </c>
    </row>
    <row r="25" spans="1:17" x14ac:dyDescent="0.25">
      <c r="A25" s="47" t="s">
        <v>47</v>
      </c>
      <c r="B25" s="48" t="s">
        <v>38</v>
      </c>
      <c r="C25" s="48">
        <v>2021</v>
      </c>
      <c r="D25" s="48" t="s">
        <v>45</v>
      </c>
      <c r="E25" s="48" t="s">
        <v>40</v>
      </c>
      <c r="F25" s="49">
        <v>830</v>
      </c>
      <c r="G25" s="49">
        <v>820</v>
      </c>
      <c r="H25" s="48"/>
      <c r="I25" s="50">
        <v>0.83</v>
      </c>
      <c r="J25" s="48">
        <v>681</v>
      </c>
      <c r="K25" s="50">
        <v>0.03</v>
      </c>
      <c r="L25" s="48">
        <v>660</v>
      </c>
      <c r="M25" s="51"/>
      <c r="N25" s="51"/>
      <c r="O25" s="51" t="s">
        <v>48</v>
      </c>
      <c r="P25" s="51" t="s">
        <v>49</v>
      </c>
      <c r="Q25" s="51">
        <v>4.9000000000000004</v>
      </c>
    </row>
    <row r="26" spans="1:17" x14ac:dyDescent="0.25">
      <c r="A26" s="47" t="s">
        <v>51</v>
      </c>
      <c r="B26" s="48" t="s">
        <v>38</v>
      </c>
      <c r="C26" s="48">
        <v>2021</v>
      </c>
      <c r="D26" s="48" t="s">
        <v>45</v>
      </c>
      <c r="E26" s="48" t="s">
        <v>44</v>
      </c>
      <c r="F26" s="49">
        <v>830</v>
      </c>
      <c r="G26" s="49">
        <v>820</v>
      </c>
      <c r="H26" s="48">
        <v>670</v>
      </c>
      <c r="I26" s="50">
        <v>0.77</v>
      </c>
      <c r="J26" s="48">
        <v>516</v>
      </c>
      <c r="K26" s="50">
        <v>0.03</v>
      </c>
      <c r="L26" s="48">
        <v>500</v>
      </c>
      <c r="M26" s="51"/>
      <c r="N26" s="51"/>
      <c r="O26" s="51" t="s">
        <v>52</v>
      </c>
      <c r="P26" s="51"/>
      <c r="Q26" s="51">
        <v>5.9</v>
      </c>
    </row>
    <row r="27" spans="1:17" x14ac:dyDescent="0.25">
      <c r="A27" s="47" t="s">
        <v>54</v>
      </c>
      <c r="B27" s="48" t="s">
        <v>38</v>
      </c>
      <c r="C27" s="48">
        <v>2021</v>
      </c>
      <c r="D27" s="48" t="s">
        <v>55</v>
      </c>
      <c r="E27" s="48" t="s">
        <v>40</v>
      </c>
      <c r="F27" s="49">
        <v>850</v>
      </c>
      <c r="G27" s="49">
        <v>835</v>
      </c>
      <c r="H27" s="48"/>
      <c r="I27" s="50">
        <v>0.85</v>
      </c>
      <c r="J27" s="48">
        <v>710</v>
      </c>
      <c r="K27" s="50">
        <v>0.03</v>
      </c>
      <c r="L27" s="48">
        <v>688</v>
      </c>
      <c r="M27" s="51"/>
      <c r="N27" s="51"/>
      <c r="O27" s="51" t="s">
        <v>56</v>
      </c>
      <c r="P27" s="51"/>
      <c r="Q27" s="51">
        <v>8</v>
      </c>
    </row>
    <row r="28" spans="1:17" x14ac:dyDescent="0.25">
      <c r="A28" s="47" t="s">
        <v>58</v>
      </c>
      <c r="B28" s="48" t="s">
        <v>38</v>
      </c>
      <c r="C28" s="48">
        <v>2021</v>
      </c>
      <c r="D28" s="48" t="s">
        <v>39</v>
      </c>
      <c r="E28" s="48" t="s">
        <v>49</v>
      </c>
      <c r="F28" s="49">
        <v>900</v>
      </c>
      <c r="G28" s="49">
        <v>750</v>
      </c>
      <c r="H28" s="48">
        <v>720</v>
      </c>
      <c r="I28" s="65">
        <v>0.8</v>
      </c>
      <c r="J28" s="48">
        <v>576</v>
      </c>
      <c r="K28" s="50">
        <v>0.03</v>
      </c>
      <c r="L28" s="48">
        <v>559</v>
      </c>
      <c r="M28" s="51"/>
      <c r="N28" s="51"/>
      <c r="O28" s="51" t="s">
        <v>55</v>
      </c>
      <c r="P28" s="51"/>
      <c r="Q28" s="51">
        <v>10</v>
      </c>
    </row>
    <row r="29" spans="1:17" x14ac:dyDescent="0.25">
      <c r="A29" s="47" t="s">
        <v>60</v>
      </c>
      <c r="B29" s="48" t="s">
        <v>38</v>
      </c>
      <c r="C29" s="48">
        <v>2021</v>
      </c>
      <c r="D29" s="48"/>
      <c r="E29" s="48"/>
      <c r="F29" s="49"/>
      <c r="G29" s="49"/>
      <c r="H29" s="48"/>
      <c r="I29" s="49"/>
      <c r="J29" s="48"/>
      <c r="K29" s="49"/>
      <c r="L29" s="48"/>
      <c r="M29" s="51"/>
      <c r="N29" s="51"/>
      <c r="O29" s="51"/>
      <c r="P29" s="51"/>
      <c r="Q29" s="51">
        <v>12</v>
      </c>
    </row>
    <row r="30" spans="1:17" x14ac:dyDescent="0.25">
      <c r="A30" s="47" t="s">
        <v>60</v>
      </c>
      <c r="B30" s="48" t="s">
        <v>38</v>
      </c>
      <c r="C30" s="48">
        <v>2021</v>
      </c>
      <c r="D30" s="48"/>
      <c r="E30" s="48"/>
      <c r="F30" s="49"/>
      <c r="G30" s="49"/>
      <c r="H30" s="48"/>
      <c r="I30" s="49"/>
      <c r="J30" s="48"/>
      <c r="K30" s="49"/>
      <c r="L30" s="48"/>
      <c r="M30" s="51"/>
      <c r="N30" s="51"/>
      <c r="O30" s="51"/>
      <c r="P30" s="51"/>
      <c r="Q30" s="51">
        <v>15</v>
      </c>
    </row>
    <row r="31" spans="1:17" x14ac:dyDescent="0.25">
      <c r="A31" s="47" t="s">
        <v>61</v>
      </c>
      <c r="B31" s="48" t="s">
        <v>38</v>
      </c>
      <c r="C31" s="48">
        <v>2022</v>
      </c>
      <c r="D31" s="48" t="s">
        <v>39</v>
      </c>
      <c r="E31" s="48" t="s">
        <v>40</v>
      </c>
      <c r="F31" s="49">
        <v>900</v>
      </c>
      <c r="G31" s="49">
        <v>850</v>
      </c>
      <c r="H31" s="48"/>
      <c r="I31" s="50">
        <v>0.85</v>
      </c>
      <c r="J31" s="48">
        <v>723</v>
      </c>
      <c r="K31" s="50">
        <v>0.03</v>
      </c>
      <c r="L31" s="48">
        <v>701</v>
      </c>
      <c r="M31" s="51"/>
      <c r="N31" s="51"/>
      <c r="O31" s="51"/>
      <c r="P31" s="51"/>
      <c r="Q31" s="51">
        <v>19</v>
      </c>
    </row>
    <row r="32" spans="1:17" x14ac:dyDescent="0.25">
      <c r="A32" s="47" t="s">
        <v>43</v>
      </c>
      <c r="B32" s="48" t="s">
        <v>38</v>
      </c>
      <c r="C32" s="48">
        <v>2022</v>
      </c>
      <c r="D32" s="48" t="s">
        <v>39</v>
      </c>
      <c r="E32" s="48" t="s">
        <v>44</v>
      </c>
      <c r="F32" s="49">
        <v>900</v>
      </c>
      <c r="G32" s="49">
        <v>750</v>
      </c>
      <c r="H32" s="48">
        <v>670</v>
      </c>
      <c r="I32" s="50">
        <v>0.77</v>
      </c>
      <c r="J32" s="48">
        <v>516</v>
      </c>
      <c r="K32" s="50">
        <v>0.03</v>
      </c>
      <c r="L32" s="48">
        <v>500</v>
      </c>
      <c r="M32" s="51"/>
      <c r="N32" s="51"/>
      <c r="O32" s="51"/>
      <c r="P32" s="51"/>
      <c r="Q32" s="77" t="s">
        <v>10</v>
      </c>
    </row>
    <row r="33" spans="1:17" x14ac:dyDescent="0.25">
      <c r="A33" s="47" t="s">
        <v>62</v>
      </c>
      <c r="B33" s="48" t="s">
        <v>38</v>
      </c>
      <c r="C33" s="48">
        <v>2022</v>
      </c>
      <c r="D33" s="48" t="s">
        <v>45</v>
      </c>
      <c r="E33" s="48" t="s">
        <v>40</v>
      </c>
      <c r="F33" s="49">
        <v>830</v>
      </c>
      <c r="G33" s="49">
        <v>820</v>
      </c>
      <c r="H33" s="48"/>
      <c r="I33" s="50">
        <v>0.83</v>
      </c>
      <c r="J33" s="48">
        <v>681</v>
      </c>
      <c r="K33" s="50">
        <v>0.03</v>
      </c>
      <c r="L33" s="48">
        <v>660</v>
      </c>
      <c r="M33" s="51"/>
      <c r="N33" s="51"/>
      <c r="O33" s="51"/>
      <c r="P33" s="51"/>
      <c r="Q33" s="77" t="s">
        <v>9</v>
      </c>
    </row>
    <row r="34" spans="1:17" x14ac:dyDescent="0.25">
      <c r="A34" s="47" t="s">
        <v>63</v>
      </c>
      <c r="B34" s="48" t="s">
        <v>38</v>
      </c>
      <c r="C34" s="48">
        <v>2022</v>
      </c>
      <c r="D34" s="48" t="s">
        <v>45</v>
      </c>
      <c r="E34" s="48" t="s">
        <v>44</v>
      </c>
      <c r="F34" s="49">
        <v>830</v>
      </c>
      <c r="G34" s="49">
        <v>820</v>
      </c>
      <c r="H34" s="48">
        <v>670</v>
      </c>
      <c r="I34" s="50">
        <v>0.77</v>
      </c>
      <c r="J34" s="48">
        <v>516</v>
      </c>
      <c r="K34" s="50">
        <v>0.03</v>
      </c>
      <c r="L34" s="48">
        <v>500</v>
      </c>
      <c r="M34" s="51"/>
      <c r="N34" s="51"/>
      <c r="O34" s="51"/>
      <c r="P34" s="51"/>
      <c r="Q34" s="77" t="s">
        <v>64</v>
      </c>
    </row>
    <row r="35" spans="1:17" x14ac:dyDescent="0.25">
      <c r="A35" s="47" t="s">
        <v>65</v>
      </c>
      <c r="B35" s="48" t="s">
        <v>38</v>
      </c>
      <c r="C35" s="48">
        <v>2022</v>
      </c>
      <c r="D35" s="48" t="s">
        <v>55</v>
      </c>
      <c r="E35" s="48" t="s">
        <v>40</v>
      </c>
      <c r="F35" s="49">
        <v>850</v>
      </c>
      <c r="G35" s="49">
        <v>835</v>
      </c>
      <c r="H35" s="48"/>
      <c r="I35" s="50">
        <v>0.85</v>
      </c>
      <c r="J35" s="48">
        <v>710</v>
      </c>
      <c r="K35" s="50">
        <v>0.03</v>
      </c>
      <c r="L35" s="48">
        <v>688</v>
      </c>
      <c r="M35" s="51"/>
      <c r="N35" s="51"/>
      <c r="O35" s="51"/>
      <c r="P35" s="51"/>
      <c r="Q35" s="77" t="s">
        <v>66</v>
      </c>
    </row>
    <row r="36" spans="1:17" x14ac:dyDescent="0.25">
      <c r="A36" s="47" t="s">
        <v>67</v>
      </c>
      <c r="B36" s="48" t="s">
        <v>38</v>
      </c>
      <c r="C36" s="48">
        <v>2022</v>
      </c>
      <c r="D36" s="48" t="s">
        <v>39</v>
      </c>
      <c r="E36" s="48" t="s">
        <v>49</v>
      </c>
      <c r="F36" s="49">
        <v>900</v>
      </c>
      <c r="G36" s="49">
        <v>750</v>
      </c>
      <c r="H36" s="48">
        <v>720</v>
      </c>
      <c r="I36" s="65">
        <v>0.8</v>
      </c>
      <c r="J36" s="48">
        <v>576</v>
      </c>
      <c r="K36" s="50">
        <v>0.03</v>
      </c>
      <c r="L36" s="48">
        <v>559</v>
      </c>
      <c r="M36" s="51"/>
      <c r="N36" s="51"/>
      <c r="O36" s="51"/>
      <c r="P36" s="51"/>
      <c r="Q36" s="77" t="s">
        <v>68</v>
      </c>
    </row>
    <row r="37" spans="1:17" x14ac:dyDescent="0.25">
      <c r="A37" s="47" t="s">
        <v>69</v>
      </c>
      <c r="B37" s="48" t="s">
        <v>38</v>
      </c>
      <c r="C37" s="48">
        <v>2022</v>
      </c>
      <c r="D37" s="48"/>
      <c r="E37" s="48"/>
      <c r="F37" s="49"/>
      <c r="G37" s="49"/>
      <c r="H37" s="48"/>
      <c r="I37" s="49"/>
      <c r="J37" s="48"/>
      <c r="K37" s="49"/>
      <c r="L37" s="48"/>
      <c r="M37" s="51"/>
      <c r="N37" s="51"/>
      <c r="O37" s="51"/>
      <c r="P37" s="51"/>
      <c r="Q37" s="77" t="s">
        <v>70</v>
      </c>
    </row>
    <row r="38" spans="1:17" x14ac:dyDescent="0.25">
      <c r="A38" s="47" t="s">
        <v>69</v>
      </c>
      <c r="B38" s="48" t="s">
        <v>38</v>
      </c>
      <c r="C38" s="48">
        <v>2022</v>
      </c>
      <c r="D38" s="48"/>
      <c r="E38" s="48"/>
      <c r="F38" s="49"/>
      <c r="G38" s="49"/>
      <c r="H38" s="48"/>
      <c r="I38" s="49"/>
      <c r="J38" s="48"/>
      <c r="K38" s="49"/>
      <c r="L38" s="48"/>
      <c r="M38" s="51"/>
      <c r="N38" s="51"/>
      <c r="O38" s="51"/>
      <c r="P38" s="51"/>
      <c r="Q38" s="77" t="s">
        <v>71</v>
      </c>
    </row>
    <row r="39" spans="1:17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51"/>
      <c r="N39" s="51"/>
      <c r="O39" s="51"/>
      <c r="P39" s="51"/>
      <c r="Q39" s="77" t="s">
        <v>7</v>
      </c>
    </row>
    <row r="40" spans="1:17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51"/>
      <c r="N40" s="51"/>
      <c r="O40" s="51"/>
      <c r="P40" s="51"/>
      <c r="Q40" s="51"/>
    </row>
    <row r="41" spans="1:17" x14ac:dyDescent="0.25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51"/>
      <c r="N41" s="51"/>
      <c r="O41" s="51"/>
      <c r="P41" s="51"/>
      <c r="Q41" s="51"/>
    </row>
    <row r="42" spans="1:17" x14ac:dyDescent="0.25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51"/>
      <c r="N42" s="51"/>
      <c r="O42" s="51"/>
      <c r="P42" s="51"/>
      <c r="Q42" s="51"/>
    </row>
    <row r="43" spans="1:17" x14ac:dyDescent="0.25">
      <c r="A43" s="75"/>
      <c r="B43" s="76"/>
      <c r="C43" s="76"/>
      <c r="D43" s="76"/>
      <c r="E43" s="53"/>
      <c r="F43" s="76"/>
      <c r="G43" s="76"/>
      <c r="H43" s="76"/>
      <c r="I43" s="76"/>
      <c r="J43" s="76"/>
      <c r="K43" s="76"/>
      <c r="L43" s="76"/>
      <c r="M43" s="51"/>
      <c r="N43" s="51"/>
      <c r="O43" s="51"/>
      <c r="P43" s="51"/>
      <c r="Q43" s="51"/>
    </row>
    <row r="44" spans="1:17" x14ac:dyDescent="0.25">
      <c r="A44" s="75"/>
      <c r="B44" s="76"/>
      <c r="C44" s="76"/>
      <c r="D44" s="76"/>
      <c r="E44" s="53"/>
      <c r="F44" s="76"/>
      <c r="G44" s="76"/>
      <c r="H44" s="76"/>
      <c r="I44" s="76"/>
      <c r="J44" s="76"/>
      <c r="K44" s="76"/>
      <c r="L44" s="76"/>
      <c r="M44" s="51"/>
      <c r="N44" s="51"/>
      <c r="O44" s="51"/>
      <c r="P44" s="51"/>
      <c r="Q44" s="51"/>
    </row>
    <row r="45" spans="1:17" x14ac:dyDescent="0.25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51"/>
      <c r="N45" s="51"/>
      <c r="O45" s="51"/>
      <c r="P45" s="51"/>
      <c r="Q45" s="51"/>
    </row>
    <row r="46" spans="1:17" x14ac:dyDescent="0.25">
      <c r="A46" s="7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51"/>
      <c r="N46" s="51"/>
      <c r="O46" s="51"/>
      <c r="P46" s="51"/>
      <c r="Q46" s="51"/>
    </row>
    <row r="47" spans="1:17" x14ac:dyDescent="0.25">
      <c r="A47" s="7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51"/>
      <c r="N47" s="51"/>
      <c r="O47" s="51"/>
      <c r="P47" s="51"/>
      <c r="Q47" s="51"/>
    </row>
    <row r="48" spans="1:17" x14ac:dyDescent="0.25">
      <c r="A48" s="7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51"/>
      <c r="N48" s="51"/>
      <c r="O48" s="51"/>
      <c r="P48" s="51"/>
      <c r="Q48" s="51"/>
    </row>
    <row r="49" spans="1:17" x14ac:dyDescent="0.25">
      <c r="A49" s="7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51"/>
      <c r="N49" s="51"/>
      <c r="O49" s="51"/>
      <c r="P49" s="51"/>
      <c r="Q49" s="51"/>
    </row>
    <row r="50" spans="1:17" x14ac:dyDescent="0.2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51"/>
      <c r="N50" s="51"/>
      <c r="O50" s="51"/>
      <c r="P50" s="51"/>
      <c r="Q50" s="51"/>
    </row>
    <row r="51" spans="1:17" x14ac:dyDescent="0.25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51"/>
      <c r="N51" s="51"/>
      <c r="O51" s="51"/>
      <c r="P51" s="51"/>
      <c r="Q51" s="51"/>
    </row>
    <row r="52" spans="1:17" x14ac:dyDescent="0.25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51"/>
      <c r="N52" s="51"/>
      <c r="O52" s="51"/>
      <c r="P52" s="51"/>
      <c r="Q52" s="51"/>
    </row>
    <row r="53" spans="1:17" x14ac:dyDescent="0.25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51"/>
      <c r="N53" s="51"/>
      <c r="O53" s="51"/>
      <c r="P53" s="51"/>
      <c r="Q53" s="51"/>
    </row>
    <row r="54" spans="1:17" x14ac:dyDescent="0.25">
      <c r="A54" s="7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51"/>
      <c r="N54" s="51"/>
      <c r="O54" s="51"/>
      <c r="P54" s="51"/>
      <c r="Q54" s="51"/>
    </row>
    <row r="55" spans="1:17" x14ac:dyDescent="0.25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51"/>
      <c r="N55" s="51"/>
      <c r="O55" s="51"/>
      <c r="P55" s="51"/>
      <c r="Q55" s="51"/>
    </row>
    <row r="56" spans="1:17" x14ac:dyDescent="0.25">
      <c r="A56" s="7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51"/>
      <c r="N56" s="51"/>
      <c r="O56" s="51"/>
      <c r="P56" s="51"/>
      <c r="Q56" s="51"/>
    </row>
    <row r="57" spans="1:17" x14ac:dyDescent="0.25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51"/>
      <c r="N57" s="51"/>
      <c r="O57" s="51"/>
      <c r="P57" s="51"/>
      <c r="Q57" s="51"/>
    </row>
    <row r="58" spans="1:17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51"/>
      <c r="N58" s="51"/>
      <c r="O58" s="51"/>
      <c r="P58" s="51"/>
      <c r="Q58" s="51"/>
    </row>
    <row r="59" spans="1:17" x14ac:dyDescent="0.25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51"/>
      <c r="N59" s="51"/>
      <c r="O59" s="51"/>
      <c r="P59" s="51"/>
      <c r="Q59" s="51"/>
    </row>
    <row r="60" spans="1:17" x14ac:dyDescent="0.25">
      <c r="A60" s="7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51"/>
      <c r="N60" s="51"/>
      <c r="O60" s="51"/>
      <c r="P60" s="51"/>
      <c r="Q60" s="51"/>
    </row>
    <row r="61" spans="1:17" x14ac:dyDescent="0.25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51"/>
      <c r="N61" s="51"/>
      <c r="O61" s="51"/>
      <c r="P61" s="51"/>
      <c r="Q61" s="51"/>
    </row>
    <row r="62" spans="1:17" x14ac:dyDescent="0.25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51"/>
      <c r="N62" s="51"/>
      <c r="O62" s="51"/>
      <c r="P62" s="51"/>
      <c r="Q62" s="51"/>
    </row>
    <row r="63" spans="1:17" x14ac:dyDescent="0.25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51"/>
      <c r="N63" s="51"/>
      <c r="O63" s="51"/>
      <c r="P63" s="51"/>
      <c r="Q63" s="51"/>
    </row>
    <row r="64" spans="1:17" x14ac:dyDescent="0.25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51"/>
      <c r="N64" s="51"/>
      <c r="O64" s="51"/>
      <c r="P64" s="51"/>
      <c r="Q64" s="51"/>
    </row>
    <row r="65" spans="1:17" x14ac:dyDescent="0.25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51"/>
      <c r="N65" s="51"/>
      <c r="O65" s="51"/>
      <c r="P65" s="51"/>
      <c r="Q65" s="51"/>
    </row>
    <row r="66" spans="1:17" x14ac:dyDescent="0.25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51"/>
      <c r="N66" s="51"/>
      <c r="O66" s="51"/>
      <c r="P66" s="51"/>
      <c r="Q66" s="51"/>
    </row>
    <row r="67" spans="1:17" x14ac:dyDescent="0.25">
      <c r="A67" s="75"/>
      <c r="B67" s="76"/>
      <c r="C67" s="76"/>
      <c r="D67" s="53"/>
      <c r="E67" s="53"/>
      <c r="F67" s="53"/>
      <c r="G67" s="53"/>
      <c r="H67" s="53"/>
      <c r="I67" s="53"/>
      <c r="J67" s="53"/>
      <c r="K67" s="53"/>
      <c r="L67" s="53"/>
      <c r="M67" s="51"/>
      <c r="N67" s="51"/>
      <c r="O67" s="51"/>
      <c r="P67" s="51"/>
      <c r="Q67" s="51"/>
    </row>
    <row r="68" spans="1:17" x14ac:dyDescent="0.25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51"/>
      <c r="N68" s="51"/>
      <c r="O68" s="51"/>
      <c r="P68" s="51"/>
      <c r="Q68" s="51"/>
    </row>
    <row r="69" spans="1:17" x14ac:dyDescent="0.25">
      <c r="A69" s="75"/>
      <c r="B69" s="76"/>
      <c r="C69" s="76"/>
      <c r="D69" s="53"/>
      <c r="E69" s="53"/>
      <c r="F69" s="53"/>
      <c r="G69" s="53"/>
      <c r="H69" s="53"/>
      <c r="I69" s="53"/>
      <c r="J69" s="53"/>
      <c r="K69" s="53"/>
      <c r="L69" s="53"/>
      <c r="M69" s="51"/>
      <c r="N69" s="51"/>
      <c r="O69" s="51"/>
      <c r="P69" s="51"/>
      <c r="Q69" s="51"/>
    </row>
    <row r="70" spans="1:17" x14ac:dyDescent="0.25">
      <c r="A70" s="75"/>
      <c r="B70" s="76"/>
      <c r="C70" s="76"/>
      <c r="D70" s="53"/>
      <c r="E70" s="53"/>
      <c r="F70" s="53"/>
      <c r="G70" s="53"/>
      <c r="H70" s="53"/>
      <c r="I70" s="53"/>
      <c r="J70" s="53"/>
      <c r="K70" s="53"/>
      <c r="L70" s="53"/>
      <c r="M70" s="51"/>
      <c r="N70" s="51"/>
      <c r="O70" s="51"/>
      <c r="P70" s="51"/>
      <c r="Q70" s="51"/>
    </row>
    <row r="71" spans="1:17" x14ac:dyDescent="0.25">
      <c r="A71" s="75"/>
      <c r="B71" s="76"/>
      <c r="C71" s="76"/>
      <c r="D71" s="53"/>
      <c r="E71" s="53"/>
      <c r="F71" s="53"/>
      <c r="G71" s="53"/>
      <c r="H71" s="53"/>
      <c r="I71" s="53"/>
      <c r="J71" s="53"/>
      <c r="K71" s="53"/>
      <c r="L71" s="53"/>
      <c r="M71" s="51"/>
      <c r="N71" s="51"/>
      <c r="O71" s="51"/>
      <c r="P71" s="51"/>
      <c r="Q71" s="51"/>
    </row>
    <row r="72" spans="1:17" x14ac:dyDescent="0.25">
      <c r="A72" s="75"/>
      <c r="B72" s="76"/>
      <c r="C72" s="76"/>
      <c r="D72" s="53"/>
      <c r="E72" s="53"/>
      <c r="F72" s="53"/>
      <c r="G72" s="53"/>
      <c r="H72" s="53"/>
      <c r="I72" s="53"/>
      <c r="J72" s="53"/>
      <c r="K72" s="53"/>
      <c r="L72" s="53"/>
      <c r="M72" s="51"/>
      <c r="N72" s="51"/>
      <c r="O72" s="51"/>
      <c r="P72" s="51"/>
      <c r="Q72" s="51"/>
    </row>
    <row r="73" spans="1:17" x14ac:dyDescent="0.25">
      <c r="A73" s="75"/>
      <c r="B73" s="76"/>
      <c r="C73" s="76"/>
      <c r="D73" s="53"/>
      <c r="E73" s="53"/>
      <c r="F73" s="53"/>
      <c r="G73" s="53"/>
      <c r="H73" s="53"/>
      <c r="I73" s="53"/>
      <c r="J73" s="53"/>
      <c r="K73" s="53"/>
      <c r="L73" s="53"/>
      <c r="M73" s="51"/>
      <c r="N73" s="51"/>
      <c r="O73" s="51"/>
      <c r="P73" s="51"/>
      <c r="Q73" s="51"/>
    </row>
    <row r="74" spans="1:17" x14ac:dyDescent="0.25">
      <c r="A74" s="75"/>
      <c r="B74" s="76"/>
      <c r="C74" s="76"/>
      <c r="D74" s="53"/>
      <c r="E74" s="53"/>
      <c r="F74" s="53"/>
      <c r="G74" s="53"/>
      <c r="H74" s="53"/>
      <c r="I74" s="53"/>
      <c r="J74" s="53"/>
      <c r="K74" s="53"/>
      <c r="L74" s="53"/>
      <c r="M74" s="51"/>
      <c r="N74" s="51"/>
      <c r="O74" s="51"/>
      <c r="P74" s="51"/>
      <c r="Q74" s="51"/>
    </row>
    <row r="75" spans="1:17" x14ac:dyDescent="0.25">
      <c r="A75" s="75"/>
      <c r="B75" s="76"/>
      <c r="C75" s="76"/>
      <c r="D75" s="53"/>
      <c r="E75" s="53"/>
      <c r="F75" s="53"/>
      <c r="G75" s="53"/>
      <c r="H75" s="53"/>
      <c r="I75" s="53"/>
      <c r="J75" s="53"/>
      <c r="K75" s="53"/>
      <c r="L75" s="53"/>
      <c r="M75" s="51"/>
      <c r="N75" s="51"/>
      <c r="O75" s="51"/>
      <c r="P75" s="51"/>
      <c r="Q75" s="51"/>
    </row>
    <row r="76" spans="1:17" x14ac:dyDescent="0.25">
      <c r="A76" s="75"/>
      <c r="B76" s="76"/>
      <c r="C76" s="76"/>
      <c r="D76" s="53"/>
      <c r="E76" s="53"/>
      <c r="F76" s="53"/>
      <c r="G76" s="53"/>
      <c r="H76" s="53"/>
      <c r="I76" s="53"/>
      <c r="J76" s="53"/>
      <c r="K76" s="53"/>
      <c r="L76" s="53"/>
      <c r="M76" s="51"/>
      <c r="N76" s="51"/>
      <c r="O76" s="51"/>
      <c r="P76" s="51"/>
      <c r="Q76" s="51"/>
    </row>
    <row r="77" spans="1:17" x14ac:dyDescent="0.25">
      <c r="A77" s="75"/>
      <c r="B77" s="76"/>
      <c r="C77" s="76"/>
      <c r="D77" s="53"/>
      <c r="E77" s="53"/>
      <c r="F77" s="53"/>
      <c r="G77" s="53"/>
      <c r="H77" s="53"/>
      <c r="I77" s="53"/>
      <c r="J77" s="53"/>
      <c r="K77" s="53"/>
      <c r="L77" s="53"/>
      <c r="M77" s="51"/>
      <c r="N77" s="51"/>
      <c r="O77" s="51"/>
      <c r="P77" s="51"/>
      <c r="Q77" s="51"/>
    </row>
    <row r="78" spans="1:17" x14ac:dyDescent="0.25">
      <c r="A78" s="75"/>
      <c r="B78" s="76"/>
      <c r="C78" s="76"/>
      <c r="D78" s="53"/>
      <c r="E78" s="53"/>
      <c r="F78" s="53"/>
      <c r="G78" s="53"/>
      <c r="H78" s="53"/>
      <c r="I78" s="53"/>
      <c r="J78" s="53"/>
      <c r="K78" s="53"/>
      <c r="L78" s="53"/>
      <c r="M78" s="51"/>
      <c r="N78" s="51"/>
      <c r="O78" s="51"/>
      <c r="P78" s="51"/>
      <c r="Q78" s="51"/>
    </row>
    <row r="79" spans="1:17" x14ac:dyDescent="0.25">
      <c r="A79" s="75"/>
      <c r="B79" s="76"/>
      <c r="C79" s="76"/>
      <c r="D79" s="53"/>
      <c r="E79" s="53"/>
      <c r="F79" s="53"/>
      <c r="G79" s="53"/>
      <c r="H79" s="53"/>
      <c r="I79" s="53"/>
      <c r="J79" s="53"/>
      <c r="K79" s="53"/>
      <c r="L79" s="53"/>
      <c r="M79" s="51"/>
      <c r="N79" s="51"/>
      <c r="O79" s="51"/>
      <c r="P79" s="51"/>
      <c r="Q79" s="51"/>
    </row>
    <row r="80" spans="1:17" x14ac:dyDescent="0.25">
      <c r="A80" s="75"/>
      <c r="B80" s="76"/>
      <c r="C80" s="76"/>
      <c r="D80" s="53"/>
      <c r="E80" s="53"/>
      <c r="F80" s="53"/>
      <c r="G80" s="53"/>
      <c r="H80" s="53"/>
      <c r="I80" s="53"/>
      <c r="J80" s="53"/>
      <c r="K80" s="53"/>
      <c r="L80" s="53"/>
      <c r="M80" s="51"/>
      <c r="N80" s="51"/>
      <c r="O80" s="51"/>
      <c r="P80" s="51"/>
      <c r="Q80" s="51"/>
    </row>
    <row r="81" spans="1:17" x14ac:dyDescent="0.25">
      <c r="A81" s="75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51"/>
      <c r="N81" s="51"/>
      <c r="O81" s="51"/>
      <c r="P81" s="51"/>
      <c r="Q81" s="51"/>
    </row>
    <row r="82" spans="1:17" x14ac:dyDescent="0.25">
      <c r="A82" s="7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51"/>
      <c r="N82" s="51"/>
      <c r="O82" s="51"/>
      <c r="P82" s="51"/>
      <c r="Q82" s="51"/>
    </row>
    <row r="83" spans="1:17" x14ac:dyDescent="0.25">
      <c r="A83" s="75"/>
      <c r="B83" s="76"/>
      <c r="C83" s="76"/>
      <c r="D83" s="76"/>
      <c r="E83" s="53"/>
      <c r="F83" s="76"/>
      <c r="G83" s="76"/>
      <c r="H83" s="76"/>
      <c r="I83" s="76"/>
      <c r="J83" s="76"/>
      <c r="K83" s="76"/>
      <c r="L83" s="76"/>
      <c r="M83" s="51"/>
      <c r="N83" s="51"/>
      <c r="O83" s="51"/>
      <c r="P83" s="51"/>
      <c r="Q83" s="51"/>
    </row>
    <row r="84" spans="1:17" x14ac:dyDescent="0.25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51"/>
      <c r="N84" s="51"/>
      <c r="O84" s="51"/>
      <c r="P84" s="51"/>
      <c r="Q84" s="51"/>
    </row>
    <row r="85" spans="1:17" x14ac:dyDescent="0.25">
      <c r="A85" s="7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51"/>
      <c r="N85" s="51"/>
      <c r="O85" s="51"/>
      <c r="P85" s="51"/>
      <c r="Q85" s="51"/>
    </row>
    <row r="86" spans="1:17" x14ac:dyDescent="0.25">
      <c r="A86" s="75"/>
      <c r="B86" s="76"/>
      <c r="C86" s="76"/>
      <c r="D86" s="76"/>
      <c r="E86" s="53"/>
      <c r="F86" s="76"/>
      <c r="G86" s="76"/>
      <c r="H86" s="76"/>
      <c r="I86" s="76"/>
      <c r="J86" s="76"/>
      <c r="K86" s="76"/>
      <c r="L86" s="76"/>
      <c r="M86" s="51"/>
      <c r="N86" s="51"/>
      <c r="O86" s="51"/>
      <c r="P86" s="51"/>
      <c r="Q86" s="51"/>
    </row>
    <row r="87" spans="1:17" x14ac:dyDescent="0.25">
      <c r="A87" s="75"/>
      <c r="B87" s="76"/>
      <c r="C87" s="76"/>
      <c r="D87" s="76"/>
      <c r="E87" s="53"/>
      <c r="F87" s="76"/>
      <c r="G87" s="76"/>
      <c r="H87" s="76"/>
      <c r="I87" s="76"/>
      <c r="J87" s="76"/>
      <c r="K87" s="76"/>
      <c r="L87" s="76"/>
      <c r="M87" s="51"/>
      <c r="N87" s="51"/>
      <c r="O87" s="51"/>
      <c r="P87" s="51"/>
      <c r="Q87" s="51"/>
    </row>
    <row r="88" spans="1:17" x14ac:dyDescent="0.25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51"/>
      <c r="N88" s="51"/>
      <c r="O88" s="51"/>
      <c r="P88" s="51"/>
      <c r="Q88" s="51"/>
    </row>
    <row r="89" spans="1:17" x14ac:dyDescent="0.25">
      <c r="A89" s="53"/>
      <c r="B89" s="51"/>
      <c r="C89" s="51"/>
      <c r="D89" s="53"/>
      <c r="E89" s="53"/>
      <c r="F89" s="53"/>
      <c r="G89" s="53"/>
      <c r="H89" s="53"/>
      <c r="I89" s="53"/>
      <c r="J89" s="53"/>
      <c r="K89" s="53"/>
      <c r="L89" s="53"/>
      <c r="M89" s="51"/>
      <c r="N89" s="51"/>
      <c r="O89" s="51"/>
      <c r="P89" s="51"/>
      <c r="Q89" s="51"/>
    </row>
    <row r="90" spans="1:17" x14ac:dyDescent="0.25">
      <c r="A90" s="53"/>
      <c r="B90" s="51"/>
      <c r="C90" s="51"/>
      <c r="D90" s="53"/>
      <c r="E90" s="53"/>
      <c r="F90" s="53"/>
      <c r="G90" s="53"/>
      <c r="H90" s="53"/>
      <c r="I90" s="53"/>
      <c r="J90" s="53"/>
      <c r="K90" s="53"/>
      <c r="L90" s="53"/>
      <c r="M90" s="51"/>
      <c r="N90" s="51"/>
      <c r="O90" s="51"/>
      <c r="P90" s="51"/>
      <c r="Q90" s="51"/>
    </row>
    <row r="91" spans="1:17" x14ac:dyDescent="0.25">
      <c r="A91" s="53"/>
      <c r="B91" s="51"/>
      <c r="C91" s="51"/>
      <c r="D91" s="53"/>
      <c r="E91" s="53"/>
      <c r="F91" s="53"/>
      <c r="G91" s="53"/>
      <c r="H91" s="53"/>
      <c r="I91" s="53"/>
      <c r="J91" s="53"/>
      <c r="K91" s="53"/>
      <c r="L91" s="53"/>
      <c r="M91" s="51"/>
      <c r="N91" s="51"/>
      <c r="O91" s="51"/>
      <c r="P91" s="51"/>
      <c r="Q91" s="51"/>
    </row>
    <row r="92" spans="1:17" x14ac:dyDescent="0.25">
      <c r="A92" s="53"/>
      <c r="B92" s="51"/>
      <c r="C92" s="51"/>
      <c r="D92" s="53"/>
      <c r="E92" s="53"/>
      <c r="F92" s="53"/>
      <c r="G92" s="53"/>
      <c r="H92" s="53"/>
      <c r="I92" s="53"/>
      <c r="J92" s="53"/>
      <c r="K92" s="53"/>
      <c r="L92" s="53"/>
      <c r="M92" s="51"/>
      <c r="N92" s="51"/>
      <c r="O92" s="51"/>
      <c r="P92" s="51"/>
      <c r="Q92" s="51"/>
    </row>
    <row r="93" spans="1:17" x14ac:dyDescent="0.25">
      <c r="A93" s="53"/>
      <c r="B93" s="51"/>
      <c r="C93" s="51"/>
      <c r="D93" s="53"/>
      <c r="E93" s="53"/>
      <c r="F93" s="53"/>
      <c r="G93" s="53"/>
      <c r="H93" s="53"/>
      <c r="I93" s="53"/>
      <c r="J93" s="53"/>
      <c r="K93" s="53"/>
      <c r="L93" s="53"/>
      <c r="M93" s="51"/>
      <c r="N93" s="51"/>
      <c r="O93" s="51"/>
      <c r="P93" s="51"/>
      <c r="Q93" s="51"/>
    </row>
    <row r="94" spans="1:17" x14ac:dyDescent="0.25">
      <c r="A94" s="53"/>
      <c r="B94" s="51"/>
      <c r="C94" s="51"/>
      <c r="D94" s="53"/>
      <c r="E94" s="53"/>
      <c r="F94" s="53"/>
      <c r="G94" s="53"/>
      <c r="H94" s="53"/>
      <c r="I94" s="53"/>
      <c r="J94" s="53"/>
      <c r="K94" s="53"/>
      <c r="L94" s="53"/>
      <c r="M94" s="51"/>
      <c r="N94" s="51"/>
      <c r="O94" s="51"/>
      <c r="P94" s="51"/>
      <c r="Q94" s="51"/>
    </row>
    <row r="95" spans="1:17" x14ac:dyDescent="0.25">
      <c r="A95" s="53"/>
      <c r="B95" s="51"/>
      <c r="C95" s="51"/>
      <c r="D95" s="53"/>
      <c r="E95" s="53"/>
      <c r="F95" s="53"/>
      <c r="G95" s="53"/>
      <c r="H95" s="53"/>
      <c r="I95" s="53"/>
      <c r="J95" s="53"/>
      <c r="K95" s="53"/>
      <c r="L95" s="53"/>
      <c r="M95" s="51"/>
      <c r="N95" s="51"/>
      <c r="O95" s="51"/>
      <c r="P95" s="51"/>
      <c r="Q95" s="51"/>
    </row>
    <row r="96" spans="1:17" x14ac:dyDescent="0.25">
      <c r="A96" s="53"/>
      <c r="B96" s="51"/>
      <c r="C96" s="51"/>
      <c r="D96" s="53"/>
      <c r="E96" s="53"/>
      <c r="F96" s="53"/>
      <c r="G96" s="53"/>
      <c r="H96" s="53"/>
      <c r="I96" s="53"/>
      <c r="J96" s="53"/>
      <c r="K96" s="53"/>
      <c r="L96" s="53"/>
      <c r="M96" s="51"/>
      <c r="N96" s="51"/>
      <c r="O96" s="51"/>
      <c r="P96" s="51"/>
      <c r="Q96" s="51"/>
    </row>
    <row r="97" spans="1:17" x14ac:dyDescent="0.25">
      <c r="A97" s="53"/>
      <c r="B97" s="51"/>
      <c r="C97" s="51"/>
      <c r="D97" s="53"/>
      <c r="E97" s="53"/>
      <c r="F97" s="53"/>
      <c r="G97" s="53"/>
      <c r="H97" s="53"/>
      <c r="I97" s="53"/>
      <c r="J97" s="53"/>
      <c r="K97" s="53"/>
      <c r="L97" s="53"/>
      <c r="M97" s="51"/>
      <c r="N97" s="51"/>
      <c r="O97" s="51"/>
      <c r="P97" s="51"/>
      <c r="Q97" s="51"/>
    </row>
    <row r="98" spans="1:17" x14ac:dyDescent="0.25">
      <c r="A98" s="53"/>
      <c r="B98" s="51"/>
      <c r="C98" s="51"/>
      <c r="D98" s="53"/>
      <c r="E98" s="53"/>
      <c r="F98" s="53"/>
      <c r="G98" s="53"/>
      <c r="H98" s="53"/>
      <c r="I98" s="53"/>
      <c r="J98" s="53"/>
      <c r="K98" s="53"/>
      <c r="L98" s="53"/>
      <c r="M98" s="51"/>
      <c r="N98" s="51"/>
      <c r="O98" s="51"/>
      <c r="P98" s="51"/>
      <c r="Q98" s="51"/>
    </row>
    <row r="99" spans="1:17" x14ac:dyDescent="0.25">
      <c r="A99" s="53"/>
      <c r="B99" s="51"/>
      <c r="C99" s="51"/>
      <c r="D99" s="53"/>
      <c r="E99" s="53"/>
      <c r="F99" s="53"/>
      <c r="G99" s="53"/>
      <c r="H99" s="53"/>
      <c r="I99" s="53"/>
      <c r="J99" s="53"/>
      <c r="K99" s="53"/>
      <c r="L99" s="53"/>
      <c r="M99" s="51"/>
      <c r="N99" s="51"/>
      <c r="O99" s="51"/>
      <c r="P99" s="51"/>
      <c r="Q99" s="51"/>
    </row>
    <row r="100" spans="1:17" x14ac:dyDescent="0.25">
      <c r="A100" s="53"/>
      <c r="B100" s="51"/>
      <c r="C100" s="51"/>
      <c r="D100" s="53"/>
      <c r="E100" s="53"/>
      <c r="F100" s="53"/>
      <c r="G100" s="53"/>
      <c r="H100" s="53"/>
      <c r="I100" s="53"/>
      <c r="J100" s="53"/>
      <c r="K100" s="53"/>
      <c r="L100" s="53"/>
      <c r="M100" s="51"/>
      <c r="N100" s="51"/>
      <c r="O100" s="51"/>
      <c r="P100" s="51"/>
      <c r="Q100" s="51"/>
    </row>
    <row r="101" spans="1:17" x14ac:dyDescent="0.25">
      <c r="A101" s="53"/>
      <c r="B101" s="51"/>
      <c r="C101" s="51"/>
      <c r="D101" s="53"/>
      <c r="E101" s="53"/>
      <c r="F101" s="53"/>
      <c r="G101" s="53"/>
      <c r="H101" s="53"/>
      <c r="I101" s="53"/>
      <c r="J101" s="53"/>
      <c r="K101" s="53"/>
      <c r="L101" s="53"/>
      <c r="M101" s="51"/>
      <c r="N101" s="51"/>
      <c r="O101" s="51"/>
      <c r="P101" s="51"/>
      <c r="Q101" s="51"/>
    </row>
    <row r="102" spans="1:17" x14ac:dyDescent="0.25">
      <c r="A102" s="53"/>
      <c r="B102" s="51"/>
      <c r="C102" s="226"/>
      <c r="D102" s="226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spans="1:17" x14ac:dyDescent="0.25">
      <c r="A103" s="53"/>
      <c r="B103" s="51"/>
      <c r="C103" s="226"/>
      <c r="D103" s="226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</row>
    <row r="104" spans="1:17" x14ac:dyDescent="0.25">
      <c r="A104" s="53"/>
      <c r="B104" s="51"/>
      <c r="C104" s="226"/>
      <c r="D104" s="226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</row>
    <row r="105" spans="1:17" x14ac:dyDescent="0.25">
      <c r="A105" s="53"/>
      <c r="B105" s="51"/>
      <c r="C105" s="226"/>
      <c r="D105" s="226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</row>
    <row r="106" spans="1:17" x14ac:dyDescent="0.25">
      <c r="A106" s="53"/>
      <c r="B106" s="51"/>
      <c r="C106" s="226"/>
      <c r="D106" s="226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spans="1:17" x14ac:dyDescent="0.25">
      <c r="A107" s="53"/>
      <c r="B107" s="51"/>
      <c r="C107" s="226"/>
      <c r="D107" s="226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</row>
    <row r="108" spans="1:17" x14ac:dyDescent="0.25">
      <c r="A108" s="53"/>
      <c r="B108" s="51"/>
      <c r="C108" s="226"/>
      <c r="D108" s="226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</row>
    <row r="109" spans="1:17" x14ac:dyDescent="0.25">
      <c r="A109" s="53"/>
      <c r="B109" s="51"/>
      <c r="C109" s="226"/>
      <c r="D109" s="226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</row>
    <row r="110" spans="1:17" x14ac:dyDescent="0.25">
      <c r="A110" s="53"/>
      <c r="B110" s="53"/>
      <c r="C110" s="53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</row>
    <row r="111" spans="1:17" x14ac:dyDescent="0.25">
      <c r="A111" s="53"/>
      <c r="B111" s="53"/>
      <c r="C111" s="53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</row>
    <row r="112" spans="1:17" x14ac:dyDescent="0.25">
      <c r="A112" s="53"/>
      <c r="B112" s="53"/>
      <c r="C112" s="53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</row>
    <row r="113" spans="1:17" x14ac:dyDescent="0.25">
      <c r="A113" s="53"/>
      <c r="B113" s="53"/>
      <c r="C113" s="53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</row>
    <row r="114" spans="1:17" x14ac:dyDescent="0.25">
      <c r="A114" s="53"/>
      <c r="B114" s="53"/>
      <c r="C114" s="53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</row>
    <row r="115" spans="1:17" x14ac:dyDescent="0.25">
      <c r="A115" s="53"/>
      <c r="B115" s="53"/>
      <c r="C115" s="53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</row>
    <row r="116" spans="1:17" x14ac:dyDescent="0.25">
      <c r="A116" s="53"/>
      <c r="B116" s="53"/>
      <c r="C116" s="53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</row>
    <row r="117" spans="1:17" x14ac:dyDescent="0.25">
      <c r="A117" s="53"/>
      <c r="B117" s="53"/>
      <c r="C117" s="53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</row>
    <row r="118" spans="1:17" x14ac:dyDescent="0.25">
      <c r="A118" s="53"/>
      <c r="B118" s="51"/>
      <c r="C118" s="226"/>
      <c r="D118" s="226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spans="1:17" x14ac:dyDescent="0.25">
      <c r="A119" s="53"/>
      <c r="B119" s="51"/>
      <c r="C119" s="226"/>
      <c r="D119" s="226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spans="1:17" x14ac:dyDescent="0.25">
      <c r="A120" s="53"/>
      <c r="B120" s="51"/>
      <c r="C120" s="226"/>
      <c r="D120" s="226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1" spans="1:17" x14ac:dyDescent="0.25">
      <c r="A121" s="53"/>
      <c r="B121" s="51"/>
      <c r="C121" s="226"/>
      <c r="D121" s="226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spans="1:17" x14ac:dyDescent="0.25">
      <c r="A122" s="53"/>
      <c r="B122" s="51"/>
      <c r="C122" s="226"/>
      <c r="D122" s="226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</row>
    <row r="123" spans="1:17" x14ac:dyDescent="0.25">
      <c r="A123" s="53"/>
      <c r="B123" s="51"/>
      <c r="C123" s="226"/>
      <c r="D123" s="226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</row>
    <row r="124" spans="1:17" x14ac:dyDescent="0.25">
      <c r="A124" s="53"/>
      <c r="B124" s="51"/>
      <c r="C124" s="226"/>
      <c r="D124" s="226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spans="1:17" x14ac:dyDescent="0.25">
      <c r="A125" s="53"/>
      <c r="B125" s="51"/>
      <c r="C125" s="226"/>
      <c r="D125" s="226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</row>
    <row r="126" spans="1:17" x14ac:dyDescent="0.25">
      <c r="A126" s="53"/>
      <c r="B126" s="51"/>
      <c r="C126" s="226"/>
      <c r="D126" s="226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</row>
    <row r="127" spans="1:17" x14ac:dyDescent="0.25">
      <c r="A127" s="53"/>
      <c r="B127" s="51"/>
      <c r="C127" s="226"/>
      <c r="D127" s="226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</row>
    <row r="128" spans="1:17" x14ac:dyDescent="0.25">
      <c r="A128" s="53"/>
      <c r="B128" s="51"/>
      <c r="C128" s="226"/>
      <c r="D128" s="226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</row>
    <row r="129" spans="1:17" x14ac:dyDescent="0.25">
      <c r="A129" s="53"/>
      <c r="B129" s="51"/>
      <c r="C129" s="226"/>
      <c r="D129" s="226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</row>
    <row r="130" spans="1:17" x14ac:dyDescent="0.25">
      <c r="A130" s="53"/>
      <c r="B130" s="51"/>
      <c r="C130" s="226"/>
      <c r="D130" s="226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spans="1:17" x14ac:dyDescent="0.25">
      <c r="A131" s="53"/>
      <c r="B131" s="51"/>
      <c r="C131" s="226"/>
      <c r="D131" s="226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</row>
    <row r="132" spans="1:17" x14ac:dyDescent="0.25">
      <c r="A132" s="53"/>
      <c r="B132" s="51"/>
      <c r="C132" s="226"/>
      <c r="D132" s="226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</row>
    <row r="133" spans="1:17" x14ac:dyDescent="0.25">
      <c r="A133" s="53"/>
      <c r="B133" s="51"/>
      <c r="C133" s="226"/>
      <c r="D133" s="226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</row>
    <row r="134" spans="1:17" x14ac:dyDescent="0.25">
      <c r="A134" s="53"/>
      <c r="B134" s="51"/>
      <c r="C134" s="226"/>
      <c r="D134" s="226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</row>
    <row r="135" spans="1:17" x14ac:dyDescent="0.25">
      <c r="A135" s="53"/>
      <c r="B135" s="51"/>
      <c r="C135" s="226"/>
      <c r="D135" s="226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</row>
    <row r="136" spans="1:17" x14ac:dyDescent="0.25">
      <c r="A136" s="53"/>
      <c r="B136" s="51"/>
      <c r="C136" s="226"/>
      <c r="D136" s="226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</row>
    <row r="137" spans="1:17" x14ac:dyDescent="0.25">
      <c r="A137" s="53"/>
      <c r="B137" s="51"/>
      <c r="C137" s="226"/>
      <c r="D137" s="226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</row>
    <row r="138" spans="1:17" x14ac:dyDescent="0.25">
      <c r="A138" s="53"/>
      <c r="B138" s="51"/>
      <c r="C138" s="226"/>
      <c r="D138" s="226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</row>
    <row r="139" spans="1:17" x14ac:dyDescent="0.25">
      <c r="A139" s="53"/>
      <c r="B139" s="51"/>
      <c r="C139" s="226"/>
      <c r="D139" s="226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</row>
    <row r="140" spans="1:17" x14ac:dyDescent="0.25">
      <c r="A140" s="53"/>
      <c r="B140" s="51"/>
      <c r="C140" s="226"/>
      <c r="D140" s="226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</row>
    <row r="141" spans="1:17" x14ac:dyDescent="0.25">
      <c r="A141" s="53"/>
      <c r="B141" s="51"/>
      <c r="C141" s="226"/>
      <c r="D141" s="226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</row>
    <row r="142" spans="1:17" x14ac:dyDescent="0.25">
      <c r="A142" s="53"/>
      <c r="B142" s="51"/>
      <c r="C142" s="226"/>
      <c r="D142" s="226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</row>
    <row r="143" spans="1:17" x14ac:dyDescent="0.25">
      <c r="A143" s="53"/>
      <c r="B143" s="51"/>
      <c r="C143" s="226"/>
      <c r="D143" s="226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</row>
    <row r="144" spans="1:17" x14ac:dyDescent="0.25">
      <c r="A144" s="53"/>
      <c r="B144" s="51"/>
      <c r="C144" s="226"/>
      <c r="D144" s="226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</row>
    <row r="145" spans="1:17" x14ac:dyDescent="0.25">
      <c r="A145" s="53"/>
      <c r="B145" s="51"/>
      <c r="C145" s="226"/>
      <c r="D145" s="226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</row>
    <row r="146" spans="1:17" x14ac:dyDescent="0.25">
      <c r="A146" s="53"/>
      <c r="B146" s="51"/>
      <c r="C146" s="226"/>
      <c r="D146" s="226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</row>
    <row r="147" spans="1:17" x14ac:dyDescent="0.25">
      <c r="A147" s="53"/>
      <c r="B147" s="51"/>
      <c r="C147" s="226"/>
      <c r="D147" s="226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</row>
    <row r="148" spans="1:17" x14ac:dyDescent="0.25">
      <c r="A148" s="53"/>
      <c r="B148" s="51"/>
      <c r="C148" s="226"/>
      <c r="D148" s="226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</row>
    <row r="149" spans="1:17" x14ac:dyDescent="0.25">
      <c r="A149" s="53"/>
      <c r="B149" s="51"/>
      <c r="C149" s="226"/>
      <c r="D149" s="226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</row>
    <row r="150" spans="1:17" x14ac:dyDescent="0.25">
      <c r="A150" s="53"/>
      <c r="B150" s="51"/>
      <c r="C150" s="226"/>
      <c r="D150" s="226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</row>
    <row r="151" spans="1:17" x14ac:dyDescent="0.25">
      <c r="A151" s="53"/>
      <c r="B151" s="51"/>
      <c r="C151" s="226"/>
      <c r="D151" s="226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</row>
    <row r="152" spans="1:17" x14ac:dyDescent="0.25">
      <c r="A152" s="53"/>
      <c r="B152" s="51"/>
      <c r="C152" s="226"/>
      <c r="D152" s="226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</row>
    <row r="153" spans="1:17" x14ac:dyDescent="0.25">
      <c r="A153" s="53"/>
      <c r="B153" s="51"/>
      <c r="C153" s="226"/>
      <c r="D153" s="226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</row>
    <row r="154" spans="1:17" x14ac:dyDescent="0.25">
      <c r="A154" s="53"/>
      <c r="B154" s="51"/>
      <c r="C154" s="226"/>
      <c r="D154" s="226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</row>
    <row r="155" spans="1:17" x14ac:dyDescent="0.25">
      <c r="A155" s="53"/>
      <c r="B155" s="51"/>
      <c r="C155" s="226"/>
      <c r="D155" s="226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</row>
    <row r="156" spans="1:17" x14ac:dyDescent="0.25">
      <c r="A156" s="53"/>
      <c r="B156" s="51"/>
      <c r="C156" s="226"/>
      <c r="D156" s="226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</row>
    <row r="157" spans="1:17" x14ac:dyDescent="0.25">
      <c r="A157" s="53"/>
      <c r="B157" s="51"/>
      <c r="C157" s="226"/>
      <c r="D157" s="226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</row>
    <row r="158" spans="1:17" x14ac:dyDescent="0.25">
      <c r="A158" s="53"/>
      <c r="B158" s="51"/>
      <c r="C158" s="226"/>
      <c r="D158" s="226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</row>
    <row r="159" spans="1:17" x14ac:dyDescent="0.25">
      <c r="A159" s="53"/>
      <c r="B159" s="51"/>
      <c r="C159" s="226"/>
      <c r="D159" s="226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</row>
    <row r="160" spans="1:17" x14ac:dyDescent="0.25">
      <c r="A160" s="53"/>
      <c r="B160" s="51"/>
      <c r="C160" s="226"/>
      <c r="D160" s="226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</row>
    <row r="161" spans="1:17" x14ac:dyDescent="0.25">
      <c r="A161" s="53"/>
      <c r="B161" s="51"/>
      <c r="C161" s="226"/>
      <c r="D161" s="226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</row>
    <row r="162" spans="1:17" x14ac:dyDescent="0.25">
      <c r="A162" s="53"/>
      <c r="B162" s="51"/>
      <c r="C162" s="226"/>
      <c r="D162" s="226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</row>
    <row r="163" spans="1:17" x14ac:dyDescent="0.25">
      <c r="A163" s="53"/>
      <c r="B163" s="51"/>
      <c r="C163" s="226"/>
      <c r="D163" s="226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</row>
    <row r="164" spans="1:17" x14ac:dyDescent="0.25">
      <c r="A164" s="53"/>
      <c r="B164" s="51"/>
      <c r="C164" s="226"/>
      <c r="D164" s="226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</row>
    <row r="165" spans="1:17" x14ac:dyDescent="0.25">
      <c r="A165" s="53"/>
      <c r="B165" s="51"/>
      <c r="C165" s="226"/>
      <c r="D165" s="226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</row>
    <row r="166" spans="1:17" x14ac:dyDescent="0.25">
      <c r="A166" s="53"/>
      <c r="B166" s="51"/>
      <c r="C166" s="226"/>
      <c r="D166" s="226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</row>
    <row r="167" spans="1:17" x14ac:dyDescent="0.25">
      <c r="A167" s="53"/>
      <c r="B167" s="51"/>
      <c r="C167" s="226"/>
      <c r="D167" s="226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</row>
    <row r="168" spans="1:17" x14ac:dyDescent="0.25">
      <c r="A168" s="53"/>
      <c r="B168" s="51"/>
      <c r="C168" s="226"/>
      <c r="D168" s="226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</row>
    <row r="169" spans="1:17" x14ac:dyDescent="0.25">
      <c r="A169" s="53"/>
      <c r="B169" s="51"/>
      <c r="C169" s="226"/>
      <c r="D169" s="226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</row>
    <row r="170" spans="1:17" x14ac:dyDescent="0.25">
      <c r="A170" s="53"/>
      <c r="B170" s="51"/>
      <c r="C170" s="226"/>
      <c r="D170" s="226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</row>
    <row r="171" spans="1:17" x14ac:dyDescent="0.25">
      <c r="A171" s="53"/>
      <c r="B171" s="51"/>
      <c r="C171" s="226"/>
      <c r="D171" s="226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</row>
    <row r="172" spans="1:17" x14ac:dyDescent="0.25">
      <c r="A172" s="53"/>
      <c r="B172" s="51"/>
      <c r="C172" s="226"/>
      <c r="D172" s="226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</row>
    <row r="173" spans="1:17" x14ac:dyDescent="0.25">
      <c r="A173" s="53"/>
      <c r="B173" s="51"/>
      <c r="C173" s="226"/>
      <c r="D173" s="226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</row>
    <row r="174" spans="1:17" x14ac:dyDescent="0.25">
      <c r="A174" s="53"/>
      <c r="B174" s="51"/>
      <c r="C174" s="226"/>
      <c r="D174" s="226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</row>
    <row r="175" spans="1:17" x14ac:dyDescent="0.25">
      <c r="A175" s="53"/>
      <c r="B175" s="51"/>
      <c r="C175" s="226"/>
      <c r="D175" s="226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</row>
    <row r="176" spans="1:17" x14ac:dyDescent="0.25">
      <c r="A176" s="53"/>
      <c r="B176" s="51"/>
      <c r="C176" s="226"/>
      <c r="D176" s="226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</row>
    <row r="177" spans="1:17" x14ac:dyDescent="0.25">
      <c r="A177" s="53"/>
      <c r="B177" s="51"/>
      <c r="C177" s="226"/>
      <c r="D177" s="226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</row>
    <row r="178" spans="1:17" x14ac:dyDescent="0.25">
      <c r="A178" s="53"/>
      <c r="B178" s="51"/>
      <c r="C178" s="226"/>
      <c r="D178" s="226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</row>
    <row r="179" spans="1:17" x14ac:dyDescent="0.25">
      <c r="A179" s="53"/>
      <c r="B179" s="51"/>
      <c r="C179" s="226"/>
      <c r="D179" s="226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</row>
    <row r="180" spans="1:17" x14ac:dyDescent="0.25">
      <c r="A180" s="53"/>
      <c r="B180" s="51"/>
      <c r="C180" s="226"/>
      <c r="D180" s="226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</row>
    <row r="181" spans="1:17" x14ac:dyDescent="0.25">
      <c r="A181" s="53"/>
      <c r="B181" s="51"/>
      <c r="C181" s="226"/>
      <c r="D181" s="226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</row>
    <row r="182" spans="1:17" x14ac:dyDescent="0.25">
      <c r="A182" s="53"/>
      <c r="B182" s="51"/>
      <c r="C182" s="226"/>
      <c r="D182" s="226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</row>
    <row r="183" spans="1:17" x14ac:dyDescent="0.25">
      <c r="A183" s="53"/>
      <c r="B183" s="51"/>
      <c r="C183" s="226"/>
      <c r="D183" s="226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</row>
    <row r="184" spans="1:17" x14ac:dyDescent="0.25">
      <c r="A184" s="53"/>
      <c r="B184" s="51"/>
      <c r="C184" s="226"/>
      <c r="D184" s="226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</row>
    <row r="185" spans="1:17" x14ac:dyDescent="0.25">
      <c r="A185" s="53"/>
      <c r="B185" s="51"/>
      <c r="C185" s="226"/>
      <c r="D185" s="226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</row>
    <row r="186" spans="1:17" x14ac:dyDescent="0.25">
      <c r="A186" s="53"/>
      <c r="B186" s="51"/>
      <c r="C186" s="226"/>
      <c r="D186" s="226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</row>
    <row r="187" spans="1:17" x14ac:dyDescent="0.25">
      <c r="A187" s="53"/>
      <c r="B187" s="51"/>
      <c r="C187" s="226"/>
      <c r="D187" s="226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</row>
    <row r="188" spans="1:17" x14ac:dyDescent="0.25">
      <c r="A188" s="53"/>
      <c r="B188" s="51"/>
      <c r="C188" s="226"/>
      <c r="D188" s="226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</row>
    <row r="189" spans="1:17" x14ac:dyDescent="0.25">
      <c r="A189" s="53"/>
      <c r="B189" s="51"/>
      <c r="C189" s="226"/>
      <c r="D189" s="226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</row>
    <row r="190" spans="1:17" x14ac:dyDescent="0.25">
      <c r="A190" s="53"/>
      <c r="B190" s="51"/>
      <c r="C190" s="226"/>
      <c r="D190" s="226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</row>
    <row r="191" spans="1:17" x14ac:dyDescent="0.25">
      <c r="A191" s="53"/>
      <c r="B191" s="51"/>
      <c r="C191" s="226"/>
      <c r="D191" s="226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</row>
    <row r="192" spans="1:17" x14ac:dyDescent="0.25">
      <c r="A192" s="53"/>
      <c r="B192" s="51"/>
      <c r="C192" s="226"/>
      <c r="D192" s="226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</row>
    <row r="193" spans="1:17" x14ac:dyDescent="0.25">
      <c r="A193" s="53"/>
      <c r="B193" s="51"/>
      <c r="C193" s="226"/>
      <c r="D193" s="226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</row>
    <row r="194" spans="1:17" x14ac:dyDescent="0.25">
      <c r="A194" s="53"/>
      <c r="B194" s="51"/>
      <c r="C194" s="226"/>
      <c r="D194" s="226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</row>
    <row r="195" spans="1:17" x14ac:dyDescent="0.25">
      <c r="A195" s="53"/>
      <c r="B195" s="51"/>
      <c r="C195" s="226"/>
      <c r="D195" s="226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</row>
    <row r="196" spans="1:17" x14ac:dyDescent="0.25">
      <c r="A196" s="53"/>
      <c r="B196" s="51"/>
      <c r="C196" s="226"/>
      <c r="D196" s="226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</row>
    <row r="197" spans="1:17" x14ac:dyDescent="0.25">
      <c r="A197" s="53"/>
      <c r="B197" s="51"/>
      <c r="C197" s="226"/>
      <c r="D197" s="226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</row>
    <row r="198" spans="1:17" x14ac:dyDescent="0.25">
      <c r="A198" s="53"/>
      <c r="B198" s="51"/>
      <c r="C198" s="226"/>
      <c r="D198" s="226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</row>
    <row r="199" spans="1:17" x14ac:dyDescent="0.25">
      <c r="A199" s="53"/>
      <c r="B199" s="51"/>
      <c r="C199" s="226"/>
      <c r="D199" s="226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</row>
    <row r="200" spans="1:17" x14ac:dyDescent="0.25">
      <c r="A200" s="53"/>
      <c r="B200" s="51"/>
      <c r="C200" s="226"/>
      <c r="D200" s="226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</row>
    <row r="201" spans="1:17" x14ac:dyDescent="0.25">
      <c r="A201" s="53"/>
      <c r="B201" s="51"/>
      <c r="C201" s="226"/>
      <c r="D201" s="226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</row>
    <row r="202" spans="1:17" x14ac:dyDescent="0.25">
      <c r="A202" s="53"/>
      <c r="B202" s="51"/>
      <c r="C202" s="226"/>
      <c r="D202" s="226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</row>
    <row r="203" spans="1:17" x14ac:dyDescent="0.25">
      <c r="A203" s="53"/>
      <c r="B203" s="51"/>
      <c r="C203" s="226"/>
      <c r="D203" s="226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</row>
    <row r="204" spans="1:17" x14ac:dyDescent="0.25">
      <c r="A204" s="53"/>
      <c r="B204" s="51"/>
      <c r="C204" s="226"/>
      <c r="D204" s="226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</row>
    <row r="205" spans="1:17" x14ac:dyDescent="0.25">
      <c r="A205" s="53"/>
      <c r="B205" s="51"/>
      <c r="C205" s="226"/>
      <c r="D205" s="226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</row>
    <row r="206" spans="1:17" x14ac:dyDescent="0.25">
      <c r="A206" s="53"/>
      <c r="B206" s="51"/>
      <c r="C206" s="226"/>
      <c r="D206" s="226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</row>
    <row r="207" spans="1:17" x14ac:dyDescent="0.25">
      <c r="A207" s="53"/>
      <c r="B207" s="51"/>
      <c r="C207" s="226"/>
      <c r="D207" s="226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</row>
    <row r="208" spans="1:17" x14ac:dyDescent="0.25">
      <c r="A208" s="53"/>
      <c r="B208" s="51"/>
      <c r="C208" s="226"/>
      <c r="D208" s="226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</row>
    <row r="209" spans="1:17" x14ac:dyDescent="0.25">
      <c r="A209" s="53"/>
      <c r="B209" s="51"/>
      <c r="C209" s="226"/>
      <c r="D209" s="226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</row>
    <row r="210" spans="1:17" x14ac:dyDescent="0.25">
      <c r="A210" s="53"/>
      <c r="B210" s="51"/>
      <c r="C210" s="226"/>
      <c r="D210" s="226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</row>
    <row r="211" spans="1:17" x14ac:dyDescent="0.25">
      <c r="A211" s="53"/>
      <c r="B211" s="51"/>
      <c r="C211" s="226"/>
      <c r="D211" s="226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</row>
    <row r="212" spans="1:17" x14ac:dyDescent="0.25">
      <c r="A212" s="53"/>
      <c r="B212" s="51"/>
      <c r="C212" s="226"/>
      <c r="D212" s="226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</row>
    <row r="213" spans="1:17" x14ac:dyDescent="0.25">
      <c r="A213" s="53"/>
      <c r="B213" s="51"/>
      <c r="C213" s="226"/>
      <c r="D213" s="226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</row>
    <row r="214" spans="1:17" x14ac:dyDescent="0.25">
      <c r="A214" s="53"/>
      <c r="B214" s="51"/>
      <c r="C214" s="226"/>
      <c r="D214" s="226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</row>
    <row r="215" spans="1:17" x14ac:dyDescent="0.25">
      <c r="A215" s="53"/>
      <c r="B215" s="51"/>
      <c r="C215" s="226"/>
      <c r="D215" s="226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</row>
    <row r="216" spans="1:17" x14ac:dyDescent="0.25">
      <c r="A216" s="53"/>
      <c r="B216" s="51"/>
      <c r="C216" s="226"/>
      <c r="D216" s="226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</row>
    <row r="217" spans="1:17" x14ac:dyDescent="0.25">
      <c r="A217" s="53"/>
      <c r="B217" s="51"/>
      <c r="C217" s="226"/>
      <c r="D217" s="226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</row>
    <row r="218" spans="1:17" x14ac:dyDescent="0.25">
      <c r="A218" s="53"/>
      <c r="B218" s="51"/>
      <c r="C218" s="226"/>
      <c r="D218" s="226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</row>
    <row r="219" spans="1:17" x14ac:dyDescent="0.25">
      <c r="A219" s="53"/>
      <c r="B219" s="51"/>
      <c r="C219" s="226"/>
      <c r="D219" s="226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</row>
    <row r="220" spans="1:17" x14ac:dyDescent="0.25">
      <c r="A220" s="53"/>
      <c r="B220" s="51"/>
      <c r="C220" s="226"/>
      <c r="D220" s="226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</row>
    <row r="221" spans="1:17" x14ac:dyDescent="0.25">
      <c r="A221" s="53"/>
      <c r="B221" s="51"/>
      <c r="C221" s="226"/>
      <c r="D221" s="226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</row>
    <row r="222" spans="1:17" x14ac:dyDescent="0.25">
      <c r="A222" s="53"/>
      <c r="B222" s="51"/>
      <c r="C222" s="226"/>
      <c r="D222" s="226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</row>
    <row r="223" spans="1:17" x14ac:dyDescent="0.25">
      <c r="A223" s="53"/>
      <c r="B223" s="51"/>
      <c r="C223" s="226"/>
      <c r="D223" s="226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</row>
    <row r="224" spans="1:17" x14ac:dyDescent="0.25">
      <c r="A224" s="53"/>
      <c r="B224" s="51"/>
      <c r="C224" s="226"/>
      <c r="D224" s="226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</row>
    <row r="225" spans="1:17" x14ac:dyDescent="0.25">
      <c r="A225" s="53"/>
      <c r="B225" s="51"/>
      <c r="C225" s="226"/>
      <c r="D225" s="226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</row>
    <row r="226" spans="1:17" x14ac:dyDescent="0.25">
      <c r="A226" s="53"/>
      <c r="B226" s="51"/>
      <c r="C226" s="226"/>
      <c r="D226" s="226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</row>
    <row r="227" spans="1:17" x14ac:dyDescent="0.25">
      <c r="A227" s="53"/>
      <c r="B227" s="51"/>
      <c r="C227" s="226"/>
      <c r="D227" s="226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</row>
    <row r="228" spans="1:17" x14ac:dyDescent="0.25">
      <c r="A228" s="53"/>
      <c r="B228" s="51"/>
      <c r="C228" s="226"/>
      <c r="D228" s="226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</row>
    <row r="229" spans="1:17" x14ac:dyDescent="0.25">
      <c r="A229" s="53"/>
      <c r="B229" s="51"/>
      <c r="C229" s="226"/>
      <c r="D229" s="226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</row>
    <row r="230" spans="1:17" x14ac:dyDescent="0.25">
      <c r="A230" s="53"/>
      <c r="B230" s="51"/>
      <c r="C230" s="226"/>
      <c r="D230" s="226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</row>
    <row r="231" spans="1:17" x14ac:dyDescent="0.25">
      <c r="A231" s="53"/>
      <c r="B231" s="51"/>
      <c r="C231" s="226"/>
      <c r="D231" s="226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</row>
    <row r="232" spans="1:17" x14ac:dyDescent="0.25">
      <c r="A232" s="53"/>
      <c r="B232" s="51"/>
      <c r="C232" s="226"/>
      <c r="D232" s="226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</row>
    <row r="233" spans="1:17" x14ac:dyDescent="0.25">
      <c r="A233" s="53"/>
      <c r="B233" s="51"/>
      <c r="C233" s="226"/>
      <c r="D233" s="226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</row>
    <row r="234" spans="1:17" x14ac:dyDescent="0.25">
      <c r="A234" s="53"/>
      <c r="B234" s="51"/>
      <c r="C234" s="226"/>
      <c r="D234" s="226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</row>
    <row r="235" spans="1:17" x14ac:dyDescent="0.25">
      <c r="A235" s="53"/>
      <c r="B235" s="51"/>
      <c r="C235" s="226"/>
      <c r="D235" s="226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</row>
    <row r="236" spans="1:17" x14ac:dyDescent="0.25">
      <c r="A236" s="53"/>
      <c r="B236" s="51"/>
      <c r="C236" s="226"/>
      <c r="D236" s="226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</row>
    <row r="237" spans="1:17" x14ac:dyDescent="0.25">
      <c r="A237" s="53"/>
      <c r="B237" s="51"/>
      <c r="C237" s="226"/>
      <c r="D237" s="226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</row>
    <row r="238" spans="1:17" x14ac:dyDescent="0.25">
      <c r="A238" s="53"/>
      <c r="B238" s="51"/>
      <c r="C238" s="226"/>
      <c r="D238" s="226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</row>
    <row r="239" spans="1:17" x14ac:dyDescent="0.25">
      <c r="A239" s="53"/>
      <c r="B239" s="51"/>
      <c r="C239" s="226"/>
      <c r="D239" s="226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</row>
    <row r="240" spans="1:17" x14ac:dyDescent="0.25">
      <c r="A240" s="53"/>
      <c r="B240" s="51"/>
      <c r="C240" s="226"/>
      <c r="D240" s="226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</row>
    <row r="241" spans="1:17" x14ac:dyDescent="0.25">
      <c r="A241" s="53"/>
      <c r="B241" s="51"/>
      <c r="C241" s="226"/>
      <c r="D241" s="226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</row>
    <row r="242" spans="1:17" x14ac:dyDescent="0.25">
      <c r="A242" s="53"/>
      <c r="B242" s="51"/>
      <c r="C242" s="226"/>
      <c r="D242" s="226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</row>
    <row r="243" spans="1:17" x14ac:dyDescent="0.25">
      <c r="A243" s="53"/>
      <c r="B243" s="51"/>
      <c r="C243" s="226"/>
      <c r="D243" s="226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</row>
    <row r="244" spans="1:17" x14ac:dyDescent="0.25">
      <c r="A244" s="53"/>
      <c r="B244" s="51"/>
      <c r="C244" s="226"/>
      <c r="D244" s="226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</row>
    <row r="245" spans="1:17" x14ac:dyDescent="0.25">
      <c r="A245" s="53"/>
      <c r="B245" s="51"/>
      <c r="C245" s="226"/>
      <c r="D245" s="226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</row>
    <row r="246" spans="1:17" x14ac:dyDescent="0.25">
      <c r="A246" s="53"/>
      <c r="B246" s="51"/>
      <c r="C246" s="226"/>
      <c r="D246" s="226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</row>
    <row r="247" spans="1:17" x14ac:dyDescent="0.25">
      <c r="A247" s="53"/>
      <c r="B247" s="51"/>
      <c r="C247" s="226"/>
      <c r="D247" s="226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</row>
    <row r="248" spans="1:17" x14ac:dyDescent="0.25">
      <c r="A248" s="53"/>
      <c r="B248" s="51"/>
      <c r="C248" s="226"/>
      <c r="D248" s="226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</row>
    <row r="249" spans="1:17" x14ac:dyDescent="0.25">
      <c r="A249" s="53"/>
      <c r="B249" s="51"/>
      <c r="C249" s="226"/>
      <c r="D249" s="226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</row>
    <row r="250" spans="1:17" x14ac:dyDescent="0.25">
      <c r="A250" s="53"/>
      <c r="B250" s="51"/>
      <c r="C250" s="226"/>
      <c r="D250" s="226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</row>
    <row r="251" spans="1:17" x14ac:dyDescent="0.25">
      <c r="A251" s="53"/>
      <c r="B251" s="51"/>
      <c r="C251" s="226"/>
      <c r="D251" s="226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</row>
    <row r="252" spans="1:17" x14ac:dyDescent="0.25">
      <c r="A252" s="53"/>
      <c r="B252" s="51"/>
      <c r="C252" s="226"/>
      <c r="D252" s="226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</row>
    <row r="253" spans="1:17" x14ac:dyDescent="0.25">
      <c r="A253" s="53"/>
      <c r="B253" s="51"/>
      <c r="C253" s="226"/>
      <c r="D253" s="226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</row>
    <row r="254" spans="1:17" x14ac:dyDescent="0.25">
      <c r="A254" s="53"/>
      <c r="B254" s="51"/>
      <c r="C254" s="226"/>
      <c r="D254" s="226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</row>
    <row r="255" spans="1:17" x14ac:dyDescent="0.25">
      <c r="A255" s="53"/>
      <c r="B255" s="51"/>
      <c r="C255" s="226"/>
      <c r="D255" s="226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</row>
    <row r="256" spans="1:17" x14ac:dyDescent="0.25">
      <c r="A256" s="53"/>
      <c r="B256" s="51"/>
      <c r="C256" s="226"/>
      <c r="D256" s="226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</row>
    <row r="257" spans="1:17" x14ac:dyDescent="0.25">
      <c r="A257" s="53"/>
      <c r="B257" s="51"/>
      <c r="C257" s="226"/>
      <c r="D257" s="226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</row>
    <row r="258" spans="1:17" x14ac:dyDescent="0.25">
      <c r="A258" s="53"/>
      <c r="B258" s="51"/>
      <c r="C258" s="226"/>
      <c r="D258" s="226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</row>
    <row r="259" spans="1:17" x14ac:dyDescent="0.25">
      <c r="A259" s="53"/>
      <c r="B259" s="51"/>
      <c r="C259" s="226"/>
      <c r="D259" s="226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</row>
    <row r="260" spans="1:17" x14ac:dyDescent="0.25">
      <c r="A260" s="53"/>
      <c r="B260" s="51"/>
      <c r="C260" s="226"/>
      <c r="D260" s="226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</row>
    <row r="261" spans="1:17" x14ac:dyDescent="0.25">
      <c r="A261" s="75"/>
      <c r="B261" s="51"/>
      <c r="C261" s="226"/>
      <c r="D261" s="226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</row>
    <row r="262" spans="1:17" x14ac:dyDescent="0.25">
      <c r="A262" s="91"/>
      <c r="B262" s="51"/>
      <c r="C262" s="226"/>
      <c r="D262" s="226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</row>
    <row r="263" spans="1:17" x14ac:dyDescent="0.25">
      <c r="A263" s="57"/>
      <c r="B263" s="51"/>
      <c r="C263" s="226"/>
      <c r="D263" s="226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</row>
    <row r="264" spans="1:17" x14ac:dyDescent="0.25">
      <c r="A264" s="57"/>
      <c r="B264" s="51"/>
      <c r="C264" s="226"/>
      <c r="D264" s="226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</row>
    <row r="265" spans="1:17" x14ac:dyDescent="0.25">
      <c r="A265" s="57"/>
      <c r="B265" s="51"/>
      <c r="C265" s="226"/>
      <c r="D265" s="226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</row>
    <row r="266" spans="1:17" x14ac:dyDescent="0.25">
      <c r="A266" s="57"/>
      <c r="B266" s="51"/>
      <c r="C266" s="226"/>
      <c r="D266" s="226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</row>
    <row r="267" spans="1:17" x14ac:dyDescent="0.25">
      <c r="A267" s="57"/>
      <c r="B267" s="51"/>
      <c r="C267" s="226"/>
      <c r="D267" s="226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</row>
    <row r="268" spans="1:17" x14ac:dyDescent="0.25">
      <c r="A268" s="57"/>
      <c r="B268" s="51"/>
      <c r="C268" s="226"/>
      <c r="D268" s="226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</row>
    <row r="269" spans="1:17" x14ac:dyDescent="0.25">
      <c r="A269" s="57"/>
      <c r="B269" s="51"/>
      <c r="C269" s="226"/>
      <c r="D269" s="226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</row>
    <row r="270" spans="1:17" x14ac:dyDescent="0.25">
      <c r="A270" s="57"/>
      <c r="B270" s="51"/>
      <c r="C270" s="226"/>
      <c r="D270" s="226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</row>
    <row r="271" spans="1:17" x14ac:dyDescent="0.25">
      <c r="A271" s="57"/>
      <c r="B271" s="51"/>
      <c r="C271" s="226"/>
      <c r="D271" s="226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</row>
    <row r="272" spans="1:17" x14ac:dyDescent="0.25">
      <c r="A272" s="57"/>
      <c r="B272" s="51"/>
      <c r="C272" s="226"/>
      <c r="D272" s="226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</row>
    <row r="273" spans="1:17" x14ac:dyDescent="0.25">
      <c r="A273" s="57"/>
      <c r="B273" s="51"/>
      <c r="C273" s="226"/>
      <c r="D273" s="226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</row>
    <row r="274" spans="1:17" x14ac:dyDescent="0.25">
      <c r="A274" s="75"/>
      <c r="B274" s="51"/>
      <c r="C274" s="226"/>
      <c r="D274" s="226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</row>
    <row r="275" spans="1:17" x14ac:dyDescent="0.25">
      <c r="A275" s="75"/>
      <c r="B275" s="51"/>
      <c r="C275" s="226"/>
      <c r="D275" s="226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</row>
    <row r="276" spans="1:17" x14ac:dyDescent="0.25">
      <c r="A276" s="75"/>
      <c r="B276" s="51"/>
      <c r="C276" s="226"/>
      <c r="D276" s="226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</row>
    <row r="277" spans="1:17" x14ac:dyDescent="0.25">
      <c r="A277" s="75"/>
      <c r="B277" s="51"/>
      <c r="C277" s="226"/>
      <c r="D277" s="226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</row>
    <row r="278" spans="1:17" x14ac:dyDescent="0.25">
      <c r="A278" s="75"/>
      <c r="B278" s="51"/>
      <c r="C278" s="226"/>
      <c r="D278" s="226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</row>
    <row r="279" spans="1:17" x14ac:dyDescent="0.25">
      <c r="A279" s="75"/>
      <c r="B279" s="51"/>
      <c r="C279" s="226"/>
      <c r="D279" s="226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</row>
    <row r="280" spans="1:17" x14ac:dyDescent="0.25">
      <c r="A280" s="53"/>
      <c r="B280" s="51"/>
      <c r="C280" s="226"/>
      <c r="D280" s="226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</row>
    <row r="281" spans="1:17" x14ac:dyDescent="0.25">
      <c r="A281" s="53"/>
      <c r="B281" s="51"/>
      <c r="C281" s="226"/>
      <c r="D281" s="226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</row>
    <row r="282" spans="1:17" x14ac:dyDescent="0.25">
      <c r="A282" s="53"/>
      <c r="B282" s="51"/>
      <c r="C282" s="226"/>
      <c r="D282" s="226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</row>
    <row r="283" spans="1:17" x14ac:dyDescent="0.25">
      <c r="A283" s="53"/>
      <c r="B283" s="51"/>
      <c r="C283" s="226"/>
      <c r="D283" s="226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</row>
    <row r="284" spans="1:17" x14ac:dyDescent="0.25">
      <c r="A284" s="53"/>
      <c r="B284" s="51"/>
      <c r="C284" s="226"/>
      <c r="D284" s="226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</row>
    <row r="285" spans="1:17" x14ac:dyDescent="0.25">
      <c r="A285" s="53"/>
      <c r="B285" s="51"/>
      <c r="C285" s="226"/>
      <c r="D285" s="226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</row>
    <row r="286" spans="1:17" x14ac:dyDescent="0.25">
      <c r="A286" s="53"/>
      <c r="B286" s="51"/>
      <c r="C286" s="226"/>
      <c r="D286" s="226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</row>
    <row r="287" spans="1:17" x14ac:dyDescent="0.25">
      <c r="A287" s="53"/>
      <c r="B287" s="51"/>
      <c r="C287" s="226"/>
      <c r="D287" s="226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</row>
    <row r="288" spans="1:17" x14ac:dyDescent="0.25">
      <c r="A288" s="53"/>
      <c r="B288" s="51"/>
      <c r="C288" s="226"/>
      <c r="D288" s="226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</row>
    <row r="289" spans="1:17" x14ac:dyDescent="0.25">
      <c r="A289" s="53"/>
      <c r="B289" s="51"/>
      <c r="C289" s="226"/>
      <c r="D289" s="226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</row>
    <row r="290" spans="1:17" x14ac:dyDescent="0.25">
      <c r="A290" s="53"/>
      <c r="B290" s="51"/>
      <c r="C290" s="226"/>
      <c r="D290" s="226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</row>
    <row r="291" spans="1:17" x14ac:dyDescent="0.25">
      <c r="A291" s="53"/>
      <c r="B291" s="51"/>
      <c r="C291" s="226"/>
      <c r="D291" s="226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</row>
    <row r="292" spans="1:17" x14ac:dyDescent="0.25">
      <c r="A292" s="53"/>
      <c r="B292" s="51"/>
      <c r="C292" s="226"/>
      <c r="D292" s="226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</row>
    <row r="293" spans="1:17" x14ac:dyDescent="0.25">
      <c r="A293" s="53"/>
      <c r="B293" s="51"/>
      <c r="C293" s="226"/>
      <c r="D293" s="226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</row>
    <row r="294" spans="1:17" x14ac:dyDescent="0.25">
      <c r="A294" s="53"/>
      <c r="B294" s="51"/>
      <c r="C294" s="226"/>
      <c r="D294" s="226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</row>
    <row r="295" spans="1:17" x14ac:dyDescent="0.25">
      <c r="A295" s="53"/>
      <c r="B295" s="51"/>
      <c r="C295" s="226"/>
      <c r="D295" s="226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</row>
    <row r="296" spans="1:17" x14ac:dyDescent="0.25">
      <c r="A296" s="53"/>
      <c r="B296" s="51"/>
      <c r="C296" s="226"/>
      <c r="D296" s="226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</row>
    <row r="297" spans="1:17" x14ac:dyDescent="0.25">
      <c r="A297" s="53"/>
      <c r="B297" s="51"/>
      <c r="C297" s="226"/>
      <c r="D297" s="226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</row>
    <row r="298" spans="1:17" x14ac:dyDescent="0.25">
      <c r="A298" s="53"/>
      <c r="B298" s="51"/>
      <c r="C298" s="226"/>
      <c r="D298" s="226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</row>
    <row r="299" spans="1:17" x14ac:dyDescent="0.25">
      <c r="A299" s="53"/>
      <c r="B299" s="51"/>
      <c r="C299" s="226"/>
      <c r="D299" s="226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</row>
    <row r="300" spans="1:17" x14ac:dyDescent="0.25">
      <c r="A300" s="53"/>
      <c r="B300" s="51"/>
      <c r="C300" s="226"/>
      <c r="D300" s="226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</row>
    <row r="301" spans="1:17" x14ac:dyDescent="0.25">
      <c r="A301" s="53"/>
      <c r="B301" s="51"/>
      <c r="C301" s="226"/>
      <c r="D301" s="226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</row>
    <row r="302" spans="1:17" x14ac:dyDescent="0.25">
      <c r="A302" s="53"/>
      <c r="B302" s="51"/>
      <c r="C302" s="226"/>
      <c r="D302" s="226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</row>
    <row r="303" spans="1:17" x14ac:dyDescent="0.25">
      <c r="A303" s="53"/>
      <c r="B303" s="51"/>
      <c r="C303" s="226"/>
      <c r="D303" s="226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</row>
    <row r="304" spans="1:17" x14ac:dyDescent="0.25">
      <c r="A304" s="53"/>
      <c r="B304" s="51"/>
      <c r="C304" s="226"/>
      <c r="D304" s="226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</row>
    <row r="305" spans="1:17" x14ac:dyDescent="0.25">
      <c r="A305" s="53"/>
      <c r="B305" s="51"/>
      <c r="C305" s="226"/>
      <c r="D305" s="226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</row>
    <row r="306" spans="1:17" x14ac:dyDescent="0.25">
      <c r="A306" s="53"/>
      <c r="B306" s="51"/>
      <c r="C306" s="226"/>
      <c r="D306" s="226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</row>
    <row r="307" spans="1:17" x14ac:dyDescent="0.25">
      <c r="A307" s="53"/>
      <c r="B307" s="51"/>
      <c r="C307" s="226"/>
      <c r="D307" s="226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</row>
    <row r="308" spans="1:17" x14ac:dyDescent="0.25">
      <c r="A308" s="53"/>
      <c r="B308" s="51"/>
      <c r="C308" s="226"/>
      <c r="D308" s="226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</row>
    <row r="309" spans="1:17" x14ac:dyDescent="0.25">
      <c r="A309" s="53"/>
      <c r="B309" s="51"/>
      <c r="C309" s="226"/>
      <c r="D309" s="226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</row>
    <row r="310" spans="1:17" x14ac:dyDescent="0.25">
      <c r="A310" s="53"/>
      <c r="B310" s="51"/>
      <c r="C310" s="226"/>
      <c r="D310" s="226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</row>
    <row r="311" spans="1:17" x14ac:dyDescent="0.25">
      <c r="A311" s="53"/>
      <c r="B311" s="51"/>
      <c r="C311" s="226"/>
      <c r="D311" s="226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</row>
    <row r="312" spans="1:17" x14ac:dyDescent="0.25">
      <c r="A312" s="53"/>
      <c r="B312" s="51"/>
      <c r="C312" s="226"/>
      <c r="D312" s="226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</row>
    <row r="313" spans="1:17" x14ac:dyDescent="0.25">
      <c r="A313" s="53"/>
      <c r="B313" s="51"/>
      <c r="C313" s="226"/>
      <c r="D313" s="226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</row>
    <row r="314" spans="1:17" x14ac:dyDescent="0.25">
      <c r="A314" s="53"/>
      <c r="B314" s="51"/>
      <c r="C314" s="226"/>
      <c r="D314" s="226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</row>
    <row r="315" spans="1:17" x14ac:dyDescent="0.25">
      <c r="A315" s="53"/>
      <c r="B315" s="51"/>
      <c r="C315" s="226"/>
      <c r="D315" s="226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</row>
    <row r="316" spans="1:17" x14ac:dyDescent="0.25">
      <c r="A316" s="53"/>
      <c r="B316" s="51"/>
      <c r="C316" s="226"/>
      <c r="D316" s="226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</row>
    <row r="317" spans="1:17" x14ac:dyDescent="0.25">
      <c r="A317" s="53"/>
      <c r="B317" s="51"/>
      <c r="C317" s="226"/>
      <c r="D317" s="226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</row>
    <row r="318" spans="1:17" x14ac:dyDescent="0.25">
      <c r="A318" s="53"/>
      <c r="B318" s="51"/>
      <c r="C318" s="226"/>
      <c r="D318" s="226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</row>
    <row r="319" spans="1:17" x14ac:dyDescent="0.25">
      <c r="A319" s="53"/>
      <c r="B319" s="51"/>
      <c r="C319" s="226"/>
      <c r="D319" s="226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</row>
    <row r="320" spans="1:17" x14ac:dyDescent="0.25">
      <c r="A320" s="53"/>
      <c r="B320" s="51"/>
      <c r="C320" s="226"/>
      <c r="D320" s="226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</row>
    <row r="321" spans="1:17" x14ac:dyDescent="0.25">
      <c r="A321" s="53"/>
      <c r="B321" s="51"/>
      <c r="C321" s="226"/>
      <c r="D321" s="226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</row>
    <row r="322" spans="1:17" x14ac:dyDescent="0.25">
      <c r="A322" s="53"/>
      <c r="B322" s="51"/>
      <c r="C322" s="226"/>
      <c r="D322" s="226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</row>
    <row r="323" spans="1:17" x14ac:dyDescent="0.25">
      <c r="A323" s="53"/>
      <c r="B323" s="51"/>
      <c r="C323" s="226"/>
      <c r="D323" s="226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</row>
    <row r="324" spans="1:17" x14ac:dyDescent="0.25">
      <c r="A324" s="53"/>
      <c r="B324" s="51"/>
      <c r="C324" s="226"/>
      <c r="D324" s="226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</row>
    <row r="325" spans="1:17" x14ac:dyDescent="0.25">
      <c r="A325" s="53"/>
      <c r="B325" s="51"/>
      <c r="C325" s="226"/>
      <c r="D325" s="226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</row>
    <row r="326" spans="1:17" x14ac:dyDescent="0.25">
      <c r="A326" s="53"/>
      <c r="B326" s="51"/>
      <c r="C326" s="226"/>
      <c r="D326" s="226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</row>
    <row r="327" spans="1:17" x14ac:dyDescent="0.25">
      <c r="A327" s="53"/>
      <c r="B327" s="51"/>
      <c r="C327" s="226"/>
      <c r="D327" s="226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</row>
    <row r="328" spans="1:17" x14ac:dyDescent="0.25">
      <c r="A328" s="53"/>
      <c r="B328" s="51"/>
      <c r="C328" s="226"/>
      <c r="D328" s="226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</row>
    <row r="329" spans="1:17" x14ac:dyDescent="0.25">
      <c r="A329" s="53"/>
      <c r="B329" s="51"/>
      <c r="C329" s="226"/>
      <c r="D329" s="226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</row>
    <row r="330" spans="1:17" x14ac:dyDescent="0.25">
      <c r="A330" s="53"/>
      <c r="B330" s="51"/>
      <c r="C330" s="226"/>
      <c r="D330" s="226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</row>
    <row r="331" spans="1:17" x14ac:dyDescent="0.25">
      <c r="A331" s="53"/>
      <c r="B331" s="51"/>
      <c r="C331" s="226"/>
      <c r="D331" s="226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</row>
    <row r="332" spans="1:17" x14ac:dyDescent="0.25">
      <c r="A332" s="53"/>
      <c r="B332" s="51"/>
      <c r="C332" s="226"/>
      <c r="D332" s="226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</row>
    <row r="333" spans="1:17" x14ac:dyDescent="0.25">
      <c r="A333" s="53"/>
      <c r="B333" s="51"/>
      <c r="C333" s="226"/>
      <c r="D333" s="226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</row>
    <row r="334" spans="1:17" x14ac:dyDescent="0.25">
      <c r="A334" s="53"/>
      <c r="B334" s="51"/>
      <c r="C334" s="226"/>
      <c r="D334" s="226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</row>
    <row r="335" spans="1:17" x14ac:dyDescent="0.25">
      <c r="A335" s="53"/>
      <c r="B335" s="51"/>
      <c r="C335" s="226"/>
      <c r="D335" s="226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</row>
    <row r="336" spans="1:17" x14ac:dyDescent="0.25">
      <c r="A336" s="53"/>
      <c r="B336" s="51"/>
      <c r="C336" s="226"/>
      <c r="D336" s="226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</row>
    <row r="337" spans="1:17" x14ac:dyDescent="0.25">
      <c r="A337" s="53"/>
      <c r="B337" s="51"/>
      <c r="C337" s="226"/>
      <c r="D337" s="226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</row>
    <row r="338" spans="1:17" x14ac:dyDescent="0.25">
      <c r="A338" s="53"/>
      <c r="B338" s="51"/>
      <c r="C338" s="226"/>
      <c r="D338" s="226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</row>
    <row r="339" spans="1:17" x14ac:dyDescent="0.25">
      <c r="A339" s="53"/>
      <c r="B339" s="51"/>
      <c r="C339" s="226"/>
      <c r="D339" s="226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</row>
    <row r="340" spans="1:17" x14ac:dyDescent="0.25">
      <c r="A340" s="53"/>
      <c r="B340" s="51"/>
      <c r="C340" s="226"/>
      <c r="D340" s="226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</row>
    <row r="341" spans="1:17" x14ac:dyDescent="0.25">
      <c r="A341" s="53"/>
      <c r="B341" s="51"/>
      <c r="C341" s="226"/>
      <c r="D341" s="226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</row>
    <row r="342" spans="1:17" x14ac:dyDescent="0.25">
      <c r="A342" s="53"/>
      <c r="B342" s="51"/>
      <c r="C342" s="226"/>
      <c r="D342" s="226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</row>
    <row r="343" spans="1:17" x14ac:dyDescent="0.25">
      <c r="A343" s="53"/>
      <c r="B343" s="51"/>
      <c r="C343" s="226"/>
      <c r="D343" s="226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</row>
    <row r="344" spans="1:17" x14ac:dyDescent="0.25">
      <c r="A344" s="53"/>
      <c r="B344" s="51"/>
      <c r="C344" s="226"/>
      <c r="D344" s="226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</row>
    <row r="345" spans="1:17" x14ac:dyDescent="0.25">
      <c r="A345" s="53"/>
      <c r="B345" s="51"/>
      <c r="C345" s="226"/>
      <c r="D345" s="226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</row>
    <row r="346" spans="1:17" x14ac:dyDescent="0.25">
      <c r="A346" s="53"/>
      <c r="B346" s="51"/>
      <c r="C346" s="226"/>
      <c r="D346" s="226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</row>
    <row r="347" spans="1:17" x14ac:dyDescent="0.25">
      <c r="A347" s="53"/>
      <c r="B347" s="51"/>
      <c r="C347" s="226"/>
      <c r="D347" s="226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</row>
    <row r="348" spans="1:17" x14ac:dyDescent="0.25">
      <c r="A348" s="53"/>
      <c r="B348" s="51"/>
      <c r="C348" s="226"/>
      <c r="D348" s="226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</row>
    <row r="349" spans="1:17" x14ac:dyDescent="0.25">
      <c r="A349" s="53"/>
      <c r="B349" s="51"/>
      <c r="C349" s="226"/>
      <c r="D349" s="226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</row>
    <row r="350" spans="1:17" x14ac:dyDescent="0.25">
      <c r="A350" s="53"/>
      <c r="B350" s="51"/>
      <c r="C350" s="226"/>
      <c r="D350" s="226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</row>
    <row r="351" spans="1:17" x14ac:dyDescent="0.25">
      <c r="A351" s="53"/>
      <c r="B351" s="51"/>
      <c r="C351" s="226"/>
      <c r="D351" s="226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</row>
    <row r="352" spans="1:17" x14ac:dyDescent="0.25">
      <c r="A352" s="53"/>
      <c r="B352" s="51"/>
      <c r="C352" s="226"/>
      <c r="D352" s="226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</row>
    <row r="353" spans="1:17" x14ac:dyDescent="0.25">
      <c r="A353" s="53"/>
      <c r="B353" s="51"/>
      <c r="C353" s="226"/>
      <c r="D353" s="226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</row>
    <row r="354" spans="1:17" x14ac:dyDescent="0.25">
      <c r="A354" s="53"/>
      <c r="B354" s="51"/>
      <c r="C354" s="226"/>
      <c r="D354" s="226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</row>
    <row r="355" spans="1:17" x14ac:dyDescent="0.25">
      <c r="A355" s="53"/>
      <c r="B355" s="51"/>
      <c r="C355" s="226"/>
      <c r="D355" s="226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</row>
    <row r="356" spans="1:17" x14ac:dyDescent="0.25">
      <c r="A356" s="53"/>
      <c r="B356" s="51"/>
      <c r="C356" s="226"/>
      <c r="D356" s="226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</row>
    <row r="357" spans="1:17" x14ac:dyDescent="0.25">
      <c r="A357" s="53"/>
      <c r="B357" s="51"/>
      <c r="C357" s="226"/>
      <c r="D357" s="226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</row>
    <row r="358" spans="1:17" x14ac:dyDescent="0.25">
      <c r="A358" s="53"/>
      <c r="B358" s="51"/>
      <c r="C358" s="226"/>
      <c r="D358" s="226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</row>
    <row r="359" spans="1:17" x14ac:dyDescent="0.25">
      <c r="A359" s="53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</row>
    <row r="360" spans="1:17" x14ac:dyDescent="0.25">
      <c r="A360" s="53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</row>
    <row r="361" spans="1:17" x14ac:dyDescent="0.25">
      <c r="A361" s="53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</row>
    <row r="362" spans="1:17" x14ac:dyDescent="0.25">
      <c r="A362" s="53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</row>
    <row r="363" spans="1:17" x14ac:dyDescent="0.25">
      <c r="A363" s="53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</row>
    <row r="364" spans="1:17" x14ac:dyDescent="0.25">
      <c r="A364" s="53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</row>
    <row r="365" spans="1:17" x14ac:dyDescent="0.25">
      <c r="A365" s="53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</row>
    <row r="366" spans="1:17" x14ac:dyDescent="0.25">
      <c r="A366" s="53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</row>
    <row r="367" spans="1:17" x14ac:dyDescent="0.25">
      <c r="A367" s="53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</row>
    <row r="368" spans="1:17" x14ac:dyDescent="0.25">
      <c r="A368" s="53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</row>
    <row r="369" spans="1:17" x14ac:dyDescent="0.25">
      <c r="A369" s="53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</row>
    <row r="370" spans="1:17" x14ac:dyDescent="0.25">
      <c r="A370" s="53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</row>
    <row r="371" spans="1:17" x14ac:dyDescent="0.25">
      <c r="A371" s="53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</row>
    <row r="372" spans="1:17" x14ac:dyDescent="0.25">
      <c r="A372" s="53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</row>
    <row r="373" spans="1:17" x14ac:dyDescent="0.25">
      <c r="A373" s="53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</row>
    <row r="374" spans="1:17" x14ac:dyDescent="0.25">
      <c r="A374" s="53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</row>
    <row r="375" spans="1:17" x14ac:dyDescent="0.25">
      <c r="A375" s="53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</row>
    <row r="376" spans="1:17" x14ac:dyDescent="0.25">
      <c r="A376" s="53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</row>
    <row r="377" spans="1:17" x14ac:dyDescent="0.25">
      <c r="A377" s="53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</row>
    <row r="378" spans="1:17" x14ac:dyDescent="0.25">
      <c r="A378" s="53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</row>
    <row r="379" spans="1:17" x14ac:dyDescent="0.25">
      <c r="A379" s="53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</row>
    <row r="380" spans="1:17" x14ac:dyDescent="0.25">
      <c r="A380" s="53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</row>
    <row r="381" spans="1:17" x14ac:dyDescent="0.25">
      <c r="A381" s="53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</row>
    <row r="382" spans="1:17" x14ac:dyDescent="0.25">
      <c r="A382" s="53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</row>
    <row r="383" spans="1:17" x14ac:dyDescent="0.25">
      <c r="A383" s="53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</row>
    <row r="384" spans="1:17" x14ac:dyDescent="0.25">
      <c r="A384" s="53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</row>
    <row r="385" spans="1:17" x14ac:dyDescent="0.25">
      <c r="A385" s="53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</row>
    <row r="386" spans="1:17" x14ac:dyDescent="0.25">
      <c r="A386" s="53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</row>
    <row r="387" spans="1:17" x14ac:dyDescent="0.25">
      <c r="A387" s="53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</row>
    <row r="388" spans="1:17" x14ac:dyDescent="0.25">
      <c r="A388" s="53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</row>
    <row r="389" spans="1:17" x14ac:dyDescent="0.25">
      <c r="A389" s="53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</row>
    <row r="390" spans="1:17" x14ac:dyDescent="0.25">
      <c r="A390" s="53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</row>
    <row r="391" spans="1:17" x14ac:dyDescent="0.25">
      <c r="A391" s="53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</row>
    <row r="392" spans="1:17" x14ac:dyDescent="0.25">
      <c r="A392" s="53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</row>
    <row r="393" spans="1:17" x14ac:dyDescent="0.25">
      <c r="A393" s="53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</row>
    <row r="394" spans="1:17" x14ac:dyDescent="0.25">
      <c r="A394" s="53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</row>
    <row r="395" spans="1:17" x14ac:dyDescent="0.25">
      <c r="A395" s="53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</row>
    <row r="396" spans="1:17" x14ac:dyDescent="0.25">
      <c r="A396" s="53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</row>
    <row r="397" spans="1:17" x14ac:dyDescent="0.25">
      <c r="A397" s="53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</row>
    <row r="398" spans="1:17" x14ac:dyDescent="0.25">
      <c r="A398" s="53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</row>
    <row r="399" spans="1:17" x14ac:dyDescent="0.25">
      <c r="A399" s="53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</row>
    <row r="400" spans="1:17" x14ac:dyDescent="0.25">
      <c r="A400" s="53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</row>
    <row r="401" spans="1:13" x14ac:dyDescent="0.25">
      <c r="A401" s="53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</row>
    <row r="402" spans="1:13" x14ac:dyDescent="0.25">
      <c r="A402" s="53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</row>
    <row r="403" spans="1:13" x14ac:dyDescent="0.25">
      <c r="A403" s="53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</row>
    <row r="404" spans="1:13" x14ac:dyDescent="0.25">
      <c r="A404" s="53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</row>
    <row r="405" spans="1:13" x14ac:dyDescent="0.25">
      <c r="A405" s="53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</row>
    <row r="406" spans="1:13" x14ac:dyDescent="0.25">
      <c r="A406" s="53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</row>
    <row r="407" spans="1:13" x14ac:dyDescent="0.25">
      <c r="A407" s="53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</row>
    <row r="408" spans="1:13" x14ac:dyDescent="0.25">
      <c r="A408" s="53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</row>
    <row r="409" spans="1:13" x14ac:dyDescent="0.25">
      <c r="A409" s="53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</row>
    <row r="410" spans="1:13" x14ac:dyDescent="0.25">
      <c r="A410" s="53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</row>
    <row r="411" spans="1:13" x14ac:dyDescent="0.25">
      <c r="A411" s="53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</row>
    <row r="412" spans="1:13" x14ac:dyDescent="0.25">
      <c r="A412" s="53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</row>
    <row r="413" spans="1:13" x14ac:dyDescent="0.25">
      <c r="A413" s="53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</row>
    <row r="414" spans="1:13" x14ac:dyDescent="0.25">
      <c r="A414" s="53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</row>
    <row r="415" spans="1:13" x14ac:dyDescent="0.25">
      <c r="A415" s="53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</row>
    <row r="416" spans="1:13" x14ac:dyDescent="0.25">
      <c r="A416" s="53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</row>
    <row r="417" spans="1:13" x14ac:dyDescent="0.25">
      <c r="A417" s="53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</row>
    <row r="418" spans="1:13" x14ac:dyDescent="0.25">
      <c r="A418" s="53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</row>
    <row r="419" spans="1:13" x14ac:dyDescent="0.25">
      <c r="A419" s="53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</row>
    <row r="420" spans="1:13" x14ac:dyDescent="0.25">
      <c r="A420" s="53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</row>
    <row r="421" spans="1:13" x14ac:dyDescent="0.25">
      <c r="A421" s="53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</row>
    <row r="422" spans="1:13" x14ac:dyDescent="0.25">
      <c r="A422" s="53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</row>
    <row r="423" spans="1:13" x14ac:dyDescent="0.25">
      <c r="A423" s="53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</row>
    <row r="424" spans="1:13" x14ac:dyDescent="0.25">
      <c r="A424" s="53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</row>
    <row r="425" spans="1:13" x14ac:dyDescent="0.25">
      <c r="A425" s="53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</row>
    <row r="426" spans="1:13" x14ac:dyDescent="0.25">
      <c r="A426" s="53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</row>
    <row r="427" spans="1:13" x14ac:dyDescent="0.25">
      <c r="A427" s="53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</row>
    <row r="428" spans="1:13" x14ac:dyDescent="0.25">
      <c r="A428" s="53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</row>
    <row r="429" spans="1:13" x14ac:dyDescent="0.25">
      <c r="A429" s="53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</row>
    <row r="430" spans="1:13" x14ac:dyDescent="0.25">
      <c r="A430" s="53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</row>
    <row r="431" spans="1:13" x14ac:dyDescent="0.25">
      <c r="A431" s="53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</row>
    <row r="432" spans="1:13" x14ac:dyDescent="0.25">
      <c r="A432" s="53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</row>
    <row r="433" spans="1:13" x14ac:dyDescent="0.25">
      <c r="A433" s="53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</row>
    <row r="434" spans="1:13" x14ac:dyDescent="0.25">
      <c r="A434" s="53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</row>
    <row r="435" spans="1:13" x14ac:dyDescent="0.25">
      <c r="A435" s="53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</row>
    <row r="436" spans="1:13" x14ac:dyDescent="0.25">
      <c r="A436" s="53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</row>
    <row r="437" spans="1:13" x14ac:dyDescent="0.25">
      <c r="A437" s="53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</row>
    <row r="438" spans="1:13" x14ac:dyDescent="0.25">
      <c r="A438" s="53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</row>
    <row r="439" spans="1:13" x14ac:dyDescent="0.25">
      <c r="A439" s="53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</row>
    <row r="440" spans="1:13" x14ac:dyDescent="0.25">
      <c r="A440" s="53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</row>
    <row r="441" spans="1:13" x14ac:dyDescent="0.25">
      <c r="A441" s="53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</row>
    <row r="442" spans="1:13" x14ac:dyDescent="0.25">
      <c r="A442" s="53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</row>
    <row r="443" spans="1:13" x14ac:dyDescent="0.25">
      <c r="A443" s="53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</row>
    <row r="444" spans="1:13" x14ac:dyDescent="0.25">
      <c r="A444" s="53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</row>
    <row r="445" spans="1:13" x14ac:dyDescent="0.25">
      <c r="A445" s="53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</row>
    <row r="446" spans="1:13" x14ac:dyDescent="0.25">
      <c r="A446" s="53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</row>
    <row r="447" spans="1:13" x14ac:dyDescent="0.25">
      <c r="A447" s="53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</row>
    <row r="448" spans="1:13" x14ac:dyDescent="0.25">
      <c r="A448" s="53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</row>
    <row r="449" spans="1:13" x14ac:dyDescent="0.25">
      <c r="A449" s="53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</row>
    <row r="450" spans="1:13" x14ac:dyDescent="0.25">
      <c r="A450" s="53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</row>
    <row r="451" spans="1:13" x14ac:dyDescent="0.25">
      <c r="A451" s="53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</row>
    <row r="452" spans="1:13" x14ac:dyDescent="0.25">
      <c r="A452" s="53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</row>
    <row r="453" spans="1:13" x14ac:dyDescent="0.25">
      <c r="A453" s="53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</row>
    <row r="454" spans="1:13" x14ac:dyDescent="0.25">
      <c r="A454" s="53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</row>
    <row r="455" spans="1:13" x14ac:dyDescent="0.25">
      <c r="A455" s="53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</row>
    <row r="456" spans="1:13" x14ac:dyDescent="0.25">
      <c r="A456" s="53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</row>
    <row r="457" spans="1:13" x14ac:dyDescent="0.25">
      <c r="A457" s="53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</row>
    <row r="458" spans="1:13" x14ac:dyDescent="0.25">
      <c r="A458" s="53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</row>
    <row r="459" spans="1:13" x14ac:dyDescent="0.25">
      <c r="A459" s="53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</row>
    <row r="460" spans="1:13" x14ac:dyDescent="0.25">
      <c r="A460" s="53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</row>
    <row r="461" spans="1:13" x14ac:dyDescent="0.25">
      <c r="A461" s="53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</row>
    <row r="462" spans="1:13" x14ac:dyDescent="0.25">
      <c r="A462" s="53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</row>
    <row r="463" spans="1:13" x14ac:dyDescent="0.25">
      <c r="A463" s="53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</row>
    <row r="464" spans="1:13" x14ac:dyDescent="0.25">
      <c r="A464" s="53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</row>
    <row r="465" spans="1:13" x14ac:dyDescent="0.25">
      <c r="A465" s="53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</row>
    <row r="466" spans="1:13" x14ac:dyDescent="0.25">
      <c r="A466" s="53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</row>
    <row r="467" spans="1:13" x14ac:dyDescent="0.25">
      <c r="A467" s="53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</row>
    <row r="468" spans="1:13" x14ac:dyDescent="0.25">
      <c r="A468" s="53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</row>
    <row r="469" spans="1:13" x14ac:dyDescent="0.25">
      <c r="A469" s="53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</row>
    <row r="470" spans="1:13" x14ac:dyDescent="0.25">
      <c r="A470" s="53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</row>
    <row r="471" spans="1:13" x14ac:dyDescent="0.25">
      <c r="A471" s="53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</row>
    <row r="472" spans="1:13" x14ac:dyDescent="0.25">
      <c r="A472" s="53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</row>
    <row r="473" spans="1:13" x14ac:dyDescent="0.25">
      <c r="A473" s="53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</row>
    <row r="474" spans="1:13" x14ac:dyDescent="0.25">
      <c r="A474" s="53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</row>
    <row r="475" spans="1:13" x14ac:dyDescent="0.25">
      <c r="A475" s="53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</row>
    <row r="476" spans="1:13" x14ac:dyDescent="0.25">
      <c r="A476" s="53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</row>
    <row r="477" spans="1:13" x14ac:dyDescent="0.25">
      <c r="A477" s="53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</row>
    <row r="478" spans="1:13" x14ac:dyDescent="0.25">
      <c r="A478" s="53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</row>
    <row r="479" spans="1:13" x14ac:dyDescent="0.25">
      <c r="A479" s="53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</row>
    <row r="480" spans="1:13" x14ac:dyDescent="0.25">
      <c r="A480" s="53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</row>
    <row r="481" spans="1:13" x14ac:dyDescent="0.25">
      <c r="A481" s="53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</row>
    <row r="482" spans="1:13" x14ac:dyDescent="0.25">
      <c r="A482" s="53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</row>
    <row r="483" spans="1:13" x14ac:dyDescent="0.25">
      <c r="A483" s="53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</row>
    <row r="484" spans="1:13" x14ac:dyDescent="0.25">
      <c r="A484" s="53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</row>
    <row r="485" spans="1:13" x14ac:dyDescent="0.25">
      <c r="A485" s="53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</row>
    <row r="486" spans="1:13" x14ac:dyDescent="0.25">
      <c r="A486" s="53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</row>
    <row r="487" spans="1:13" x14ac:dyDescent="0.25">
      <c r="A487" s="53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</row>
    <row r="488" spans="1:13" x14ac:dyDescent="0.25">
      <c r="A488" s="53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</row>
    <row r="489" spans="1:13" x14ac:dyDescent="0.25">
      <c r="A489" s="53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</row>
    <row r="490" spans="1:13" x14ac:dyDescent="0.25">
      <c r="A490" s="53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</row>
    <row r="491" spans="1:13" x14ac:dyDescent="0.25">
      <c r="A491" s="53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</row>
    <row r="492" spans="1:13" x14ac:dyDescent="0.25">
      <c r="A492" s="53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</row>
    <row r="493" spans="1:13" x14ac:dyDescent="0.25">
      <c r="A493" s="53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</row>
    <row r="494" spans="1:13" x14ac:dyDescent="0.25">
      <c r="A494" s="53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</row>
    <row r="495" spans="1:13" x14ac:dyDescent="0.25">
      <c r="A495" s="53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</row>
    <row r="496" spans="1:13" x14ac:dyDescent="0.25">
      <c r="A496" s="53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</row>
    <row r="497" spans="1:13" x14ac:dyDescent="0.25">
      <c r="A497" s="53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</row>
    <row r="498" spans="1:13" x14ac:dyDescent="0.25">
      <c r="A498" s="53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</row>
    <row r="499" spans="1:13" x14ac:dyDescent="0.25">
      <c r="A499" s="53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</row>
    <row r="500" spans="1:13" x14ac:dyDescent="0.25">
      <c r="A500" s="53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</row>
    <row r="501" spans="1:13" x14ac:dyDescent="0.25">
      <c r="A501" s="53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</row>
    <row r="502" spans="1:13" x14ac:dyDescent="0.25">
      <c r="A502" s="53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</row>
    <row r="503" spans="1:13" x14ac:dyDescent="0.25">
      <c r="A503" s="53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</row>
    <row r="504" spans="1:13" x14ac:dyDescent="0.25">
      <c r="A504" s="53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</row>
    <row r="505" spans="1:13" x14ac:dyDescent="0.25">
      <c r="A505" s="53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</row>
    <row r="506" spans="1:13" x14ac:dyDescent="0.25">
      <c r="A506" s="53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</row>
    <row r="507" spans="1:13" x14ac:dyDescent="0.25">
      <c r="A507" s="53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</row>
    <row r="508" spans="1:13" x14ac:dyDescent="0.25">
      <c r="A508" s="53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</row>
    <row r="509" spans="1:13" x14ac:dyDescent="0.25">
      <c r="A509" s="53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</row>
    <row r="510" spans="1:13" x14ac:dyDescent="0.25">
      <c r="A510" s="53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</row>
    <row r="511" spans="1:13" x14ac:dyDescent="0.25">
      <c r="A511" s="53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</row>
    <row r="512" spans="1:13" x14ac:dyDescent="0.25">
      <c r="A512" s="53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</row>
    <row r="513" spans="1:13" x14ac:dyDescent="0.25">
      <c r="A513" s="53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</row>
    <row r="514" spans="1:13" x14ac:dyDescent="0.25">
      <c r="A514" s="53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</row>
    <row r="515" spans="1:13" x14ac:dyDescent="0.25">
      <c r="A515" s="53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</row>
    <row r="516" spans="1:13" x14ac:dyDescent="0.25">
      <c r="A516" s="53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</row>
    <row r="517" spans="1:13" x14ac:dyDescent="0.25">
      <c r="A517" s="53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</row>
    <row r="518" spans="1:13" x14ac:dyDescent="0.25">
      <c r="A518" s="53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</row>
    <row r="519" spans="1:13" x14ac:dyDescent="0.25">
      <c r="A519" s="53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</row>
    <row r="520" spans="1:13" x14ac:dyDescent="0.25">
      <c r="A520" s="53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</row>
    <row r="521" spans="1:13" x14ac:dyDescent="0.25">
      <c r="A521" s="53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</row>
    <row r="522" spans="1:13" x14ac:dyDescent="0.25">
      <c r="A522" s="53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</row>
    <row r="523" spans="1:13" x14ac:dyDescent="0.25">
      <c r="A523" s="53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</row>
    <row r="524" spans="1:13" x14ac:dyDescent="0.25">
      <c r="A524" s="53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</row>
    <row r="525" spans="1:13" x14ac:dyDescent="0.25">
      <c r="A525" s="53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</row>
    <row r="526" spans="1:13" x14ac:dyDescent="0.25">
      <c r="A526" s="53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</row>
    <row r="527" spans="1:13" x14ac:dyDescent="0.25">
      <c r="A527" s="53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</row>
    <row r="528" spans="1:13" x14ac:dyDescent="0.25">
      <c r="A528" s="53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</row>
    <row r="529" spans="1:13" x14ac:dyDescent="0.25">
      <c r="A529" s="53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</row>
    <row r="530" spans="1:13" x14ac:dyDescent="0.25">
      <c r="A530" s="53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</row>
    <row r="531" spans="1:13" x14ac:dyDescent="0.25">
      <c r="A531" s="53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</row>
    <row r="532" spans="1:13" x14ac:dyDescent="0.25">
      <c r="A532" s="53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</row>
    <row r="533" spans="1:13" x14ac:dyDescent="0.25">
      <c r="A533" s="53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</row>
    <row r="534" spans="1:13" x14ac:dyDescent="0.25">
      <c r="A534" s="53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</row>
    <row r="535" spans="1:13" x14ac:dyDescent="0.25">
      <c r="A535" s="53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</row>
    <row r="536" spans="1:13" x14ac:dyDescent="0.25">
      <c r="A536" s="53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</row>
    <row r="537" spans="1:13" x14ac:dyDescent="0.25">
      <c r="A537" s="53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</row>
    <row r="538" spans="1:13" x14ac:dyDescent="0.25">
      <c r="A538" s="53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</row>
    <row r="539" spans="1:13" x14ac:dyDescent="0.25">
      <c r="A539" s="53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</row>
    <row r="540" spans="1:13" x14ac:dyDescent="0.25">
      <c r="A540" s="53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</row>
    <row r="541" spans="1:13" x14ac:dyDescent="0.25">
      <c r="A541" s="53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</row>
    <row r="542" spans="1:13" x14ac:dyDescent="0.25">
      <c r="A542" s="53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</row>
    <row r="543" spans="1:13" x14ac:dyDescent="0.25">
      <c r="A543" s="53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</row>
    <row r="544" spans="1:13" x14ac:dyDescent="0.25">
      <c r="A544" s="53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</row>
    <row r="545" spans="1:13" x14ac:dyDescent="0.25">
      <c r="A545" s="53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</row>
    <row r="546" spans="1:13" x14ac:dyDescent="0.25">
      <c r="A546" s="53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</row>
    <row r="547" spans="1:13" x14ac:dyDescent="0.25">
      <c r="A547" s="53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</row>
    <row r="548" spans="1:13" x14ac:dyDescent="0.25">
      <c r="A548" s="53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</row>
    <row r="549" spans="1:13" x14ac:dyDescent="0.25">
      <c r="A549" s="53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</row>
    <row r="550" spans="1:13" x14ac:dyDescent="0.25">
      <c r="A550" s="53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</row>
    <row r="551" spans="1:13" x14ac:dyDescent="0.25">
      <c r="A551" s="53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</row>
    <row r="552" spans="1:13" x14ac:dyDescent="0.25">
      <c r="A552" s="53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</row>
    <row r="553" spans="1:13" x14ac:dyDescent="0.25">
      <c r="A553" s="53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</row>
    <row r="554" spans="1:13" x14ac:dyDescent="0.25">
      <c r="A554" s="53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</row>
    <row r="555" spans="1:13" x14ac:dyDescent="0.25">
      <c r="A555" s="13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</row>
    <row r="556" spans="1:13" x14ac:dyDescent="0.25">
      <c r="A556" s="53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</row>
    <row r="557" spans="1:13" x14ac:dyDescent="0.25">
      <c r="A557" s="53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</row>
    <row r="558" spans="1:13" x14ac:dyDescent="0.25">
      <c r="A558" s="53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</row>
    <row r="559" spans="1:13" x14ac:dyDescent="0.25">
      <c r="A559" s="53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</row>
    <row r="560" spans="1:13" x14ac:dyDescent="0.25">
      <c r="A560" s="53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</row>
    <row r="561" spans="1:13" x14ac:dyDescent="0.25">
      <c r="A561" s="53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</row>
    <row r="562" spans="1:13" x14ac:dyDescent="0.25">
      <c r="A562" s="53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</row>
    <row r="563" spans="1:13" x14ac:dyDescent="0.25">
      <c r="A563" s="53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</row>
    <row r="564" spans="1:13" x14ac:dyDescent="0.25">
      <c r="A564" s="53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</row>
  </sheetData>
  <mergeCells count="249">
    <mergeCell ref="C354:D354"/>
    <mergeCell ref="C355:D355"/>
    <mergeCell ref="C356:D356"/>
    <mergeCell ref="C357:D357"/>
    <mergeCell ref="C358:D358"/>
    <mergeCell ref="C349:D349"/>
    <mergeCell ref="C350:D350"/>
    <mergeCell ref="C351:D351"/>
    <mergeCell ref="C352:D352"/>
    <mergeCell ref="C353:D353"/>
    <mergeCell ref="C344:D344"/>
    <mergeCell ref="C345:D345"/>
    <mergeCell ref="C346:D346"/>
    <mergeCell ref="C347:D347"/>
    <mergeCell ref="C348:D348"/>
    <mergeCell ref="C339:D339"/>
    <mergeCell ref="C340:D340"/>
    <mergeCell ref="C341:D341"/>
    <mergeCell ref="C342:D342"/>
    <mergeCell ref="C343:D343"/>
    <mergeCell ref="C334:D334"/>
    <mergeCell ref="C335:D335"/>
    <mergeCell ref="C336:D336"/>
    <mergeCell ref="C337:D337"/>
    <mergeCell ref="C338:D338"/>
    <mergeCell ref="C329:D329"/>
    <mergeCell ref="C330:D330"/>
    <mergeCell ref="C331:D331"/>
    <mergeCell ref="C332:D332"/>
    <mergeCell ref="C333:D333"/>
    <mergeCell ref="C324:D324"/>
    <mergeCell ref="C325:D325"/>
    <mergeCell ref="C326:D326"/>
    <mergeCell ref="C327:D327"/>
    <mergeCell ref="C328:D328"/>
    <mergeCell ref="C319:D319"/>
    <mergeCell ref="C320:D320"/>
    <mergeCell ref="C321:D321"/>
    <mergeCell ref="C322:D322"/>
    <mergeCell ref="C323:D323"/>
    <mergeCell ref="C314:D314"/>
    <mergeCell ref="C315:D315"/>
    <mergeCell ref="C316:D316"/>
    <mergeCell ref="C317:D317"/>
    <mergeCell ref="C318:D318"/>
    <mergeCell ref="C309:D309"/>
    <mergeCell ref="C310:D310"/>
    <mergeCell ref="C311:D311"/>
    <mergeCell ref="C312:D312"/>
    <mergeCell ref="C313:D313"/>
    <mergeCell ref="C304:D304"/>
    <mergeCell ref="C305:D305"/>
    <mergeCell ref="C306:D306"/>
    <mergeCell ref="C307:D307"/>
    <mergeCell ref="C308:D308"/>
    <mergeCell ref="C299:D299"/>
    <mergeCell ref="C300:D300"/>
    <mergeCell ref="C301:D301"/>
    <mergeCell ref="C302:D302"/>
    <mergeCell ref="C303:D303"/>
    <mergeCell ref="C294:D294"/>
    <mergeCell ref="C295:D295"/>
    <mergeCell ref="C296:D296"/>
    <mergeCell ref="C297:D297"/>
    <mergeCell ref="C298:D298"/>
    <mergeCell ref="C289:D289"/>
    <mergeCell ref="C290:D290"/>
    <mergeCell ref="C291:D291"/>
    <mergeCell ref="C292:D292"/>
    <mergeCell ref="C293:D293"/>
    <mergeCell ref="C286:D286"/>
    <mergeCell ref="C287:D287"/>
    <mergeCell ref="C288:D288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50:D250"/>
    <mergeCell ref="C251:D251"/>
    <mergeCell ref="C252:D252"/>
    <mergeCell ref="C253:D253"/>
    <mergeCell ref="C254:D254"/>
    <mergeCell ref="C245:D245"/>
    <mergeCell ref="C246:D246"/>
    <mergeCell ref="C247:D247"/>
    <mergeCell ref="C248:D248"/>
    <mergeCell ref="C249:D24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C234:D234"/>
    <mergeCell ref="C225:D225"/>
    <mergeCell ref="C226:D226"/>
    <mergeCell ref="C227:D227"/>
    <mergeCell ref="C228:D228"/>
    <mergeCell ref="C229:D229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12:D212"/>
    <mergeCell ref="C213:D213"/>
    <mergeCell ref="C214:D214"/>
    <mergeCell ref="C205:D205"/>
    <mergeCell ref="C206:D206"/>
    <mergeCell ref="C207:D207"/>
    <mergeCell ref="C208:D208"/>
    <mergeCell ref="C209:D209"/>
    <mergeCell ref="C220:D220"/>
    <mergeCell ref="C200:D200"/>
    <mergeCell ref="C201:D201"/>
    <mergeCell ref="C202:D202"/>
    <mergeCell ref="C203:D203"/>
    <mergeCell ref="C204:D204"/>
    <mergeCell ref="C198:D198"/>
    <mergeCell ref="C199:D199"/>
    <mergeCell ref="C210:D210"/>
    <mergeCell ref="C211:D211"/>
    <mergeCell ref="C192:D192"/>
    <mergeCell ref="C193:D193"/>
    <mergeCell ref="C194:D194"/>
    <mergeCell ref="C195:D195"/>
    <mergeCell ref="C196:D196"/>
    <mergeCell ref="C197:D197"/>
    <mergeCell ref="C190:D190"/>
    <mergeCell ref="C191:D191"/>
    <mergeCell ref="C185:D185"/>
    <mergeCell ref="C186:D186"/>
    <mergeCell ref="C187:D187"/>
    <mergeCell ref="C188:D188"/>
    <mergeCell ref="C189:D18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50:D150"/>
    <mergeCell ref="C133:D133"/>
    <mergeCell ref="C134:D134"/>
    <mergeCell ref="C125:D125"/>
    <mergeCell ref="C126:D126"/>
    <mergeCell ref="C127:D127"/>
    <mergeCell ref="C128:D128"/>
    <mergeCell ref="C129:D129"/>
    <mergeCell ref="C140:D140"/>
    <mergeCell ref="C141:D141"/>
    <mergeCell ref="C124:D124"/>
    <mergeCell ref="C107:D107"/>
    <mergeCell ref="C108:D108"/>
    <mergeCell ref="C109:D109"/>
    <mergeCell ref="C118:D118"/>
    <mergeCell ref="C119:D119"/>
    <mergeCell ref="C130:D130"/>
    <mergeCell ref="C131:D131"/>
    <mergeCell ref="C132:D132"/>
    <mergeCell ref="C102:D102"/>
    <mergeCell ref="C103:D103"/>
    <mergeCell ref="C104:D104"/>
    <mergeCell ref="C105:D105"/>
    <mergeCell ref="C106:D106"/>
    <mergeCell ref="C120:D120"/>
    <mergeCell ref="C121:D121"/>
    <mergeCell ref="C122:D122"/>
    <mergeCell ref="C123:D12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zoomScaleNormal="100" workbookViewId="0">
      <selection activeCell="P3" sqref="P3"/>
    </sheetView>
  </sheetViews>
  <sheetFormatPr baseColWidth="10" defaultColWidth="11.42578125" defaultRowHeight="15" x14ac:dyDescent="0.25"/>
  <cols>
    <col min="2" max="5" width="4.42578125" bestFit="1" customWidth="1"/>
    <col min="6" max="6" width="8" bestFit="1" customWidth="1"/>
    <col min="7" max="14" width="4.42578125" bestFit="1" customWidth="1"/>
    <col min="15" max="15" width="4.42578125" customWidth="1"/>
    <col min="16" max="16" width="82" customWidth="1"/>
    <col min="17" max="17" width="33.42578125" bestFit="1" customWidth="1"/>
    <col min="18" max="18" width="38.5703125" style="32" bestFit="1" customWidth="1"/>
  </cols>
  <sheetData>
    <row r="1" spans="1:18" x14ac:dyDescent="0.25">
      <c r="A1" t="s">
        <v>209</v>
      </c>
      <c r="Q1" t="s">
        <v>210</v>
      </c>
      <c r="R1" s="32" t="s">
        <v>211</v>
      </c>
    </row>
    <row r="2" spans="1:18" s="36" customFormat="1" x14ac:dyDescent="0.25">
      <c r="B2" s="36" t="s">
        <v>212</v>
      </c>
      <c r="C2" s="36" t="s">
        <v>213</v>
      </c>
      <c r="D2" s="36" t="s">
        <v>214</v>
      </c>
      <c r="E2" s="36" t="s">
        <v>215</v>
      </c>
      <c r="F2" s="36" t="s">
        <v>216</v>
      </c>
      <c r="G2" s="36" t="s">
        <v>217</v>
      </c>
      <c r="H2" s="36" t="s">
        <v>218</v>
      </c>
      <c r="I2" s="36" t="s">
        <v>219</v>
      </c>
      <c r="J2" s="36" t="s">
        <v>220</v>
      </c>
      <c r="K2" s="36" t="s">
        <v>221</v>
      </c>
      <c r="L2" s="36" t="s">
        <v>222</v>
      </c>
      <c r="M2" s="37" t="s">
        <v>223</v>
      </c>
      <c r="N2" s="36" t="s">
        <v>224</v>
      </c>
      <c r="O2" s="36" t="s">
        <v>225</v>
      </c>
      <c r="P2" s="36" t="s">
        <v>226</v>
      </c>
      <c r="Q2" s="38" t="s">
        <v>227</v>
      </c>
      <c r="R2" s="39"/>
    </row>
    <row r="3" spans="1:18" ht="45" x14ac:dyDescent="0.25">
      <c r="A3" t="s">
        <v>212</v>
      </c>
      <c r="E3" s="33"/>
      <c r="F3" s="33"/>
      <c r="P3" s="31" t="s">
        <v>228</v>
      </c>
      <c r="Q3" t="s">
        <v>229</v>
      </c>
      <c r="R3" s="32" t="s">
        <v>230</v>
      </c>
    </row>
    <row r="4" spans="1:18" x14ac:dyDescent="0.25">
      <c r="A4" t="s">
        <v>213</v>
      </c>
    </row>
    <row r="5" spans="1:18" x14ac:dyDescent="0.25">
      <c r="A5" t="s">
        <v>214</v>
      </c>
    </row>
    <row r="6" spans="1:18" x14ac:dyDescent="0.25">
      <c r="A6" t="s">
        <v>215</v>
      </c>
      <c r="P6" t="s">
        <v>231</v>
      </c>
      <c r="Q6" t="s">
        <v>232</v>
      </c>
      <c r="R6" s="32" t="s">
        <v>233</v>
      </c>
    </row>
    <row r="7" spans="1:18" x14ac:dyDescent="0.25">
      <c r="A7" t="s">
        <v>216</v>
      </c>
      <c r="P7" t="s">
        <v>234</v>
      </c>
      <c r="R7" s="32" t="s">
        <v>235</v>
      </c>
    </row>
    <row r="8" spans="1:18" x14ac:dyDescent="0.25">
      <c r="A8" t="s">
        <v>217</v>
      </c>
    </row>
    <row r="9" spans="1:18" x14ac:dyDescent="0.25">
      <c r="A9" t="s">
        <v>218</v>
      </c>
    </row>
    <row r="10" spans="1:18" x14ac:dyDescent="0.25">
      <c r="A10" t="s">
        <v>219</v>
      </c>
      <c r="P10" t="s">
        <v>236</v>
      </c>
    </row>
    <row r="11" spans="1:18" x14ac:dyDescent="0.25">
      <c r="A11" t="s">
        <v>220</v>
      </c>
      <c r="K11" s="28"/>
      <c r="P11" t="s">
        <v>237</v>
      </c>
    </row>
    <row r="12" spans="1:18" x14ac:dyDescent="0.25">
      <c r="A12" t="s">
        <v>221</v>
      </c>
      <c r="J12" s="28"/>
      <c r="P12" t="s">
        <v>238</v>
      </c>
      <c r="Q12" s="30">
        <v>1</v>
      </c>
      <c r="R12" s="32" t="s">
        <v>239</v>
      </c>
    </row>
    <row r="13" spans="1:18" x14ac:dyDescent="0.25">
      <c r="A13" t="s">
        <v>222</v>
      </c>
    </row>
    <row r="14" spans="1:18" x14ac:dyDescent="0.25">
      <c r="A14" s="27" t="s">
        <v>223</v>
      </c>
    </row>
    <row r="15" spans="1:18" x14ac:dyDescent="0.25">
      <c r="A15" t="s">
        <v>224</v>
      </c>
    </row>
    <row r="16" spans="1:18" x14ac:dyDescent="0.25">
      <c r="A16" t="s">
        <v>225</v>
      </c>
    </row>
    <row r="19" spans="1:16" ht="75" x14ac:dyDescent="0.25">
      <c r="A19" t="s">
        <v>240</v>
      </c>
      <c r="P19" s="34" t="s">
        <v>241</v>
      </c>
    </row>
    <row r="20" spans="1:16" ht="42" customHeight="1" x14ac:dyDescent="0.25">
      <c r="A20" t="s">
        <v>242</v>
      </c>
      <c r="P20" s="34" t="s">
        <v>243</v>
      </c>
    </row>
    <row r="21" spans="1:16" x14ac:dyDescent="0.25">
      <c r="A21" t="s">
        <v>244</v>
      </c>
      <c r="P21" s="29" t="s">
        <v>245</v>
      </c>
    </row>
    <row r="22" spans="1:16" ht="30" x14ac:dyDescent="0.25">
      <c r="P22" s="34" t="s">
        <v>246</v>
      </c>
    </row>
  </sheetData>
  <sheetProtection algorithmName="SHA-512" hashValue="/fZQgilLtyDMGKPutSvMGZrA2LZciib234PL9MvXbFnBU1Gvaj9t2VLgoPfBGxIW0j4iCHk5R7eLV9Yf5V4TuA==" saltValue="QbVZ9e9Qm2U54hJ+b1oeEA==" spinCount="100000" sheet="1" objects="1" scenarios="1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0"/>
  <sheetViews>
    <sheetView zoomScale="145" zoomScaleNormal="145" workbookViewId="0">
      <selection activeCell="G9" sqref="G9"/>
    </sheetView>
  </sheetViews>
  <sheetFormatPr baseColWidth="10" defaultColWidth="11.42578125" defaultRowHeight="15" x14ac:dyDescent="0.25"/>
  <cols>
    <col min="2" max="2" width="4.7109375" customWidth="1"/>
    <col min="3" max="9" width="5.7109375" customWidth="1"/>
    <col min="11" max="11" width="18.140625" bestFit="1" customWidth="1"/>
  </cols>
  <sheetData>
    <row r="2" spans="1:11" x14ac:dyDescent="0.25">
      <c r="A2" t="s">
        <v>247</v>
      </c>
      <c r="B2">
        <v>3.9</v>
      </c>
      <c r="C2">
        <v>4.9000000000000004</v>
      </c>
      <c r="D2">
        <v>5.9</v>
      </c>
      <c r="E2">
        <v>8</v>
      </c>
      <c r="F2">
        <v>10</v>
      </c>
      <c r="G2">
        <v>12</v>
      </c>
      <c r="H2">
        <v>15</v>
      </c>
      <c r="I2">
        <v>19</v>
      </c>
      <c r="K2" s="27" t="s">
        <v>248</v>
      </c>
    </row>
    <row r="3" spans="1:11" x14ac:dyDescent="0.25">
      <c r="A3">
        <v>3.9</v>
      </c>
      <c r="B3" s="35"/>
      <c r="C3" s="27"/>
      <c r="D3" s="27"/>
      <c r="E3" s="33"/>
      <c r="F3" s="28"/>
      <c r="G3" s="28"/>
      <c r="H3" s="28"/>
      <c r="I3" s="28"/>
      <c r="K3" s="33" t="s">
        <v>249</v>
      </c>
    </row>
    <row r="4" spans="1:11" x14ac:dyDescent="0.25">
      <c r="A4">
        <v>4.9000000000000004</v>
      </c>
      <c r="B4" s="27"/>
      <c r="C4" s="35"/>
      <c r="D4" s="27"/>
      <c r="E4" s="33"/>
      <c r="F4" s="28"/>
      <c r="G4" s="28"/>
      <c r="H4" s="28"/>
      <c r="I4" s="28"/>
      <c r="K4" s="28" t="s">
        <v>250</v>
      </c>
    </row>
    <row r="5" spans="1:11" x14ac:dyDescent="0.25">
      <c r="A5">
        <v>5.9</v>
      </c>
      <c r="B5" s="27"/>
      <c r="C5" s="27"/>
      <c r="D5" s="35"/>
      <c r="E5" s="27"/>
      <c r="F5" s="33"/>
      <c r="G5" s="28"/>
      <c r="H5" s="28"/>
      <c r="I5" s="28"/>
    </row>
    <row r="6" spans="1:11" x14ac:dyDescent="0.25">
      <c r="A6">
        <v>8</v>
      </c>
      <c r="B6" s="33"/>
      <c r="C6" s="33"/>
      <c r="D6" s="27"/>
      <c r="E6" s="35"/>
      <c r="F6" s="27"/>
      <c r="G6" s="33"/>
      <c r="H6" s="28"/>
      <c r="I6" s="28"/>
    </row>
    <row r="7" spans="1:11" x14ac:dyDescent="0.25">
      <c r="A7">
        <v>10</v>
      </c>
      <c r="B7" s="28"/>
      <c r="C7" s="28"/>
      <c r="D7" s="33"/>
      <c r="E7" s="27"/>
      <c r="F7" s="35"/>
      <c r="G7" s="27"/>
      <c r="H7" s="33"/>
      <c r="I7" s="28"/>
    </row>
    <row r="8" spans="1:11" x14ac:dyDescent="0.25">
      <c r="A8">
        <v>12</v>
      </c>
      <c r="B8" s="28"/>
      <c r="C8" s="28"/>
      <c r="D8" s="28"/>
      <c r="E8" s="33"/>
      <c r="F8" s="27"/>
      <c r="G8" s="35"/>
      <c r="H8" s="27"/>
      <c r="I8" s="28"/>
    </row>
    <row r="9" spans="1:11" x14ac:dyDescent="0.25">
      <c r="A9">
        <v>15</v>
      </c>
      <c r="B9" s="28"/>
      <c r="C9" s="28"/>
      <c r="D9" s="28"/>
      <c r="E9" s="28"/>
      <c r="F9" s="33"/>
      <c r="G9" s="27"/>
      <c r="H9" s="35"/>
      <c r="I9" s="27"/>
    </row>
    <row r="10" spans="1:11" x14ac:dyDescent="0.25">
      <c r="A10">
        <v>19</v>
      </c>
      <c r="B10" s="28"/>
      <c r="C10" s="28"/>
      <c r="D10" s="28"/>
      <c r="E10" s="28"/>
      <c r="F10" s="28"/>
      <c r="G10" s="27"/>
      <c r="H10" s="27"/>
      <c r="I10" s="35"/>
    </row>
  </sheetData>
  <sheetProtection algorithmName="SHA-512" hashValue="/lDl2IORUMf8Ab1LVs7D0kfh0P1pxLJTfxIPifpyQdtzw6jYbluSnRJmczfYCesg02+6o58U8POIB6R+o1QygA==" saltValue="XfqCyCtLDbH+Sxc01HEKvw==" spinCount="100000" sheet="1" objects="1" scenarios="1"/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O99"/>
  <sheetViews>
    <sheetView workbookViewId="0">
      <selection activeCell="B18" sqref="B18:D20"/>
    </sheetView>
  </sheetViews>
  <sheetFormatPr baseColWidth="10" defaultColWidth="11.42578125" defaultRowHeight="15" x14ac:dyDescent="0.25"/>
  <cols>
    <col min="1" max="16384" width="11.42578125" style="15"/>
  </cols>
  <sheetData>
    <row r="4" spans="1:13" x14ac:dyDescent="0.25">
      <c r="B4" s="15" t="s">
        <v>251</v>
      </c>
    </row>
    <row r="6" spans="1:13" x14ac:dyDescent="0.25">
      <c r="B6" s="15" t="s">
        <v>252</v>
      </c>
      <c r="C6" s="15">
        <v>4100</v>
      </c>
      <c r="D6" s="15" t="s">
        <v>253</v>
      </c>
      <c r="E6" s="15" t="s">
        <v>254</v>
      </c>
      <c r="F6" s="15" t="s">
        <v>255</v>
      </c>
      <c r="J6" s="15" t="s">
        <v>256</v>
      </c>
      <c r="K6" s="15">
        <v>22950</v>
      </c>
      <c r="L6" s="15" t="s">
        <v>253</v>
      </c>
      <c r="M6" s="15" t="s">
        <v>257</v>
      </c>
    </row>
    <row r="7" spans="1:13" x14ac:dyDescent="0.25">
      <c r="B7" s="15" t="s">
        <v>258</v>
      </c>
      <c r="C7" s="15">
        <v>2600</v>
      </c>
      <c r="D7" s="15" t="s">
        <v>253</v>
      </c>
      <c r="E7" s="15" t="s">
        <v>259</v>
      </c>
    </row>
    <row r="9" spans="1:13" x14ac:dyDescent="0.25">
      <c r="B9" s="15" t="s">
        <v>260</v>
      </c>
      <c r="J9" s="15" t="s">
        <v>261</v>
      </c>
      <c r="L9" s="15">
        <f>K6/6</f>
        <v>3825</v>
      </c>
      <c r="M9" s="15">
        <f>L9/720</f>
        <v>5.3125</v>
      </c>
    </row>
    <row r="12" spans="1:13" x14ac:dyDescent="0.25">
      <c r="B12" s="15" t="s">
        <v>262</v>
      </c>
      <c r="F12" s="15" t="s">
        <v>263</v>
      </c>
    </row>
    <row r="14" spans="1:13" x14ac:dyDescent="0.25">
      <c r="A14" s="15" t="s">
        <v>264</v>
      </c>
      <c r="B14" s="15" t="s">
        <v>265</v>
      </c>
      <c r="C14" s="16" t="s">
        <v>266</v>
      </c>
      <c r="D14" s="16" t="s">
        <v>267</v>
      </c>
      <c r="H14" s="15" t="s">
        <v>264</v>
      </c>
      <c r="I14" s="15" t="s">
        <v>265</v>
      </c>
      <c r="J14" s="16" t="s">
        <v>266</v>
      </c>
      <c r="K14" s="16" t="s">
        <v>267</v>
      </c>
    </row>
    <row r="15" spans="1:13" x14ac:dyDescent="0.25">
      <c r="A15" s="16">
        <v>1</v>
      </c>
      <c r="B15" s="15" t="s">
        <v>268</v>
      </c>
      <c r="C15" s="15">
        <v>750</v>
      </c>
      <c r="D15" s="15">
        <v>720</v>
      </c>
      <c r="H15" s="16">
        <v>1</v>
      </c>
      <c r="I15" s="15" t="s">
        <v>269</v>
      </c>
      <c r="J15" s="15">
        <v>750</v>
      </c>
      <c r="K15" s="15">
        <v>720</v>
      </c>
    </row>
    <row r="16" spans="1:13" x14ac:dyDescent="0.25">
      <c r="A16" s="16">
        <v>1</v>
      </c>
      <c r="B16" s="15" t="s">
        <v>270</v>
      </c>
      <c r="C16" s="15">
        <v>750</v>
      </c>
      <c r="D16" s="15">
        <v>690</v>
      </c>
      <c r="H16" s="16">
        <v>1</v>
      </c>
      <c r="I16" s="15" t="s">
        <v>256</v>
      </c>
      <c r="J16" s="15">
        <v>750</v>
      </c>
      <c r="K16" s="15">
        <v>720</v>
      </c>
    </row>
    <row r="17" spans="1:15" x14ac:dyDescent="0.25">
      <c r="A17" s="16">
        <v>1</v>
      </c>
      <c r="B17" s="15" t="s">
        <v>271</v>
      </c>
      <c r="C17" s="15">
        <v>750</v>
      </c>
      <c r="D17" s="15">
        <v>670</v>
      </c>
      <c r="H17" s="16">
        <v>1</v>
      </c>
      <c r="I17" s="15" t="s">
        <v>256</v>
      </c>
      <c r="J17" s="15">
        <v>750</v>
      </c>
      <c r="K17" s="15">
        <v>720</v>
      </c>
    </row>
    <row r="18" spans="1:15" x14ac:dyDescent="0.25">
      <c r="A18" s="16">
        <v>1</v>
      </c>
      <c r="B18" s="15" t="s">
        <v>252</v>
      </c>
      <c r="C18" s="15">
        <v>750</v>
      </c>
      <c r="D18" s="15">
        <v>670</v>
      </c>
      <c r="H18" s="16">
        <v>1</v>
      </c>
      <c r="I18" s="15" t="s">
        <v>256</v>
      </c>
      <c r="J18" s="15">
        <v>750</v>
      </c>
      <c r="K18" s="15">
        <v>720</v>
      </c>
    </row>
    <row r="19" spans="1:15" x14ac:dyDescent="0.25">
      <c r="A19" s="16">
        <v>1</v>
      </c>
      <c r="B19" s="15" t="s">
        <v>252</v>
      </c>
      <c r="C19" s="15">
        <v>750</v>
      </c>
      <c r="D19" s="15">
        <v>670</v>
      </c>
      <c r="H19" s="16">
        <v>1</v>
      </c>
      <c r="I19" s="15" t="s">
        <v>256</v>
      </c>
      <c r="J19" s="15">
        <v>750</v>
      </c>
      <c r="K19" s="15">
        <v>720</v>
      </c>
    </row>
    <row r="20" spans="1:15" x14ac:dyDescent="0.25">
      <c r="A20" s="16">
        <v>1</v>
      </c>
      <c r="B20" s="15" t="s">
        <v>252</v>
      </c>
      <c r="C20" s="15">
        <v>750</v>
      </c>
      <c r="D20" s="15">
        <v>670</v>
      </c>
      <c r="H20" s="16">
        <v>1</v>
      </c>
      <c r="I20" s="15" t="s">
        <v>256</v>
      </c>
      <c r="J20" s="15">
        <v>750</v>
      </c>
      <c r="K20" s="15">
        <v>720</v>
      </c>
    </row>
    <row r="21" spans="1:15" x14ac:dyDescent="0.25">
      <c r="A21" s="16">
        <v>1</v>
      </c>
      <c r="B21" s="15" t="s">
        <v>258</v>
      </c>
      <c r="C21" s="15">
        <v>750</v>
      </c>
      <c r="D21" s="15">
        <v>670</v>
      </c>
      <c r="H21" s="16">
        <v>1</v>
      </c>
      <c r="I21" s="15" t="s">
        <v>256</v>
      </c>
      <c r="J21" s="15">
        <v>750</v>
      </c>
      <c r="K21" s="15">
        <v>720</v>
      </c>
    </row>
    <row r="22" spans="1:15" x14ac:dyDescent="0.25">
      <c r="A22" s="16">
        <v>1</v>
      </c>
      <c r="B22" s="15" t="s">
        <v>258</v>
      </c>
      <c r="C22" s="15">
        <v>750</v>
      </c>
      <c r="D22" s="15">
        <v>670</v>
      </c>
      <c r="H22" s="16">
        <v>1</v>
      </c>
      <c r="I22" s="15" t="s">
        <v>269</v>
      </c>
      <c r="J22" s="15">
        <v>750</v>
      </c>
      <c r="K22" s="15">
        <v>720</v>
      </c>
    </row>
    <row r="23" spans="1:15" x14ac:dyDescent="0.25">
      <c r="A23" s="16">
        <v>1</v>
      </c>
      <c r="B23" s="15" t="s">
        <v>258</v>
      </c>
      <c r="C23" s="15">
        <v>750</v>
      </c>
      <c r="D23" s="15">
        <v>670</v>
      </c>
      <c r="H23" s="16">
        <f>SUM(H15:H22)</f>
        <v>8</v>
      </c>
    </row>
    <row r="24" spans="1:15" x14ac:dyDescent="0.25">
      <c r="A24" s="16">
        <v>1</v>
      </c>
      <c r="B24" s="15" t="s">
        <v>271</v>
      </c>
      <c r="C24" s="15">
        <v>750</v>
      </c>
      <c r="D24" s="15">
        <v>670</v>
      </c>
    </row>
    <row r="25" spans="1:15" x14ac:dyDescent="0.25">
      <c r="A25" s="16">
        <v>1</v>
      </c>
      <c r="B25" s="15" t="s">
        <v>270</v>
      </c>
      <c r="C25" s="15">
        <v>750</v>
      </c>
      <c r="D25" s="15">
        <v>690</v>
      </c>
    </row>
    <row r="26" spans="1:15" x14ac:dyDescent="0.25">
      <c r="A26" s="16">
        <v>1</v>
      </c>
      <c r="B26" s="15" t="s">
        <v>268</v>
      </c>
      <c r="C26" s="15">
        <v>750</v>
      </c>
      <c r="D26" s="15">
        <v>720</v>
      </c>
    </row>
    <row r="27" spans="1:15" x14ac:dyDescent="0.25">
      <c r="A27" s="16">
        <v>1</v>
      </c>
      <c r="B27" s="15" t="s">
        <v>268</v>
      </c>
      <c r="C27" s="15">
        <v>750</v>
      </c>
      <c r="D27" s="15">
        <v>750</v>
      </c>
    </row>
    <row r="28" spans="1:15" x14ac:dyDescent="0.25">
      <c r="A28" s="16">
        <f>SUM(A15:A27)</f>
        <v>13</v>
      </c>
    </row>
    <row r="29" spans="1:15" x14ac:dyDescent="0.25">
      <c r="B29" s="15" t="s">
        <v>272</v>
      </c>
      <c r="F29" s="15" t="s">
        <v>273</v>
      </c>
      <c r="I29" s="15" t="s">
        <v>274</v>
      </c>
      <c r="J29" s="15" t="s">
        <v>265</v>
      </c>
      <c r="K29" s="16" t="s">
        <v>264</v>
      </c>
      <c r="L29" s="16" t="s">
        <v>266</v>
      </c>
      <c r="M29" s="16" t="s">
        <v>266</v>
      </c>
      <c r="N29" s="16" t="s">
        <v>275</v>
      </c>
      <c r="O29" s="16" t="s">
        <v>275</v>
      </c>
    </row>
    <row r="30" spans="1:15" x14ac:dyDescent="0.25">
      <c r="I30" s="15" t="s">
        <v>276</v>
      </c>
    </row>
    <row r="31" spans="1:15" x14ac:dyDescent="0.25">
      <c r="A31" s="16">
        <v>1</v>
      </c>
      <c r="B31" s="15" t="s">
        <v>268</v>
      </c>
      <c r="C31" s="15">
        <v>750</v>
      </c>
      <c r="D31" s="15">
        <v>750</v>
      </c>
      <c r="I31" s="15" t="s">
        <v>277</v>
      </c>
      <c r="J31" s="15" t="s">
        <v>269</v>
      </c>
      <c r="K31" s="15">
        <v>12</v>
      </c>
      <c r="L31" s="15">
        <v>750</v>
      </c>
      <c r="M31" s="15">
        <f>K31*L31</f>
        <v>9000</v>
      </c>
      <c r="N31" s="15">
        <v>720</v>
      </c>
      <c r="O31" s="15">
        <f>K31*N31</f>
        <v>8640</v>
      </c>
    </row>
    <row r="32" spans="1:15" x14ac:dyDescent="0.25">
      <c r="A32" s="16">
        <v>1</v>
      </c>
      <c r="B32" s="15" t="s">
        <v>268</v>
      </c>
      <c r="C32" s="15">
        <v>760</v>
      </c>
      <c r="D32" s="15">
        <v>760</v>
      </c>
      <c r="I32" s="15" t="s">
        <v>278</v>
      </c>
      <c r="J32" s="15" t="s">
        <v>269</v>
      </c>
      <c r="K32" s="15">
        <v>18</v>
      </c>
      <c r="L32" s="15">
        <v>820</v>
      </c>
      <c r="M32" s="15">
        <f t="shared" ref="M32:M41" si="0">K32*L32</f>
        <v>14760</v>
      </c>
      <c r="N32" s="15">
        <v>820</v>
      </c>
      <c r="O32" s="15">
        <f t="shared" ref="O32:O41" si="1">K32*N32</f>
        <v>14760</v>
      </c>
    </row>
    <row r="33" spans="1:15" x14ac:dyDescent="0.25">
      <c r="A33" s="16">
        <v>1</v>
      </c>
      <c r="B33" s="15" t="s">
        <v>279</v>
      </c>
      <c r="C33" s="15">
        <v>770</v>
      </c>
      <c r="D33" s="15">
        <v>770</v>
      </c>
      <c r="I33" s="15" t="s">
        <v>278</v>
      </c>
      <c r="J33" s="15" t="s">
        <v>269</v>
      </c>
      <c r="K33" s="15">
        <v>3</v>
      </c>
      <c r="L33" s="15">
        <v>810</v>
      </c>
      <c r="M33" s="15">
        <f t="shared" si="0"/>
        <v>2430</v>
      </c>
      <c r="N33" s="15">
        <v>810</v>
      </c>
      <c r="O33" s="15">
        <f t="shared" si="1"/>
        <v>2430</v>
      </c>
    </row>
    <row r="34" spans="1:15" x14ac:dyDescent="0.25">
      <c r="A34" s="16">
        <v>1</v>
      </c>
      <c r="B34" s="15" t="s">
        <v>279</v>
      </c>
      <c r="C34" s="15">
        <v>780</v>
      </c>
      <c r="D34" s="15">
        <v>780</v>
      </c>
      <c r="I34" s="15" t="s">
        <v>278</v>
      </c>
      <c r="J34" s="15" t="s">
        <v>269</v>
      </c>
      <c r="K34" s="15">
        <v>3</v>
      </c>
      <c r="L34" s="15">
        <v>800</v>
      </c>
      <c r="M34" s="15">
        <f t="shared" si="0"/>
        <v>2400</v>
      </c>
      <c r="N34" s="15">
        <v>800</v>
      </c>
      <c r="O34" s="15">
        <f t="shared" si="1"/>
        <v>2400</v>
      </c>
    </row>
    <row r="35" spans="1:15" x14ac:dyDescent="0.25">
      <c r="A35" s="16">
        <v>1</v>
      </c>
      <c r="B35" s="15" t="s">
        <v>280</v>
      </c>
      <c r="C35" s="15">
        <v>790</v>
      </c>
      <c r="D35" s="15">
        <v>790</v>
      </c>
      <c r="I35" s="15" t="s">
        <v>278</v>
      </c>
      <c r="J35" s="15" t="s">
        <v>269</v>
      </c>
      <c r="K35" s="15">
        <v>3</v>
      </c>
      <c r="L35" s="15">
        <v>780</v>
      </c>
      <c r="M35" s="15">
        <f t="shared" si="0"/>
        <v>2340</v>
      </c>
      <c r="N35" s="15">
        <v>780</v>
      </c>
      <c r="O35" s="15">
        <f t="shared" si="1"/>
        <v>2340</v>
      </c>
    </row>
    <row r="36" spans="1:15" x14ac:dyDescent="0.25">
      <c r="A36" s="16">
        <v>1</v>
      </c>
      <c r="B36" s="15" t="s">
        <v>280</v>
      </c>
      <c r="C36" s="15">
        <v>800</v>
      </c>
      <c r="D36" s="15">
        <v>800</v>
      </c>
      <c r="I36" s="15" t="s">
        <v>278</v>
      </c>
      <c r="J36" s="15" t="s">
        <v>269</v>
      </c>
      <c r="K36" s="15">
        <v>3</v>
      </c>
      <c r="L36" s="15">
        <v>770</v>
      </c>
      <c r="M36" s="15">
        <f t="shared" si="0"/>
        <v>2310</v>
      </c>
      <c r="N36" s="15">
        <v>770</v>
      </c>
      <c r="O36" s="15">
        <f t="shared" si="1"/>
        <v>2310</v>
      </c>
    </row>
    <row r="37" spans="1:15" x14ac:dyDescent="0.25">
      <c r="A37" s="16">
        <v>1</v>
      </c>
      <c r="B37" s="15" t="s">
        <v>280</v>
      </c>
      <c r="C37" s="15">
        <v>810</v>
      </c>
      <c r="D37" s="15">
        <v>810</v>
      </c>
      <c r="I37" s="15" t="s">
        <v>278</v>
      </c>
      <c r="J37" s="15" t="s">
        <v>269</v>
      </c>
      <c r="K37" s="15">
        <v>3</v>
      </c>
      <c r="L37" s="15">
        <v>790</v>
      </c>
      <c r="M37" s="15">
        <f t="shared" si="0"/>
        <v>2370</v>
      </c>
      <c r="N37" s="15">
        <v>790</v>
      </c>
      <c r="O37" s="15">
        <f t="shared" si="1"/>
        <v>2370</v>
      </c>
    </row>
    <row r="38" spans="1:15" x14ac:dyDescent="0.25">
      <c r="A38" s="16">
        <v>1</v>
      </c>
      <c r="B38" s="15" t="s">
        <v>281</v>
      </c>
      <c r="C38" s="15">
        <v>820</v>
      </c>
      <c r="D38" s="15">
        <v>820</v>
      </c>
      <c r="I38" s="17" t="s">
        <v>282</v>
      </c>
      <c r="J38" s="17" t="s">
        <v>269</v>
      </c>
      <c r="K38" s="17">
        <f>SUM(K24:K37)</f>
        <v>45</v>
      </c>
      <c r="L38" s="18">
        <f>M38/K38</f>
        <v>791.33333333333337</v>
      </c>
      <c r="M38" s="17">
        <f>SUM(M24:M37)</f>
        <v>35610</v>
      </c>
      <c r="N38" s="18">
        <f>O38/K38</f>
        <v>783.33333333333337</v>
      </c>
      <c r="O38" s="17">
        <f>SUM(O24:O37)</f>
        <v>35250</v>
      </c>
    </row>
    <row r="39" spans="1:15" x14ac:dyDescent="0.25">
      <c r="A39" s="16">
        <v>1</v>
      </c>
      <c r="B39" s="15" t="s">
        <v>281</v>
      </c>
      <c r="C39" s="15">
        <v>820</v>
      </c>
      <c r="D39" s="15">
        <v>820</v>
      </c>
    </row>
    <row r="40" spans="1:15" x14ac:dyDescent="0.25">
      <c r="A40" s="16">
        <f>SUM(A31:A39)</f>
        <v>9</v>
      </c>
      <c r="B40" s="15" t="s">
        <v>281</v>
      </c>
      <c r="C40" s="15">
        <v>820</v>
      </c>
      <c r="D40" s="15">
        <v>820</v>
      </c>
      <c r="I40" s="15" t="s">
        <v>278</v>
      </c>
      <c r="J40" s="15" t="s">
        <v>279</v>
      </c>
      <c r="K40" s="15">
        <v>3</v>
      </c>
      <c r="L40" s="15">
        <v>770</v>
      </c>
      <c r="M40" s="15">
        <f t="shared" si="0"/>
        <v>2310</v>
      </c>
      <c r="N40" s="15">
        <v>770</v>
      </c>
      <c r="O40" s="15">
        <f t="shared" si="1"/>
        <v>2310</v>
      </c>
    </row>
    <row r="41" spans="1:15" x14ac:dyDescent="0.25">
      <c r="A41" s="16">
        <v>10</v>
      </c>
      <c r="B41" s="15" t="s">
        <v>281</v>
      </c>
      <c r="C41" s="15">
        <v>820</v>
      </c>
      <c r="D41" s="15">
        <v>820</v>
      </c>
      <c r="I41" s="15" t="s">
        <v>278</v>
      </c>
      <c r="J41" s="15" t="s">
        <v>279</v>
      </c>
      <c r="K41" s="15">
        <v>3</v>
      </c>
      <c r="L41" s="15">
        <v>780</v>
      </c>
      <c r="M41" s="15">
        <f t="shared" si="0"/>
        <v>2340</v>
      </c>
      <c r="N41" s="15">
        <v>780</v>
      </c>
      <c r="O41" s="15">
        <f t="shared" si="1"/>
        <v>2340</v>
      </c>
    </row>
    <row r="42" spans="1:15" x14ac:dyDescent="0.25">
      <c r="B42" s="15" t="s">
        <v>283</v>
      </c>
      <c r="I42" s="17" t="s">
        <v>282</v>
      </c>
      <c r="J42" s="17" t="s">
        <v>279</v>
      </c>
      <c r="K42" s="17">
        <f>SUM(K40:K41)</f>
        <v>6</v>
      </c>
      <c r="L42" s="18">
        <f>M42/K42</f>
        <v>775</v>
      </c>
      <c r="M42" s="17">
        <f>SUM(M40:M41)</f>
        <v>4650</v>
      </c>
      <c r="N42" s="18">
        <f>O42/K42</f>
        <v>775</v>
      </c>
      <c r="O42" s="17">
        <f>SUM(O40:O41)</f>
        <v>4650</v>
      </c>
    </row>
    <row r="43" spans="1:15" x14ac:dyDescent="0.25">
      <c r="A43" s="16">
        <v>1</v>
      </c>
      <c r="B43" s="15" t="s">
        <v>281</v>
      </c>
      <c r="C43" s="15">
        <v>820</v>
      </c>
      <c r="D43" s="15">
        <v>820</v>
      </c>
    </row>
    <row r="44" spans="1:15" x14ac:dyDescent="0.25">
      <c r="A44" s="16">
        <v>1</v>
      </c>
      <c r="B44" s="15" t="s">
        <v>281</v>
      </c>
      <c r="C44" s="15">
        <v>820</v>
      </c>
      <c r="D44" s="15">
        <v>820</v>
      </c>
      <c r="I44" s="15" t="s">
        <v>284</v>
      </c>
      <c r="J44" s="15" t="s">
        <v>268</v>
      </c>
      <c r="K44" s="15">
        <v>2</v>
      </c>
      <c r="L44" s="15">
        <v>750</v>
      </c>
      <c r="M44" s="15">
        <f>K44*L44</f>
        <v>1500</v>
      </c>
      <c r="N44" s="15">
        <v>720</v>
      </c>
      <c r="O44" s="15">
        <f>N44*K44</f>
        <v>1440</v>
      </c>
    </row>
    <row r="45" spans="1:15" x14ac:dyDescent="0.25">
      <c r="A45" s="16">
        <v>1</v>
      </c>
      <c r="B45" s="15" t="s">
        <v>285</v>
      </c>
      <c r="C45" s="15">
        <v>800</v>
      </c>
      <c r="D45" s="15">
        <v>800</v>
      </c>
      <c r="I45" s="15" t="s">
        <v>278</v>
      </c>
      <c r="J45" s="15" t="s">
        <v>268</v>
      </c>
      <c r="K45" s="15">
        <v>3</v>
      </c>
      <c r="L45" s="15">
        <v>760</v>
      </c>
      <c r="M45" s="15">
        <f>K45*L45</f>
        <v>2280</v>
      </c>
      <c r="N45" s="15">
        <v>760</v>
      </c>
      <c r="O45" s="15">
        <f>N45*K45</f>
        <v>2280</v>
      </c>
    </row>
    <row r="46" spans="1:15" x14ac:dyDescent="0.25">
      <c r="A46" s="16">
        <v>1</v>
      </c>
      <c r="B46" s="15" t="s">
        <v>286</v>
      </c>
      <c r="C46" s="15">
        <v>780</v>
      </c>
      <c r="D46" s="15">
        <v>780</v>
      </c>
      <c r="I46" s="17" t="s">
        <v>282</v>
      </c>
      <c r="J46" s="17" t="s">
        <v>268</v>
      </c>
      <c r="K46" s="17">
        <f>SUM(K44:K45)</f>
        <v>5</v>
      </c>
      <c r="L46" s="18">
        <f>M46/K46</f>
        <v>756</v>
      </c>
      <c r="M46" s="17">
        <f>SUM(M44:M45)</f>
        <v>3780</v>
      </c>
      <c r="N46" s="18">
        <f>O46/K46</f>
        <v>744</v>
      </c>
      <c r="O46" s="17">
        <f>SUM(O44:O45)</f>
        <v>3720</v>
      </c>
    </row>
    <row r="47" spans="1:15" x14ac:dyDescent="0.25">
      <c r="A47" s="16">
        <f>SUM(A43:A46)</f>
        <v>4</v>
      </c>
      <c r="B47" s="15" t="s">
        <v>279</v>
      </c>
      <c r="C47" s="15">
        <v>750</v>
      </c>
      <c r="D47" s="15">
        <v>750</v>
      </c>
    </row>
    <row r="48" spans="1:15" x14ac:dyDescent="0.25">
      <c r="I48" s="15" t="s">
        <v>284</v>
      </c>
      <c r="J48" s="15" t="s">
        <v>270</v>
      </c>
      <c r="K48" s="15">
        <v>2</v>
      </c>
      <c r="L48" s="15">
        <v>750</v>
      </c>
      <c r="M48" s="15">
        <f>K48*L48</f>
        <v>1500</v>
      </c>
      <c r="N48" s="15">
        <v>690</v>
      </c>
      <c r="O48" s="15">
        <f>N48*K48</f>
        <v>1380</v>
      </c>
    </row>
    <row r="49" spans="2:15" x14ac:dyDescent="0.25">
      <c r="L49" s="15">
        <f>M48/K48</f>
        <v>750</v>
      </c>
      <c r="N49" s="15">
        <f>O48/K48</f>
        <v>690</v>
      </c>
    </row>
    <row r="51" spans="2:15" x14ac:dyDescent="0.25">
      <c r="I51" s="15" t="s">
        <v>284</v>
      </c>
      <c r="J51" s="15" t="s">
        <v>271</v>
      </c>
      <c r="K51" s="15">
        <v>2</v>
      </c>
      <c r="L51" s="15">
        <v>750</v>
      </c>
      <c r="M51" s="15">
        <f>K51*L51</f>
        <v>1500</v>
      </c>
      <c r="N51" s="15">
        <v>670</v>
      </c>
      <c r="O51" s="15">
        <f>N51*K51</f>
        <v>1340</v>
      </c>
    </row>
    <row r="52" spans="2:15" x14ac:dyDescent="0.25">
      <c r="B52" s="19" t="s">
        <v>287</v>
      </c>
      <c r="C52" s="19"/>
      <c r="L52" s="15">
        <f>M51/K51</f>
        <v>750</v>
      </c>
      <c r="N52" s="15">
        <f>O51/K51</f>
        <v>670</v>
      </c>
    </row>
    <row r="54" spans="2:15" x14ac:dyDescent="0.25">
      <c r="B54" s="19" t="s">
        <v>265</v>
      </c>
      <c r="C54" s="20" t="s">
        <v>264</v>
      </c>
      <c r="D54" s="20" t="s">
        <v>266</v>
      </c>
      <c r="E54" s="20" t="s">
        <v>266</v>
      </c>
      <c r="F54" s="20" t="s">
        <v>275</v>
      </c>
      <c r="G54" s="20" t="s">
        <v>275</v>
      </c>
      <c r="H54" s="20" t="s">
        <v>288</v>
      </c>
      <c r="I54" s="20" t="s">
        <v>289</v>
      </c>
    </row>
    <row r="55" spans="2:15" x14ac:dyDescent="0.25">
      <c r="H55" s="16" t="s">
        <v>290</v>
      </c>
    </row>
    <row r="56" spans="2:15" x14ac:dyDescent="0.25">
      <c r="B56" s="15" t="s">
        <v>256</v>
      </c>
      <c r="C56" s="21">
        <v>39</v>
      </c>
      <c r="D56" s="21">
        <v>750</v>
      </c>
      <c r="E56" s="21">
        <f>C56*D56</f>
        <v>29250</v>
      </c>
      <c r="F56" s="21">
        <v>720</v>
      </c>
      <c r="G56" s="21">
        <f>C56*F56</f>
        <v>28080</v>
      </c>
      <c r="H56" s="22">
        <v>0.81259999999999999</v>
      </c>
      <c r="I56" s="21">
        <f>G56*H56</f>
        <v>22817.808000000001</v>
      </c>
    </row>
    <row r="57" spans="2:15" x14ac:dyDescent="0.25">
      <c r="C57" s="21"/>
      <c r="D57" s="21"/>
      <c r="E57" s="21"/>
      <c r="F57" s="21"/>
      <c r="G57" s="21"/>
      <c r="H57" s="22"/>
      <c r="I57" s="21"/>
    </row>
    <row r="58" spans="2:15" x14ac:dyDescent="0.25">
      <c r="B58" s="15" t="s">
        <v>269</v>
      </c>
      <c r="C58" s="21">
        <v>45</v>
      </c>
      <c r="D58" s="21">
        <v>791</v>
      </c>
      <c r="E58" s="21">
        <f t="shared" ref="E58:E78" si="2">C58*D58</f>
        <v>35595</v>
      </c>
      <c r="F58" s="21">
        <v>783</v>
      </c>
      <c r="G58" s="21">
        <f t="shared" ref="G58:G78" si="3">C58*F58</f>
        <v>35235</v>
      </c>
      <c r="H58" s="22">
        <v>0.86329999999999996</v>
      </c>
      <c r="I58" s="21">
        <f t="shared" ref="I58:I78" si="4">G58*H58</f>
        <v>30418.375499999998</v>
      </c>
    </row>
    <row r="59" spans="2:15" x14ac:dyDescent="0.25">
      <c r="B59" s="15" t="s">
        <v>269</v>
      </c>
      <c r="C59" s="21">
        <f>66-21</f>
        <v>45</v>
      </c>
      <c r="D59" s="21">
        <v>750</v>
      </c>
      <c r="E59" s="21">
        <f t="shared" si="2"/>
        <v>33750</v>
      </c>
      <c r="F59" s="21">
        <v>750</v>
      </c>
      <c r="G59" s="21">
        <f t="shared" si="3"/>
        <v>33750</v>
      </c>
      <c r="H59" s="22">
        <v>0.86329999999999996</v>
      </c>
      <c r="I59" s="21">
        <f t="shared" si="4"/>
        <v>29136.375</v>
      </c>
    </row>
    <row r="60" spans="2:15" x14ac:dyDescent="0.25">
      <c r="C60" s="21"/>
      <c r="D60" s="23">
        <f>(E58+E59)/(C58+C59)</f>
        <v>770.5</v>
      </c>
      <c r="E60" s="23"/>
      <c r="F60" s="23">
        <f>(G58+G59)/(C58+C59)</f>
        <v>766.5</v>
      </c>
      <c r="G60" s="21"/>
      <c r="H60" s="22"/>
      <c r="I60" s="21"/>
    </row>
    <row r="61" spans="2:15" x14ac:dyDescent="0.25">
      <c r="B61" s="15" t="s">
        <v>291</v>
      </c>
      <c r="C61" s="21">
        <v>26</v>
      </c>
      <c r="D61" s="21">
        <v>750</v>
      </c>
      <c r="E61" s="21">
        <f t="shared" si="2"/>
        <v>19500</v>
      </c>
      <c r="F61" s="21">
        <v>750</v>
      </c>
      <c r="G61" s="21">
        <f t="shared" si="3"/>
        <v>19500</v>
      </c>
      <c r="H61" s="22">
        <v>0.87029999999999996</v>
      </c>
      <c r="I61" s="21">
        <f t="shared" si="4"/>
        <v>16970.849999999999</v>
      </c>
    </row>
    <row r="62" spans="2:15" x14ac:dyDescent="0.25">
      <c r="C62" s="21"/>
      <c r="D62" s="21"/>
      <c r="E62" s="21"/>
      <c r="F62" s="21"/>
      <c r="G62" s="21"/>
      <c r="H62" s="22"/>
      <c r="I62" s="21"/>
    </row>
    <row r="63" spans="2:15" x14ac:dyDescent="0.25">
      <c r="B63" s="15" t="s">
        <v>279</v>
      </c>
      <c r="C63" s="21">
        <v>56</v>
      </c>
      <c r="D63" s="21">
        <v>750</v>
      </c>
      <c r="E63" s="21">
        <f t="shared" si="2"/>
        <v>42000</v>
      </c>
      <c r="F63" s="21">
        <v>750</v>
      </c>
      <c r="G63" s="21">
        <f t="shared" si="3"/>
        <v>42000</v>
      </c>
      <c r="H63" s="22">
        <v>0.86429999999999996</v>
      </c>
      <c r="I63" s="21">
        <f t="shared" si="4"/>
        <v>36300.6</v>
      </c>
    </row>
    <row r="64" spans="2:15" x14ac:dyDescent="0.25">
      <c r="B64" s="15" t="s">
        <v>279</v>
      </c>
      <c r="C64" s="21">
        <v>6</v>
      </c>
      <c r="D64" s="21">
        <v>775</v>
      </c>
      <c r="E64" s="21">
        <f t="shared" si="2"/>
        <v>4650</v>
      </c>
      <c r="F64" s="21">
        <v>775</v>
      </c>
      <c r="G64" s="21">
        <f t="shared" si="3"/>
        <v>4650</v>
      </c>
      <c r="H64" s="22">
        <v>0.86429999999999996</v>
      </c>
      <c r="I64" s="21">
        <f t="shared" si="4"/>
        <v>4018.9949999999999</v>
      </c>
    </row>
    <row r="65" spans="2:12" x14ac:dyDescent="0.25">
      <c r="C65" s="21"/>
      <c r="D65" s="23">
        <f>(E63+E64)/(C63+C64)</f>
        <v>752.41935483870964</v>
      </c>
      <c r="E65" s="23"/>
      <c r="F65" s="23">
        <f>(G63+G64)/(C63+C64)</f>
        <v>752.41935483870964</v>
      </c>
      <c r="G65" s="21"/>
      <c r="H65" s="22"/>
      <c r="I65" s="21"/>
    </row>
    <row r="66" spans="2:12" x14ac:dyDescent="0.25">
      <c r="B66" s="15" t="s">
        <v>268</v>
      </c>
      <c r="C66" s="21">
        <v>5</v>
      </c>
      <c r="D66" s="21">
        <v>756</v>
      </c>
      <c r="E66" s="21">
        <f t="shared" si="2"/>
        <v>3780</v>
      </c>
      <c r="F66" s="21">
        <v>744</v>
      </c>
      <c r="G66" s="21">
        <f t="shared" si="3"/>
        <v>3720</v>
      </c>
      <c r="H66" s="22">
        <v>0.83730000000000004</v>
      </c>
      <c r="I66" s="21">
        <f t="shared" si="4"/>
        <v>3114.7560000000003</v>
      </c>
    </row>
    <row r="67" spans="2:12" x14ac:dyDescent="0.25">
      <c r="B67" s="15" t="s">
        <v>268</v>
      </c>
      <c r="C67" s="21">
        <v>29</v>
      </c>
      <c r="D67" s="21">
        <v>750</v>
      </c>
      <c r="E67" s="21">
        <f t="shared" si="2"/>
        <v>21750</v>
      </c>
      <c r="F67" s="21">
        <v>750</v>
      </c>
      <c r="G67" s="21">
        <f t="shared" si="3"/>
        <v>21750</v>
      </c>
      <c r="H67" s="22">
        <v>0.83730000000000004</v>
      </c>
      <c r="I67" s="21">
        <f t="shared" si="4"/>
        <v>18211.275000000001</v>
      </c>
    </row>
    <row r="68" spans="2:12" x14ac:dyDescent="0.25">
      <c r="C68" s="21"/>
      <c r="D68" s="23">
        <f>(E66+E67)/(C66+C67)</f>
        <v>750.88235294117646</v>
      </c>
      <c r="E68" s="23"/>
      <c r="F68" s="23">
        <f>(G66+G67)/(C66+C67)</f>
        <v>749.11764705882354</v>
      </c>
      <c r="G68" s="23"/>
      <c r="H68" s="22"/>
      <c r="I68" s="21"/>
    </row>
    <row r="69" spans="2:12" x14ac:dyDescent="0.25">
      <c r="B69" s="15" t="s">
        <v>270</v>
      </c>
      <c r="C69" s="21">
        <v>2</v>
      </c>
      <c r="D69" s="21">
        <v>750</v>
      </c>
      <c r="E69" s="21">
        <f t="shared" si="2"/>
        <v>1500</v>
      </c>
      <c r="F69" s="21">
        <v>690</v>
      </c>
      <c r="G69" s="21">
        <f t="shared" si="3"/>
        <v>1380</v>
      </c>
      <c r="H69" s="22">
        <v>0.84630000000000005</v>
      </c>
      <c r="I69" s="21">
        <f t="shared" si="4"/>
        <v>1167.894</v>
      </c>
    </row>
    <row r="70" spans="2:12" x14ac:dyDescent="0.25">
      <c r="B70" s="15" t="s">
        <v>270</v>
      </c>
      <c r="C70" s="21">
        <v>22</v>
      </c>
      <c r="D70" s="21">
        <v>750</v>
      </c>
      <c r="E70" s="21">
        <f t="shared" si="2"/>
        <v>16500</v>
      </c>
      <c r="F70" s="21">
        <v>750</v>
      </c>
      <c r="G70" s="21">
        <f t="shared" si="3"/>
        <v>16500</v>
      </c>
      <c r="H70" s="22">
        <v>0.84630000000000005</v>
      </c>
      <c r="I70" s="21">
        <f t="shared" si="4"/>
        <v>13963.95</v>
      </c>
    </row>
    <row r="71" spans="2:12" x14ac:dyDescent="0.25">
      <c r="C71" s="21"/>
      <c r="D71" s="23">
        <f>(E69+E70)/(C69+C70)</f>
        <v>750</v>
      </c>
      <c r="E71" s="23"/>
      <c r="F71" s="23">
        <f>(G69+G70)/(C69+C70)</f>
        <v>745</v>
      </c>
      <c r="G71" s="21"/>
      <c r="H71" s="22"/>
      <c r="I71" s="21"/>
    </row>
    <row r="72" spans="2:12" x14ac:dyDescent="0.25">
      <c r="B72" s="15" t="s">
        <v>271</v>
      </c>
      <c r="C72" s="21">
        <v>2</v>
      </c>
      <c r="D72" s="21">
        <v>750</v>
      </c>
      <c r="E72" s="21">
        <f t="shared" si="2"/>
        <v>1500</v>
      </c>
      <c r="F72" s="21">
        <v>670</v>
      </c>
      <c r="G72" s="21">
        <f t="shared" si="3"/>
        <v>1340</v>
      </c>
      <c r="H72" s="22">
        <v>0.81359999999999999</v>
      </c>
      <c r="I72" s="21">
        <f t="shared" si="4"/>
        <v>1090.2239999999999</v>
      </c>
    </row>
    <row r="73" spans="2:12" x14ac:dyDescent="0.25">
      <c r="B73" s="15" t="s">
        <v>271</v>
      </c>
      <c r="C73" s="21">
        <v>11</v>
      </c>
      <c r="D73" s="21">
        <v>750</v>
      </c>
      <c r="E73" s="21">
        <f t="shared" si="2"/>
        <v>8250</v>
      </c>
      <c r="F73" s="21">
        <v>750</v>
      </c>
      <c r="G73" s="21">
        <f t="shared" si="3"/>
        <v>8250</v>
      </c>
      <c r="H73" s="22">
        <v>0.81359999999999999</v>
      </c>
      <c r="I73" s="21">
        <f t="shared" si="4"/>
        <v>6712.2</v>
      </c>
    </row>
    <row r="74" spans="2:12" x14ac:dyDescent="0.25">
      <c r="C74" s="21"/>
      <c r="D74" s="23">
        <f>(E72+E73)/(C72+C73)</f>
        <v>750</v>
      </c>
      <c r="E74" s="23"/>
      <c r="F74" s="23">
        <f>(G72+G73)/(C72+C73)</f>
        <v>737.69230769230774</v>
      </c>
      <c r="G74" s="21"/>
      <c r="H74" s="22"/>
      <c r="I74" s="21"/>
    </row>
    <row r="75" spans="2:12" x14ac:dyDescent="0.25">
      <c r="B75" s="15" t="s">
        <v>252</v>
      </c>
      <c r="C75" s="21">
        <v>3</v>
      </c>
      <c r="D75" s="21">
        <v>750</v>
      </c>
      <c r="E75" s="21">
        <f t="shared" si="2"/>
        <v>2250</v>
      </c>
      <c r="F75" s="21">
        <v>750</v>
      </c>
      <c r="G75" s="21">
        <f t="shared" si="3"/>
        <v>2250</v>
      </c>
      <c r="H75" s="22">
        <v>0.66459999999999997</v>
      </c>
      <c r="I75" s="21">
        <f t="shared" si="4"/>
        <v>1495.35</v>
      </c>
    </row>
    <row r="76" spans="2:12" x14ac:dyDescent="0.25">
      <c r="B76" s="15" t="s">
        <v>252</v>
      </c>
      <c r="C76" s="21">
        <v>6</v>
      </c>
      <c r="D76" s="21">
        <v>750</v>
      </c>
      <c r="E76" s="21">
        <f t="shared" si="2"/>
        <v>4500</v>
      </c>
      <c r="F76" s="21">
        <v>670</v>
      </c>
      <c r="G76" s="21">
        <f t="shared" si="3"/>
        <v>4020</v>
      </c>
      <c r="H76" s="22">
        <v>0.66459999999999997</v>
      </c>
      <c r="I76" s="21">
        <f t="shared" si="4"/>
        <v>2671.692</v>
      </c>
    </row>
    <row r="77" spans="2:12" x14ac:dyDescent="0.25">
      <c r="C77" s="21"/>
      <c r="D77" s="23">
        <f>(E75+E76)/(C75+C76)</f>
        <v>750</v>
      </c>
      <c r="E77" s="23"/>
      <c r="F77" s="23">
        <f>(G75+G76)/(C75+C76)</f>
        <v>696.66666666666663</v>
      </c>
      <c r="G77" s="21"/>
      <c r="H77" s="22"/>
      <c r="I77" s="21"/>
    </row>
    <row r="78" spans="2:12" x14ac:dyDescent="0.25">
      <c r="B78" s="15" t="s">
        <v>258</v>
      </c>
      <c r="C78" s="21">
        <v>6</v>
      </c>
      <c r="D78" s="21">
        <v>750</v>
      </c>
      <c r="E78" s="21">
        <f t="shared" si="2"/>
        <v>4500</v>
      </c>
      <c r="F78" s="21">
        <v>670</v>
      </c>
      <c r="G78" s="21">
        <f t="shared" si="3"/>
        <v>4020</v>
      </c>
      <c r="H78" s="22">
        <v>0.66459999999999997</v>
      </c>
      <c r="I78" s="21">
        <f t="shared" si="4"/>
        <v>2671.692</v>
      </c>
    </row>
    <row r="79" spans="2:12" x14ac:dyDescent="0.25">
      <c r="C79" s="21"/>
      <c r="D79" s="21"/>
      <c r="E79" s="21"/>
      <c r="F79" s="21"/>
      <c r="G79" s="21"/>
      <c r="I79" s="24"/>
      <c r="J79" s="227" t="s">
        <v>292</v>
      </c>
      <c r="K79" s="227"/>
      <c r="L79" s="20" t="s">
        <v>293</v>
      </c>
    </row>
    <row r="80" spans="2:12" x14ac:dyDescent="0.25">
      <c r="B80" s="19" t="s">
        <v>39</v>
      </c>
      <c r="C80" s="25">
        <f>SUM(C56:C78)</f>
        <v>303</v>
      </c>
      <c r="D80" s="25">
        <f>E80/C80</f>
        <v>756.68316831683171</v>
      </c>
      <c r="E80" s="25">
        <f>SUM(E56:E78)</f>
        <v>229275</v>
      </c>
      <c r="F80" s="25">
        <f>G80/C80</f>
        <v>747.3432343234324</v>
      </c>
      <c r="G80" s="25">
        <f>SUM(G56:G78)</f>
        <v>226445</v>
      </c>
      <c r="H80" s="26">
        <f>I80/G80</f>
        <v>0.84242105809357692</v>
      </c>
      <c r="I80" s="25">
        <f>SUM(I56:I78)</f>
        <v>190762.03650000002</v>
      </c>
      <c r="J80" s="25">
        <v>900</v>
      </c>
      <c r="K80" s="25">
        <f>C80*J80</f>
        <v>272700</v>
      </c>
      <c r="L80" s="26">
        <f>E80/K80</f>
        <v>0.8407590759075908</v>
      </c>
    </row>
    <row r="81" spans="2:12" x14ac:dyDescent="0.25">
      <c r="C81" s="21"/>
      <c r="D81" s="21"/>
      <c r="E81" s="21"/>
      <c r="F81" s="21"/>
      <c r="G81" s="21"/>
      <c r="H81" s="22"/>
      <c r="I81" s="24"/>
    </row>
    <row r="82" spans="2:12" x14ac:dyDescent="0.25">
      <c r="B82" s="19" t="s">
        <v>294</v>
      </c>
      <c r="C82" s="25">
        <v>63</v>
      </c>
      <c r="D82" s="25">
        <f>E82/C82</f>
        <v>822.60317460317458</v>
      </c>
      <c r="E82" s="25">
        <v>51824</v>
      </c>
      <c r="F82" s="25">
        <f>G82/C82</f>
        <v>785.26984126984132</v>
      </c>
      <c r="G82" s="25">
        <v>49472</v>
      </c>
      <c r="H82" s="26">
        <f>I82/G82</f>
        <v>0.82875161707632605</v>
      </c>
      <c r="I82" s="25">
        <v>41000</v>
      </c>
      <c r="J82" s="25">
        <v>820</v>
      </c>
      <c r="K82" s="25">
        <f>C82*J82</f>
        <v>51660</v>
      </c>
      <c r="L82" s="26">
        <f>E82/K82</f>
        <v>1.0031746031746032</v>
      </c>
    </row>
    <row r="83" spans="2:12" x14ac:dyDescent="0.25">
      <c r="C83" s="21"/>
      <c r="D83" s="21"/>
      <c r="E83" s="21"/>
      <c r="F83" s="21"/>
      <c r="G83" s="21"/>
      <c r="H83" s="22"/>
      <c r="I83" s="24"/>
    </row>
    <row r="84" spans="2:12" x14ac:dyDescent="0.25">
      <c r="B84" s="19" t="s">
        <v>295</v>
      </c>
      <c r="C84" s="25">
        <f>+C80+C82</f>
        <v>366</v>
      </c>
      <c r="D84" s="25">
        <f>E84/C84</f>
        <v>768.03005464480873</v>
      </c>
      <c r="E84" s="25">
        <f>+E80+E82</f>
        <v>281099</v>
      </c>
      <c r="F84" s="25">
        <f>G84/C84</f>
        <v>753.87158469945359</v>
      </c>
      <c r="G84" s="25">
        <f>+G80+G82</f>
        <v>275917</v>
      </c>
      <c r="H84" s="26">
        <f>I84/G84</f>
        <v>0.83997012326170561</v>
      </c>
      <c r="I84" s="25">
        <f>+I80+I82</f>
        <v>231762.03650000002</v>
      </c>
      <c r="J84" s="25">
        <f>K84/C84</f>
        <v>886.22950819672133</v>
      </c>
      <c r="K84" s="25">
        <f>+K80+K82</f>
        <v>324360</v>
      </c>
      <c r="L84" s="26">
        <f>E84/K84</f>
        <v>0.86662658774201506</v>
      </c>
    </row>
    <row r="85" spans="2:12" x14ac:dyDescent="0.25">
      <c r="I85" s="24"/>
    </row>
    <row r="86" spans="2:12" x14ac:dyDescent="0.25">
      <c r="I86" s="24"/>
    </row>
    <row r="87" spans="2:12" x14ac:dyDescent="0.25">
      <c r="I87" s="24"/>
    </row>
    <row r="88" spans="2:12" x14ac:dyDescent="0.25">
      <c r="I88" s="24"/>
    </row>
    <row r="89" spans="2:12" x14ac:dyDescent="0.25">
      <c r="I89" s="24"/>
    </row>
    <row r="90" spans="2:12" x14ac:dyDescent="0.25">
      <c r="I90" s="24"/>
    </row>
    <row r="91" spans="2:12" x14ac:dyDescent="0.25">
      <c r="I91" s="24"/>
    </row>
    <row r="92" spans="2:12" x14ac:dyDescent="0.25">
      <c r="I92" s="24"/>
    </row>
    <row r="93" spans="2:12" x14ac:dyDescent="0.25">
      <c r="I93" s="24"/>
    </row>
    <row r="94" spans="2:12" x14ac:dyDescent="0.25">
      <c r="I94" s="24"/>
    </row>
    <row r="95" spans="2:12" x14ac:dyDescent="0.25">
      <c r="I95" s="24"/>
    </row>
    <row r="96" spans="2:12" x14ac:dyDescent="0.25">
      <c r="I96" s="24"/>
    </row>
    <row r="97" spans="9:9" x14ac:dyDescent="0.25">
      <c r="I97" s="24"/>
    </row>
    <row r="98" spans="9:9" x14ac:dyDescent="0.25">
      <c r="I98" s="24"/>
    </row>
    <row r="99" spans="9:9" x14ac:dyDescent="0.25">
      <c r="I99" s="24"/>
    </row>
  </sheetData>
  <mergeCells count="1">
    <mergeCell ref="J79:K79"/>
  </mergeCells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737F1B2E4DA04AB3F0D22847922F9D" ma:contentTypeVersion="10" ma:contentTypeDescription="Ein neues Dokument erstellen." ma:contentTypeScope="" ma:versionID="d1fa054a92f9c31b0f02c3f63c22d89a">
  <xsd:schema xmlns:xsd="http://www.w3.org/2001/XMLSchema" xmlns:xs="http://www.w3.org/2001/XMLSchema" xmlns:p="http://schemas.microsoft.com/office/2006/metadata/properties" xmlns:ns2="774cecba-5250-4c37-a049-1d5abe0c511c" xmlns:ns3="f03f506d-25f9-4a84-a3e1-fe04018ca2df" targetNamespace="http://schemas.microsoft.com/office/2006/metadata/properties" ma:root="true" ma:fieldsID="8326ef9c400bd8af0d30f5a50f1bfc2c" ns2:_="" ns3:_="">
    <xsd:import namespace="774cecba-5250-4c37-a049-1d5abe0c511c"/>
    <xsd:import namespace="f03f506d-25f9-4a84-a3e1-fe04018ca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cecba-5250-4c37-a049-1d5abe0c5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f506d-25f9-4a84-a3e1-fe04018ca2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73CA8-DFE7-4F7B-AEAA-2A90D0F66B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AB57C0B-4BAF-4B50-B12D-8D816EC2C4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682113-FA13-43D3-A2C1-9B22675F85C2}"/>
</file>

<file path=docMetadata/LabelInfo.xml><?xml version="1.0" encoding="utf-8"?>
<clbl:labelList xmlns:clbl="http://schemas.microsoft.com/office/2020/mipLabelMetadata">
  <clbl:label id="{ced06422-c515-4a4e-a1f2-e6a0c0200eae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Stat_Dicke</vt:lpstr>
      <vt:lpstr>Planung</vt:lpstr>
      <vt:lpstr>Tabelle1</vt:lpstr>
      <vt:lpstr>Parameter der Planung</vt:lpstr>
      <vt:lpstr>Dickenspezifische Reihenfolgen</vt:lpstr>
      <vt:lpstr>Budget</vt:lpstr>
      <vt:lpstr>Planung!Druckbereich</vt:lpstr>
    </vt:vector>
  </TitlesOfParts>
  <Manager/>
  <Company>SAINT-GOBAIN 1.8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Fuchs, Alexander</dc:creator>
  <cp:keywords/>
  <dc:description/>
  <cp:lastModifiedBy>Fuchs, Alexander</cp:lastModifiedBy>
  <cp:revision/>
  <dcterms:created xsi:type="dcterms:W3CDTF">2018-03-02T13:31:44Z</dcterms:created>
  <dcterms:modified xsi:type="dcterms:W3CDTF">2025-10-14T09:11:26Z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2021-03-15T14:00:17Z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45ef8336-fc55-4f66-aa4c-6b3114562a41</vt:lpwstr>
  </property>
  <property fmtid="{D5CDD505-2E9C-101B-9397-08002B2CF9AE}" pid="8" name="MSIP_Label_ced06422-c515-4a4e-a1f2-e6a0c0200eae_ContentBits">
    <vt:lpwstr>0</vt:lpwstr>
  </property>
  <property fmtid="{D5CDD505-2E9C-101B-9397-08002B2CF9AE}" pid="9" name="ContentTypeId">
    <vt:lpwstr>0x0101002E737F1B2E4DA04AB3F0D22847922F9D</vt:lpwstr>
  </property>
</Properties>
</file>